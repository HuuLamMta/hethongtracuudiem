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_cuu_diem_web\data\"/>
    </mc:Choice>
  </mc:AlternateContent>
  <xr:revisionPtr revIDLastSave="0" documentId="8_{BBB48DA0-0A78-4947-A864-0FCC3DABFB64}" xr6:coauthVersionLast="47" xr6:coauthVersionMax="47" xr10:uidLastSave="{00000000-0000-0000-0000-000000000000}"/>
  <bookViews>
    <workbookView xWindow="-108" yWindow="-108" windowWidth="23256" windowHeight="12576" xr2:uid="{E43F1077-5F1A-41BE-8F4F-31AD409CFFD2}"/>
  </bookViews>
  <sheets>
    <sheet name="BangDiem" sheetId="1" r:id="rId1"/>
  </sheets>
  <definedNames>
    <definedName name="__Diem__">BangDiem!$A$12:$Q$12</definedName>
    <definedName name="__DTB__">BangDiem!$A$96:$S$99</definedName>
    <definedName name="__HocKy__">BangDiem!$A$11:$Q$20</definedName>
    <definedName name="__SV__">BangDiem!$A$1:$T$105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  <c r="N12" i="1"/>
  <c r="M13" i="1"/>
  <c r="N13" i="1"/>
  <c r="P20" i="1" s="1"/>
  <c r="M14" i="1"/>
  <c r="N14" i="1"/>
  <c r="M15" i="1"/>
  <c r="N15" i="1"/>
  <c r="M16" i="1"/>
  <c r="N16" i="1"/>
  <c r="M17" i="1"/>
  <c r="N17" i="1"/>
  <c r="M18" i="1"/>
  <c r="N18" i="1"/>
  <c r="M19" i="1"/>
  <c r="N19" i="1"/>
  <c r="I20" i="1"/>
  <c r="M20" i="1" s="1"/>
  <c r="O20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I30" i="1"/>
  <c r="M30" i="1" s="1"/>
  <c r="O30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I41" i="1"/>
  <c r="M43" i="1"/>
  <c r="N43" i="1"/>
  <c r="M44" i="1"/>
  <c r="N44" i="1"/>
  <c r="M45" i="1"/>
  <c r="N45" i="1"/>
  <c r="M46" i="1"/>
  <c r="N46" i="1"/>
  <c r="M47" i="1"/>
  <c r="N47" i="1"/>
  <c r="M48" i="1"/>
  <c r="N48" i="1"/>
  <c r="M51" i="1"/>
  <c r="N51" i="1"/>
  <c r="M52" i="1"/>
  <c r="N52" i="1"/>
  <c r="M53" i="1"/>
  <c r="N53" i="1"/>
  <c r="M54" i="1"/>
  <c r="N54" i="1"/>
  <c r="M55" i="1"/>
  <c r="N55" i="1"/>
  <c r="M56" i="1"/>
  <c r="N56" i="1"/>
  <c r="I57" i="1"/>
  <c r="O57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I70" i="1"/>
  <c r="P70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I83" i="1"/>
  <c r="O83" i="1" s="1"/>
  <c r="M83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I93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I125" i="1"/>
  <c r="O125" i="1"/>
  <c r="M127" i="1"/>
  <c r="N127" i="1"/>
  <c r="P135" i="1" s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I135" i="1"/>
  <c r="N135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I146" i="1"/>
  <c r="M146" i="1" s="1"/>
  <c r="O146" i="1"/>
  <c r="M148" i="1"/>
  <c r="N148" i="1"/>
  <c r="P162" i="1" s="1"/>
  <c r="M149" i="1"/>
  <c r="N149" i="1"/>
  <c r="M150" i="1"/>
  <c r="N150" i="1"/>
  <c r="M151" i="1"/>
  <c r="N151" i="1"/>
  <c r="M152" i="1"/>
  <c r="N152" i="1"/>
  <c r="M153" i="1"/>
  <c r="N153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I162" i="1"/>
  <c r="N162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I175" i="1"/>
  <c r="O175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I188" i="1"/>
  <c r="P188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I198" i="1"/>
  <c r="M198" i="1" s="1"/>
  <c r="O198" i="1"/>
  <c r="M222" i="1"/>
  <c r="N222" i="1"/>
  <c r="P230" i="1" s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I230" i="1"/>
  <c r="N230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I240" i="1"/>
  <c r="O240" i="1" s="1"/>
  <c r="M240" i="1" s="1"/>
  <c r="M242" i="1"/>
  <c r="N242" i="1"/>
  <c r="P251" i="1" s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I251" i="1"/>
  <c r="N251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I267" i="1"/>
  <c r="O267" i="1" s="1"/>
  <c r="M267" i="1"/>
  <c r="M269" i="1"/>
  <c r="N269" i="1"/>
  <c r="P280" i="1" s="1"/>
  <c r="N280" i="1" s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I280" i="1"/>
  <c r="M282" i="1"/>
  <c r="N282" i="1"/>
  <c r="P284" i="1" s="1"/>
  <c r="N284" i="1" s="1"/>
  <c r="M283" i="1"/>
  <c r="O284" i="1" s="1"/>
  <c r="N283" i="1"/>
  <c r="I284" i="1"/>
  <c r="M284" i="1"/>
  <c r="M286" i="1"/>
  <c r="N286" i="1"/>
  <c r="P297" i="1" s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I297" i="1"/>
  <c r="N297" i="1"/>
  <c r="M299" i="1"/>
  <c r="N299" i="1"/>
  <c r="M300" i="1"/>
  <c r="O307" i="1" s="1"/>
  <c r="M307" i="1" s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I307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I339" i="1"/>
  <c r="P339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I349" i="1"/>
  <c r="O349" i="1"/>
  <c r="M351" i="1"/>
  <c r="N351" i="1"/>
  <c r="M352" i="1"/>
  <c r="O353" i="1" s="1"/>
  <c r="M353" i="1" s="1"/>
  <c r="N352" i="1"/>
  <c r="P353" i="1" s="1"/>
  <c r="I353" i="1"/>
  <c r="N353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I364" i="1"/>
  <c r="O364" i="1"/>
  <c r="M366" i="1"/>
  <c r="N366" i="1"/>
  <c r="M367" i="1"/>
  <c r="N367" i="1"/>
  <c r="P380" i="1" s="1"/>
  <c r="N380" i="1" s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I380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I393" i="1"/>
  <c r="O393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I406" i="1"/>
  <c r="P406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I416" i="1"/>
  <c r="O416" i="1"/>
  <c r="M440" i="1"/>
  <c r="N440" i="1"/>
  <c r="M441" i="1"/>
  <c r="N441" i="1"/>
  <c r="M442" i="1"/>
  <c r="N442" i="1"/>
  <c r="M443" i="1"/>
  <c r="N443" i="1"/>
  <c r="P448" i="1" s="1"/>
  <c r="N448" i="1" s="1"/>
  <c r="M444" i="1"/>
  <c r="N444" i="1"/>
  <c r="M445" i="1"/>
  <c r="N445" i="1"/>
  <c r="M446" i="1"/>
  <c r="N446" i="1"/>
  <c r="M447" i="1"/>
  <c r="N447" i="1"/>
  <c r="I448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O458" i="1" s="1"/>
  <c r="N457" i="1"/>
  <c r="I458" i="1"/>
  <c r="M458" i="1"/>
  <c r="M460" i="1"/>
  <c r="N460" i="1"/>
  <c r="M461" i="1"/>
  <c r="N461" i="1"/>
  <c r="I462" i="1"/>
  <c r="P462" i="1"/>
  <c r="M464" i="1"/>
  <c r="N464" i="1"/>
  <c r="M465" i="1"/>
  <c r="N465" i="1"/>
  <c r="P466" i="1" s="1"/>
  <c r="N466" i="1" s="1"/>
  <c r="I466" i="1"/>
  <c r="M466" i="1" s="1"/>
  <c r="O466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I479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I493" i="1"/>
  <c r="O493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I506" i="1"/>
  <c r="P506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I519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I529" i="1"/>
  <c r="P529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I561" i="1"/>
  <c r="O561" i="1"/>
  <c r="M563" i="1"/>
  <c r="N563" i="1"/>
  <c r="P571" i="1" s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I571" i="1"/>
  <c r="N571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I582" i="1"/>
  <c r="O582" i="1"/>
  <c r="M584" i="1"/>
  <c r="N584" i="1"/>
  <c r="M585" i="1"/>
  <c r="N585" i="1"/>
  <c r="M586" i="1"/>
  <c r="N586" i="1"/>
  <c r="P598" i="1" s="1"/>
  <c r="M587" i="1"/>
  <c r="N587" i="1"/>
  <c r="M588" i="1"/>
  <c r="N588" i="1"/>
  <c r="M589" i="1"/>
  <c r="N589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I598" i="1"/>
  <c r="N598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I611" i="1"/>
  <c r="O611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I624" i="1"/>
  <c r="P624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I634" i="1"/>
  <c r="O634" i="1"/>
  <c r="M658" i="1"/>
  <c r="N658" i="1"/>
  <c r="P666" i="1" s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I666" i="1"/>
  <c r="N666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I676" i="1"/>
  <c r="M678" i="1"/>
  <c r="N678" i="1"/>
  <c r="M679" i="1"/>
  <c r="N679" i="1"/>
  <c r="P687" i="1" s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I687" i="1"/>
  <c r="N687" i="1"/>
  <c r="M689" i="1"/>
  <c r="N689" i="1"/>
  <c r="P691" i="1" s="1"/>
  <c r="M690" i="1"/>
  <c r="N690" i="1"/>
  <c r="I691" i="1"/>
  <c r="M693" i="1"/>
  <c r="N693" i="1"/>
  <c r="M694" i="1"/>
  <c r="N694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I707" i="1"/>
  <c r="P707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I720" i="1"/>
  <c r="M722" i="1"/>
  <c r="N722" i="1"/>
  <c r="M723" i="1"/>
  <c r="N723" i="1"/>
  <c r="P733" i="1" s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I733" i="1"/>
  <c r="O733" i="1" s="1"/>
  <c r="M733" i="1" s="1"/>
  <c r="N733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I743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I775" i="1"/>
  <c r="P775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I785" i="1"/>
  <c r="O785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I796" i="1"/>
  <c r="P796" i="1"/>
  <c r="M798" i="1"/>
  <c r="N798" i="1"/>
  <c r="M799" i="1"/>
  <c r="N799" i="1"/>
  <c r="P800" i="1" s="1"/>
  <c r="N800" i="1" s="1"/>
  <c r="I800" i="1"/>
  <c r="O800" i="1"/>
  <c r="M800" i="1" s="1"/>
  <c r="M802" i="1"/>
  <c r="N802" i="1"/>
  <c r="P816" i="1" s="1"/>
  <c r="M803" i="1"/>
  <c r="N803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I816" i="1"/>
  <c r="N816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I829" i="1"/>
  <c r="O829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I842" i="1"/>
  <c r="P842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I852" i="1"/>
  <c r="O852" i="1"/>
  <c r="M872" i="1"/>
  <c r="N872" i="1"/>
  <c r="P880" i="1" s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I880" i="1"/>
  <c r="N880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I890" i="1"/>
  <c r="M892" i="1"/>
  <c r="N892" i="1"/>
  <c r="M893" i="1"/>
  <c r="N893" i="1"/>
  <c r="P901" i="1" s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I901" i="1"/>
  <c r="O901" i="1" s="1"/>
  <c r="M901" i="1" s="1"/>
  <c r="N901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I917" i="1"/>
  <c r="M919" i="1"/>
  <c r="N919" i="1"/>
  <c r="M920" i="1"/>
  <c r="N920" i="1"/>
  <c r="I921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I934" i="1"/>
  <c r="M936" i="1"/>
  <c r="N936" i="1"/>
  <c r="M937" i="1"/>
  <c r="N937" i="1"/>
  <c r="P947" i="1" s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I947" i="1"/>
  <c r="O947" i="1" s="1"/>
  <c r="M947" i="1" s="1"/>
  <c r="N947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I957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I989" i="1"/>
  <c r="P989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I999" i="1"/>
  <c r="O999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I1010" i="1"/>
  <c r="P1010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I1026" i="1"/>
  <c r="O1026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I1039" i="1"/>
  <c r="P1039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I1052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I1062" i="1"/>
  <c r="P1062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I1094" i="1"/>
  <c r="O1094" i="1"/>
  <c r="M1096" i="1"/>
  <c r="N1096" i="1"/>
  <c r="P1104" i="1" s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I1104" i="1"/>
  <c r="N1104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I1115" i="1"/>
  <c r="O1115" i="1"/>
  <c r="M1117" i="1"/>
  <c r="N1117" i="1"/>
  <c r="P1131" i="1" s="1"/>
  <c r="N1131" i="1" s="1"/>
  <c r="M1118" i="1"/>
  <c r="N1118" i="1"/>
  <c r="M1119" i="1"/>
  <c r="N1119" i="1"/>
  <c r="M1120" i="1"/>
  <c r="N1120" i="1"/>
  <c r="M1121" i="1"/>
  <c r="N1121" i="1"/>
  <c r="M1122" i="1"/>
  <c r="N1122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I1131" i="1"/>
  <c r="O1131" i="1" s="1"/>
  <c r="M1131" i="1" s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I1144" i="1"/>
  <c r="O1144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I1157" i="1"/>
  <c r="P1157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I1167" i="1"/>
  <c r="O1167" i="1"/>
  <c r="M1191" i="1"/>
  <c r="N1191" i="1"/>
  <c r="M1192" i="1"/>
  <c r="N1192" i="1"/>
  <c r="M1193" i="1"/>
  <c r="N1193" i="1"/>
  <c r="P1199" i="1" s="1"/>
  <c r="N1199" i="1" s="1"/>
  <c r="M1194" i="1"/>
  <c r="N1194" i="1"/>
  <c r="M1195" i="1"/>
  <c r="N1195" i="1"/>
  <c r="M1196" i="1"/>
  <c r="N1196" i="1"/>
  <c r="M1197" i="1"/>
  <c r="N1197" i="1"/>
  <c r="M1198" i="1"/>
  <c r="N1198" i="1"/>
  <c r="I1199" i="1"/>
  <c r="O1199" i="1" s="1"/>
  <c r="M1199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I1209" i="1"/>
  <c r="P1209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I1220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I1236" i="1"/>
  <c r="M1236" i="1"/>
  <c r="O1236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I1249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I1262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I1272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I1304" i="1"/>
  <c r="O1304" i="1"/>
  <c r="M1304" i="1" s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I1314" i="1"/>
  <c r="O1314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I1325" i="1"/>
  <c r="P1325" i="1"/>
  <c r="M1327" i="1"/>
  <c r="N1327" i="1"/>
  <c r="M1328" i="1"/>
  <c r="N1328" i="1"/>
  <c r="I1329" i="1"/>
  <c r="M1331" i="1"/>
  <c r="N1331" i="1"/>
  <c r="M1332" i="1"/>
  <c r="N1332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I1345" i="1"/>
  <c r="O1345" i="1"/>
  <c r="M1345" i="1" s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I1358" i="1"/>
  <c r="O1358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I1371" i="1"/>
  <c r="P1371" i="1"/>
  <c r="M1373" i="1"/>
  <c r="N1373" i="1"/>
  <c r="M1374" i="1"/>
  <c r="N1374" i="1"/>
  <c r="P1381" i="1" s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I1381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I1413" i="1"/>
  <c r="O1413" i="1"/>
  <c r="M1413" i="1" s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I1423" i="1"/>
  <c r="P1423" i="1"/>
  <c r="M1425" i="1"/>
  <c r="N1425" i="1"/>
  <c r="M1426" i="1"/>
  <c r="N1426" i="1"/>
  <c r="I1427" i="1"/>
  <c r="P1427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I1438" i="1"/>
  <c r="M1440" i="1"/>
  <c r="N1440" i="1"/>
  <c r="M1441" i="1"/>
  <c r="N1441" i="1"/>
  <c r="I1444" i="1"/>
  <c r="O1444" i="1"/>
  <c r="M1444" i="1" s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I1458" i="1"/>
  <c r="O1458" i="1"/>
  <c r="M1460" i="1"/>
  <c r="N1460" i="1"/>
  <c r="P1462" i="1" s="1"/>
  <c r="M1461" i="1"/>
  <c r="O1462" i="1" s="1"/>
  <c r="M1462" i="1" s="1"/>
  <c r="N1461" i="1"/>
  <c r="I1462" i="1"/>
  <c r="N1462" i="1"/>
  <c r="M1464" i="1"/>
  <c r="N1464" i="1"/>
  <c r="P1475" i="1" s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I1475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I1488" i="1"/>
  <c r="O1488" i="1"/>
  <c r="M1488" i="1" s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I1498" i="1"/>
  <c r="O1498" i="1"/>
  <c r="O280" i="1" l="1"/>
  <c r="M280" i="1" s="1"/>
  <c r="N1427" i="1"/>
  <c r="M1427" i="1"/>
  <c r="O1427" i="1"/>
  <c r="P1167" i="1"/>
  <c r="N1167" i="1" s="1"/>
  <c r="P1115" i="1"/>
  <c r="N1115" i="1" s="1"/>
  <c r="M1329" i="1"/>
  <c r="O1329" i="1"/>
  <c r="O1249" i="1"/>
  <c r="M1249" i="1"/>
  <c r="N479" i="1"/>
  <c r="O479" i="1"/>
  <c r="M479" i="1" s="1"/>
  <c r="P479" i="1"/>
  <c r="N1371" i="1"/>
  <c r="O1371" i="1"/>
  <c r="M1371" i="1" s="1"/>
  <c r="P1052" i="1"/>
  <c r="P999" i="1"/>
  <c r="N999" i="1" s="1"/>
  <c r="P676" i="1"/>
  <c r="P611" i="1"/>
  <c r="N611" i="1" s="1"/>
  <c r="P561" i="1"/>
  <c r="N561" i="1" s="1"/>
  <c r="O41" i="1"/>
  <c r="M41" i="1" s="1"/>
  <c r="P41" i="1"/>
  <c r="N41" i="1" s="1"/>
  <c r="N1325" i="1"/>
  <c r="O1325" i="1"/>
  <c r="M1325" i="1" s="1"/>
  <c r="O1262" i="1"/>
  <c r="M1262" i="1" s="1"/>
  <c r="N1157" i="1"/>
  <c r="O1157" i="1"/>
  <c r="M1157" i="1" s="1"/>
  <c r="M1144" i="1"/>
  <c r="M1094" i="1"/>
  <c r="N1052" i="1"/>
  <c r="M1039" i="1"/>
  <c r="N1039" i="1"/>
  <c r="O1039" i="1"/>
  <c r="N93" i="1"/>
  <c r="O93" i="1"/>
  <c r="M93" i="1" s="1"/>
  <c r="P93" i="1"/>
  <c r="N1475" i="1"/>
  <c r="O1475" i="1"/>
  <c r="M1475" i="1" s="1"/>
  <c r="O1423" i="1"/>
  <c r="M1423" i="1" s="1"/>
  <c r="N1423" i="1"/>
  <c r="M1381" i="1"/>
  <c r="N1381" i="1"/>
  <c r="O1381" i="1"/>
  <c r="P1329" i="1"/>
  <c r="N1329" i="1" s="1"/>
  <c r="P1249" i="1"/>
  <c r="N1249" i="1" s="1"/>
  <c r="O921" i="1"/>
  <c r="M921" i="1" s="1"/>
  <c r="P921" i="1"/>
  <c r="N921" i="1" s="1"/>
  <c r="O230" i="1"/>
  <c r="M230" i="1" s="1"/>
  <c r="O162" i="1"/>
  <c r="M162" i="1" s="1"/>
  <c r="M1026" i="1"/>
  <c r="N989" i="1"/>
  <c r="O989" i="1"/>
  <c r="M989" i="1" s="1"/>
  <c r="P720" i="1"/>
  <c r="N676" i="1"/>
  <c r="O666" i="1"/>
  <c r="M666" i="1" s="1"/>
  <c r="M634" i="1"/>
  <c r="M582" i="1"/>
  <c r="N529" i="1"/>
  <c r="O529" i="1"/>
  <c r="M529" i="1" s="1"/>
  <c r="P349" i="1"/>
  <c r="M1498" i="1"/>
  <c r="M1458" i="1"/>
  <c r="O1438" i="1"/>
  <c r="M1438" i="1" s="1"/>
  <c r="M1358" i="1"/>
  <c r="M1314" i="1"/>
  <c r="O1272" i="1"/>
  <c r="M1272" i="1" s="1"/>
  <c r="O1220" i="1"/>
  <c r="M1220" i="1" s="1"/>
  <c r="P890" i="1"/>
  <c r="P829" i="1"/>
  <c r="N829" i="1" s="1"/>
  <c r="P785" i="1"/>
  <c r="N785" i="1" s="1"/>
  <c r="N720" i="1"/>
  <c r="N707" i="1"/>
  <c r="O707" i="1"/>
  <c r="M707" i="1" s="1"/>
  <c r="P393" i="1"/>
  <c r="O380" i="1"/>
  <c r="M364" i="1"/>
  <c r="M339" i="1"/>
  <c r="N339" i="1"/>
  <c r="O339" i="1"/>
  <c r="P1498" i="1"/>
  <c r="N1498" i="1" s="1"/>
  <c r="P1488" i="1"/>
  <c r="N1488" i="1" s="1"/>
  <c r="P1458" i="1"/>
  <c r="N1458" i="1" s="1"/>
  <c r="P1444" i="1"/>
  <c r="N1444" i="1" s="1"/>
  <c r="P1438" i="1"/>
  <c r="N1438" i="1" s="1"/>
  <c r="P1413" i="1"/>
  <c r="N1413" i="1" s="1"/>
  <c r="P1358" i="1"/>
  <c r="N1358" i="1" s="1"/>
  <c r="P1345" i="1"/>
  <c r="N1345" i="1" s="1"/>
  <c r="P1314" i="1"/>
  <c r="N1314" i="1" s="1"/>
  <c r="P1304" i="1"/>
  <c r="N1304" i="1" s="1"/>
  <c r="P1272" i="1"/>
  <c r="N1272" i="1" s="1"/>
  <c r="P1262" i="1"/>
  <c r="N1262" i="1" s="1"/>
  <c r="P1236" i="1"/>
  <c r="N1236" i="1" s="1"/>
  <c r="P1220" i="1"/>
  <c r="N1220" i="1" s="1"/>
  <c r="N1209" i="1"/>
  <c r="O1209" i="1"/>
  <c r="M1209" i="1" s="1"/>
  <c r="P934" i="1"/>
  <c r="N934" i="1" s="1"/>
  <c r="N890" i="1"/>
  <c r="O880" i="1"/>
  <c r="M880" i="1" s="1"/>
  <c r="M852" i="1"/>
  <c r="N775" i="1"/>
  <c r="O775" i="1"/>
  <c r="M775" i="1" s="1"/>
  <c r="P493" i="1"/>
  <c r="N493" i="1" s="1"/>
  <c r="P458" i="1"/>
  <c r="N458" i="1" s="1"/>
  <c r="O448" i="1"/>
  <c r="M416" i="1"/>
  <c r="P240" i="1"/>
  <c r="N240" i="1" s="1"/>
  <c r="P175" i="1"/>
  <c r="P125" i="1"/>
  <c r="P57" i="1"/>
  <c r="N57" i="1" s="1"/>
  <c r="P1144" i="1"/>
  <c r="N1144" i="1" s="1"/>
  <c r="P1094" i="1"/>
  <c r="N1094" i="1" s="1"/>
  <c r="P1026" i="1"/>
  <c r="N1026" i="1" s="1"/>
  <c r="P957" i="1"/>
  <c r="N957" i="1" s="1"/>
  <c r="P917" i="1"/>
  <c r="P852" i="1"/>
  <c r="N852" i="1" s="1"/>
  <c r="P743" i="1"/>
  <c r="P634" i="1"/>
  <c r="N634" i="1" s="1"/>
  <c r="P582" i="1"/>
  <c r="N582" i="1" s="1"/>
  <c r="P519" i="1"/>
  <c r="P416" i="1"/>
  <c r="N416" i="1" s="1"/>
  <c r="P364" i="1"/>
  <c r="N364" i="1" s="1"/>
  <c r="P307" i="1"/>
  <c r="N307" i="1" s="1"/>
  <c r="P267" i="1"/>
  <c r="N267" i="1" s="1"/>
  <c r="P198" i="1"/>
  <c r="N198" i="1" s="1"/>
  <c r="P146" i="1"/>
  <c r="N146" i="1" s="1"/>
  <c r="P83" i="1"/>
  <c r="N83" i="1" s="1"/>
  <c r="P30" i="1"/>
  <c r="N30" i="1" s="1"/>
  <c r="M1167" i="1"/>
  <c r="M1115" i="1"/>
  <c r="O1104" i="1"/>
  <c r="M1104" i="1" s="1"/>
  <c r="N1062" i="1"/>
  <c r="O1062" i="1"/>
  <c r="M1062" i="1" s="1"/>
  <c r="N1010" i="1"/>
  <c r="O1010" i="1"/>
  <c r="M1010" i="1" s="1"/>
  <c r="M999" i="1"/>
  <c r="N917" i="1"/>
  <c r="M842" i="1"/>
  <c r="N842" i="1"/>
  <c r="O842" i="1"/>
  <c r="M829" i="1"/>
  <c r="O816" i="1"/>
  <c r="M816" i="1" s="1"/>
  <c r="M796" i="1"/>
  <c r="N796" i="1"/>
  <c r="O796" i="1"/>
  <c r="M785" i="1"/>
  <c r="N743" i="1"/>
  <c r="N691" i="1"/>
  <c r="O687" i="1"/>
  <c r="M687" i="1" s="1"/>
  <c r="M624" i="1"/>
  <c r="N624" i="1"/>
  <c r="O624" i="1"/>
  <c r="M611" i="1"/>
  <c r="O598" i="1"/>
  <c r="M598" i="1" s="1"/>
  <c r="O571" i="1"/>
  <c r="M571" i="1" s="1"/>
  <c r="M561" i="1"/>
  <c r="N519" i="1"/>
  <c r="M506" i="1"/>
  <c r="N506" i="1"/>
  <c r="O506" i="1"/>
  <c r="M493" i="1"/>
  <c r="M462" i="1"/>
  <c r="N462" i="1"/>
  <c r="O462" i="1"/>
  <c r="M448" i="1"/>
  <c r="M406" i="1"/>
  <c r="N406" i="1"/>
  <c r="O406" i="1"/>
  <c r="M393" i="1"/>
  <c r="M380" i="1"/>
  <c r="M349" i="1"/>
  <c r="O297" i="1"/>
  <c r="M297" i="1" s="1"/>
  <c r="O251" i="1"/>
  <c r="M251" i="1" s="1"/>
  <c r="M188" i="1"/>
  <c r="N188" i="1"/>
  <c r="O188" i="1"/>
  <c r="M175" i="1"/>
  <c r="O135" i="1"/>
  <c r="M135" i="1" s="1"/>
  <c r="M125" i="1"/>
  <c r="N70" i="1"/>
  <c r="O70" i="1"/>
  <c r="M70" i="1" s="1"/>
  <c r="M57" i="1"/>
  <c r="N393" i="1"/>
  <c r="N349" i="1"/>
  <c r="N175" i="1"/>
  <c r="N125" i="1"/>
  <c r="O1052" i="1"/>
  <c r="M1052" i="1" s="1"/>
  <c r="O957" i="1"/>
  <c r="M957" i="1" s="1"/>
  <c r="O934" i="1"/>
  <c r="M934" i="1" s="1"/>
  <c r="O917" i="1"/>
  <c r="M917" i="1" s="1"/>
  <c r="O890" i="1"/>
  <c r="M890" i="1" s="1"/>
  <c r="O743" i="1"/>
  <c r="M743" i="1" s="1"/>
  <c r="O720" i="1"/>
  <c r="M720" i="1" s="1"/>
  <c r="O691" i="1"/>
  <c r="M691" i="1" s="1"/>
  <c r="O676" i="1"/>
  <c r="M676" i="1" s="1"/>
  <c r="O519" i="1"/>
  <c r="M519" i="1" s="1"/>
  <c r="N20" i="1"/>
</calcChain>
</file>

<file path=xl/sharedStrings.xml><?xml version="1.0" encoding="utf-8"?>
<sst xmlns="http://schemas.openxmlformats.org/spreadsheetml/2006/main" count="2484" uniqueCount="199">
  <si>
    <t>TT</t>
  </si>
  <si>
    <t>Tên môn học</t>
  </si>
  <si>
    <t>Điểm môn học</t>
  </si>
  <si>
    <t>C</t>
  </si>
  <si>
    <t>D+</t>
  </si>
  <si>
    <t>C+</t>
  </si>
  <si>
    <t>B</t>
  </si>
  <si>
    <t>F</t>
  </si>
  <si>
    <t>D</t>
  </si>
  <si>
    <t>B+</t>
  </si>
  <si>
    <t>A</t>
  </si>
  <si>
    <t>Điểm chữ</t>
  </si>
  <si>
    <t>A+</t>
  </si>
  <si>
    <t>Điểm số</t>
  </si>
  <si>
    <t>Thang 10</t>
  </si>
  <si>
    <t>8.5-8.9</t>
  </si>
  <si>
    <t>8.0-8.4</t>
  </si>
  <si>
    <t>7.0-7.9</t>
  </si>
  <si>
    <t>6.5-6.9</t>
  </si>
  <si>
    <t>5.5-6.4</t>
  </si>
  <si>
    <t>5.0-5.4</t>
  </si>
  <si>
    <t>4-4.9</t>
  </si>
  <si>
    <t>&lt;4.0</t>
  </si>
  <si>
    <t>9 - 10</t>
  </si>
  <si>
    <t>CỘNG HÒA XÃ HỘI CHỦ NGHĨA VIỆT NAM
Độc lập - Tự do - Hạnh phúc</t>
  </si>
  <si>
    <t>• Xuất sắc: từ 3.60 đến 4.0; Giỏi: từ 3.20 đến 3.59; Khá: từ 2.50 đến 3.19; Trung bình khá: từ 2.30 đến 2.49; 
Trung bình: từ 2.00 đến 2.29</t>
  </si>
  <si>
    <t>Hệ thống thang điểm và phân loại tốt nghiệp được quy định như sau:</t>
  </si>
  <si>
    <t>Ghi chú:</t>
  </si>
  <si>
    <t>Điểm 0.1</t>
  </si>
  <si>
    <t>Điểm 0.2</t>
  </si>
  <si>
    <t>Điểm 0.7</t>
  </si>
  <si>
    <t>Các Học phần in nghiêng là môn điều kiện, đậm nghiêng là môn học lại</t>
  </si>
  <si>
    <t>Mã MH</t>
  </si>
  <si>
    <r>
      <t xml:space="preserve">HỌC VIỆN KỸ THUẬT QUÂN SỰ
</t>
    </r>
    <r>
      <rPr>
        <b/>
        <sz val="13"/>
        <color indexed="8"/>
        <rFont val="Times New Roman"/>
        <family val="1"/>
      </rPr>
      <t>PHÒNG ĐÀO TẠO</t>
    </r>
  </si>
  <si>
    <t>KẾT QUẢ HỌC TẬP</t>
  </si>
  <si>
    <t>Hệ 10</t>
  </si>
  <si>
    <t>Hệ 4</t>
  </si>
  <si>
    <t>Hệ chữ</t>
  </si>
  <si>
    <t>Ghi chú</t>
  </si>
  <si>
    <t>Số TC</t>
  </si>
  <si>
    <t>KT. TRƯỞNG PHÒNG
PHÓ TRƯỞNG PHÒNG</t>
  </si>
  <si>
    <t>Đại tá, TS Nguyễn Văn Bình</t>
  </si>
  <si>
    <t xml:space="preserve">Trung bình học kỳ </t>
  </si>
  <si>
    <r>
      <t xml:space="preserve">Họ và tên: </t>
    </r>
    <r>
      <rPr>
        <b/>
        <sz val="13"/>
        <color indexed="8"/>
        <rFont val="Times New Roman"/>
        <family val="1"/>
      </rPr>
      <t>Phạm Thanh Dương</t>
    </r>
  </si>
  <si>
    <t>Ngày sinh: 19/01/2004</t>
  </si>
  <si>
    <t>Mã SV: 2022010111</t>
  </si>
  <si>
    <t>Hình thức đào tạo: Chính quy</t>
  </si>
  <si>
    <t>Ngành: Công nghệ vật liệu</t>
  </si>
  <si>
    <t>Lớp: Công nghệ vật liệu 58</t>
  </si>
  <si>
    <t>Hà Nội, ngày 9 tháng 1 năm 2026</t>
  </si>
  <si>
    <r>
      <t xml:space="preserve">Tổng tín chỉ: </t>
    </r>
    <r>
      <rPr>
        <b/>
        <sz val="14"/>
        <color indexed="8"/>
        <rFont val="Times New Roman"/>
        <family val="1"/>
      </rPr>
      <t>143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</si>
  <si>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6.82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</si>
  <si>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2.72</t>
    </r>
  </si>
  <si>
    <r>
      <t xml:space="preserve">Xếp loại: </t>
    </r>
    <r>
      <rPr>
        <b/>
        <sz val="14"/>
        <rFont val="Times New Roman"/>
        <family val="1"/>
      </rPr>
      <t>Trung bình Khá</t>
    </r>
  </si>
  <si>
    <t>Học kỳ 1 Năm học 2022 - 2023</t>
  </si>
  <si>
    <t>Thể thao quân sự</t>
  </si>
  <si>
    <t>Hình giải tích và Đại số tuyến tính</t>
  </si>
  <si>
    <t>Hiểu biết về địch, công tác tham mưu và chiến thuật BB</t>
  </si>
  <si>
    <t>Giáo dục chính trị</t>
  </si>
  <si>
    <t>Hậu cần, kỹ thuật</t>
  </si>
  <si>
    <t>Kỹ thuật chiến đấu bộ binh</t>
  </si>
  <si>
    <t>Điều lệnh</t>
  </si>
  <si>
    <t>Học kỳ 2 năm học 2022 - 2023</t>
  </si>
  <si>
    <t>Vật lý đại cương 1 (Cơ - Điện - Từ)</t>
  </si>
  <si>
    <t>Giải tích 1</t>
  </si>
  <si>
    <t>Triết học Mác - Lênin</t>
  </si>
  <si>
    <t>Phòng chống vũ khí hủy diệt và CHCN</t>
  </si>
  <si>
    <t>Hỏa khí đi cùng</t>
  </si>
  <si>
    <t>Chiến thuật trung đội bộ binh</t>
  </si>
  <si>
    <t>Địa hình quân sự và công tác tham mưu + BTL</t>
  </si>
  <si>
    <t>Học kỳ 1 năm học 2023 - 2024</t>
  </si>
  <si>
    <t>Giải tích 2</t>
  </si>
  <si>
    <t>Hình họa và vẽ kỹ thuật cơ khí + BTL</t>
  </si>
  <si>
    <t>Lịch sử và đường lối quân sự</t>
  </si>
  <si>
    <t>Lôgíc học</t>
  </si>
  <si>
    <t>Thể thao quân sự 2</t>
  </si>
  <si>
    <t>Vật lý đại cương 2 (LT)</t>
  </si>
  <si>
    <t>Công nghệ thông tin</t>
  </si>
  <si>
    <t>Kinh tế chính trị Mác - Lênin</t>
  </si>
  <si>
    <t>Học kỳ 2 2023 - 2024</t>
  </si>
  <si>
    <t>Cơ sở lý thuyết hóa học (LT)</t>
  </si>
  <si>
    <t>Thể dục thể thao 3 (Bơi bao gói và PPCĐ)</t>
  </si>
  <si>
    <t>Chủ nghĩa xã hội khoa học + TL</t>
  </si>
  <si>
    <t>Công tác quản lý bộ đội + BTL</t>
  </si>
  <si>
    <t>Tâm lý học quân sự</t>
  </si>
  <si>
    <t>Thí nghiệm cơ sở lý thuyết hóa học</t>
  </si>
  <si>
    <t>Giáo dục học quân sự</t>
  </si>
  <si>
    <t>Nhà nước, pháp luật</t>
  </si>
  <si>
    <t>Cơ lý thuyết + BTL</t>
  </si>
  <si>
    <t>Lý thuyết xác suất thống kê</t>
  </si>
  <si>
    <t>Kỹ thuật điện</t>
  </si>
  <si>
    <t>Học kỳ 1 năm học 2024 - 2025</t>
  </si>
  <si>
    <t>Phương pháp nghiên cứu khoa học</t>
  </si>
  <si>
    <t>Tư tưởng Hồ Chí Minh + TL</t>
  </si>
  <si>
    <t>Nguyên lý máy + BTL</t>
  </si>
  <si>
    <t>Thực tập điện</t>
  </si>
  <si>
    <t>Thực tập cơ khí 1</t>
  </si>
  <si>
    <t>Kỹ thuật nhiệt</t>
  </si>
  <si>
    <t>Dung sai + BTL</t>
  </si>
  <si>
    <t>CAD + Bài tập lớn</t>
  </si>
  <si>
    <t>Đạo đức học</t>
  </si>
  <si>
    <t>Sức bền vật liệu + BTL</t>
  </si>
  <si>
    <t>Học kỳ 2 năm học 2024 - 2025</t>
  </si>
  <si>
    <t>Chiến thuật đại đội, tiểu đoàn bộ binh</t>
  </si>
  <si>
    <t>Kim loại học vật lí</t>
  </si>
  <si>
    <t>Công nghệ kim loại</t>
  </si>
  <si>
    <t>Vật liệu học</t>
  </si>
  <si>
    <t>Dân tộc học và tôn giáo học</t>
  </si>
  <si>
    <t>Cơ sở văn hoá Việt Nam</t>
  </si>
  <si>
    <t>Hậu cần tài chính quân đội</t>
  </si>
  <si>
    <t>Chi tiết máy</t>
  </si>
  <si>
    <t>Thực tập cơ khí 2</t>
  </si>
  <si>
    <t>Cơ sở công nghệ chế tạo máy</t>
  </si>
  <si>
    <t>Học kỳ 1 năm học 2025 - 2026</t>
  </si>
  <si>
    <t>Lý thuyết các quá trình đúc</t>
  </si>
  <si>
    <t>Hóa vô cơ</t>
  </si>
  <si>
    <t>Lịch sử Đảng cộng sản Việt Nam</t>
  </si>
  <si>
    <t>Chiến thuật trung, sư đoàn bộ binh</t>
  </si>
  <si>
    <t>Hóa lý luyện kim</t>
  </si>
  <si>
    <t>Phân tích cấu trúc và kiểm tra vật liệu</t>
  </si>
  <si>
    <t>Đồ án chi tiết máy</t>
  </si>
  <si>
    <r>
      <t xml:space="preserve">Họ và tên: </t>
    </r>
    <r>
      <rPr>
        <b/>
        <sz val="13"/>
        <color indexed="8"/>
        <rFont val="Times New Roman"/>
        <family val="1"/>
      </rPr>
      <t>Trần Văn Minh</t>
    </r>
  </si>
  <si>
    <t>Ngày sinh: 25/05/2003</t>
  </si>
  <si>
    <t>Mã SV: 2022010259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</si>
  <si>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7.14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</si>
  <si>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2.95</t>
    </r>
  </si>
  <si>
    <r>
      <t xml:space="preserve">Xếp loại: </t>
    </r>
    <r>
      <rPr>
        <b/>
        <sz val="14"/>
        <rFont val="Times New Roman"/>
        <family val="1"/>
      </rPr>
      <t>Khá</t>
    </r>
  </si>
  <si>
    <r>
      <t xml:space="preserve">Họ và tên: </t>
    </r>
    <r>
      <rPr>
        <b/>
        <sz val="13"/>
        <color indexed="8"/>
        <rFont val="Times New Roman"/>
        <family val="1"/>
      </rPr>
      <t>Lưu Công Quang</t>
    </r>
  </si>
  <si>
    <t>Ngày sinh: 11/08/2004</t>
  </si>
  <si>
    <t>Mã SV: 2022010341</t>
  </si>
  <si>
    <r>
      <t xml:space="preserve">Tổng tín chỉ: </t>
    </r>
    <r>
      <rPr>
        <b/>
        <sz val="14"/>
        <color indexed="8"/>
        <rFont val="Times New Roman"/>
        <family val="1"/>
      </rPr>
      <t>145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</si>
  <si>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6.64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</si>
  <si>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2.6</t>
    </r>
  </si>
  <si>
    <t>Học kỳ phụ (1) Học kỳ 1 năm học 2024 - 2025</t>
  </si>
  <si>
    <t>TL</t>
  </si>
  <si>
    <r>
      <t xml:space="preserve">Họ và tên: </t>
    </r>
    <r>
      <rPr>
        <b/>
        <sz val="13"/>
        <color indexed="8"/>
        <rFont val="Times New Roman"/>
        <family val="1"/>
      </rPr>
      <t>Nguyễn Văn Thành</t>
    </r>
  </si>
  <si>
    <t>Ngày sinh: 20/10/2004</t>
  </si>
  <si>
    <t>Mã SV: 2022010403</t>
  </si>
  <si>
    <r>
      <t xml:space="preserve">Tổng tín chỉ: </t>
    </r>
    <r>
      <rPr>
        <b/>
        <sz val="14"/>
        <color indexed="8"/>
        <rFont val="Times New Roman"/>
        <family val="1"/>
      </rPr>
      <t>144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</si>
  <si>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6.7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</si>
  <si>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2.67</t>
    </r>
  </si>
  <si>
    <t>Học kỳ thi lại HK2 năm học 2022 - 2023</t>
  </si>
  <si>
    <r>
      <t xml:space="preserve">Họ và tên: </t>
    </r>
    <r>
      <rPr>
        <b/>
        <sz val="13"/>
        <color indexed="8"/>
        <rFont val="Times New Roman"/>
        <family val="1"/>
      </rPr>
      <t>Quàng Văn Thiệu</t>
    </r>
  </si>
  <si>
    <t>Ngày sinh: 28/09/2004</t>
  </si>
  <si>
    <t>Mã SV: 2022010416</t>
  </si>
  <si>
    <r>
      <t xml:space="preserve">Tổng tín chỉ: </t>
    </r>
    <r>
      <rPr>
        <b/>
        <sz val="14"/>
        <color indexed="8"/>
        <rFont val="Times New Roman"/>
        <family val="1"/>
      </rPr>
      <t>149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</si>
  <si>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6.11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</si>
  <si>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2.29</t>
    </r>
  </si>
  <si>
    <r>
      <t xml:space="preserve">Xếp loại: </t>
    </r>
    <r>
      <rPr>
        <b/>
        <sz val="14"/>
        <rFont val="Times New Roman"/>
        <family val="1"/>
      </rPr>
      <t>Trung bình</t>
    </r>
  </si>
  <si>
    <t>Học kỳ phụ/thi lại HK1 năm học 2022 - 2023</t>
  </si>
  <si>
    <t>HL</t>
  </si>
  <si>
    <r>
      <t xml:space="preserve">Họ và tên: </t>
    </r>
    <r>
      <rPr>
        <b/>
        <sz val="13"/>
        <color indexed="8"/>
        <rFont val="Times New Roman"/>
        <family val="1"/>
      </rPr>
      <t>Hà Thành Toàn</t>
    </r>
  </si>
  <si>
    <t>Ngày sinh: 24/07/2003</t>
  </si>
  <si>
    <t>Mã SV: 2022010444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</si>
  <si>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6.58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</si>
  <si>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2.61</t>
    </r>
  </si>
  <si>
    <r>
      <t xml:space="preserve">Họ và tên: </t>
    </r>
    <r>
      <rPr>
        <b/>
        <sz val="13"/>
        <color indexed="8"/>
        <rFont val="Times New Roman"/>
        <family val="1"/>
      </rPr>
      <t>Hoàng Đình Huân</t>
    </r>
  </si>
  <si>
    <t>Ngày sinh: 25/03/2004</t>
  </si>
  <si>
    <t>Mã SV: 2022010170</t>
  </si>
  <si>
    <r>
      <t xml:space="preserve">Tổng tín chỉ: </t>
    </r>
    <r>
      <rPr>
        <b/>
        <sz val="14"/>
        <color indexed="8"/>
        <rFont val="Times New Roman"/>
        <family val="1"/>
      </rPr>
      <t>147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</si>
  <si>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6.03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</si>
  <si>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2.23</t>
    </r>
  </si>
  <si>
    <t>Học kỳ thi lại đợt 1 năm học 2023 - 2024</t>
  </si>
  <si>
    <r>
      <t xml:space="preserve">Họ và tên: </t>
    </r>
    <r>
      <rPr>
        <b/>
        <sz val="13"/>
        <color indexed="8"/>
        <rFont val="Times New Roman"/>
        <family val="1"/>
      </rPr>
      <t>Lê Văn Nhân</t>
    </r>
  </si>
  <si>
    <t>Ngày sinh: 09/02/2003</t>
  </si>
  <si>
    <t>Mã SV: 2022010292</t>
  </si>
  <si>
    <t>an</t>
  </si>
  <si>
    <r>
      <t xml:space="preserve">Họ và tên: </t>
    </r>
    <r>
      <rPr>
        <b/>
        <sz val="13"/>
        <color indexed="8"/>
        <rFont val="Times New Roman"/>
        <family val="1"/>
      </rPr>
      <t>Phạm Tuấn Ngọc</t>
    </r>
  </si>
  <si>
    <t>Ngày sinh: 03/10/2003</t>
  </si>
  <si>
    <t>Mã SV: 2022010285</t>
  </si>
  <si>
    <r>
      <t xml:space="preserve">Tổng tín chỉ: </t>
    </r>
    <r>
      <rPr>
        <b/>
        <sz val="14"/>
        <color indexed="8"/>
        <rFont val="Times New Roman"/>
        <family val="1"/>
      </rPr>
      <t>146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</si>
  <si>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6.41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</si>
  <si>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2.54</t>
    </r>
  </si>
  <si>
    <t>Học kỳ hè năm học 2023 - 2024</t>
  </si>
  <si>
    <r>
      <t xml:space="preserve">Họ và tên: </t>
    </r>
    <r>
      <rPr>
        <b/>
        <sz val="13"/>
        <color indexed="8"/>
        <rFont val="Times New Roman"/>
        <family val="1"/>
      </rPr>
      <t>Nguyễn Trung Quý</t>
    </r>
  </si>
  <si>
    <t>Ngày sinh: 05/09/2004</t>
  </si>
  <si>
    <t>Mã SV: 2022010346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</si>
  <si>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7.27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</si>
  <si>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3.02</t>
    </r>
  </si>
  <si>
    <r>
      <t xml:space="preserve">Họ và tên: </t>
    </r>
    <r>
      <rPr>
        <b/>
        <sz val="13"/>
        <color indexed="8"/>
        <rFont val="Times New Roman"/>
        <family val="1"/>
      </rPr>
      <t>Nguyễn Văn Tiến</t>
    </r>
  </si>
  <si>
    <t>Ngày sinh: 10/05/2004</t>
  </si>
  <si>
    <t>Mã SV: 2022010432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</si>
  <si>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6.93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</si>
  <si>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2.81</t>
    </r>
  </si>
  <si>
    <r>
      <t xml:space="preserve">Họ và tên: </t>
    </r>
    <r>
      <rPr>
        <b/>
        <sz val="13"/>
        <color indexed="8"/>
        <rFont val="Times New Roman"/>
        <family val="1"/>
      </rPr>
      <t>Phạm Anh Tú</t>
    </r>
  </si>
  <si>
    <t>Ngày sinh: 17/01/2004</t>
  </si>
  <si>
    <t>Mã SV: 2022010469</t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</si>
  <si>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2.82</t>
    </r>
  </si>
  <si>
    <r>
      <t xml:space="preserve">Họ và tên: </t>
    </r>
    <r>
      <rPr>
        <b/>
        <sz val="13"/>
        <color indexed="8"/>
        <rFont val="Times New Roman"/>
        <family val="1"/>
      </rPr>
      <t>Trương Quân Bảo</t>
    </r>
  </si>
  <si>
    <t>Ngày sinh: 11/11/2004</t>
  </si>
  <si>
    <t>Mã SV: 2022010526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</si>
  <si>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6.31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</si>
  <si>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2.43</t>
    </r>
  </si>
  <si>
    <r>
      <t xml:space="preserve">Họ và tên: </t>
    </r>
    <r>
      <rPr>
        <b/>
        <sz val="13"/>
        <color indexed="8"/>
        <rFont val="Times New Roman"/>
        <family val="1"/>
      </rPr>
      <t>Lê Xuân Bách</t>
    </r>
  </si>
  <si>
    <t>Ngày sinh: 30/03/2004</t>
  </si>
  <si>
    <t>Mã SV: 2022010553</t>
  </si>
  <si>
    <r>
      <t xml:space="preserve">Tổng tín chỉ: </t>
    </r>
    <r>
      <rPr>
        <b/>
        <sz val="14"/>
        <color indexed="8"/>
        <rFont val="Times New Roman"/>
        <family val="1"/>
      </rPr>
      <t>154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</si>
  <si>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6.16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</si>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</sst>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name val="Calibri"/>
      <family val="2"/>
    </font>
    <font>
      <b/>
      <sz val="14"/>
      <color indexed="8"/>
      <name val="Times New Roman"/>
      <family val="1"/>
    </font>
    <font>
      <sz val="13"/>
      <color indexed="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3"/>
      <color rgb="FF000000"/>
      <name val="Times New Roman"/>
      <family val="1"/>
    </font>
    <font>
      <b/>
      <sz val="13"/>
      <color rgb="FFB21EA0"/>
      <name val="Times New Roman"/>
      <family val="1"/>
    </font>
    <font>
      <b/>
      <sz val="13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/>
    <xf numFmtId="0" fontId="9" fillId="0" borderId="0" xfId="0" applyFont="1" applyAlignment="1"/>
    <xf numFmtId="0" fontId="9" fillId="0" borderId="0" xfId="0" applyFont="1" applyAlignment="1">
      <alignment horizontal="center" vertical="top" wrapText="1"/>
    </xf>
    <xf numFmtId="49" fontId="9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9" fillId="0" borderId="2" xfId="0" applyNumberFormat="1" applyFont="1" applyBorder="1" applyAlignment="1">
      <alignment vertical="justify" wrapText="1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color rgb="FFFF0000"/>
      </font>
    </dxf>
    <dxf>
      <font>
        <color rgb="FF0000FF"/>
      </font>
    </dxf>
    <dxf>
      <font>
        <b val="0"/>
        <i/>
      </font>
    </dxf>
    <dxf>
      <font>
        <b/>
        <i val="0"/>
      </font>
    </dxf>
    <dxf>
      <font>
        <color rgb="FFFF66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0</xdr:row>
      <xdr:rowOff>541020</xdr:rowOff>
    </xdr:from>
    <xdr:to>
      <xdr:col>3</xdr:col>
      <xdr:colOff>327660</xdr:colOff>
      <xdr:row>0</xdr:row>
      <xdr:rowOff>541020</xdr:rowOff>
    </xdr:to>
    <xdr:cxnSp macro="">
      <xdr:nvCxnSpPr>
        <xdr:cNvPr id="1545" name="Straight Connector 6">
          <a:extLst>
            <a:ext uri="{FF2B5EF4-FFF2-40B4-BE49-F238E27FC236}">
              <a16:creationId xmlns:a16="http://schemas.microsoft.com/office/drawing/2014/main" id="{24AC63FA-6434-BB0F-D448-5BC8ACCF3E7C}"/>
            </a:ext>
          </a:extLst>
        </xdr:cNvPr>
        <xdr:cNvCxnSpPr>
          <a:cxnSpLocks noChangeShapeType="1"/>
        </xdr:cNvCxnSpPr>
      </xdr:nvCxnSpPr>
      <xdr:spPr bwMode="auto">
        <a:xfrm>
          <a:off x="624840" y="5410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0</xdr:row>
      <xdr:rowOff>541020</xdr:rowOff>
    </xdr:from>
    <xdr:to>
      <xdr:col>16</xdr:col>
      <xdr:colOff>106680</xdr:colOff>
      <xdr:row>0</xdr:row>
      <xdr:rowOff>541020</xdr:rowOff>
    </xdr:to>
    <xdr:cxnSp macro="">
      <xdr:nvCxnSpPr>
        <xdr:cNvPr id="1546" name="Straight Connector 26">
          <a:extLst>
            <a:ext uri="{FF2B5EF4-FFF2-40B4-BE49-F238E27FC236}">
              <a16:creationId xmlns:a16="http://schemas.microsoft.com/office/drawing/2014/main" id="{3CFDFD7A-1141-E3E0-BE9C-00E2DD4B6F62}"/>
            </a:ext>
          </a:extLst>
        </xdr:cNvPr>
        <xdr:cNvCxnSpPr>
          <a:cxnSpLocks noChangeShapeType="1"/>
        </xdr:cNvCxnSpPr>
      </xdr:nvCxnSpPr>
      <xdr:spPr bwMode="auto">
        <a:xfrm>
          <a:off x="3649980" y="5410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105</xdr:row>
      <xdr:rowOff>541020</xdr:rowOff>
    </xdr:from>
    <xdr:to>
      <xdr:col>3</xdr:col>
      <xdr:colOff>327660</xdr:colOff>
      <xdr:row>105</xdr:row>
      <xdr:rowOff>541020</xdr:rowOff>
    </xdr:to>
    <xdr:cxnSp macro="">
      <xdr:nvCxnSpPr>
        <xdr:cNvPr id="1547" name="Straight Connector 6">
          <a:extLst>
            <a:ext uri="{FF2B5EF4-FFF2-40B4-BE49-F238E27FC236}">
              <a16:creationId xmlns:a16="http://schemas.microsoft.com/office/drawing/2014/main" id="{F1691307-B0B1-2E65-6B29-24562756069F}"/>
            </a:ext>
          </a:extLst>
        </xdr:cNvPr>
        <xdr:cNvCxnSpPr>
          <a:cxnSpLocks noChangeShapeType="1"/>
        </xdr:cNvCxnSpPr>
      </xdr:nvCxnSpPr>
      <xdr:spPr bwMode="auto">
        <a:xfrm>
          <a:off x="624840" y="2189226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105</xdr:row>
      <xdr:rowOff>541020</xdr:rowOff>
    </xdr:from>
    <xdr:to>
      <xdr:col>16</xdr:col>
      <xdr:colOff>106680</xdr:colOff>
      <xdr:row>105</xdr:row>
      <xdr:rowOff>541020</xdr:rowOff>
    </xdr:to>
    <xdr:cxnSp macro="">
      <xdr:nvCxnSpPr>
        <xdr:cNvPr id="1548" name="Straight Connector 26">
          <a:extLst>
            <a:ext uri="{FF2B5EF4-FFF2-40B4-BE49-F238E27FC236}">
              <a16:creationId xmlns:a16="http://schemas.microsoft.com/office/drawing/2014/main" id="{ECB7EE4C-5581-4B0D-0B32-3DA76F8D138E}"/>
            </a:ext>
          </a:extLst>
        </xdr:cNvPr>
        <xdr:cNvCxnSpPr>
          <a:cxnSpLocks noChangeShapeType="1"/>
        </xdr:cNvCxnSpPr>
      </xdr:nvCxnSpPr>
      <xdr:spPr bwMode="auto">
        <a:xfrm>
          <a:off x="3649980" y="2189226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210</xdr:row>
      <xdr:rowOff>541020</xdr:rowOff>
    </xdr:from>
    <xdr:to>
      <xdr:col>3</xdr:col>
      <xdr:colOff>327660</xdr:colOff>
      <xdr:row>210</xdr:row>
      <xdr:rowOff>541020</xdr:rowOff>
    </xdr:to>
    <xdr:cxnSp macro="">
      <xdr:nvCxnSpPr>
        <xdr:cNvPr id="1549" name="Straight Connector 6">
          <a:extLst>
            <a:ext uri="{FF2B5EF4-FFF2-40B4-BE49-F238E27FC236}">
              <a16:creationId xmlns:a16="http://schemas.microsoft.com/office/drawing/2014/main" id="{99C5269A-CBD6-4FDE-3E26-E473E62BF2B6}"/>
            </a:ext>
          </a:extLst>
        </xdr:cNvPr>
        <xdr:cNvCxnSpPr>
          <a:cxnSpLocks noChangeShapeType="1"/>
        </xdr:cNvCxnSpPr>
      </xdr:nvCxnSpPr>
      <xdr:spPr bwMode="auto">
        <a:xfrm>
          <a:off x="624840" y="432435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210</xdr:row>
      <xdr:rowOff>541020</xdr:rowOff>
    </xdr:from>
    <xdr:to>
      <xdr:col>16</xdr:col>
      <xdr:colOff>106680</xdr:colOff>
      <xdr:row>210</xdr:row>
      <xdr:rowOff>541020</xdr:rowOff>
    </xdr:to>
    <xdr:cxnSp macro="">
      <xdr:nvCxnSpPr>
        <xdr:cNvPr id="1550" name="Straight Connector 26">
          <a:extLst>
            <a:ext uri="{FF2B5EF4-FFF2-40B4-BE49-F238E27FC236}">
              <a16:creationId xmlns:a16="http://schemas.microsoft.com/office/drawing/2014/main" id="{19C691DA-1544-E61D-7C0D-6314494A9432}"/>
            </a:ext>
          </a:extLst>
        </xdr:cNvPr>
        <xdr:cNvCxnSpPr>
          <a:cxnSpLocks noChangeShapeType="1"/>
        </xdr:cNvCxnSpPr>
      </xdr:nvCxnSpPr>
      <xdr:spPr bwMode="auto">
        <a:xfrm>
          <a:off x="3649980" y="432435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319</xdr:row>
      <xdr:rowOff>541020</xdr:rowOff>
    </xdr:from>
    <xdr:to>
      <xdr:col>3</xdr:col>
      <xdr:colOff>327660</xdr:colOff>
      <xdr:row>319</xdr:row>
      <xdr:rowOff>541020</xdr:rowOff>
    </xdr:to>
    <xdr:cxnSp macro="">
      <xdr:nvCxnSpPr>
        <xdr:cNvPr id="1551" name="Straight Connector 6">
          <a:extLst>
            <a:ext uri="{FF2B5EF4-FFF2-40B4-BE49-F238E27FC236}">
              <a16:creationId xmlns:a16="http://schemas.microsoft.com/office/drawing/2014/main" id="{4C6E504E-53F4-7700-C45A-D70FB9FAA248}"/>
            </a:ext>
          </a:extLst>
        </xdr:cNvPr>
        <xdr:cNvCxnSpPr>
          <a:cxnSpLocks noChangeShapeType="1"/>
        </xdr:cNvCxnSpPr>
      </xdr:nvCxnSpPr>
      <xdr:spPr bwMode="auto">
        <a:xfrm>
          <a:off x="624840" y="652576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319</xdr:row>
      <xdr:rowOff>541020</xdr:rowOff>
    </xdr:from>
    <xdr:to>
      <xdr:col>16</xdr:col>
      <xdr:colOff>106680</xdr:colOff>
      <xdr:row>319</xdr:row>
      <xdr:rowOff>541020</xdr:rowOff>
    </xdr:to>
    <xdr:cxnSp macro="">
      <xdr:nvCxnSpPr>
        <xdr:cNvPr id="1552" name="Straight Connector 26">
          <a:extLst>
            <a:ext uri="{FF2B5EF4-FFF2-40B4-BE49-F238E27FC236}">
              <a16:creationId xmlns:a16="http://schemas.microsoft.com/office/drawing/2014/main" id="{CC44E735-3EA2-7999-3B99-224BA348D515}"/>
            </a:ext>
          </a:extLst>
        </xdr:cNvPr>
        <xdr:cNvCxnSpPr>
          <a:cxnSpLocks noChangeShapeType="1"/>
        </xdr:cNvCxnSpPr>
      </xdr:nvCxnSpPr>
      <xdr:spPr bwMode="auto">
        <a:xfrm>
          <a:off x="3649980" y="652576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428</xdr:row>
      <xdr:rowOff>541020</xdr:rowOff>
    </xdr:from>
    <xdr:to>
      <xdr:col>3</xdr:col>
      <xdr:colOff>327660</xdr:colOff>
      <xdr:row>428</xdr:row>
      <xdr:rowOff>541020</xdr:rowOff>
    </xdr:to>
    <xdr:cxnSp macro="">
      <xdr:nvCxnSpPr>
        <xdr:cNvPr id="1553" name="Straight Connector 6">
          <a:extLst>
            <a:ext uri="{FF2B5EF4-FFF2-40B4-BE49-F238E27FC236}">
              <a16:creationId xmlns:a16="http://schemas.microsoft.com/office/drawing/2014/main" id="{118CA710-E5D1-A64D-CDA5-9EE21A21DEF2}"/>
            </a:ext>
          </a:extLst>
        </xdr:cNvPr>
        <xdr:cNvCxnSpPr>
          <a:cxnSpLocks noChangeShapeType="1"/>
        </xdr:cNvCxnSpPr>
      </xdr:nvCxnSpPr>
      <xdr:spPr bwMode="auto">
        <a:xfrm>
          <a:off x="624840" y="8727186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428</xdr:row>
      <xdr:rowOff>541020</xdr:rowOff>
    </xdr:from>
    <xdr:to>
      <xdr:col>16</xdr:col>
      <xdr:colOff>106680</xdr:colOff>
      <xdr:row>428</xdr:row>
      <xdr:rowOff>541020</xdr:rowOff>
    </xdr:to>
    <xdr:cxnSp macro="">
      <xdr:nvCxnSpPr>
        <xdr:cNvPr id="1554" name="Straight Connector 26">
          <a:extLst>
            <a:ext uri="{FF2B5EF4-FFF2-40B4-BE49-F238E27FC236}">
              <a16:creationId xmlns:a16="http://schemas.microsoft.com/office/drawing/2014/main" id="{EC295DF4-3DDC-BC07-C6E3-2779B9D585F2}"/>
            </a:ext>
          </a:extLst>
        </xdr:cNvPr>
        <xdr:cNvCxnSpPr>
          <a:cxnSpLocks noChangeShapeType="1"/>
        </xdr:cNvCxnSpPr>
      </xdr:nvCxnSpPr>
      <xdr:spPr bwMode="auto">
        <a:xfrm>
          <a:off x="3649980" y="8727186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541</xdr:row>
      <xdr:rowOff>541020</xdr:rowOff>
    </xdr:from>
    <xdr:to>
      <xdr:col>3</xdr:col>
      <xdr:colOff>327660</xdr:colOff>
      <xdr:row>541</xdr:row>
      <xdr:rowOff>541020</xdr:rowOff>
    </xdr:to>
    <xdr:cxnSp macro="">
      <xdr:nvCxnSpPr>
        <xdr:cNvPr id="1555" name="Straight Connector 6">
          <a:extLst>
            <a:ext uri="{FF2B5EF4-FFF2-40B4-BE49-F238E27FC236}">
              <a16:creationId xmlns:a16="http://schemas.microsoft.com/office/drawing/2014/main" id="{0D4A7951-B5D6-AFD8-C44D-B24BE9A4E8F5}"/>
            </a:ext>
          </a:extLst>
        </xdr:cNvPr>
        <xdr:cNvCxnSpPr>
          <a:cxnSpLocks noChangeShapeType="1"/>
        </xdr:cNvCxnSpPr>
      </xdr:nvCxnSpPr>
      <xdr:spPr bwMode="auto">
        <a:xfrm>
          <a:off x="624840" y="1099489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541</xdr:row>
      <xdr:rowOff>541020</xdr:rowOff>
    </xdr:from>
    <xdr:to>
      <xdr:col>16</xdr:col>
      <xdr:colOff>106680</xdr:colOff>
      <xdr:row>541</xdr:row>
      <xdr:rowOff>541020</xdr:rowOff>
    </xdr:to>
    <xdr:cxnSp macro="">
      <xdr:nvCxnSpPr>
        <xdr:cNvPr id="1556" name="Straight Connector 26">
          <a:extLst>
            <a:ext uri="{FF2B5EF4-FFF2-40B4-BE49-F238E27FC236}">
              <a16:creationId xmlns:a16="http://schemas.microsoft.com/office/drawing/2014/main" id="{35666CC7-D3E9-837D-4B3F-015C5BCF07F9}"/>
            </a:ext>
          </a:extLst>
        </xdr:cNvPr>
        <xdr:cNvCxnSpPr>
          <a:cxnSpLocks noChangeShapeType="1"/>
        </xdr:cNvCxnSpPr>
      </xdr:nvCxnSpPr>
      <xdr:spPr bwMode="auto">
        <a:xfrm>
          <a:off x="3649980" y="1099489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646</xdr:row>
      <xdr:rowOff>541020</xdr:rowOff>
    </xdr:from>
    <xdr:to>
      <xdr:col>3</xdr:col>
      <xdr:colOff>327660</xdr:colOff>
      <xdr:row>646</xdr:row>
      <xdr:rowOff>541020</xdr:rowOff>
    </xdr:to>
    <xdr:cxnSp macro="">
      <xdr:nvCxnSpPr>
        <xdr:cNvPr id="1557" name="Straight Connector 6">
          <a:extLst>
            <a:ext uri="{FF2B5EF4-FFF2-40B4-BE49-F238E27FC236}">
              <a16:creationId xmlns:a16="http://schemas.microsoft.com/office/drawing/2014/main" id="{4FD41C48-AE53-C36D-B0CB-304227BBBCA0}"/>
            </a:ext>
          </a:extLst>
        </xdr:cNvPr>
        <xdr:cNvCxnSpPr>
          <a:cxnSpLocks noChangeShapeType="1"/>
        </xdr:cNvCxnSpPr>
      </xdr:nvCxnSpPr>
      <xdr:spPr bwMode="auto">
        <a:xfrm>
          <a:off x="624840" y="1313002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646</xdr:row>
      <xdr:rowOff>541020</xdr:rowOff>
    </xdr:from>
    <xdr:to>
      <xdr:col>16</xdr:col>
      <xdr:colOff>106680</xdr:colOff>
      <xdr:row>646</xdr:row>
      <xdr:rowOff>541020</xdr:rowOff>
    </xdr:to>
    <xdr:cxnSp macro="">
      <xdr:nvCxnSpPr>
        <xdr:cNvPr id="1558" name="Straight Connector 26">
          <a:extLst>
            <a:ext uri="{FF2B5EF4-FFF2-40B4-BE49-F238E27FC236}">
              <a16:creationId xmlns:a16="http://schemas.microsoft.com/office/drawing/2014/main" id="{B87BD898-F1A2-18A7-2A59-6266ADEE055B}"/>
            </a:ext>
          </a:extLst>
        </xdr:cNvPr>
        <xdr:cNvCxnSpPr>
          <a:cxnSpLocks noChangeShapeType="1"/>
        </xdr:cNvCxnSpPr>
      </xdr:nvCxnSpPr>
      <xdr:spPr bwMode="auto">
        <a:xfrm>
          <a:off x="3649980" y="1313002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755</xdr:row>
      <xdr:rowOff>541020</xdr:rowOff>
    </xdr:from>
    <xdr:to>
      <xdr:col>3</xdr:col>
      <xdr:colOff>327660</xdr:colOff>
      <xdr:row>755</xdr:row>
      <xdr:rowOff>541020</xdr:rowOff>
    </xdr:to>
    <xdr:cxnSp macro="">
      <xdr:nvCxnSpPr>
        <xdr:cNvPr id="1559" name="Straight Connector 6">
          <a:extLst>
            <a:ext uri="{FF2B5EF4-FFF2-40B4-BE49-F238E27FC236}">
              <a16:creationId xmlns:a16="http://schemas.microsoft.com/office/drawing/2014/main" id="{88DDE633-4431-9803-7921-D477A09830E9}"/>
            </a:ext>
          </a:extLst>
        </xdr:cNvPr>
        <xdr:cNvCxnSpPr>
          <a:cxnSpLocks noChangeShapeType="1"/>
        </xdr:cNvCxnSpPr>
      </xdr:nvCxnSpPr>
      <xdr:spPr bwMode="auto">
        <a:xfrm>
          <a:off x="624840" y="1533144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755</xdr:row>
      <xdr:rowOff>541020</xdr:rowOff>
    </xdr:from>
    <xdr:to>
      <xdr:col>16</xdr:col>
      <xdr:colOff>106680</xdr:colOff>
      <xdr:row>755</xdr:row>
      <xdr:rowOff>541020</xdr:rowOff>
    </xdr:to>
    <xdr:cxnSp macro="">
      <xdr:nvCxnSpPr>
        <xdr:cNvPr id="1560" name="Straight Connector 26">
          <a:extLst>
            <a:ext uri="{FF2B5EF4-FFF2-40B4-BE49-F238E27FC236}">
              <a16:creationId xmlns:a16="http://schemas.microsoft.com/office/drawing/2014/main" id="{E19442B5-82E4-99E6-477D-0366549BB905}"/>
            </a:ext>
          </a:extLst>
        </xdr:cNvPr>
        <xdr:cNvCxnSpPr>
          <a:cxnSpLocks noChangeShapeType="1"/>
        </xdr:cNvCxnSpPr>
      </xdr:nvCxnSpPr>
      <xdr:spPr bwMode="auto">
        <a:xfrm>
          <a:off x="3649980" y="1533144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860</xdr:row>
      <xdr:rowOff>541020</xdr:rowOff>
    </xdr:from>
    <xdr:to>
      <xdr:col>3</xdr:col>
      <xdr:colOff>327660</xdr:colOff>
      <xdr:row>860</xdr:row>
      <xdr:rowOff>541020</xdr:rowOff>
    </xdr:to>
    <xdr:cxnSp macro="">
      <xdr:nvCxnSpPr>
        <xdr:cNvPr id="1561" name="Straight Connector 6">
          <a:extLst>
            <a:ext uri="{FF2B5EF4-FFF2-40B4-BE49-F238E27FC236}">
              <a16:creationId xmlns:a16="http://schemas.microsoft.com/office/drawing/2014/main" id="{F88DD77B-8F98-7AED-B532-7CD4F71F55EB}"/>
            </a:ext>
          </a:extLst>
        </xdr:cNvPr>
        <xdr:cNvCxnSpPr>
          <a:cxnSpLocks noChangeShapeType="1"/>
        </xdr:cNvCxnSpPr>
      </xdr:nvCxnSpPr>
      <xdr:spPr bwMode="auto">
        <a:xfrm>
          <a:off x="624840" y="1744141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860</xdr:row>
      <xdr:rowOff>541020</xdr:rowOff>
    </xdr:from>
    <xdr:to>
      <xdr:col>16</xdr:col>
      <xdr:colOff>106680</xdr:colOff>
      <xdr:row>860</xdr:row>
      <xdr:rowOff>541020</xdr:rowOff>
    </xdr:to>
    <xdr:cxnSp macro="">
      <xdr:nvCxnSpPr>
        <xdr:cNvPr id="1562" name="Straight Connector 26">
          <a:extLst>
            <a:ext uri="{FF2B5EF4-FFF2-40B4-BE49-F238E27FC236}">
              <a16:creationId xmlns:a16="http://schemas.microsoft.com/office/drawing/2014/main" id="{2E7A9FC9-EC26-7999-F786-DDE579F932AB}"/>
            </a:ext>
          </a:extLst>
        </xdr:cNvPr>
        <xdr:cNvCxnSpPr>
          <a:cxnSpLocks noChangeShapeType="1"/>
        </xdr:cNvCxnSpPr>
      </xdr:nvCxnSpPr>
      <xdr:spPr bwMode="auto">
        <a:xfrm>
          <a:off x="3649980" y="1744141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969</xdr:row>
      <xdr:rowOff>541020</xdr:rowOff>
    </xdr:from>
    <xdr:to>
      <xdr:col>3</xdr:col>
      <xdr:colOff>327660</xdr:colOff>
      <xdr:row>969</xdr:row>
      <xdr:rowOff>541020</xdr:rowOff>
    </xdr:to>
    <xdr:cxnSp macro="">
      <xdr:nvCxnSpPr>
        <xdr:cNvPr id="1563" name="Straight Connector 6">
          <a:extLst>
            <a:ext uri="{FF2B5EF4-FFF2-40B4-BE49-F238E27FC236}">
              <a16:creationId xmlns:a16="http://schemas.microsoft.com/office/drawing/2014/main" id="{5F8B327C-B1BB-1DE3-15C7-EB0248F80C6D}"/>
            </a:ext>
          </a:extLst>
        </xdr:cNvPr>
        <xdr:cNvCxnSpPr>
          <a:cxnSpLocks noChangeShapeType="1"/>
        </xdr:cNvCxnSpPr>
      </xdr:nvCxnSpPr>
      <xdr:spPr bwMode="auto">
        <a:xfrm>
          <a:off x="624840" y="19642836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969</xdr:row>
      <xdr:rowOff>541020</xdr:rowOff>
    </xdr:from>
    <xdr:to>
      <xdr:col>16</xdr:col>
      <xdr:colOff>106680</xdr:colOff>
      <xdr:row>969</xdr:row>
      <xdr:rowOff>541020</xdr:rowOff>
    </xdr:to>
    <xdr:cxnSp macro="">
      <xdr:nvCxnSpPr>
        <xdr:cNvPr id="1564" name="Straight Connector 26">
          <a:extLst>
            <a:ext uri="{FF2B5EF4-FFF2-40B4-BE49-F238E27FC236}">
              <a16:creationId xmlns:a16="http://schemas.microsoft.com/office/drawing/2014/main" id="{F73F5132-6E17-C7A3-7F23-EDBBA7A92FAC}"/>
            </a:ext>
          </a:extLst>
        </xdr:cNvPr>
        <xdr:cNvCxnSpPr>
          <a:cxnSpLocks noChangeShapeType="1"/>
        </xdr:cNvCxnSpPr>
      </xdr:nvCxnSpPr>
      <xdr:spPr bwMode="auto">
        <a:xfrm>
          <a:off x="3649980" y="19642836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1074</xdr:row>
      <xdr:rowOff>541020</xdr:rowOff>
    </xdr:from>
    <xdr:to>
      <xdr:col>3</xdr:col>
      <xdr:colOff>327660</xdr:colOff>
      <xdr:row>1074</xdr:row>
      <xdr:rowOff>541020</xdr:rowOff>
    </xdr:to>
    <xdr:cxnSp macro="">
      <xdr:nvCxnSpPr>
        <xdr:cNvPr id="1565" name="Straight Connector 6">
          <a:extLst>
            <a:ext uri="{FF2B5EF4-FFF2-40B4-BE49-F238E27FC236}">
              <a16:creationId xmlns:a16="http://schemas.microsoft.com/office/drawing/2014/main" id="{B54886E4-AB15-553B-9149-01A652B63CBB}"/>
            </a:ext>
          </a:extLst>
        </xdr:cNvPr>
        <xdr:cNvCxnSpPr>
          <a:cxnSpLocks noChangeShapeType="1"/>
        </xdr:cNvCxnSpPr>
      </xdr:nvCxnSpPr>
      <xdr:spPr bwMode="auto">
        <a:xfrm>
          <a:off x="624840" y="2177796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1074</xdr:row>
      <xdr:rowOff>541020</xdr:rowOff>
    </xdr:from>
    <xdr:to>
      <xdr:col>16</xdr:col>
      <xdr:colOff>106680</xdr:colOff>
      <xdr:row>1074</xdr:row>
      <xdr:rowOff>541020</xdr:rowOff>
    </xdr:to>
    <xdr:cxnSp macro="">
      <xdr:nvCxnSpPr>
        <xdr:cNvPr id="1566" name="Straight Connector 26">
          <a:extLst>
            <a:ext uri="{FF2B5EF4-FFF2-40B4-BE49-F238E27FC236}">
              <a16:creationId xmlns:a16="http://schemas.microsoft.com/office/drawing/2014/main" id="{95A6366D-FF12-3A3C-1752-EFE600740121}"/>
            </a:ext>
          </a:extLst>
        </xdr:cNvPr>
        <xdr:cNvCxnSpPr>
          <a:cxnSpLocks noChangeShapeType="1"/>
        </xdr:cNvCxnSpPr>
      </xdr:nvCxnSpPr>
      <xdr:spPr bwMode="auto">
        <a:xfrm>
          <a:off x="3649980" y="2177796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1179</xdr:row>
      <xdr:rowOff>541020</xdr:rowOff>
    </xdr:from>
    <xdr:to>
      <xdr:col>3</xdr:col>
      <xdr:colOff>327660</xdr:colOff>
      <xdr:row>1179</xdr:row>
      <xdr:rowOff>541020</xdr:rowOff>
    </xdr:to>
    <xdr:cxnSp macro="">
      <xdr:nvCxnSpPr>
        <xdr:cNvPr id="1567" name="Straight Connector 6">
          <a:extLst>
            <a:ext uri="{FF2B5EF4-FFF2-40B4-BE49-F238E27FC236}">
              <a16:creationId xmlns:a16="http://schemas.microsoft.com/office/drawing/2014/main" id="{80477B1E-D7B2-6609-A928-35C2D9958164}"/>
            </a:ext>
          </a:extLst>
        </xdr:cNvPr>
        <xdr:cNvCxnSpPr>
          <a:cxnSpLocks noChangeShapeType="1"/>
        </xdr:cNvCxnSpPr>
      </xdr:nvCxnSpPr>
      <xdr:spPr bwMode="auto">
        <a:xfrm>
          <a:off x="624840" y="2391308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1179</xdr:row>
      <xdr:rowOff>541020</xdr:rowOff>
    </xdr:from>
    <xdr:to>
      <xdr:col>16</xdr:col>
      <xdr:colOff>106680</xdr:colOff>
      <xdr:row>1179</xdr:row>
      <xdr:rowOff>541020</xdr:rowOff>
    </xdr:to>
    <xdr:cxnSp macro="">
      <xdr:nvCxnSpPr>
        <xdr:cNvPr id="1568" name="Straight Connector 26">
          <a:extLst>
            <a:ext uri="{FF2B5EF4-FFF2-40B4-BE49-F238E27FC236}">
              <a16:creationId xmlns:a16="http://schemas.microsoft.com/office/drawing/2014/main" id="{78E28F35-83B6-04DF-AFB7-BA9D514760A6}"/>
            </a:ext>
          </a:extLst>
        </xdr:cNvPr>
        <xdr:cNvCxnSpPr>
          <a:cxnSpLocks noChangeShapeType="1"/>
        </xdr:cNvCxnSpPr>
      </xdr:nvCxnSpPr>
      <xdr:spPr bwMode="auto">
        <a:xfrm>
          <a:off x="3649980" y="2391308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1284</xdr:row>
      <xdr:rowOff>541020</xdr:rowOff>
    </xdr:from>
    <xdr:to>
      <xdr:col>3</xdr:col>
      <xdr:colOff>327660</xdr:colOff>
      <xdr:row>1284</xdr:row>
      <xdr:rowOff>541020</xdr:rowOff>
    </xdr:to>
    <xdr:cxnSp macro="">
      <xdr:nvCxnSpPr>
        <xdr:cNvPr id="1569" name="Straight Connector 6">
          <a:extLst>
            <a:ext uri="{FF2B5EF4-FFF2-40B4-BE49-F238E27FC236}">
              <a16:creationId xmlns:a16="http://schemas.microsoft.com/office/drawing/2014/main" id="{D3154DA8-45A2-CA73-79E6-9E17F6DBD47A}"/>
            </a:ext>
          </a:extLst>
        </xdr:cNvPr>
        <xdr:cNvCxnSpPr>
          <a:cxnSpLocks noChangeShapeType="1"/>
        </xdr:cNvCxnSpPr>
      </xdr:nvCxnSpPr>
      <xdr:spPr bwMode="auto">
        <a:xfrm>
          <a:off x="624840" y="2604820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1284</xdr:row>
      <xdr:rowOff>541020</xdr:rowOff>
    </xdr:from>
    <xdr:to>
      <xdr:col>16</xdr:col>
      <xdr:colOff>106680</xdr:colOff>
      <xdr:row>1284</xdr:row>
      <xdr:rowOff>541020</xdr:rowOff>
    </xdr:to>
    <xdr:cxnSp macro="">
      <xdr:nvCxnSpPr>
        <xdr:cNvPr id="1570" name="Straight Connector 26">
          <a:extLst>
            <a:ext uri="{FF2B5EF4-FFF2-40B4-BE49-F238E27FC236}">
              <a16:creationId xmlns:a16="http://schemas.microsoft.com/office/drawing/2014/main" id="{FDF0EC5F-B5EC-0E36-0E4E-C54B8B761DC0}"/>
            </a:ext>
          </a:extLst>
        </xdr:cNvPr>
        <xdr:cNvCxnSpPr>
          <a:cxnSpLocks noChangeShapeType="1"/>
        </xdr:cNvCxnSpPr>
      </xdr:nvCxnSpPr>
      <xdr:spPr bwMode="auto">
        <a:xfrm>
          <a:off x="3649980" y="2604820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1393</xdr:row>
      <xdr:rowOff>541020</xdr:rowOff>
    </xdr:from>
    <xdr:to>
      <xdr:col>3</xdr:col>
      <xdr:colOff>327660</xdr:colOff>
      <xdr:row>1393</xdr:row>
      <xdr:rowOff>541020</xdr:rowOff>
    </xdr:to>
    <xdr:cxnSp macro="">
      <xdr:nvCxnSpPr>
        <xdr:cNvPr id="1571" name="Straight Connector 6">
          <a:extLst>
            <a:ext uri="{FF2B5EF4-FFF2-40B4-BE49-F238E27FC236}">
              <a16:creationId xmlns:a16="http://schemas.microsoft.com/office/drawing/2014/main" id="{3EFD0E80-BAC0-E898-BCD6-CF88D50608DD}"/>
            </a:ext>
          </a:extLst>
        </xdr:cNvPr>
        <xdr:cNvCxnSpPr>
          <a:cxnSpLocks noChangeShapeType="1"/>
        </xdr:cNvCxnSpPr>
      </xdr:nvCxnSpPr>
      <xdr:spPr bwMode="auto">
        <a:xfrm>
          <a:off x="624840" y="28249626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1393</xdr:row>
      <xdr:rowOff>541020</xdr:rowOff>
    </xdr:from>
    <xdr:to>
      <xdr:col>16</xdr:col>
      <xdr:colOff>106680</xdr:colOff>
      <xdr:row>1393</xdr:row>
      <xdr:rowOff>541020</xdr:rowOff>
    </xdr:to>
    <xdr:cxnSp macro="">
      <xdr:nvCxnSpPr>
        <xdr:cNvPr id="1572" name="Straight Connector 26">
          <a:extLst>
            <a:ext uri="{FF2B5EF4-FFF2-40B4-BE49-F238E27FC236}">
              <a16:creationId xmlns:a16="http://schemas.microsoft.com/office/drawing/2014/main" id="{6F4565A3-E22C-CB5D-0F5B-EDEA96CE4BE5}"/>
            </a:ext>
          </a:extLst>
        </xdr:cNvPr>
        <xdr:cNvCxnSpPr>
          <a:cxnSpLocks noChangeShapeType="1"/>
        </xdr:cNvCxnSpPr>
      </xdr:nvCxnSpPr>
      <xdr:spPr bwMode="auto">
        <a:xfrm>
          <a:off x="3649980" y="28249626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A1D3-A86D-4C1F-B9E8-42472C301C4A}">
  <dimension ref="A1:T1518"/>
  <sheetViews>
    <sheetView tabSelected="1" view="pageBreakPreview" zoomScaleNormal="85" zoomScaleSheetLayoutView="100" workbookViewId="0">
      <selection sqref="A1:E1"/>
    </sheetView>
  </sheetViews>
  <sheetFormatPr defaultColWidth="9.109375" defaultRowHeight="13.8" x14ac:dyDescent="0.25"/>
  <cols>
    <col min="1" max="1" width="5" style="3" customWidth="1"/>
    <col min="2" max="3" width="7.88671875" style="3" customWidth="1"/>
    <col min="4" max="4" width="8.6640625" style="3" customWidth="1"/>
    <col min="5" max="5" width="5.6640625" style="3" customWidth="1"/>
    <col min="6" max="6" width="7.5546875" style="3" customWidth="1"/>
    <col min="7" max="7" width="10.5546875" style="3" customWidth="1"/>
    <col min="8" max="8" width="4.109375" style="3" hidden="1" customWidth="1"/>
    <col min="9" max="9" width="4.33203125" style="3" customWidth="1"/>
    <col min="10" max="10" width="3.88671875" style="3" hidden="1" customWidth="1"/>
    <col min="11" max="11" width="0.109375" style="3" hidden="1" customWidth="1"/>
    <col min="12" max="12" width="4.6640625" style="3" hidden="1" customWidth="1"/>
    <col min="13" max="13" width="4.88671875" style="3" hidden="1" customWidth="1"/>
    <col min="14" max="14" width="5.6640625" style="3" hidden="1" customWidth="1"/>
    <col min="15" max="15" width="7.33203125" style="3" customWidth="1"/>
    <col min="16" max="16" width="7.44140625" style="3" customWidth="1"/>
    <col min="17" max="17" width="8.6640625" style="3" customWidth="1"/>
    <col min="18" max="18" width="0" style="1" hidden="1" customWidth="1"/>
    <col min="19" max="19" width="5.44140625" style="1" customWidth="1"/>
    <col min="20" max="16384" width="9.109375" style="1"/>
  </cols>
  <sheetData>
    <row r="1" spans="1:20" ht="54" customHeight="1" x14ac:dyDescent="0.25">
      <c r="A1" s="48" t="s">
        <v>33</v>
      </c>
      <c r="B1" s="48"/>
      <c r="C1" s="48"/>
      <c r="D1" s="48"/>
      <c r="E1" s="48"/>
      <c r="F1" s="42" t="s">
        <v>24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20" ht="17.399999999999999" x14ac:dyDescent="0.25">
      <c r="A2" s="49" t="s">
        <v>34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20" ht="4.5" customHeight="1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20" ht="5.25" customHeigh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r="5" spans="1:20" ht="16.5" customHeight="1" x14ac:dyDescent="0.25">
      <c r="A5" s="54" t="s">
        <v>43</v>
      </c>
      <c r="B5" s="54"/>
      <c r="C5" s="54"/>
      <c r="D5" s="54"/>
      <c r="E5" s="54"/>
      <c r="F5" s="54"/>
      <c r="G5" s="58" t="s">
        <v>44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</row>
    <row r="6" spans="1:20" ht="16.5" customHeight="1" x14ac:dyDescent="0.25">
      <c r="A6" s="54" t="s">
        <v>45</v>
      </c>
      <c r="B6" s="54"/>
      <c r="C6" s="54"/>
      <c r="D6" s="54"/>
      <c r="E6" s="54"/>
      <c r="F6" s="54"/>
      <c r="G6" s="8" t="s">
        <v>46</v>
      </c>
      <c r="H6" s="8"/>
      <c r="I6" s="8"/>
      <c r="J6" s="8"/>
      <c r="K6" s="8"/>
      <c r="L6" s="8"/>
      <c r="M6" s="8"/>
      <c r="N6" s="8"/>
      <c r="O6" s="8"/>
      <c r="P6" s="8"/>
      <c r="Q6" s="8"/>
      <c r="T6" s="2"/>
    </row>
    <row r="7" spans="1:20" ht="16.5" customHeight="1" x14ac:dyDescent="0.25">
      <c r="A7" s="54" t="s">
        <v>47</v>
      </c>
      <c r="B7" s="54"/>
      <c r="C7" s="54"/>
      <c r="D7" s="54"/>
      <c r="E7" s="54"/>
      <c r="F7" s="54"/>
      <c r="G7" s="58" t="s">
        <v>48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spans="1:20" ht="5.25" customHeight="1" x14ac:dyDescent="0.25">
      <c r="A8" s="8"/>
      <c r="B8" s="8"/>
      <c r="C8" s="8"/>
      <c r="D8" s="8"/>
      <c r="E8" s="8"/>
      <c r="F8" s="8"/>
      <c r="G8" s="8"/>
      <c r="H8" s="8"/>
      <c r="I8" s="8"/>
      <c r="J8" s="19"/>
      <c r="K8" s="19"/>
      <c r="L8" s="19"/>
      <c r="M8" s="19"/>
      <c r="N8" s="19"/>
      <c r="O8" s="19"/>
      <c r="P8" s="19"/>
      <c r="Q8" s="19"/>
    </row>
    <row r="9" spans="1:20" ht="15" customHeight="1" x14ac:dyDescent="0.25">
      <c r="A9" s="36" t="s">
        <v>0</v>
      </c>
      <c r="B9" s="29" t="s">
        <v>1</v>
      </c>
      <c r="C9" s="30"/>
      <c r="D9" s="30"/>
      <c r="E9" s="30"/>
      <c r="F9" s="30"/>
      <c r="G9" s="31"/>
      <c r="H9" s="36" t="s">
        <v>32</v>
      </c>
      <c r="I9" s="36" t="s">
        <v>39</v>
      </c>
      <c r="J9" s="55" t="s">
        <v>2</v>
      </c>
      <c r="K9" s="56"/>
      <c r="L9" s="56"/>
      <c r="M9" s="56"/>
      <c r="N9" s="56"/>
      <c r="O9" s="56"/>
      <c r="P9" s="56"/>
      <c r="Q9" s="57"/>
      <c r="S9" s="36" t="s">
        <v>38</v>
      </c>
    </row>
    <row r="10" spans="1:20" ht="24" customHeight="1" x14ac:dyDescent="0.25">
      <c r="A10" s="37"/>
      <c r="B10" s="32"/>
      <c r="C10" s="33"/>
      <c r="D10" s="33"/>
      <c r="E10" s="33"/>
      <c r="F10" s="33"/>
      <c r="G10" s="34"/>
      <c r="H10" s="37"/>
      <c r="I10" s="37"/>
      <c r="J10" s="7" t="s">
        <v>28</v>
      </c>
      <c r="K10" s="7" t="s">
        <v>29</v>
      </c>
      <c r="L10" s="7" t="s">
        <v>30</v>
      </c>
      <c r="M10" s="7"/>
      <c r="N10" s="7"/>
      <c r="O10" s="6" t="s">
        <v>35</v>
      </c>
      <c r="P10" s="6" t="s">
        <v>36</v>
      </c>
      <c r="Q10" s="6" t="s">
        <v>37</v>
      </c>
      <c r="S10" s="37"/>
    </row>
    <row r="11" spans="1:20" ht="20.25" customHeight="1" x14ac:dyDescent="0.25">
      <c r="A11" s="27" t="s">
        <v>54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ht="16.5" customHeight="1" x14ac:dyDescent="0.25">
      <c r="A12" s="9"/>
      <c r="B12" s="51" t="s">
        <v>55</v>
      </c>
      <c r="C12" s="52"/>
      <c r="D12" s="52"/>
      <c r="E12" s="52"/>
      <c r="F12" s="52"/>
      <c r="G12" s="53"/>
      <c r="H12" s="20"/>
      <c r="I12" s="9">
        <v>1</v>
      </c>
      <c r="J12" s="9"/>
      <c r="K12" s="9"/>
      <c r="L12" s="9"/>
      <c r="M12" s="9">
        <f t="shared" ref="M12:M20" si="0">I12*O12</f>
        <v>8.1999999999999993</v>
      </c>
      <c r="N12" s="9">
        <f t="shared" ref="N12:N20" si="1">I12*P12</f>
        <v>3.5</v>
      </c>
      <c r="O12" s="9">
        <v>8.1999999999999993</v>
      </c>
      <c r="P12" s="9">
        <v>3.5</v>
      </c>
      <c r="Q12" s="9" t="s">
        <v>9</v>
      </c>
      <c r="R12" s="1">
        <v>0</v>
      </c>
      <c r="S12" s="26"/>
    </row>
    <row r="13" spans="1:20" ht="16.5" customHeight="1" x14ac:dyDescent="0.25">
      <c r="A13" s="9"/>
      <c r="B13" s="51" t="s">
        <v>56</v>
      </c>
      <c r="C13" s="52"/>
      <c r="D13" s="52"/>
      <c r="E13" s="52"/>
      <c r="F13" s="52"/>
      <c r="G13" s="53"/>
      <c r="H13" s="20"/>
      <c r="I13" s="9">
        <v>3</v>
      </c>
      <c r="J13" s="9"/>
      <c r="K13" s="9"/>
      <c r="L13" s="9"/>
      <c r="M13" s="9">
        <f t="shared" si="0"/>
        <v>15.600000000000001</v>
      </c>
      <c r="N13" s="9">
        <f t="shared" si="1"/>
        <v>4.5</v>
      </c>
      <c r="O13" s="9">
        <v>5.2</v>
      </c>
      <c r="P13" s="9">
        <v>1.5</v>
      </c>
      <c r="Q13" s="9" t="s">
        <v>4</v>
      </c>
      <c r="R13" s="1">
        <v>0</v>
      </c>
      <c r="S13" s="26"/>
    </row>
    <row r="14" spans="1:20" ht="31.2" customHeight="1" x14ac:dyDescent="0.25">
      <c r="A14" s="9"/>
      <c r="B14" s="51" t="s">
        <v>57</v>
      </c>
      <c r="C14" s="52"/>
      <c r="D14" s="52"/>
      <c r="E14" s="52"/>
      <c r="F14" s="52"/>
      <c r="G14" s="53"/>
      <c r="H14" s="20"/>
      <c r="I14" s="9">
        <v>3</v>
      </c>
      <c r="J14" s="9"/>
      <c r="K14" s="9"/>
      <c r="L14" s="9"/>
      <c r="M14" s="9">
        <f t="shared" si="0"/>
        <v>23.700000000000003</v>
      </c>
      <c r="N14" s="9">
        <f t="shared" si="1"/>
        <v>9</v>
      </c>
      <c r="O14" s="9">
        <v>7.9</v>
      </c>
      <c r="P14" s="9">
        <v>3</v>
      </c>
      <c r="Q14" s="9" t="s">
        <v>6</v>
      </c>
      <c r="R14" s="1">
        <v>0</v>
      </c>
      <c r="S14" s="26"/>
    </row>
    <row r="15" spans="1:20" ht="16.5" customHeight="1" x14ac:dyDescent="0.25">
      <c r="A15" s="9"/>
      <c r="B15" s="51" t="s">
        <v>58</v>
      </c>
      <c r="C15" s="52"/>
      <c r="D15" s="52"/>
      <c r="E15" s="52"/>
      <c r="F15" s="52"/>
      <c r="G15" s="53"/>
      <c r="H15" s="20"/>
      <c r="I15" s="9">
        <v>1</v>
      </c>
      <c r="J15" s="9"/>
      <c r="K15" s="9"/>
      <c r="L15" s="9"/>
      <c r="M15" s="9">
        <f t="shared" si="0"/>
        <v>7.9</v>
      </c>
      <c r="N15" s="9">
        <f t="shared" si="1"/>
        <v>3</v>
      </c>
      <c r="O15" s="9">
        <v>7.9</v>
      </c>
      <c r="P15" s="9">
        <v>3</v>
      </c>
      <c r="Q15" s="9" t="s">
        <v>6</v>
      </c>
      <c r="R15" s="1">
        <v>0</v>
      </c>
      <c r="S15" s="26"/>
    </row>
    <row r="16" spans="1:20" ht="16.5" customHeight="1" x14ac:dyDescent="0.25">
      <c r="A16" s="9"/>
      <c r="B16" s="51" t="s">
        <v>59</v>
      </c>
      <c r="C16" s="52"/>
      <c r="D16" s="52"/>
      <c r="E16" s="52"/>
      <c r="F16" s="52"/>
      <c r="G16" s="53"/>
      <c r="H16" s="20"/>
      <c r="I16" s="9">
        <v>1</v>
      </c>
      <c r="J16" s="9"/>
      <c r="K16" s="9"/>
      <c r="L16" s="9"/>
      <c r="M16" s="9">
        <f t="shared" si="0"/>
        <v>7.4</v>
      </c>
      <c r="N16" s="9">
        <f t="shared" si="1"/>
        <v>3</v>
      </c>
      <c r="O16" s="9">
        <v>7.4</v>
      </c>
      <c r="P16" s="9">
        <v>3</v>
      </c>
      <c r="Q16" s="9" t="s">
        <v>6</v>
      </c>
      <c r="R16" s="1">
        <v>0</v>
      </c>
      <c r="S16" s="26"/>
    </row>
    <row r="17" spans="1:19" ht="16.5" customHeight="1" x14ac:dyDescent="0.25">
      <c r="A17" s="9"/>
      <c r="B17" s="51" t="s">
        <v>60</v>
      </c>
      <c r="C17" s="52"/>
      <c r="D17" s="52"/>
      <c r="E17" s="52"/>
      <c r="F17" s="52"/>
      <c r="G17" s="53"/>
      <c r="H17" s="20"/>
      <c r="I17" s="9">
        <v>3</v>
      </c>
      <c r="J17" s="9"/>
      <c r="K17" s="9"/>
      <c r="L17" s="9"/>
      <c r="M17" s="9">
        <f t="shared" si="0"/>
        <v>22.799999999999997</v>
      </c>
      <c r="N17" s="9">
        <f t="shared" si="1"/>
        <v>9</v>
      </c>
      <c r="O17" s="9">
        <v>7.6</v>
      </c>
      <c r="P17" s="9">
        <v>3</v>
      </c>
      <c r="Q17" s="9" t="s">
        <v>6</v>
      </c>
      <c r="R17" s="1">
        <v>0</v>
      </c>
      <c r="S17" s="26"/>
    </row>
    <row r="18" spans="1:19" ht="16.5" customHeight="1" x14ac:dyDescent="0.25">
      <c r="A18" s="9"/>
      <c r="B18" s="51" t="s">
        <v>61</v>
      </c>
      <c r="C18" s="52"/>
      <c r="D18" s="52"/>
      <c r="E18" s="52"/>
      <c r="F18" s="52"/>
      <c r="G18" s="53"/>
      <c r="H18" s="20"/>
      <c r="I18" s="9">
        <v>2</v>
      </c>
      <c r="J18" s="9"/>
      <c r="K18" s="9"/>
      <c r="L18" s="9"/>
      <c r="M18" s="9">
        <f t="shared" si="0"/>
        <v>14.6</v>
      </c>
      <c r="N18" s="9">
        <f t="shared" si="1"/>
        <v>6</v>
      </c>
      <c r="O18" s="9">
        <v>7.3</v>
      </c>
      <c r="P18" s="9">
        <v>3</v>
      </c>
      <c r="Q18" s="9" t="s">
        <v>6</v>
      </c>
      <c r="R18" s="1">
        <v>0</v>
      </c>
      <c r="S18" s="26"/>
    </row>
    <row r="19" spans="1:19" ht="16.5" hidden="1" customHeight="1" x14ac:dyDescent="0.25">
      <c r="A19" s="21"/>
      <c r="H19" s="21"/>
      <c r="I19" s="21"/>
      <c r="J19" s="21"/>
      <c r="K19" s="21"/>
      <c r="L19" s="21"/>
      <c r="M19" s="9">
        <f t="shared" si="0"/>
        <v>0</v>
      </c>
      <c r="N19" s="9">
        <f t="shared" si="1"/>
        <v>0</v>
      </c>
      <c r="O19" s="21"/>
      <c r="P19" s="21"/>
      <c r="Q19" s="21"/>
      <c r="S19" s="25"/>
    </row>
    <row r="20" spans="1:19" ht="16.5" customHeight="1" x14ac:dyDescent="0.25">
      <c r="A20" s="9"/>
      <c r="B20" s="39" t="s">
        <v>42</v>
      </c>
      <c r="C20" s="40"/>
      <c r="D20" s="40"/>
      <c r="E20" s="40"/>
      <c r="F20" s="40"/>
      <c r="G20" s="41"/>
      <c r="H20" s="23"/>
      <c r="I20" s="24">
        <f>SUM(I12:I19)</f>
        <v>14</v>
      </c>
      <c r="J20" s="9"/>
      <c r="K20" s="9"/>
      <c r="L20" s="9"/>
      <c r="M20" s="9">
        <f t="shared" si="0"/>
        <v>100.24000000000001</v>
      </c>
      <c r="N20" s="9">
        <f t="shared" si="1"/>
        <v>37.94</v>
      </c>
      <c r="O20" s="24">
        <f>ROUND(SUM(M12:M19)/I20,2)</f>
        <v>7.16</v>
      </c>
      <c r="P20" s="24">
        <f>ROUND(SUM(N12:N19)/I20,2)</f>
        <v>2.71</v>
      </c>
      <c r="Q20" s="9"/>
      <c r="S20" s="25"/>
    </row>
    <row r="21" spans="1:19" ht="20.25" customHeight="1" x14ac:dyDescent="0.25">
      <c r="A21" s="27" t="s">
        <v>62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ht="16.5" customHeight="1" x14ac:dyDescent="0.25">
      <c r="A22" s="9"/>
      <c r="B22" s="51" t="s">
        <v>63</v>
      </c>
      <c r="C22" s="52"/>
      <c r="D22" s="52"/>
      <c r="E22" s="52"/>
      <c r="F22" s="52"/>
      <c r="G22" s="53"/>
      <c r="H22" s="20"/>
      <c r="I22" s="9">
        <v>4</v>
      </c>
      <c r="J22" s="9"/>
      <c r="K22" s="9"/>
      <c r="L22" s="9"/>
      <c r="M22" s="9">
        <f t="shared" ref="M22:M30" si="2">I22*O22</f>
        <v>27.6</v>
      </c>
      <c r="N22" s="9">
        <f t="shared" ref="N22:N30" si="3">I22*P22</f>
        <v>10</v>
      </c>
      <c r="O22" s="9">
        <v>6.9</v>
      </c>
      <c r="P22" s="9">
        <v>2.5</v>
      </c>
      <c r="Q22" s="9" t="s">
        <v>5</v>
      </c>
      <c r="R22" s="1">
        <v>0</v>
      </c>
      <c r="S22" s="26"/>
    </row>
    <row r="23" spans="1:19" ht="16.5" customHeight="1" x14ac:dyDescent="0.25">
      <c r="A23" s="9"/>
      <c r="B23" s="51" t="s">
        <v>64</v>
      </c>
      <c r="C23" s="52"/>
      <c r="D23" s="52"/>
      <c r="E23" s="52"/>
      <c r="F23" s="52"/>
      <c r="G23" s="53"/>
      <c r="H23" s="20"/>
      <c r="I23" s="9">
        <v>4</v>
      </c>
      <c r="J23" s="9"/>
      <c r="K23" s="9"/>
      <c r="L23" s="9"/>
      <c r="M23" s="9">
        <f t="shared" si="2"/>
        <v>21.2</v>
      </c>
      <c r="N23" s="9">
        <f t="shared" si="3"/>
        <v>6</v>
      </c>
      <c r="O23" s="9">
        <v>5.3</v>
      </c>
      <c r="P23" s="9">
        <v>1.5</v>
      </c>
      <c r="Q23" s="9" t="s">
        <v>4</v>
      </c>
      <c r="R23" s="1">
        <v>0</v>
      </c>
      <c r="S23" s="26"/>
    </row>
    <row r="24" spans="1:19" ht="16.5" customHeight="1" x14ac:dyDescent="0.25">
      <c r="A24" s="9"/>
      <c r="B24" s="51" t="s">
        <v>65</v>
      </c>
      <c r="C24" s="52"/>
      <c r="D24" s="52"/>
      <c r="E24" s="52"/>
      <c r="F24" s="52"/>
      <c r="G24" s="53"/>
      <c r="H24" s="20"/>
      <c r="I24" s="9">
        <v>4</v>
      </c>
      <c r="J24" s="9"/>
      <c r="K24" s="9"/>
      <c r="L24" s="9"/>
      <c r="M24" s="9">
        <f t="shared" si="2"/>
        <v>30.8</v>
      </c>
      <c r="N24" s="9">
        <f t="shared" si="3"/>
        <v>12</v>
      </c>
      <c r="O24" s="9">
        <v>7.7</v>
      </c>
      <c r="P24" s="9">
        <v>3</v>
      </c>
      <c r="Q24" s="9" t="s">
        <v>6</v>
      </c>
      <c r="R24" s="1">
        <v>0</v>
      </c>
      <c r="S24" s="26"/>
    </row>
    <row r="25" spans="1:19" ht="16.5" customHeight="1" x14ac:dyDescent="0.25">
      <c r="A25" s="9"/>
      <c r="B25" s="51" t="s">
        <v>66</v>
      </c>
      <c r="C25" s="52"/>
      <c r="D25" s="52"/>
      <c r="E25" s="52"/>
      <c r="F25" s="52"/>
      <c r="G25" s="53"/>
      <c r="H25" s="20"/>
      <c r="I25" s="9">
        <v>1</v>
      </c>
      <c r="J25" s="9"/>
      <c r="K25" s="9"/>
      <c r="L25" s="9"/>
      <c r="M25" s="9">
        <f t="shared" si="2"/>
        <v>7.6</v>
      </c>
      <c r="N25" s="9">
        <f t="shared" si="3"/>
        <v>3</v>
      </c>
      <c r="O25" s="9">
        <v>7.6</v>
      </c>
      <c r="P25" s="9">
        <v>3</v>
      </c>
      <c r="Q25" s="9" t="s">
        <v>6</v>
      </c>
      <c r="R25" s="1">
        <v>0</v>
      </c>
      <c r="S25" s="26"/>
    </row>
    <row r="26" spans="1:19" ht="16.5" customHeight="1" x14ac:dyDescent="0.25">
      <c r="A26" s="9"/>
      <c r="B26" s="51" t="s">
        <v>67</v>
      </c>
      <c r="C26" s="52"/>
      <c r="D26" s="52"/>
      <c r="E26" s="52"/>
      <c r="F26" s="52"/>
      <c r="G26" s="53"/>
      <c r="H26" s="20"/>
      <c r="I26" s="9">
        <v>1</v>
      </c>
      <c r="J26" s="9"/>
      <c r="K26" s="9"/>
      <c r="L26" s="9"/>
      <c r="M26" s="9">
        <f t="shared" si="2"/>
        <v>7.1</v>
      </c>
      <c r="N26" s="9">
        <f t="shared" si="3"/>
        <v>3</v>
      </c>
      <c r="O26" s="9">
        <v>7.1</v>
      </c>
      <c r="P26" s="9">
        <v>3</v>
      </c>
      <c r="Q26" s="9" t="s">
        <v>6</v>
      </c>
      <c r="R26" s="1">
        <v>0</v>
      </c>
      <c r="S26" s="26"/>
    </row>
    <row r="27" spans="1:19" ht="16.5" customHeight="1" x14ac:dyDescent="0.25">
      <c r="A27" s="9"/>
      <c r="B27" s="51" t="s">
        <v>68</v>
      </c>
      <c r="C27" s="52"/>
      <c r="D27" s="52"/>
      <c r="E27" s="52"/>
      <c r="F27" s="52"/>
      <c r="G27" s="53"/>
      <c r="H27" s="20"/>
      <c r="I27" s="9">
        <v>1</v>
      </c>
      <c r="J27" s="9"/>
      <c r="K27" s="9"/>
      <c r="L27" s="9"/>
      <c r="M27" s="9">
        <f t="shared" si="2"/>
        <v>8.4</v>
      </c>
      <c r="N27" s="9">
        <f t="shared" si="3"/>
        <v>3.5</v>
      </c>
      <c r="O27" s="9">
        <v>8.4</v>
      </c>
      <c r="P27" s="9">
        <v>3.5</v>
      </c>
      <c r="Q27" s="9" t="s">
        <v>9</v>
      </c>
      <c r="R27" s="1">
        <v>0</v>
      </c>
      <c r="S27" s="26"/>
    </row>
    <row r="28" spans="1:19" ht="16.5" customHeight="1" x14ac:dyDescent="0.25">
      <c r="A28" s="9"/>
      <c r="B28" s="51" t="s">
        <v>69</v>
      </c>
      <c r="C28" s="52"/>
      <c r="D28" s="52"/>
      <c r="E28" s="52"/>
      <c r="F28" s="52"/>
      <c r="G28" s="53"/>
      <c r="H28" s="20"/>
      <c r="I28" s="9">
        <v>1</v>
      </c>
      <c r="J28" s="9"/>
      <c r="K28" s="9"/>
      <c r="L28" s="9"/>
      <c r="M28" s="9">
        <f t="shared" si="2"/>
        <v>8.1999999999999993</v>
      </c>
      <c r="N28" s="9">
        <f t="shared" si="3"/>
        <v>3.5</v>
      </c>
      <c r="O28" s="9">
        <v>8.1999999999999993</v>
      </c>
      <c r="P28" s="9">
        <v>3.5</v>
      </c>
      <c r="Q28" s="9" t="s">
        <v>9</v>
      </c>
      <c r="R28" s="1">
        <v>0</v>
      </c>
      <c r="S28" s="26"/>
    </row>
    <row r="29" spans="1:19" ht="16.5" hidden="1" customHeight="1" x14ac:dyDescent="0.25">
      <c r="A29" s="21"/>
      <c r="H29" s="21"/>
      <c r="I29" s="21"/>
      <c r="J29" s="21"/>
      <c r="K29" s="21"/>
      <c r="L29" s="21"/>
      <c r="M29" s="9">
        <f t="shared" si="2"/>
        <v>0</v>
      </c>
      <c r="N29" s="9">
        <f t="shared" si="3"/>
        <v>0</v>
      </c>
      <c r="O29" s="21"/>
      <c r="P29" s="21"/>
      <c r="Q29" s="21"/>
      <c r="S29" s="25"/>
    </row>
    <row r="30" spans="1:19" ht="16.5" customHeight="1" x14ac:dyDescent="0.25">
      <c r="A30" s="9"/>
      <c r="B30" s="39" t="s">
        <v>42</v>
      </c>
      <c r="C30" s="40"/>
      <c r="D30" s="40"/>
      <c r="E30" s="40"/>
      <c r="F30" s="40"/>
      <c r="G30" s="41"/>
      <c r="H30" s="23"/>
      <c r="I30" s="24">
        <f>SUM(I22:I29)</f>
        <v>16</v>
      </c>
      <c r="J30" s="9"/>
      <c r="K30" s="9"/>
      <c r="L30" s="9"/>
      <c r="M30" s="9">
        <f t="shared" si="2"/>
        <v>110.88</v>
      </c>
      <c r="N30" s="9">
        <f t="shared" si="3"/>
        <v>40.96</v>
      </c>
      <c r="O30" s="24">
        <f>ROUND(SUM(M22:M29)/I30,2)</f>
        <v>6.93</v>
      </c>
      <c r="P30" s="24">
        <f>ROUND(SUM(N22:N29)/I30,2)</f>
        <v>2.56</v>
      </c>
      <c r="Q30" s="9"/>
      <c r="S30" s="25"/>
    </row>
    <row r="31" spans="1:19" ht="20.25" customHeight="1" x14ac:dyDescent="0.25">
      <c r="A31" s="27" t="s">
        <v>70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 ht="16.5" customHeight="1" x14ac:dyDescent="0.25">
      <c r="A32" s="9"/>
      <c r="B32" s="51" t="s">
        <v>71</v>
      </c>
      <c r="C32" s="52"/>
      <c r="D32" s="52"/>
      <c r="E32" s="52"/>
      <c r="F32" s="52"/>
      <c r="G32" s="53"/>
      <c r="H32" s="20"/>
      <c r="I32" s="9">
        <v>4</v>
      </c>
      <c r="J32" s="9"/>
      <c r="K32" s="9"/>
      <c r="L32" s="9"/>
      <c r="M32" s="9">
        <f t="shared" ref="M32:M41" si="4">I32*O32</f>
        <v>30.8</v>
      </c>
      <c r="N32" s="9">
        <f t="shared" ref="N32:N41" si="5">I32*P32</f>
        <v>12</v>
      </c>
      <c r="O32" s="9">
        <v>7.7</v>
      </c>
      <c r="P32" s="9">
        <v>3</v>
      </c>
      <c r="Q32" s="9" t="s">
        <v>6</v>
      </c>
      <c r="R32" s="1">
        <v>0</v>
      </c>
      <c r="S32" s="26"/>
    </row>
    <row r="33" spans="1:19" ht="16.5" customHeight="1" x14ac:dyDescent="0.25">
      <c r="A33" s="9"/>
      <c r="B33" s="51" t="s">
        <v>72</v>
      </c>
      <c r="C33" s="52"/>
      <c r="D33" s="52"/>
      <c r="E33" s="52"/>
      <c r="F33" s="52"/>
      <c r="G33" s="53"/>
      <c r="H33" s="20"/>
      <c r="I33" s="9">
        <v>4</v>
      </c>
      <c r="J33" s="9"/>
      <c r="K33" s="9"/>
      <c r="L33" s="9"/>
      <c r="M33" s="9">
        <f t="shared" si="4"/>
        <v>32.4</v>
      </c>
      <c r="N33" s="9">
        <f t="shared" si="5"/>
        <v>14</v>
      </c>
      <c r="O33" s="9">
        <v>8.1</v>
      </c>
      <c r="P33" s="9">
        <v>3.5</v>
      </c>
      <c r="Q33" s="9" t="s">
        <v>9</v>
      </c>
      <c r="R33" s="1">
        <v>0</v>
      </c>
      <c r="S33" s="26"/>
    </row>
    <row r="34" spans="1:19" ht="16.5" customHeight="1" x14ac:dyDescent="0.25">
      <c r="A34" s="9"/>
      <c r="B34" s="51" t="s">
        <v>73</v>
      </c>
      <c r="C34" s="52"/>
      <c r="D34" s="52"/>
      <c r="E34" s="52"/>
      <c r="F34" s="52"/>
      <c r="G34" s="53"/>
      <c r="H34" s="20"/>
      <c r="I34" s="9">
        <v>1</v>
      </c>
      <c r="J34" s="9"/>
      <c r="K34" s="9"/>
      <c r="L34" s="9"/>
      <c r="M34" s="9">
        <f t="shared" si="4"/>
        <v>7.8</v>
      </c>
      <c r="N34" s="9">
        <f t="shared" si="5"/>
        <v>3</v>
      </c>
      <c r="O34" s="9">
        <v>7.8</v>
      </c>
      <c r="P34" s="9">
        <v>3</v>
      </c>
      <c r="Q34" s="9" t="s">
        <v>6</v>
      </c>
      <c r="R34" s="1">
        <v>0</v>
      </c>
      <c r="S34" s="26"/>
    </row>
    <row r="35" spans="1:19" ht="16.5" customHeight="1" x14ac:dyDescent="0.25">
      <c r="A35" s="9"/>
      <c r="B35" s="51" t="s">
        <v>74</v>
      </c>
      <c r="C35" s="52"/>
      <c r="D35" s="52"/>
      <c r="E35" s="52"/>
      <c r="F35" s="52"/>
      <c r="G35" s="53"/>
      <c r="H35" s="20"/>
      <c r="I35" s="9">
        <v>2</v>
      </c>
      <c r="J35" s="9"/>
      <c r="K35" s="9"/>
      <c r="L35" s="9"/>
      <c r="M35" s="9">
        <f t="shared" si="4"/>
        <v>16.600000000000001</v>
      </c>
      <c r="N35" s="9">
        <f t="shared" si="5"/>
        <v>7</v>
      </c>
      <c r="O35" s="9">
        <v>8.3000000000000007</v>
      </c>
      <c r="P35" s="9">
        <v>3.5</v>
      </c>
      <c r="Q35" s="9" t="s">
        <v>9</v>
      </c>
      <c r="R35" s="1">
        <v>0</v>
      </c>
      <c r="S35" s="26"/>
    </row>
    <row r="36" spans="1:19" ht="16.5" customHeight="1" x14ac:dyDescent="0.25">
      <c r="A36" s="9"/>
      <c r="B36" s="51" t="s">
        <v>75</v>
      </c>
      <c r="C36" s="52"/>
      <c r="D36" s="52"/>
      <c r="E36" s="52"/>
      <c r="F36" s="52"/>
      <c r="G36" s="53"/>
      <c r="H36" s="20"/>
      <c r="I36" s="9">
        <v>1</v>
      </c>
      <c r="J36" s="9"/>
      <c r="K36" s="9"/>
      <c r="L36" s="9"/>
      <c r="M36" s="9">
        <f t="shared" si="4"/>
        <v>6.4</v>
      </c>
      <c r="N36" s="9">
        <f t="shared" si="5"/>
        <v>2</v>
      </c>
      <c r="O36" s="9">
        <v>6.4</v>
      </c>
      <c r="P36" s="9">
        <v>2</v>
      </c>
      <c r="Q36" s="9" t="s">
        <v>3</v>
      </c>
      <c r="R36" s="1">
        <v>0</v>
      </c>
      <c r="S36" s="26"/>
    </row>
    <row r="37" spans="1:19" ht="16.5" customHeight="1" x14ac:dyDescent="0.25">
      <c r="A37" s="9"/>
      <c r="B37" s="51" t="s">
        <v>76</v>
      </c>
      <c r="C37" s="52"/>
      <c r="D37" s="52"/>
      <c r="E37" s="52"/>
      <c r="F37" s="52"/>
      <c r="G37" s="53"/>
      <c r="H37" s="20"/>
      <c r="I37" s="9">
        <v>4</v>
      </c>
      <c r="J37" s="9"/>
      <c r="K37" s="9"/>
      <c r="L37" s="9"/>
      <c r="M37" s="9">
        <f t="shared" si="4"/>
        <v>24.4</v>
      </c>
      <c r="N37" s="9">
        <f t="shared" si="5"/>
        <v>8</v>
      </c>
      <c r="O37" s="9">
        <v>6.1</v>
      </c>
      <c r="P37" s="9">
        <v>2</v>
      </c>
      <c r="Q37" s="9" t="s">
        <v>3</v>
      </c>
      <c r="R37" s="1">
        <v>0</v>
      </c>
      <c r="S37" s="26"/>
    </row>
    <row r="38" spans="1:19" ht="16.5" customHeight="1" x14ac:dyDescent="0.25">
      <c r="A38" s="9"/>
      <c r="B38" s="51" t="s">
        <v>77</v>
      </c>
      <c r="C38" s="52"/>
      <c r="D38" s="52"/>
      <c r="E38" s="52"/>
      <c r="F38" s="52"/>
      <c r="G38" s="53"/>
      <c r="H38" s="20"/>
      <c r="I38" s="9">
        <v>3</v>
      </c>
      <c r="J38" s="9"/>
      <c r="K38" s="9"/>
      <c r="L38" s="9"/>
      <c r="M38" s="9">
        <f t="shared" si="4"/>
        <v>18.600000000000001</v>
      </c>
      <c r="N38" s="9">
        <f t="shared" si="5"/>
        <v>6</v>
      </c>
      <c r="O38" s="9">
        <v>6.2</v>
      </c>
      <c r="P38" s="9">
        <v>2</v>
      </c>
      <c r="Q38" s="9" t="s">
        <v>3</v>
      </c>
      <c r="R38" s="1">
        <v>0</v>
      </c>
      <c r="S38" s="26"/>
    </row>
    <row r="39" spans="1:19" ht="16.5" customHeight="1" x14ac:dyDescent="0.25">
      <c r="A39" s="9"/>
      <c r="B39" s="51" t="s">
        <v>78</v>
      </c>
      <c r="C39" s="52"/>
      <c r="D39" s="52"/>
      <c r="E39" s="52"/>
      <c r="F39" s="52"/>
      <c r="G39" s="53"/>
      <c r="H39" s="20"/>
      <c r="I39" s="9">
        <v>4</v>
      </c>
      <c r="J39" s="9"/>
      <c r="K39" s="9"/>
      <c r="L39" s="9"/>
      <c r="M39" s="9">
        <f t="shared" si="4"/>
        <v>22.8</v>
      </c>
      <c r="N39" s="9">
        <f t="shared" si="5"/>
        <v>8</v>
      </c>
      <c r="O39" s="9">
        <v>5.7</v>
      </c>
      <c r="P39" s="9">
        <v>2</v>
      </c>
      <c r="Q39" s="9" t="s">
        <v>3</v>
      </c>
      <c r="R39" s="1">
        <v>0</v>
      </c>
      <c r="S39" s="26"/>
    </row>
    <row r="40" spans="1:19" ht="16.5" hidden="1" customHeight="1" x14ac:dyDescent="0.25">
      <c r="A40" s="21"/>
      <c r="H40" s="21"/>
      <c r="I40" s="21"/>
      <c r="J40" s="21"/>
      <c r="K40" s="21"/>
      <c r="L40" s="21"/>
      <c r="M40" s="9">
        <f t="shared" si="4"/>
        <v>0</v>
      </c>
      <c r="N40" s="9">
        <f t="shared" si="5"/>
        <v>0</v>
      </c>
      <c r="O40" s="21"/>
      <c r="P40" s="21"/>
      <c r="Q40" s="21"/>
      <c r="S40" s="25"/>
    </row>
    <row r="41" spans="1:19" ht="16.5" customHeight="1" x14ac:dyDescent="0.25">
      <c r="A41" s="9"/>
      <c r="B41" s="39" t="s">
        <v>42</v>
      </c>
      <c r="C41" s="40"/>
      <c r="D41" s="40"/>
      <c r="E41" s="40"/>
      <c r="F41" s="40"/>
      <c r="G41" s="41"/>
      <c r="H41" s="23"/>
      <c r="I41" s="24">
        <f>SUM(I32:I40)</f>
        <v>23</v>
      </c>
      <c r="J41" s="9"/>
      <c r="K41" s="9"/>
      <c r="L41" s="9"/>
      <c r="M41" s="9">
        <f t="shared" si="4"/>
        <v>159.85</v>
      </c>
      <c r="N41" s="9">
        <f t="shared" si="5"/>
        <v>60.029999999999994</v>
      </c>
      <c r="O41" s="24">
        <f>ROUND(SUM(M32:M40)/I41,2)</f>
        <v>6.95</v>
      </c>
      <c r="P41" s="24">
        <f>ROUND(SUM(N32:N40)/I41,2)</f>
        <v>2.61</v>
      </c>
      <c r="Q41" s="9"/>
      <c r="S41" s="25"/>
    </row>
    <row r="42" spans="1:19" ht="20.25" customHeight="1" x14ac:dyDescent="0.25">
      <c r="A42" s="27" t="s">
        <v>79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spans="1:19" ht="16.5" customHeight="1" x14ac:dyDescent="0.25">
      <c r="A43" s="9"/>
      <c r="B43" s="51" t="s">
        <v>80</v>
      </c>
      <c r="C43" s="52"/>
      <c r="D43" s="52"/>
      <c r="E43" s="52"/>
      <c r="F43" s="52"/>
      <c r="G43" s="53"/>
      <c r="H43" s="20"/>
      <c r="I43" s="9">
        <v>3</v>
      </c>
      <c r="J43" s="9"/>
      <c r="K43" s="9"/>
      <c r="L43" s="9"/>
      <c r="M43" s="9">
        <f t="shared" ref="M43:M48" si="6">I43*O43</f>
        <v>20.399999999999999</v>
      </c>
      <c r="N43" s="9">
        <f t="shared" ref="N43:N48" si="7">I43*P43</f>
        <v>7.5</v>
      </c>
      <c r="O43" s="9">
        <v>6.8</v>
      </c>
      <c r="P43" s="9">
        <v>2.5</v>
      </c>
      <c r="Q43" s="9" t="s">
        <v>5</v>
      </c>
      <c r="R43" s="1">
        <v>0</v>
      </c>
      <c r="S43" s="26"/>
    </row>
    <row r="44" spans="1:19" ht="16.5" customHeight="1" x14ac:dyDescent="0.25">
      <c r="A44" s="9"/>
      <c r="B44" s="51" t="s">
        <v>81</v>
      </c>
      <c r="C44" s="52"/>
      <c r="D44" s="52"/>
      <c r="E44" s="52"/>
      <c r="F44" s="52"/>
      <c r="G44" s="53"/>
      <c r="H44" s="20"/>
      <c r="I44" s="9">
        <v>1</v>
      </c>
      <c r="J44" s="9"/>
      <c r="K44" s="9"/>
      <c r="L44" s="9"/>
      <c r="M44" s="9">
        <f t="shared" si="6"/>
        <v>6.9</v>
      </c>
      <c r="N44" s="9">
        <f t="shared" si="7"/>
        <v>2.5</v>
      </c>
      <c r="O44" s="9">
        <v>6.9</v>
      </c>
      <c r="P44" s="9">
        <v>2.5</v>
      </c>
      <c r="Q44" s="9" t="s">
        <v>5</v>
      </c>
      <c r="R44" s="1">
        <v>0</v>
      </c>
      <c r="S44" s="26"/>
    </row>
    <row r="45" spans="1:19" ht="16.5" customHeight="1" x14ac:dyDescent="0.25">
      <c r="A45" s="9"/>
      <c r="B45" s="51" t="s">
        <v>82</v>
      </c>
      <c r="C45" s="52"/>
      <c r="D45" s="52"/>
      <c r="E45" s="52"/>
      <c r="F45" s="52"/>
      <c r="G45" s="53"/>
      <c r="H45" s="20"/>
      <c r="I45" s="9">
        <v>3</v>
      </c>
      <c r="J45" s="9"/>
      <c r="K45" s="9"/>
      <c r="L45" s="9"/>
      <c r="M45" s="9">
        <f t="shared" si="6"/>
        <v>23.1</v>
      </c>
      <c r="N45" s="9">
        <f t="shared" si="7"/>
        <v>9</v>
      </c>
      <c r="O45" s="9">
        <v>7.7</v>
      </c>
      <c r="P45" s="9">
        <v>3</v>
      </c>
      <c r="Q45" s="9" t="s">
        <v>6</v>
      </c>
      <c r="R45" s="1">
        <v>0</v>
      </c>
      <c r="S45" s="26"/>
    </row>
    <row r="46" spans="1:19" ht="16.5" customHeight="1" x14ac:dyDescent="0.25">
      <c r="A46" s="9"/>
      <c r="B46" s="51" t="s">
        <v>83</v>
      </c>
      <c r="C46" s="52"/>
      <c r="D46" s="52"/>
      <c r="E46" s="52"/>
      <c r="F46" s="52"/>
      <c r="G46" s="53"/>
      <c r="H46" s="20"/>
      <c r="I46" s="9">
        <v>2</v>
      </c>
      <c r="J46" s="9"/>
      <c r="K46" s="9"/>
      <c r="L46" s="9"/>
      <c r="M46" s="9">
        <f t="shared" si="6"/>
        <v>16.2</v>
      </c>
      <c r="N46" s="9">
        <f t="shared" si="7"/>
        <v>7</v>
      </c>
      <c r="O46" s="9">
        <v>8.1</v>
      </c>
      <c r="P46" s="9">
        <v>3.5</v>
      </c>
      <c r="Q46" s="9" t="s">
        <v>9</v>
      </c>
      <c r="R46" s="1">
        <v>0</v>
      </c>
      <c r="S46" s="26"/>
    </row>
    <row r="47" spans="1:19" ht="16.5" customHeight="1" x14ac:dyDescent="0.25">
      <c r="A47" s="9"/>
      <c r="B47" s="51" t="s">
        <v>84</v>
      </c>
      <c r="C47" s="52"/>
      <c r="D47" s="52"/>
      <c r="E47" s="52"/>
      <c r="F47" s="52"/>
      <c r="G47" s="53"/>
      <c r="H47" s="20"/>
      <c r="I47" s="9">
        <v>2</v>
      </c>
      <c r="J47" s="9"/>
      <c r="K47" s="9"/>
      <c r="L47" s="9"/>
      <c r="M47" s="9">
        <f t="shared" si="6"/>
        <v>17.2</v>
      </c>
      <c r="N47" s="9">
        <f t="shared" si="7"/>
        <v>7.4</v>
      </c>
      <c r="O47" s="9">
        <v>8.6</v>
      </c>
      <c r="P47" s="9">
        <v>3.7</v>
      </c>
      <c r="Q47" s="9" t="s">
        <v>10</v>
      </c>
      <c r="R47" s="1">
        <v>0</v>
      </c>
      <c r="S47" s="26"/>
    </row>
    <row r="48" spans="1:19" ht="16.5" customHeight="1" x14ac:dyDescent="0.25">
      <c r="A48" s="9"/>
      <c r="B48" s="51" t="s">
        <v>85</v>
      </c>
      <c r="C48" s="52"/>
      <c r="D48" s="52"/>
      <c r="E48" s="52"/>
      <c r="F48" s="52"/>
      <c r="G48" s="53"/>
      <c r="H48" s="20"/>
      <c r="I48" s="9">
        <v>1</v>
      </c>
      <c r="J48" s="9"/>
      <c r="K48" s="9"/>
      <c r="L48" s="9"/>
      <c r="M48" s="9">
        <f t="shared" si="6"/>
        <v>7.5</v>
      </c>
      <c r="N48" s="9">
        <f t="shared" si="7"/>
        <v>3</v>
      </c>
      <c r="O48" s="9">
        <v>7.5</v>
      </c>
      <c r="P48" s="9">
        <v>3</v>
      </c>
      <c r="Q48" s="9" t="s">
        <v>6</v>
      </c>
      <c r="R48" s="1">
        <v>0</v>
      </c>
      <c r="S48" s="26"/>
    </row>
    <row r="49" spans="1:19" ht="15" customHeight="1" x14ac:dyDescent="0.25">
      <c r="A49" s="36" t="s">
        <v>0</v>
      </c>
      <c r="B49" s="29" t="s">
        <v>1</v>
      </c>
      <c r="C49" s="30"/>
      <c r="D49" s="30"/>
      <c r="E49" s="30"/>
      <c r="F49" s="30"/>
      <c r="G49" s="31"/>
      <c r="H49" s="36" t="s">
        <v>32</v>
      </c>
      <c r="I49" s="36" t="s">
        <v>39</v>
      </c>
      <c r="J49" s="55" t="s">
        <v>2</v>
      </c>
      <c r="K49" s="56"/>
      <c r="L49" s="56"/>
      <c r="M49" s="56"/>
      <c r="N49" s="56"/>
      <c r="O49" s="56"/>
      <c r="P49" s="56"/>
      <c r="Q49" s="57"/>
      <c r="S49" s="36" t="s">
        <v>38</v>
      </c>
    </row>
    <row r="50" spans="1:19" ht="24" customHeight="1" x14ac:dyDescent="0.25">
      <c r="A50" s="37"/>
      <c r="B50" s="32"/>
      <c r="C50" s="33"/>
      <c r="D50" s="33"/>
      <c r="E50" s="33"/>
      <c r="F50" s="33"/>
      <c r="G50" s="34"/>
      <c r="H50" s="37"/>
      <c r="I50" s="37"/>
      <c r="J50" s="7" t="s">
        <v>28</v>
      </c>
      <c r="K50" s="7" t="s">
        <v>29</v>
      </c>
      <c r="L50" s="7" t="s">
        <v>30</v>
      </c>
      <c r="M50" s="7"/>
      <c r="N50" s="7"/>
      <c r="O50" s="6" t="s">
        <v>35</v>
      </c>
      <c r="P50" s="6" t="s">
        <v>36</v>
      </c>
      <c r="Q50" s="6" t="s">
        <v>37</v>
      </c>
      <c r="S50" s="37"/>
    </row>
    <row r="51" spans="1:19" ht="16.5" customHeight="1" x14ac:dyDescent="0.25">
      <c r="A51" s="9"/>
      <c r="B51" s="51" t="s">
        <v>86</v>
      </c>
      <c r="C51" s="52"/>
      <c r="D51" s="52"/>
      <c r="E51" s="52"/>
      <c r="F51" s="52"/>
      <c r="G51" s="53"/>
      <c r="H51" s="20"/>
      <c r="I51" s="9">
        <v>2</v>
      </c>
      <c r="J51" s="9"/>
      <c r="K51" s="9"/>
      <c r="L51" s="9"/>
      <c r="M51" s="9">
        <f t="shared" ref="M51:M57" si="8">I51*O51</f>
        <v>17</v>
      </c>
      <c r="N51" s="9">
        <f t="shared" ref="N51:N57" si="9">I51*P51</f>
        <v>7.4</v>
      </c>
      <c r="O51" s="9">
        <v>8.5</v>
      </c>
      <c r="P51" s="9">
        <v>3.7</v>
      </c>
      <c r="Q51" s="9" t="s">
        <v>10</v>
      </c>
      <c r="R51" s="1">
        <v>0</v>
      </c>
      <c r="S51" s="26"/>
    </row>
    <row r="52" spans="1:19" ht="16.5" customHeight="1" x14ac:dyDescent="0.25">
      <c r="A52" s="9"/>
      <c r="B52" s="51" t="s">
        <v>87</v>
      </c>
      <c r="C52" s="52"/>
      <c r="D52" s="52"/>
      <c r="E52" s="52"/>
      <c r="F52" s="52"/>
      <c r="G52" s="53"/>
      <c r="H52" s="20"/>
      <c r="I52" s="9">
        <v>3</v>
      </c>
      <c r="J52" s="9"/>
      <c r="K52" s="9"/>
      <c r="L52" s="9"/>
      <c r="M52" s="9">
        <f t="shared" si="8"/>
        <v>23.1</v>
      </c>
      <c r="N52" s="9">
        <f t="shared" si="9"/>
        <v>9</v>
      </c>
      <c r="O52" s="9">
        <v>7.7</v>
      </c>
      <c r="P52" s="9">
        <v>3</v>
      </c>
      <c r="Q52" s="9" t="s">
        <v>6</v>
      </c>
      <c r="R52" s="1">
        <v>0</v>
      </c>
      <c r="S52" s="26"/>
    </row>
    <row r="53" spans="1:19" ht="16.5" customHeight="1" x14ac:dyDescent="0.25">
      <c r="A53" s="9"/>
      <c r="B53" s="51" t="s">
        <v>88</v>
      </c>
      <c r="C53" s="52"/>
      <c r="D53" s="52"/>
      <c r="E53" s="52"/>
      <c r="F53" s="52"/>
      <c r="G53" s="53"/>
      <c r="H53" s="20"/>
      <c r="I53" s="9">
        <v>4</v>
      </c>
      <c r="J53" s="9"/>
      <c r="K53" s="9"/>
      <c r="L53" s="9"/>
      <c r="M53" s="9">
        <f t="shared" si="8"/>
        <v>31.2</v>
      </c>
      <c r="N53" s="9">
        <f t="shared" si="9"/>
        <v>12</v>
      </c>
      <c r="O53" s="9">
        <v>7.8</v>
      </c>
      <c r="P53" s="9">
        <v>3</v>
      </c>
      <c r="Q53" s="9" t="s">
        <v>6</v>
      </c>
      <c r="R53" s="1">
        <v>0</v>
      </c>
      <c r="S53" s="26"/>
    </row>
    <row r="54" spans="1:19" ht="16.5" customHeight="1" x14ac:dyDescent="0.25">
      <c r="A54" s="9"/>
      <c r="B54" s="51" t="s">
        <v>89</v>
      </c>
      <c r="C54" s="52"/>
      <c r="D54" s="52"/>
      <c r="E54" s="52"/>
      <c r="F54" s="52"/>
      <c r="G54" s="53"/>
      <c r="H54" s="20"/>
      <c r="I54" s="9">
        <v>3</v>
      </c>
      <c r="J54" s="9"/>
      <c r="K54" s="9"/>
      <c r="L54" s="9"/>
      <c r="M54" s="9">
        <f t="shared" si="8"/>
        <v>27.900000000000002</v>
      </c>
      <c r="N54" s="9">
        <f t="shared" si="9"/>
        <v>12</v>
      </c>
      <c r="O54" s="9">
        <v>9.3000000000000007</v>
      </c>
      <c r="P54" s="9">
        <v>4</v>
      </c>
      <c r="Q54" s="9" t="s">
        <v>12</v>
      </c>
      <c r="R54" s="1">
        <v>0</v>
      </c>
      <c r="S54" s="26"/>
    </row>
    <row r="55" spans="1:19" ht="16.5" customHeight="1" x14ac:dyDescent="0.25">
      <c r="A55" s="9"/>
      <c r="B55" s="51" t="s">
        <v>90</v>
      </c>
      <c r="C55" s="52"/>
      <c r="D55" s="52"/>
      <c r="E55" s="52"/>
      <c r="F55" s="52"/>
      <c r="G55" s="53"/>
      <c r="H55" s="20"/>
      <c r="I55" s="9">
        <v>2</v>
      </c>
      <c r="J55" s="9"/>
      <c r="K55" s="9"/>
      <c r="L55" s="9"/>
      <c r="M55" s="9">
        <f t="shared" si="8"/>
        <v>15</v>
      </c>
      <c r="N55" s="9">
        <f t="shared" si="9"/>
        <v>6</v>
      </c>
      <c r="O55" s="9">
        <v>7.5</v>
      </c>
      <c r="P55" s="9">
        <v>3</v>
      </c>
      <c r="Q55" s="9" t="s">
        <v>6</v>
      </c>
      <c r="R55" s="1">
        <v>0</v>
      </c>
      <c r="S55" s="26"/>
    </row>
    <row r="56" spans="1:19" ht="16.5" hidden="1" customHeight="1" x14ac:dyDescent="0.25">
      <c r="A56" s="21"/>
      <c r="H56" s="21"/>
      <c r="I56" s="21"/>
      <c r="J56" s="21"/>
      <c r="K56" s="21"/>
      <c r="L56" s="21"/>
      <c r="M56" s="9">
        <f t="shared" si="8"/>
        <v>0</v>
      </c>
      <c r="N56" s="9">
        <f t="shared" si="9"/>
        <v>0</v>
      </c>
      <c r="O56" s="21"/>
      <c r="P56" s="21"/>
      <c r="Q56" s="21"/>
      <c r="S56" s="25"/>
    </row>
    <row r="57" spans="1:19" ht="16.5" customHeight="1" x14ac:dyDescent="0.25">
      <c r="A57" s="9"/>
      <c r="B57" s="39" t="s">
        <v>42</v>
      </c>
      <c r="C57" s="40"/>
      <c r="D57" s="40"/>
      <c r="E57" s="40"/>
      <c r="F57" s="40"/>
      <c r="G57" s="41"/>
      <c r="H57" s="23"/>
      <c r="I57" s="24">
        <f>SUM(I43:I56)</f>
        <v>26</v>
      </c>
      <c r="J57" s="9"/>
      <c r="K57" s="9"/>
      <c r="L57" s="9"/>
      <c r="M57" s="9">
        <f t="shared" si="8"/>
        <v>205.4</v>
      </c>
      <c r="N57" s="9">
        <f t="shared" si="9"/>
        <v>82.68</v>
      </c>
      <c r="O57" s="24">
        <f>ROUND(SUM(M43:M56)/I57,2)</f>
        <v>7.9</v>
      </c>
      <c r="P57" s="24">
        <f>ROUND(SUM(N43:N56)/I57,2)</f>
        <v>3.18</v>
      </c>
      <c r="Q57" s="9"/>
      <c r="S57" s="25"/>
    </row>
    <row r="58" spans="1:19" ht="20.25" customHeight="1" x14ac:dyDescent="0.25">
      <c r="A58" s="27" t="s">
        <v>91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spans="1:19" ht="16.5" customHeight="1" x14ac:dyDescent="0.25">
      <c r="A59" s="9"/>
      <c r="B59" s="51" t="s">
        <v>92</v>
      </c>
      <c r="C59" s="52"/>
      <c r="D59" s="52"/>
      <c r="E59" s="52"/>
      <c r="F59" s="52"/>
      <c r="G59" s="53"/>
      <c r="H59" s="20"/>
      <c r="I59" s="9">
        <v>1</v>
      </c>
      <c r="J59" s="9"/>
      <c r="K59" s="9"/>
      <c r="L59" s="9"/>
      <c r="M59" s="9">
        <f t="shared" ref="M59:M70" si="10">I59*O59</f>
        <v>8.1</v>
      </c>
      <c r="N59" s="9">
        <f t="shared" ref="N59:N70" si="11">I59*P59</f>
        <v>3.5</v>
      </c>
      <c r="O59" s="9">
        <v>8.1</v>
      </c>
      <c r="P59" s="9">
        <v>3.5</v>
      </c>
      <c r="Q59" s="9" t="s">
        <v>9</v>
      </c>
      <c r="R59" s="1">
        <v>0</v>
      </c>
      <c r="S59" s="26"/>
    </row>
    <row r="60" spans="1:19" ht="16.5" customHeight="1" x14ac:dyDescent="0.25">
      <c r="A60" s="9"/>
      <c r="B60" s="51" t="s">
        <v>93</v>
      </c>
      <c r="C60" s="52"/>
      <c r="D60" s="52"/>
      <c r="E60" s="52"/>
      <c r="F60" s="52"/>
      <c r="G60" s="53"/>
      <c r="H60" s="20"/>
      <c r="I60" s="9">
        <v>3</v>
      </c>
      <c r="J60" s="9"/>
      <c r="K60" s="9"/>
      <c r="L60" s="9"/>
      <c r="M60" s="9">
        <f t="shared" si="10"/>
        <v>24</v>
      </c>
      <c r="N60" s="9">
        <f t="shared" si="11"/>
        <v>10.5</v>
      </c>
      <c r="O60" s="9">
        <v>8</v>
      </c>
      <c r="P60" s="9">
        <v>3.5</v>
      </c>
      <c r="Q60" s="9" t="s">
        <v>9</v>
      </c>
      <c r="R60" s="1">
        <v>0</v>
      </c>
      <c r="S60" s="26"/>
    </row>
    <row r="61" spans="1:19" ht="16.5" customHeight="1" x14ac:dyDescent="0.25">
      <c r="A61" s="9"/>
      <c r="B61" s="51" t="s">
        <v>94</v>
      </c>
      <c r="C61" s="52"/>
      <c r="D61" s="52"/>
      <c r="E61" s="52"/>
      <c r="F61" s="52"/>
      <c r="G61" s="53"/>
      <c r="H61" s="20"/>
      <c r="I61" s="9">
        <v>3</v>
      </c>
      <c r="J61" s="9"/>
      <c r="K61" s="9"/>
      <c r="L61" s="9"/>
      <c r="M61" s="9">
        <f t="shared" si="10"/>
        <v>27</v>
      </c>
      <c r="N61" s="9">
        <f t="shared" si="11"/>
        <v>12</v>
      </c>
      <c r="O61" s="9">
        <v>9</v>
      </c>
      <c r="P61" s="9">
        <v>4</v>
      </c>
      <c r="Q61" s="9" t="s">
        <v>12</v>
      </c>
      <c r="R61" s="1">
        <v>0</v>
      </c>
      <c r="S61" s="26"/>
    </row>
    <row r="62" spans="1:19" ht="16.5" customHeight="1" x14ac:dyDescent="0.25">
      <c r="A62" s="9"/>
      <c r="B62" s="51" t="s">
        <v>95</v>
      </c>
      <c r="C62" s="52"/>
      <c r="D62" s="52"/>
      <c r="E62" s="52"/>
      <c r="F62" s="52"/>
      <c r="G62" s="53"/>
      <c r="H62" s="20"/>
      <c r="I62" s="9">
        <v>1</v>
      </c>
      <c r="J62" s="9"/>
      <c r="K62" s="9"/>
      <c r="L62" s="9"/>
      <c r="M62" s="9">
        <f t="shared" si="10"/>
        <v>8.1</v>
      </c>
      <c r="N62" s="9">
        <f t="shared" si="11"/>
        <v>3.5</v>
      </c>
      <c r="O62" s="9">
        <v>8.1</v>
      </c>
      <c r="P62" s="9">
        <v>3.5</v>
      </c>
      <c r="Q62" s="9" t="s">
        <v>9</v>
      </c>
      <c r="R62" s="1">
        <v>0</v>
      </c>
      <c r="S62" s="26"/>
    </row>
    <row r="63" spans="1:19" ht="16.5" customHeight="1" x14ac:dyDescent="0.25">
      <c r="A63" s="9"/>
      <c r="B63" s="51" t="s">
        <v>96</v>
      </c>
      <c r="C63" s="52"/>
      <c r="D63" s="52"/>
      <c r="E63" s="52"/>
      <c r="F63" s="52"/>
      <c r="G63" s="53"/>
      <c r="H63" s="20"/>
      <c r="I63" s="9">
        <v>1</v>
      </c>
      <c r="J63" s="9"/>
      <c r="K63" s="9"/>
      <c r="L63" s="9"/>
      <c r="M63" s="9">
        <f t="shared" si="10"/>
        <v>8.1</v>
      </c>
      <c r="N63" s="9">
        <f t="shared" si="11"/>
        <v>3.5</v>
      </c>
      <c r="O63" s="9">
        <v>8.1</v>
      </c>
      <c r="P63" s="9">
        <v>3.5</v>
      </c>
      <c r="Q63" s="9" t="s">
        <v>9</v>
      </c>
      <c r="R63" s="1">
        <v>0</v>
      </c>
      <c r="S63" s="26"/>
    </row>
    <row r="64" spans="1:19" ht="16.5" customHeight="1" x14ac:dyDescent="0.25">
      <c r="A64" s="9"/>
      <c r="B64" s="51" t="s">
        <v>97</v>
      </c>
      <c r="C64" s="52"/>
      <c r="D64" s="52"/>
      <c r="E64" s="52"/>
      <c r="F64" s="52"/>
      <c r="G64" s="53"/>
      <c r="H64" s="20"/>
      <c r="I64" s="9">
        <v>2</v>
      </c>
      <c r="J64" s="9"/>
      <c r="K64" s="9"/>
      <c r="L64" s="9"/>
      <c r="M64" s="9">
        <f t="shared" si="10"/>
        <v>13</v>
      </c>
      <c r="N64" s="9">
        <f t="shared" si="11"/>
        <v>5</v>
      </c>
      <c r="O64" s="9">
        <v>6.5</v>
      </c>
      <c r="P64" s="9">
        <v>2.5</v>
      </c>
      <c r="Q64" s="9" t="s">
        <v>5</v>
      </c>
      <c r="R64" s="1">
        <v>0</v>
      </c>
      <c r="S64" s="26"/>
    </row>
    <row r="65" spans="1:19" ht="16.5" customHeight="1" x14ac:dyDescent="0.25">
      <c r="A65" s="9"/>
      <c r="B65" s="51" t="s">
        <v>98</v>
      </c>
      <c r="C65" s="52"/>
      <c r="D65" s="52"/>
      <c r="E65" s="52"/>
      <c r="F65" s="52"/>
      <c r="G65" s="53"/>
      <c r="H65" s="20"/>
      <c r="I65" s="9">
        <v>2</v>
      </c>
      <c r="J65" s="9"/>
      <c r="K65" s="9"/>
      <c r="L65" s="9"/>
      <c r="M65" s="9">
        <f t="shared" si="10"/>
        <v>15.8</v>
      </c>
      <c r="N65" s="9">
        <f t="shared" si="11"/>
        <v>6</v>
      </c>
      <c r="O65" s="9">
        <v>7.9</v>
      </c>
      <c r="P65" s="9">
        <v>3</v>
      </c>
      <c r="Q65" s="9" t="s">
        <v>6</v>
      </c>
      <c r="R65" s="1">
        <v>0</v>
      </c>
      <c r="S65" s="26"/>
    </row>
    <row r="66" spans="1:19" ht="16.5" customHeight="1" x14ac:dyDescent="0.25">
      <c r="A66" s="9"/>
      <c r="B66" s="51" t="s">
        <v>99</v>
      </c>
      <c r="C66" s="52"/>
      <c r="D66" s="52"/>
      <c r="E66" s="52"/>
      <c r="F66" s="52"/>
      <c r="G66" s="53"/>
      <c r="H66" s="20"/>
      <c r="I66" s="9">
        <v>2</v>
      </c>
      <c r="J66" s="9"/>
      <c r="K66" s="9"/>
      <c r="L66" s="9"/>
      <c r="M66" s="9">
        <f t="shared" si="10"/>
        <v>17.2</v>
      </c>
      <c r="N66" s="9">
        <f t="shared" si="11"/>
        <v>7.4</v>
      </c>
      <c r="O66" s="9">
        <v>8.6</v>
      </c>
      <c r="P66" s="9">
        <v>3.7</v>
      </c>
      <c r="Q66" s="9" t="s">
        <v>10</v>
      </c>
      <c r="R66" s="1">
        <v>0</v>
      </c>
      <c r="S66" s="26"/>
    </row>
    <row r="67" spans="1:19" ht="16.5" customHeight="1" x14ac:dyDescent="0.25">
      <c r="A67" s="9"/>
      <c r="B67" s="51" t="s">
        <v>100</v>
      </c>
      <c r="C67" s="52"/>
      <c r="D67" s="52"/>
      <c r="E67" s="52"/>
      <c r="F67" s="52"/>
      <c r="G67" s="53"/>
      <c r="H67" s="20"/>
      <c r="I67" s="9">
        <v>2</v>
      </c>
      <c r="J67" s="9"/>
      <c r="K67" s="9"/>
      <c r="L67" s="9"/>
      <c r="M67" s="9">
        <f t="shared" si="10"/>
        <v>16.2</v>
      </c>
      <c r="N67" s="9">
        <f t="shared" si="11"/>
        <v>7</v>
      </c>
      <c r="O67" s="9">
        <v>8.1</v>
      </c>
      <c r="P67" s="9">
        <v>3.5</v>
      </c>
      <c r="Q67" s="9" t="s">
        <v>9</v>
      </c>
      <c r="R67" s="1">
        <v>0</v>
      </c>
      <c r="S67" s="26"/>
    </row>
    <row r="68" spans="1:19" ht="16.5" customHeight="1" x14ac:dyDescent="0.25">
      <c r="A68" s="9"/>
      <c r="B68" s="51" t="s">
        <v>101</v>
      </c>
      <c r="C68" s="52"/>
      <c r="D68" s="52"/>
      <c r="E68" s="52"/>
      <c r="F68" s="52"/>
      <c r="G68" s="53"/>
      <c r="H68" s="20"/>
      <c r="I68" s="9">
        <v>4</v>
      </c>
      <c r="J68" s="9"/>
      <c r="K68" s="9"/>
      <c r="L68" s="9"/>
      <c r="M68" s="9">
        <f t="shared" si="10"/>
        <v>33.200000000000003</v>
      </c>
      <c r="N68" s="9">
        <f t="shared" si="11"/>
        <v>14</v>
      </c>
      <c r="O68" s="9">
        <v>8.3000000000000007</v>
      </c>
      <c r="P68" s="9">
        <v>3.5</v>
      </c>
      <c r="Q68" s="9" t="s">
        <v>9</v>
      </c>
      <c r="R68" s="1">
        <v>0</v>
      </c>
      <c r="S68" s="26"/>
    </row>
    <row r="69" spans="1:19" ht="16.5" hidden="1" customHeight="1" x14ac:dyDescent="0.25">
      <c r="A69" s="21"/>
      <c r="H69" s="21"/>
      <c r="I69" s="21"/>
      <c r="J69" s="21"/>
      <c r="K69" s="21"/>
      <c r="L69" s="21"/>
      <c r="M69" s="9">
        <f t="shared" si="10"/>
        <v>0</v>
      </c>
      <c r="N69" s="9">
        <f t="shared" si="11"/>
        <v>0</v>
      </c>
      <c r="O69" s="21"/>
      <c r="P69" s="21"/>
      <c r="Q69" s="21"/>
      <c r="S69" s="25"/>
    </row>
    <row r="70" spans="1:19" ht="16.5" customHeight="1" x14ac:dyDescent="0.25">
      <c r="A70" s="9"/>
      <c r="B70" s="39" t="s">
        <v>42</v>
      </c>
      <c r="C70" s="40"/>
      <c r="D70" s="40"/>
      <c r="E70" s="40"/>
      <c r="F70" s="40"/>
      <c r="G70" s="41"/>
      <c r="H70" s="23"/>
      <c r="I70" s="24">
        <f>SUM(I59:I69)</f>
        <v>21</v>
      </c>
      <c r="J70" s="9"/>
      <c r="K70" s="9"/>
      <c r="L70" s="9"/>
      <c r="M70" s="9">
        <f t="shared" si="10"/>
        <v>170.73000000000002</v>
      </c>
      <c r="N70" s="9">
        <f t="shared" si="11"/>
        <v>72.45</v>
      </c>
      <c r="O70" s="24">
        <f>ROUND(SUM(M59:M69)/I70,2)</f>
        <v>8.1300000000000008</v>
      </c>
      <c r="P70" s="24">
        <f>ROUND(SUM(N59:N69)/I70,2)</f>
        <v>3.45</v>
      </c>
      <c r="Q70" s="9"/>
      <c r="S70" s="25"/>
    </row>
    <row r="71" spans="1:19" ht="20.25" customHeight="1" x14ac:dyDescent="0.25">
      <c r="A71" s="27" t="s">
        <v>102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</row>
    <row r="72" spans="1:19" ht="16.5" customHeight="1" x14ac:dyDescent="0.25">
      <c r="A72" s="9"/>
      <c r="B72" s="51" t="s">
        <v>103</v>
      </c>
      <c r="C72" s="52"/>
      <c r="D72" s="52"/>
      <c r="E72" s="52"/>
      <c r="F72" s="52"/>
      <c r="G72" s="53"/>
      <c r="H72" s="20"/>
      <c r="I72" s="9">
        <v>1</v>
      </c>
      <c r="J72" s="9"/>
      <c r="K72" s="9"/>
      <c r="L72" s="9"/>
      <c r="M72" s="9">
        <f t="shared" ref="M72:M83" si="12">I72*O72</f>
        <v>7.6</v>
      </c>
      <c r="N72" s="9">
        <f t="shared" ref="N72:N83" si="13">I72*P72</f>
        <v>3</v>
      </c>
      <c r="O72" s="9">
        <v>7.6</v>
      </c>
      <c r="P72" s="9">
        <v>3</v>
      </c>
      <c r="Q72" s="9" t="s">
        <v>6</v>
      </c>
      <c r="R72" s="1">
        <v>0</v>
      </c>
      <c r="S72" s="26"/>
    </row>
    <row r="73" spans="1:19" ht="16.5" customHeight="1" x14ac:dyDescent="0.25">
      <c r="A73" s="9"/>
      <c r="B73" s="51" t="s">
        <v>104</v>
      </c>
      <c r="C73" s="52"/>
      <c r="D73" s="52"/>
      <c r="E73" s="52"/>
      <c r="F73" s="52"/>
      <c r="G73" s="53"/>
      <c r="H73" s="20"/>
      <c r="I73" s="9">
        <v>3</v>
      </c>
      <c r="J73" s="9"/>
      <c r="K73" s="9"/>
      <c r="L73" s="9"/>
      <c r="M73" s="9">
        <f t="shared" si="12"/>
        <v>21.299999999999997</v>
      </c>
      <c r="N73" s="9">
        <f t="shared" si="13"/>
        <v>9</v>
      </c>
      <c r="O73" s="9">
        <v>7.1</v>
      </c>
      <c r="P73" s="9">
        <v>3</v>
      </c>
      <c r="Q73" s="9" t="s">
        <v>6</v>
      </c>
      <c r="R73" s="1">
        <v>0</v>
      </c>
      <c r="S73" s="26"/>
    </row>
    <row r="74" spans="1:19" ht="16.5" customHeight="1" x14ac:dyDescent="0.25">
      <c r="A74" s="9"/>
      <c r="B74" s="51" t="s">
        <v>105</v>
      </c>
      <c r="C74" s="52"/>
      <c r="D74" s="52"/>
      <c r="E74" s="52"/>
      <c r="F74" s="52"/>
      <c r="G74" s="53"/>
      <c r="H74" s="20"/>
      <c r="I74" s="9">
        <v>3</v>
      </c>
      <c r="J74" s="9"/>
      <c r="K74" s="9"/>
      <c r="L74" s="9"/>
      <c r="M74" s="9">
        <f t="shared" si="12"/>
        <v>26.700000000000003</v>
      </c>
      <c r="N74" s="9">
        <f t="shared" si="13"/>
        <v>11.100000000000001</v>
      </c>
      <c r="O74" s="9">
        <v>8.9</v>
      </c>
      <c r="P74" s="9">
        <v>3.7</v>
      </c>
      <c r="Q74" s="9" t="s">
        <v>10</v>
      </c>
      <c r="R74" s="1">
        <v>0</v>
      </c>
      <c r="S74" s="26"/>
    </row>
    <row r="75" spans="1:19" ht="16.5" customHeight="1" x14ac:dyDescent="0.25">
      <c r="A75" s="9"/>
      <c r="B75" s="51" t="s">
        <v>106</v>
      </c>
      <c r="C75" s="52"/>
      <c r="D75" s="52"/>
      <c r="E75" s="52"/>
      <c r="F75" s="52"/>
      <c r="G75" s="53"/>
      <c r="H75" s="20"/>
      <c r="I75" s="9">
        <v>3</v>
      </c>
      <c r="J75" s="9"/>
      <c r="K75" s="9"/>
      <c r="L75" s="9"/>
      <c r="M75" s="9">
        <f t="shared" si="12"/>
        <v>26.700000000000003</v>
      </c>
      <c r="N75" s="9">
        <f t="shared" si="13"/>
        <v>11.100000000000001</v>
      </c>
      <c r="O75" s="9">
        <v>8.9</v>
      </c>
      <c r="P75" s="9">
        <v>3.7</v>
      </c>
      <c r="Q75" s="9" t="s">
        <v>10</v>
      </c>
      <c r="R75" s="1">
        <v>0</v>
      </c>
      <c r="S75" s="26"/>
    </row>
    <row r="76" spans="1:19" ht="16.5" customHeight="1" x14ac:dyDescent="0.25">
      <c r="A76" s="9"/>
      <c r="B76" s="51" t="s">
        <v>107</v>
      </c>
      <c r="C76" s="52"/>
      <c r="D76" s="52"/>
      <c r="E76" s="52"/>
      <c r="F76" s="52"/>
      <c r="G76" s="53"/>
      <c r="H76" s="20"/>
      <c r="I76" s="9">
        <v>2</v>
      </c>
      <c r="J76" s="9"/>
      <c r="K76" s="9"/>
      <c r="L76" s="9"/>
      <c r="M76" s="9">
        <f t="shared" si="12"/>
        <v>16.399999999999999</v>
      </c>
      <c r="N76" s="9">
        <f t="shared" si="13"/>
        <v>7</v>
      </c>
      <c r="O76" s="9">
        <v>8.1999999999999993</v>
      </c>
      <c r="P76" s="9">
        <v>3.5</v>
      </c>
      <c r="Q76" s="9" t="s">
        <v>9</v>
      </c>
      <c r="R76" s="1">
        <v>0</v>
      </c>
      <c r="S76" s="26"/>
    </row>
    <row r="77" spans="1:19" ht="16.5" customHeight="1" x14ac:dyDescent="0.25">
      <c r="A77" s="9"/>
      <c r="B77" s="51" t="s">
        <v>108</v>
      </c>
      <c r="C77" s="52"/>
      <c r="D77" s="52"/>
      <c r="E77" s="52"/>
      <c r="F77" s="52"/>
      <c r="G77" s="53"/>
      <c r="H77" s="20"/>
      <c r="I77" s="9">
        <v>2</v>
      </c>
      <c r="J77" s="9"/>
      <c r="K77" s="9"/>
      <c r="L77" s="9"/>
      <c r="M77" s="9">
        <f t="shared" si="12"/>
        <v>15.8</v>
      </c>
      <c r="N77" s="9">
        <f t="shared" si="13"/>
        <v>6</v>
      </c>
      <c r="O77" s="9">
        <v>7.9</v>
      </c>
      <c r="P77" s="9">
        <v>3</v>
      </c>
      <c r="Q77" s="9" t="s">
        <v>6</v>
      </c>
      <c r="R77" s="1">
        <v>0</v>
      </c>
      <c r="S77" s="26"/>
    </row>
    <row r="78" spans="1:19" ht="16.5" customHeight="1" x14ac:dyDescent="0.25">
      <c r="A78" s="9"/>
      <c r="B78" s="51" t="s">
        <v>109</v>
      </c>
      <c r="C78" s="52"/>
      <c r="D78" s="52"/>
      <c r="E78" s="52"/>
      <c r="F78" s="52"/>
      <c r="G78" s="53"/>
      <c r="H78" s="20"/>
      <c r="I78" s="9">
        <v>2</v>
      </c>
      <c r="J78" s="9"/>
      <c r="K78" s="9"/>
      <c r="L78" s="9"/>
      <c r="M78" s="9">
        <f t="shared" si="12"/>
        <v>15.4</v>
      </c>
      <c r="N78" s="9">
        <f t="shared" si="13"/>
        <v>6</v>
      </c>
      <c r="O78" s="9">
        <v>7.7</v>
      </c>
      <c r="P78" s="9">
        <v>3</v>
      </c>
      <c r="Q78" s="9" t="s">
        <v>6</v>
      </c>
      <c r="R78" s="1">
        <v>0</v>
      </c>
      <c r="S78" s="26"/>
    </row>
    <row r="79" spans="1:19" ht="16.5" customHeight="1" x14ac:dyDescent="0.25">
      <c r="A79" s="9"/>
      <c r="B79" s="51" t="s">
        <v>110</v>
      </c>
      <c r="C79" s="52"/>
      <c r="D79" s="52"/>
      <c r="E79" s="52"/>
      <c r="F79" s="52"/>
      <c r="G79" s="53"/>
      <c r="H79" s="20"/>
      <c r="I79" s="9">
        <v>4</v>
      </c>
      <c r="J79" s="9"/>
      <c r="K79" s="9"/>
      <c r="L79" s="9"/>
      <c r="M79" s="9">
        <f t="shared" si="12"/>
        <v>32.799999999999997</v>
      </c>
      <c r="N79" s="9">
        <f t="shared" si="13"/>
        <v>14</v>
      </c>
      <c r="O79" s="9">
        <v>8.1999999999999993</v>
      </c>
      <c r="P79" s="9">
        <v>3.5</v>
      </c>
      <c r="Q79" s="9" t="s">
        <v>9</v>
      </c>
      <c r="R79" s="1">
        <v>0</v>
      </c>
      <c r="S79" s="26"/>
    </row>
    <row r="80" spans="1:19" ht="16.5" customHeight="1" x14ac:dyDescent="0.25">
      <c r="A80" s="9"/>
      <c r="B80" s="51" t="s">
        <v>111</v>
      </c>
      <c r="C80" s="52"/>
      <c r="D80" s="52"/>
      <c r="E80" s="52"/>
      <c r="F80" s="52"/>
      <c r="G80" s="53"/>
      <c r="H80" s="20"/>
      <c r="I80" s="9">
        <v>2</v>
      </c>
      <c r="J80" s="9"/>
      <c r="K80" s="9"/>
      <c r="L80" s="9"/>
      <c r="M80" s="9">
        <f t="shared" si="12"/>
        <v>15.2</v>
      </c>
      <c r="N80" s="9">
        <f t="shared" si="13"/>
        <v>6</v>
      </c>
      <c r="O80" s="9">
        <v>7.6</v>
      </c>
      <c r="P80" s="9">
        <v>3</v>
      </c>
      <c r="Q80" s="9" t="s">
        <v>6</v>
      </c>
      <c r="R80" s="1">
        <v>0</v>
      </c>
      <c r="S80" s="26"/>
    </row>
    <row r="81" spans="1:19" ht="16.5" customHeight="1" x14ac:dyDescent="0.25">
      <c r="A81" s="9"/>
      <c r="B81" s="51" t="s">
        <v>112</v>
      </c>
      <c r="C81" s="52"/>
      <c r="D81" s="52"/>
      <c r="E81" s="52"/>
      <c r="F81" s="52"/>
      <c r="G81" s="53"/>
      <c r="H81" s="20"/>
      <c r="I81" s="9">
        <v>3</v>
      </c>
      <c r="J81" s="9"/>
      <c r="K81" s="9"/>
      <c r="L81" s="9"/>
      <c r="M81" s="9">
        <f t="shared" si="12"/>
        <v>26.700000000000003</v>
      </c>
      <c r="N81" s="9">
        <f t="shared" si="13"/>
        <v>11.100000000000001</v>
      </c>
      <c r="O81" s="9">
        <v>8.9</v>
      </c>
      <c r="P81" s="9">
        <v>3.7</v>
      </c>
      <c r="Q81" s="9" t="s">
        <v>10</v>
      </c>
      <c r="R81" s="1">
        <v>0</v>
      </c>
      <c r="S81" s="26"/>
    </row>
    <row r="82" spans="1:19" ht="16.5" hidden="1" customHeight="1" x14ac:dyDescent="0.25">
      <c r="A82" s="21"/>
      <c r="H82" s="21"/>
      <c r="I82" s="21"/>
      <c r="J82" s="21"/>
      <c r="K82" s="21"/>
      <c r="L82" s="21"/>
      <c r="M82" s="9">
        <f t="shared" si="12"/>
        <v>0</v>
      </c>
      <c r="N82" s="9">
        <f t="shared" si="13"/>
        <v>0</v>
      </c>
      <c r="O82" s="21"/>
      <c r="P82" s="21"/>
      <c r="Q82" s="21"/>
      <c r="S82" s="25"/>
    </row>
    <row r="83" spans="1:19" ht="16.5" customHeight="1" x14ac:dyDescent="0.25">
      <c r="A83" s="9"/>
      <c r="B83" s="39" t="s">
        <v>42</v>
      </c>
      <c r="C83" s="40"/>
      <c r="D83" s="40"/>
      <c r="E83" s="40"/>
      <c r="F83" s="40"/>
      <c r="G83" s="41"/>
      <c r="H83" s="23"/>
      <c r="I83" s="24">
        <f>SUM(I72:I82)</f>
        <v>25</v>
      </c>
      <c r="J83" s="9"/>
      <c r="K83" s="9"/>
      <c r="L83" s="9"/>
      <c r="M83" s="9">
        <f t="shared" si="12"/>
        <v>204.5</v>
      </c>
      <c r="N83" s="9">
        <f t="shared" si="13"/>
        <v>84.25</v>
      </c>
      <c r="O83" s="24">
        <f>ROUND(SUM(M72:M82)/I83,2)</f>
        <v>8.18</v>
      </c>
      <c r="P83" s="24">
        <f>ROUND(SUM(N72:N82)/I83,2)</f>
        <v>3.37</v>
      </c>
      <c r="Q83" s="9"/>
      <c r="S83" s="25"/>
    </row>
    <row r="84" spans="1:19" ht="20.25" customHeight="1" x14ac:dyDescent="0.25">
      <c r="A84" s="27" t="s">
        <v>113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</row>
    <row r="85" spans="1:19" ht="16.5" customHeight="1" x14ac:dyDescent="0.25">
      <c r="A85" s="9"/>
      <c r="B85" s="51" t="s">
        <v>114</v>
      </c>
      <c r="C85" s="52"/>
      <c r="D85" s="52"/>
      <c r="E85" s="52"/>
      <c r="F85" s="52"/>
      <c r="G85" s="53"/>
      <c r="H85" s="20"/>
      <c r="I85" s="9">
        <v>3</v>
      </c>
      <c r="J85" s="9"/>
      <c r="K85" s="9"/>
      <c r="L85" s="9"/>
      <c r="M85" s="9">
        <f t="shared" ref="M85:M93" si="14">I85*O85</f>
        <v>0</v>
      </c>
      <c r="N85" s="9">
        <f t="shared" ref="N85:N93" si="15">I85*P85</f>
        <v>0</v>
      </c>
      <c r="O85" s="9"/>
      <c r="P85" s="9"/>
      <c r="Q85" s="9"/>
      <c r="R85" s="1">
        <v>0</v>
      </c>
      <c r="S85" s="26"/>
    </row>
    <row r="86" spans="1:19" ht="16.5" customHeight="1" x14ac:dyDescent="0.25">
      <c r="A86" s="9"/>
      <c r="B86" s="51" t="s">
        <v>115</v>
      </c>
      <c r="C86" s="52"/>
      <c r="D86" s="52"/>
      <c r="E86" s="52"/>
      <c r="F86" s="52"/>
      <c r="G86" s="53"/>
      <c r="H86" s="20"/>
      <c r="I86" s="9">
        <v>3</v>
      </c>
      <c r="J86" s="9"/>
      <c r="K86" s="9"/>
      <c r="L86" s="9"/>
      <c r="M86" s="9">
        <f t="shared" si="14"/>
        <v>0</v>
      </c>
      <c r="N86" s="9">
        <f t="shared" si="15"/>
        <v>0</v>
      </c>
      <c r="O86" s="9"/>
      <c r="P86" s="9"/>
      <c r="Q86" s="9"/>
      <c r="R86" s="1">
        <v>0</v>
      </c>
      <c r="S86" s="26"/>
    </row>
    <row r="87" spans="1:19" ht="16.5" customHeight="1" x14ac:dyDescent="0.25">
      <c r="A87" s="9"/>
      <c r="B87" s="51" t="s">
        <v>116</v>
      </c>
      <c r="C87" s="52"/>
      <c r="D87" s="52"/>
      <c r="E87" s="52"/>
      <c r="F87" s="52"/>
      <c r="G87" s="53"/>
      <c r="H87" s="20"/>
      <c r="I87" s="9">
        <v>3</v>
      </c>
      <c r="J87" s="9"/>
      <c r="K87" s="9"/>
      <c r="L87" s="9"/>
      <c r="M87" s="9">
        <f t="shared" si="14"/>
        <v>0</v>
      </c>
      <c r="N87" s="9">
        <f t="shared" si="15"/>
        <v>0</v>
      </c>
      <c r="O87" s="9"/>
      <c r="P87" s="9"/>
      <c r="Q87" s="9"/>
      <c r="R87" s="1">
        <v>0</v>
      </c>
      <c r="S87" s="26"/>
    </row>
    <row r="88" spans="1:19" ht="16.5" customHeight="1" x14ac:dyDescent="0.25">
      <c r="A88" s="9"/>
      <c r="B88" s="51" t="s">
        <v>117</v>
      </c>
      <c r="C88" s="52"/>
      <c r="D88" s="52"/>
      <c r="E88" s="52"/>
      <c r="F88" s="52"/>
      <c r="G88" s="53"/>
      <c r="H88" s="20"/>
      <c r="I88" s="9">
        <v>1</v>
      </c>
      <c r="J88" s="9"/>
      <c r="K88" s="9"/>
      <c r="L88" s="9"/>
      <c r="M88" s="9">
        <f t="shared" si="14"/>
        <v>8</v>
      </c>
      <c r="N88" s="9">
        <f t="shared" si="15"/>
        <v>3.5</v>
      </c>
      <c r="O88" s="9">
        <v>8</v>
      </c>
      <c r="P88" s="9">
        <v>3.5</v>
      </c>
      <c r="Q88" s="9" t="s">
        <v>9</v>
      </c>
      <c r="R88" s="1">
        <v>0</v>
      </c>
      <c r="S88" s="26"/>
    </row>
    <row r="89" spans="1:19" ht="16.5" customHeight="1" x14ac:dyDescent="0.25">
      <c r="A89" s="9"/>
      <c r="B89" s="51" t="s">
        <v>118</v>
      </c>
      <c r="C89" s="52"/>
      <c r="D89" s="52"/>
      <c r="E89" s="52"/>
      <c r="F89" s="52"/>
      <c r="G89" s="53"/>
      <c r="H89" s="20"/>
      <c r="I89" s="9">
        <v>3</v>
      </c>
      <c r="J89" s="9"/>
      <c r="K89" s="9"/>
      <c r="L89" s="9"/>
      <c r="M89" s="9">
        <f t="shared" si="14"/>
        <v>0</v>
      </c>
      <c r="N89" s="9">
        <f t="shared" si="15"/>
        <v>0</v>
      </c>
      <c r="O89" s="9"/>
      <c r="P89" s="9"/>
      <c r="Q89" s="9"/>
      <c r="R89" s="1">
        <v>0</v>
      </c>
      <c r="S89" s="26"/>
    </row>
    <row r="90" spans="1:19" ht="16.5" customHeight="1" x14ac:dyDescent="0.25">
      <c r="A90" s="9"/>
      <c r="B90" s="51" t="s">
        <v>119</v>
      </c>
      <c r="C90" s="52"/>
      <c r="D90" s="52"/>
      <c r="E90" s="52"/>
      <c r="F90" s="52"/>
      <c r="G90" s="53"/>
      <c r="H90" s="20"/>
      <c r="I90" s="9">
        <v>3</v>
      </c>
      <c r="J90" s="9"/>
      <c r="K90" s="9"/>
      <c r="L90" s="9"/>
      <c r="M90" s="9">
        <f t="shared" si="14"/>
        <v>0</v>
      </c>
      <c r="N90" s="9">
        <f t="shared" si="15"/>
        <v>0</v>
      </c>
      <c r="O90" s="9"/>
      <c r="P90" s="9"/>
      <c r="Q90" s="9"/>
      <c r="R90" s="1">
        <v>0</v>
      </c>
      <c r="S90" s="26"/>
    </row>
    <row r="91" spans="1:19" ht="16.5" customHeight="1" x14ac:dyDescent="0.25">
      <c r="A91" s="9"/>
      <c r="B91" s="51" t="s">
        <v>120</v>
      </c>
      <c r="C91" s="52"/>
      <c r="D91" s="52"/>
      <c r="E91" s="52"/>
      <c r="F91" s="52"/>
      <c r="G91" s="53"/>
      <c r="H91" s="20"/>
      <c r="I91" s="9">
        <v>2</v>
      </c>
      <c r="J91" s="9"/>
      <c r="K91" s="9"/>
      <c r="L91" s="9"/>
      <c r="M91" s="9">
        <f t="shared" si="14"/>
        <v>16</v>
      </c>
      <c r="N91" s="9">
        <f t="shared" si="15"/>
        <v>7</v>
      </c>
      <c r="O91" s="9">
        <v>8</v>
      </c>
      <c r="P91" s="9">
        <v>3.5</v>
      </c>
      <c r="Q91" s="9" t="s">
        <v>9</v>
      </c>
      <c r="R91" s="1">
        <v>0</v>
      </c>
      <c r="S91" s="26"/>
    </row>
    <row r="92" spans="1:19" ht="16.5" hidden="1" customHeight="1" x14ac:dyDescent="0.25">
      <c r="A92" s="21"/>
      <c r="H92" s="21"/>
      <c r="I92" s="21"/>
      <c r="J92" s="21"/>
      <c r="K92" s="21"/>
      <c r="L92" s="21"/>
      <c r="M92" s="9">
        <f t="shared" si="14"/>
        <v>0</v>
      </c>
      <c r="N92" s="9">
        <f t="shared" si="15"/>
        <v>0</v>
      </c>
      <c r="O92" s="21"/>
      <c r="P92" s="21"/>
      <c r="Q92" s="21"/>
      <c r="S92" s="25"/>
    </row>
    <row r="93" spans="1:19" ht="16.5" customHeight="1" x14ac:dyDescent="0.25">
      <c r="A93" s="9"/>
      <c r="B93" s="39" t="s">
        <v>42</v>
      </c>
      <c r="C93" s="40"/>
      <c r="D93" s="40"/>
      <c r="E93" s="40"/>
      <c r="F93" s="40"/>
      <c r="G93" s="41"/>
      <c r="H93" s="23"/>
      <c r="I93" s="24">
        <f>SUM(I85:I92)</f>
        <v>18</v>
      </c>
      <c r="J93" s="9"/>
      <c r="K93" s="9"/>
      <c r="L93" s="9"/>
      <c r="M93" s="9">
        <f t="shared" si="14"/>
        <v>23.94</v>
      </c>
      <c r="N93" s="9">
        <f t="shared" si="15"/>
        <v>10.44</v>
      </c>
      <c r="O93" s="24">
        <f>ROUND(SUM(M85:M92)/I93,2)</f>
        <v>1.33</v>
      </c>
      <c r="P93" s="24">
        <f>ROUND(SUM(N85:N92)/I93,2)</f>
        <v>0.57999999999999996</v>
      </c>
      <c r="Q93" s="9"/>
      <c r="S93" s="25"/>
    </row>
    <row r="94" spans="1:19" ht="16.5" customHeight="1" x14ac:dyDescent="0.25">
      <c r="A94" s="21"/>
      <c r="B94" s="22"/>
      <c r="C94" s="22"/>
      <c r="D94" s="22"/>
      <c r="E94" s="22"/>
      <c r="F94" s="22"/>
      <c r="G94" s="22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6" spans="1:19" ht="18" x14ac:dyDescent="0.25">
      <c r="A96" s="35" t="s">
        <v>50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</row>
    <row r="97" spans="1:20" ht="18" x14ac:dyDescent="0.25">
      <c r="A97" s="35" t="s">
        <v>51</v>
      </c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</row>
    <row r="98" spans="1:20" ht="18" x14ac:dyDescent="0.25">
      <c r="A98" s="35" t="s">
        <v>52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</row>
    <row r="99" spans="1:20" ht="18" x14ac:dyDescent="0.25">
      <c r="A99" s="45" t="s">
        <v>53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</row>
    <row r="100" spans="1:20" ht="19.5" customHeight="1" x14ac:dyDescent="0.25">
      <c r="A100" s="17"/>
      <c r="B100" s="17"/>
      <c r="C100" s="8"/>
      <c r="D100" s="18"/>
      <c r="E100" s="10"/>
      <c r="F100" s="11"/>
      <c r="G100" s="46" t="s">
        <v>49</v>
      </c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</row>
    <row r="101" spans="1:20" ht="31.5" customHeight="1" x14ac:dyDescent="0.3">
      <c r="A101" s="8"/>
      <c r="B101" s="8"/>
      <c r="C101" s="8"/>
      <c r="D101" s="8"/>
      <c r="E101" s="8"/>
      <c r="F101" s="8"/>
      <c r="G101" s="8"/>
      <c r="H101" s="12"/>
      <c r="I101" s="42" t="s">
        <v>40</v>
      </c>
      <c r="J101" s="43"/>
      <c r="K101" s="43"/>
      <c r="L101" s="43"/>
      <c r="M101" s="43"/>
      <c r="N101" s="43"/>
      <c r="O101" s="43"/>
      <c r="P101" s="43"/>
      <c r="Q101" s="43"/>
      <c r="R101" s="43"/>
      <c r="S101" s="43"/>
    </row>
    <row r="102" spans="1:20" ht="16.8" x14ac:dyDescent="0.3">
      <c r="A102" s="8"/>
      <c r="B102" s="8"/>
      <c r="C102" s="8"/>
      <c r="D102" s="8"/>
      <c r="E102" s="8"/>
      <c r="F102" s="8"/>
      <c r="G102" s="8"/>
      <c r="H102" s="12"/>
      <c r="I102" s="12"/>
      <c r="J102" s="12"/>
      <c r="K102" s="12"/>
      <c r="L102" s="8"/>
      <c r="M102" s="8"/>
      <c r="N102" s="8"/>
      <c r="O102" s="8"/>
      <c r="P102" s="8"/>
      <c r="Q102" s="8"/>
    </row>
    <row r="103" spans="1:20" ht="33" customHeight="1" x14ac:dyDescent="0.3">
      <c r="A103" s="8"/>
      <c r="B103" s="8"/>
      <c r="C103" s="8"/>
      <c r="D103" s="8"/>
      <c r="E103" s="8"/>
      <c r="F103" s="8"/>
      <c r="G103" s="8"/>
      <c r="H103" s="12"/>
      <c r="I103" s="12"/>
      <c r="J103" s="12"/>
      <c r="K103" s="12"/>
      <c r="L103" s="8"/>
      <c r="M103" s="8"/>
      <c r="N103" s="8"/>
      <c r="O103" s="8"/>
      <c r="P103" s="8"/>
      <c r="Q103" s="8"/>
    </row>
    <row r="104" spans="1:20" ht="11.25" customHeight="1" x14ac:dyDescent="0.3">
      <c r="A104" s="8"/>
      <c r="B104" s="8"/>
      <c r="C104" s="8"/>
      <c r="D104" s="8"/>
      <c r="E104" s="8"/>
      <c r="F104" s="8"/>
      <c r="G104" s="8"/>
      <c r="H104" s="12"/>
      <c r="I104" s="12"/>
      <c r="J104" s="12"/>
      <c r="K104" s="12"/>
      <c r="L104" s="8"/>
      <c r="M104" s="8"/>
      <c r="N104" s="8"/>
      <c r="O104" s="8"/>
      <c r="P104" s="8"/>
      <c r="Q104" s="8"/>
    </row>
    <row r="105" spans="1:20" ht="17.399999999999999" x14ac:dyDescent="0.3">
      <c r="A105" s="8"/>
      <c r="B105" s="8"/>
      <c r="C105" s="8"/>
      <c r="D105" s="8"/>
      <c r="E105" s="8"/>
      <c r="F105" s="8"/>
      <c r="G105" s="47" t="s">
        <v>41</v>
      </c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</row>
    <row r="106" spans="1:20" ht="54" customHeight="1" x14ac:dyDescent="0.25">
      <c r="A106" s="48" t="s">
        <v>33</v>
      </c>
      <c r="B106" s="48"/>
      <c r="C106" s="48"/>
      <c r="D106" s="48"/>
      <c r="E106" s="48"/>
      <c r="F106" s="42" t="s">
        <v>24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</row>
    <row r="107" spans="1:20" ht="17.399999999999999" x14ac:dyDescent="0.25">
      <c r="A107" s="49" t="s">
        <v>34</v>
      </c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</row>
    <row r="108" spans="1:20" ht="4.5" customHeight="1" x14ac:dyDescent="0.25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</row>
    <row r="109" spans="1:20" ht="5.25" customHeight="1" x14ac:dyDescent="0.2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</row>
    <row r="110" spans="1:20" ht="16.5" customHeight="1" x14ac:dyDescent="0.25">
      <c r="A110" s="54" t="s">
        <v>121</v>
      </c>
      <c r="B110" s="54"/>
      <c r="C110" s="54"/>
      <c r="D110" s="54"/>
      <c r="E110" s="54"/>
      <c r="F110" s="54"/>
      <c r="G110" s="58" t="s">
        <v>122</v>
      </c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</row>
    <row r="111" spans="1:20" ht="16.5" customHeight="1" x14ac:dyDescent="0.25">
      <c r="A111" s="54" t="s">
        <v>123</v>
      </c>
      <c r="B111" s="54"/>
      <c r="C111" s="54"/>
      <c r="D111" s="54"/>
      <c r="E111" s="54"/>
      <c r="F111" s="54"/>
      <c r="G111" s="8" t="s">
        <v>46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T111" s="2"/>
    </row>
    <row r="112" spans="1:20" ht="16.5" customHeight="1" x14ac:dyDescent="0.25">
      <c r="A112" s="54" t="s">
        <v>47</v>
      </c>
      <c r="B112" s="54"/>
      <c r="C112" s="54"/>
      <c r="D112" s="54"/>
      <c r="E112" s="54"/>
      <c r="F112" s="54"/>
      <c r="G112" s="58" t="s">
        <v>48</v>
      </c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</row>
    <row r="113" spans="1:19" ht="5.2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19"/>
      <c r="K113" s="19"/>
      <c r="L113" s="19"/>
      <c r="M113" s="19"/>
      <c r="N113" s="19"/>
      <c r="O113" s="19"/>
      <c r="P113" s="19"/>
      <c r="Q113" s="19"/>
    </row>
    <row r="114" spans="1:19" ht="15" customHeight="1" x14ac:dyDescent="0.25">
      <c r="A114" s="36" t="s">
        <v>0</v>
      </c>
      <c r="B114" s="29" t="s">
        <v>1</v>
      </c>
      <c r="C114" s="30"/>
      <c r="D114" s="30"/>
      <c r="E114" s="30"/>
      <c r="F114" s="30"/>
      <c r="G114" s="31"/>
      <c r="H114" s="36" t="s">
        <v>32</v>
      </c>
      <c r="I114" s="36" t="s">
        <v>39</v>
      </c>
      <c r="J114" s="55" t="s">
        <v>2</v>
      </c>
      <c r="K114" s="56"/>
      <c r="L114" s="56"/>
      <c r="M114" s="56"/>
      <c r="N114" s="56"/>
      <c r="O114" s="56"/>
      <c r="P114" s="56"/>
      <c r="Q114" s="57"/>
      <c r="S114" s="36" t="s">
        <v>38</v>
      </c>
    </row>
    <row r="115" spans="1:19" ht="24" customHeight="1" x14ac:dyDescent="0.25">
      <c r="A115" s="37"/>
      <c r="B115" s="32"/>
      <c r="C115" s="33"/>
      <c r="D115" s="33"/>
      <c r="E115" s="33"/>
      <c r="F115" s="33"/>
      <c r="G115" s="34"/>
      <c r="H115" s="37"/>
      <c r="I115" s="37"/>
      <c r="J115" s="7" t="s">
        <v>28</v>
      </c>
      <c r="K115" s="7" t="s">
        <v>29</v>
      </c>
      <c r="L115" s="7" t="s">
        <v>30</v>
      </c>
      <c r="M115" s="7"/>
      <c r="N115" s="7"/>
      <c r="O115" s="6" t="s">
        <v>35</v>
      </c>
      <c r="P115" s="6" t="s">
        <v>36</v>
      </c>
      <c r="Q115" s="6" t="s">
        <v>37</v>
      </c>
      <c r="S115" s="37"/>
    </row>
    <row r="116" spans="1:19" ht="20.25" customHeight="1" x14ac:dyDescent="0.25">
      <c r="A116" s="27" t="s">
        <v>54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</row>
    <row r="117" spans="1:19" ht="16.5" customHeight="1" x14ac:dyDescent="0.25">
      <c r="A117" s="9"/>
      <c r="B117" s="51" t="s">
        <v>61</v>
      </c>
      <c r="C117" s="52"/>
      <c r="D117" s="52"/>
      <c r="E117" s="52"/>
      <c r="F117" s="52"/>
      <c r="G117" s="53"/>
      <c r="H117" s="20"/>
      <c r="I117" s="9">
        <v>2</v>
      </c>
      <c r="J117" s="9"/>
      <c r="K117" s="9"/>
      <c r="L117" s="9"/>
      <c r="M117" s="9">
        <f t="shared" ref="M117:M125" si="16">I117*O117</f>
        <v>15.2</v>
      </c>
      <c r="N117" s="9">
        <f t="shared" ref="N117:N125" si="17">I117*P117</f>
        <v>6</v>
      </c>
      <c r="O117" s="9">
        <v>7.6</v>
      </c>
      <c r="P117" s="9">
        <v>3</v>
      </c>
      <c r="Q117" s="9" t="s">
        <v>6</v>
      </c>
      <c r="R117" s="1">
        <v>0</v>
      </c>
      <c r="S117" s="26"/>
    </row>
    <row r="118" spans="1:19" ht="16.5" customHeight="1" x14ac:dyDescent="0.25">
      <c r="A118" s="9"/>
      <c r="B118" s="51" t="s">
        <v>56</v>
      </c>
      <c r="C118" s="52"/>
      <c r="D118" s="52"/>
      <c r="E118" s="52"/>
      <c r="F118" s="52"/>
      <c r="G118" s="53"/>
      <c r="H118" s="20"/>
      <c r="I118" s="9">
        <v>3</v>
      </c>
      <c r="J118" s="9"/>
      <c r="K118" s="9"/>
      <c r="L118" s="9"/>
      <c r="M118" s="9">
        <f t="shared" si="16"/>
        <v>14.700000000000001</v>
      </c>
      <c r="N118" s="9">
        <f t="shared" si="17"/>
        <v>3</v>
      </c>
      <c r="O118" s="9">
        <v>4.9000000000000004</v>
      </c>
      <c r="P118" s="9">
        <v>1</v>
      </c>
      <c r="Q118" s="9" t="s">
        <v>8</v>
      </c>
      <c r="R118" s="1">
        <v>0</v>
      </c>
      <c r="S118" s="26"/>
    </row>
    <row r="119" spans="1:19" ht="31.2" customHeight="1" x14ac:dyDescent="0.25">
      <c r="A119" s="9"/>
      <c r="B119" s="51" t="s">
        <v>57</v>
      </c>
      <c r="C119" s="52"/>
      <c r="D119" s="52"/>
      <c r="E119" s="52"/>
      <c r="F119" s="52"/>
      <c r="G119" s="53"/>
      <c r="H119" s="20"/>
      <c r="I119" s="9">
        <v>3</v>
      </c>
      <c r="J119" s="9"/>
      <c r="K119" s="9"/>
      <c r="L119" s="9"/>
      <c r="M119" s="9">
        <f t="shared" si="16"/>
        <v>22.200000000000003</v>
      </c>
      <c r="N119" s="9">
        <f t="shared" si="17"/>
        <v>9</v>
      </c>
      <c r="O119" s="9">
        <v>7.4</v>
      </c>
      <c r="P119" s="9">
        <v>3</v>
      </c>
      <c r="Q119" s="9" t="s">
        <v>6</v>
      </c>
      <c r="R119" s="1">
        <v>0</v>
      </c>
      <c r="S119" s="26"/>
    </row>
    <row r="120" spans="1:19" ht="16.5" customHeight="1" x14ac:dyDescent="0.25">
      <c r="A120" s="9"/>
      <c r="B120" s="51" t="s">
        <v>58</v>
      </c>
      <c r="C120" s="52"/>
      <c r="D120" s="52"/>
      <c r="E120" s="52"/>
      <c r="F120" s="52"/>
      <c r="G120" s="53"/>
      <c r="H120" s="20"/>
      <c r="I120" s="9">
        <v>1</v>
      </c>
      <c r="J120" s="9"/>
      <c r="K120" s="9"/>
      <c r="L120" s="9"/>
      <c r="M120" s="9">
        <f t="shared" si="16"/>
        <v>7.4</v>
      </c>
      <c r="N120" s="9">
        <f t="shared" si="17"/>
        <v>3</v>
      </c>
      <c r="O120" s="9">
        <v>7.4</v>
      </c>
      <c r="P120" s="9">
        <v>3</v>
      </c>
      <c r="Q120" s="9" t="s">
        <v>6</v>
      </c>
      <c r="R120" s="1">
        <v>0</v>
      </c>
      <c r="S120" s="26"/>
    </row>
    <row r="121" spans="1:19" ht="16.5" customHeight="1" x14ac:dyDescent="0.25">
      <c r="A121" s="9"/>
      <c r="B121" s="51" t="s">
        <v>59</v>
      </c>
      <c r="C121" s="52"/>
      <c r="D121" s="52"/>
      <c r="E121" s="52"/>
      <c r="F121" s="52"/>
      <c r="G121" s="53"/>
      <c r="H121" s="20"/>
      <c r="I121" s="9">
        <v>1</v>
      </c>
      <c r="J121" s="9"/>
      <c r="K121" s="9"/>
      <c r="L121" s="9"/>
      <c r="M121" s="9">
        <f t="shared" si="16"/>
        <v>6.5</v>
      </c>
      <c r="N121" s="9">
        <f t="shared" si="17"/>
        <v>2.5</v>
      </c>
      <c r="O121" s="9">
        <v>6.5</v>
      </c>
      <c r="P121" s="9">
        <v>2.5</v>
      </c>
      <c r="Q121" s="9" t="s">
        <v>5</v>
      </c>
      <c r="R121" s="1">
        <v>0</v>
      </c>
      <c r="S121" s="26"/>
    </row>
    <row r="122" spans="1:19" ht="16.5" customHeight="1" x14ac:dyDescent="0.25">
      <c r="A122" s="9"/>
      <c r="B122" s="51" t="s">
        <v>60</v>
      </c>
      <c r="C122" s="52"/>
      <c r="D122" s="52"/>
      <c r="E122" s="52"/>
      <c r="F122" s="52"/>
      <c r="G122" s="53"/>
      <c r="H122" s="20"/>
      <c r="I122" s="9">
        <v>3</v>
      </c>
      <c r="J122" s="9"/>
      <c r="K122" s="9"/>
      <c r="L122" s="9"/>
      <c r="M122" s="9">
        <f t="shared" si="16"/>
        <v>25.5</v>
      </c>
      <c r="N122" s="9">
        <f t="shared" si="17"/>
        <v>11.100000000000001</v>
      </c>
      <c r="O122" s="9">
        <v>8.5</v>
      </c>
      <c r="P122" s="9">
        <v>3.7</v>
      </c>
      <c r="Q122" s="9" t="s">
        <v>10</v>
      </c>
      <c r="R122" s="1">
        <v>0</v>
      </c>
      <c r="S122" s="26"/>
    </row>
    <row r="123" spans="1:19" ht="16.5" customHeight="1" x14ac:dyDescent="0.25">
      <c r="A123" s="9"/>
      <c r="B123" s="51" t="s">
        <v>55</v>
      </c>
      <c r="C123" s="52"/>
      <c r="D123" s="52"/>
      <c r="E123" s="52"/>
      <c r="F123" s="52"/>
      <c r="G123" s="53"/>
      <c r="H123" s="20"/>
      <c r="I123" s="9">
        <v>1</v>
      </c>
      <c r="J123" s="9"/>
      <c r="K123" s="9"/>
      <c r="L123" s="9"/>
      <c r="M123" s="9">
        <f t="shared" si="16"/>
        <v>7.3</v>
      </c>
      <c r="N123" s="9">
        <f t="shared" si="17"/>
        <v>3</v>
      </c>
      <c r="O123" s="9">
        <v>7.3</v>
      </c>
      <c r="P123" s="9">
        <v>3</v>
      </c>
      <c r="Q123" s="9" t="s">
        <v>6</v>
      </c>
      <c r="R123" s="1">
        <v>0</v>
      </c>
      <c r="S123" s="26"/>
    </row>
    <row r="124" spans="1:19" ht="16.5" hidden="1" customHeight="1" x14ac:dyDescent="0.25">
      <c r="A124" s="21"/>
      <c r="H124" s="21"/>
      <c r="I124" s="21"/>
      <c r="J124" s="21"/>
      <c r="K124" s="21"/>
      <c r="L124" s="21"/>
      <c r="M124" s="9">
        <f t="shared" si="16"/>
        <v>0</v>
      </c>
      <c r="N124" s="9">
        <f t="shared" si="17"/>
        <v>0</v>
      </c>
      <c r="O124" s="21"/>
      <c r="P124" s="21"/>
      <c r="Q124" s="21"/>
      <c r="S124" s="25"/>
    </row>
    <row r="125" spans="1:19" ht="16.5" customHeight="1" x14ac:dyDescent="0.25">
      <c r="A125" s="9"/>
      <c r="B125" s="39" t="s">
        <v>42</v>
      </c>
      <c r="C125" s="40"/>
      <c r="D125" s="40"/>
      <c r="E125" s="40"/>
      <c r="F125" s="40"/>
      <c r="G125" s="41"/>
      <c r="H125" s="23"/>
      <c r="I125" s="24">
        <f>SUM(I117:I124)</f>
        <v>14</v>
      </c>
      <c r="J125" s="9"/>
      <c r="K125" s="9"/>
      <c r="L125" s="9"/>
      <c r="M125" s="9">
        <f t="shared" si="16"/>
        <v>98.839999999999989</v>
      </c>
      <c r="N125" s="9">
        <f t="shared" si="17"/>
        <v>37.659999999999997</v>
      </c>
      <c r="O125" s="24">
        <f>ROUND(SUM(M117:M124)/I125,2)</f>
        <v>7.06</v>
      </c>
      <c r="P125" s="24">
        <f>ROUND(SUM(N117:N124)/I125,2)</f>
        <v>2.69</v>
      </c>
      <c r="Q125" s="9"/>
      <c r="S125" s="25"/>
    </row>
    <row r="126" spans="1:19" ht="20.25" customHeight="1" x14ac:dyDescent="0.25">
      <c r="A126" s="27" t="s">
        <v>62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</row>
    <row r="127" spans="1:19" ht="16.5" customHeight="1" x14ac:dyDescent="0.25">
      <c r="A127" s="9"/>
      <c r="B127" s="51" t="s">
        <v>63</v>
      </c>
      <c r="C127" s="52"/>
      <c r="D127" s="52"/>
      <c r="E127" s="52"/>
      <c r="F127" s="52"/>
      <c r="G127" s="53"/>
      <c r="H127" s="20"/>
      <c r="I127" s="9">
        <v>4</v>
      </c>
      <c r="J127" s="9"/>
      <c r="K127" s="9"/>
      <c r="L127" s="9"/>
      <c r="M127" s="9">
        <f t="shared" ref="M127:M135" si="18">I127*O127</f>
        <v>32</v>
      </c>
      <c r="N127" s="9">
        <f t="shared" ref="N127:N135" si="19">I127*P127</f>
        <v>14</v>
      </c>
      <c r="O127" s="9">
        <v>8</v>
      </c>
      <c r="P127" s="9">
        <v>3.5</v>
      </c>
      <c r="Q127" s="9" t="s">
        <v>9</v>
      </c>
      <c r="R127" s="1">
        <v>0</v>
      </c>
      <c r="S127" s="26"/>
    </row>
    <row r="128" spans="1:19" ht="16.5" customHeight="1" x14ac:dyDescent="0.25">
      <c r="A128" s="9"/>
      <c r="B128" s="51" t="s">
        <v>64</v>
      </c>
      <c r="C128" s="52"/>
      <c r="D128" s="52"/>
      <c r="E128" s="52"/>
      <c r="F128" s="52"/>
      <c r="G128" s="53"/>
      <c r="H128" s="20"/>
      <c r="I128" s="9">
        <v>4</v>
      </c>
      <c r="J128" s="9"/>
      <c r="K128" s="9"/>
      <c r="L128" s="9"/>
      <c r="M128" s="9">
        <f t="shared" si="18"/>
        <v>29.6</v>
      </c>
      <c r="N128" s="9">
        <f t="shared" si="19"/>
        <v>12</v>
      </c>
      <c r="O128" s="9">
        <v>7.4</v>
      </c>
      <c r="P128" s="9">
        <v>3</v>
      </c>
      <c r="Q128" s="9" t="s">
        <v>6</v>
      </c>
      <c r="R128" s="1">
        <v>0</v>
      </c>
      <c r="S128" s="26"/>
    </row>
    <row r="129" spans="1:19" ht="16.5" customHeight="1" x14ac:dyDescent="0.25">
      <c r="A129" s="9"/>
      <c r="B129" s="51" t="s">
        <v>65</v>
      </c>
      <c r="C129" s="52"/>
      <c r="D129" s="52"/>
      <c r="E129" s="52"/>
      <c r="F129" s="52"/>
      <c r="G129" s="53"/>
      <c r="H129" s="20"/>
      <c r="I129" s="9">
        <v>4</v>
      </c>
      <c r="J129" s="9"/>
      <c r="K129" s="9"/>
      <c r="L129" s="9"/>
      <c r="M129" s="9">
        <f t="shared" si="18"/>
        <v>32.4</v>
      </c>
      <c r="N129" s="9">
        <f t="shared" si="19"/>
        <v>14</v>
      </c>
      <c r="O129" s="9">
        <v>8.1</v>
      </c>
      <c r="P129" s="9">
        <v>3.5</v>
      </c>
      <c r="Q129" s="9" t="s">
        <v>9</v>
      </c>
      <c r="R129" s="1">
        <v>0</v>
      </c>
      <c r="S129" s="26"/>
    </row>
    <row r="130" spans="1:19" ht="16.5" customHeight="1" x14ac:dyDescent="0.25">
      <c r="A130" s="9"/>
      <c r="B130" s="51" t="s">
        <v>66</v>
      </c>
      <c r="C130" s="52"/>
      <c r="D130" s="52"/>
      <c r="E130" s="52"/>
      <c r="F130" s="52"/>
      <c r="G130" s="53"/>
      <c r="H130" s="20"/>
      <c r="I130" s="9">
        <v>1</v>
      </c>
      <c r="J130" s="9"/>
      <c r="K130" s="9"/>
      <c r="L130" s="9"/>
      <c r="M130" s="9">
        <f t="shared" si="18"/>
        <v>7.5</v>
      </c>
      <c r="N130" s="9">
        <f t="shared" si="19"/>
        <v>3</v>
      </c>
      <c r="O130" s="9">
        <v>7.5</v>
      </c>
      <c r="P130" s="9">
        <v>3</v>
      </c>
      <c r="Q130" s="9" t="s">
        <v>6</v>
      </c>
      <c r="R130" s="1">
        <v>0</v>
      </c>
      <c r="S130" s="26"/>
    </row>
    <row r="131" spans="1:19" ht="16.5" customHeight="1" x14ac:dyDescent="0.25">
      <c r="A131" s="9"/>
      <c r="B131" s="51" t="s">
        <v>67</v>
      </c>
      <c r="C131" s="52"/>
      <c r="D131" s="52"/>
      <c r="E131" s="52"/>
      <c r="F131" s="52"/>
      <c r="G131" s="53"/>
      <c r="H131" s="20"/>
      <c r="I131" s="9">
        <v>1</v>
      </c>
      <c r="J131" s="9"/>
      <c r="K131" s="9"/>
      <c r="L131" s="9"/>
      <c r="M131" s="9">
        <f t="shared" si="18"/>
        <v>7.7</v>
      </c>
      <c r="N131" s="9">
        <f t="shared" si="19"/>
        <v>3</v>
      </c>
      <c r="O131" s="9">
        <v>7.7</v>
      </c>
      <c r="P131" s="9">
        <v>3</v>
      </c>
      <c r="Q131" s="9" t="s">
        <v>6</v>
      </c>
      <c r="R131" s="1">
        <v>0</v>
      </c>
      <c r="S131" s="26"/>
    </row>
    <row r="132" spans="1:19" ht="16.5" customHeight="1" x14ac:dyDescent="0.25">
      <c r="A132" s="9"/>
      <c r="B132" s="51" t="s">
        <v>68</v>
      </c>
      <c r="C132" s="52"/>
      <c r="D132" s="52"/>
      <c r="E132" s="52"/>
      <c r="F132" s="52"/>
      <c r="G132" s="53"/>
      <c r="H132" s="20"/>
      <c r="I132" s="9">
        <v>1</v>
      </c>
      <c r="J132" s="9"/>
      <c r="K132" s="9"/>
      <c r="L132" s="9"/>
      <c r="M132" s="9">
        <f t="shared" si="18"/>
        <v>7.6</v>
      </c>
      <c r="N132" s="9">
        <f t="shared" si="19"/>
        <v>3</v>
      </c>
      <c r="O132" s="9">
        <v>7.6</v>
      </c>
      <c r="P132" s="9">
        <v>3</v>
      </c>
      <c r="Q132" s="9" t="s">
        <v>6</v>
      </c>
      <c r="R132" s="1">
        <v>0</v>
      </c>
      <c r="S132" s="26"/>
    </row>
    <row r="133" spans="1:19" ht="16.5" customHeight="1" x14ac:dyDescent="0.25">
      <c r="A133" s="9"/>
      <c r="B133" s="51" t="s">
        <v>69</v>
      </c>
      <c r="C133" s="52"/>
      <c r="D133" s="52"/>
      <c r="E133" s="52"/>
      <c r="F133" s="52"/>
      <c r="G133" s="53"/>
      <c r="H133" s="20"/>
      <c r="I133" s="9">
        <v>1</v>
      </c>
      <c r="J133" s="9"/>
      <c r="K133" s="9"/>
      <c r="L133" s="9"/>
      <c r="M133" s="9">
        <f t="shared" si="18"/>
        <v>7.6</v>
      </c>
      <c r="N133" s="9">
        <f t="shared" si="19"/>
        <v>3</v>
      </c>
      <c r="O133" s="9">
        <v>7.6</v>
      </c>
      <c r="P133" s="9">
        <v>3</v>
      </c>
      <c r="Q133" s="9" t="s">
        <v>6</v>
      </c>
      <c r="R133" s="1">
        <v>0</v>
      </c>
      <c r="S133" s="26"/>
    </row>
    <row r="134" spans="1:19" ht="16.5" hidden="1" customHeight="1" x14ac:dyDescent="0.25">
      <c r="A134" s="21"/>
      <c r="H134" s="21"/>
      <c r="I134" s="21"/>
      <c r="J134" s="21"/>
      <c r="K134" s="21"/>
      <c r="L134" s="21"/>
      <c r="M134" s="9">
        <f t="shared" si="18"/>
        <v>0</v>
      </c>
      <c r="N134" s="9">
        <f t="shared" si="19"/>
        <v>0</v>
      </c>
      <c r="O134" s="21"/>
      <c r="P134" s="21"/>
      <c r="Q134" s="21"/>
      <c r="S134" s="25"/>
    </row>
    <row r="135" spans="1:19" ht="16.5" customHeight="1" x14ac:dyDescent="0.25">
      <c r="A135" s="9"/>
      <c r="B135" s="39" t="s">
        <v>42</v>
      </c>
      <c r="C135" s="40"/>
      <c r="D135" s="40"/>
      <c r="E135" s="40"/>
      <c r="F135" s="40"/>
      <c r="G135" s="41"/>
      <c r="H135" s="23"/>
      <c r="I135" s="24">
        <f>SUM(I127:I134)</f>
        <v>16</v>
      </c>
      <c r="J135" s="9"/>
      <c r="K135" s="9"/>
      <c r="L135" s="9"/>
      <c r="M135" s="9">
        <f t="shared" si="18"/>
        <v>124.48</v>
      </c>
      <c r="N135" s="9">
        <f t="shared" si="19"/>
        <v>52</v>
      </c>
      <c r="O135" s="24">
        <f>ROUND(SUM(M127:M134)/I135,2)</f>
        <v>7.78</v>
      </c>
      <c r="P135" s="24">
        <f>ROUND(SUM(N127:N134)/I135,2)</f>
        <v>3.25</v>
      </c>
      <c r="Q135" s="9"/>
      <c r="S135" s="25"/>
    </row>
    <row r="136" spans="1:19" ht="20.25" customHeight="1" x14ac:dyDescent="0.25">
      <c r="A136" s="27" t="s">
        <v>70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</row>
    <row r="137" spans="1:19" ht="16.5" customHeight="1" x14ac:dyDescent="0.25">
      <c r="A137" s="9"/>
      <c r="B137" s="51" t="s">
        <v>71</v>
      </c>
      <c r="C137" s="52"/>
      <c r="D137" s="52"/>
      <c r="E137" s="52"/>
      <c r="F137" s="52"/>
      <c r="G137" s="53"/>
      <c r="H137" s="20"/>
      <c r="I137" s="9">
        <v>4</v>
      </c>
      <c r="J137" s="9"/>
      <c r="K137" s="9"/>
      <c r="L137" s="9"/>
      <c r="M137" s="9">
        <f t="shared" ref="M137:M146" si="20">I137*O137</f>
        <v>35.200000000000003</v>
      </c>
      <c r="N137" s="9">
        <f t="shared" ref="N137:N146" si="21">I137*P137</f>
        <v>14.8</v>
      </c>
      <c r="O137" s="9">
        <v>8.8000000000000007</v>
      </c>
      <c r="P137" s="9">
        <v>3.7</v>
      </c>
      <c r="Q137" s="9" t="s">
        <v>10</v>
      </c>
      <c r="R137" s="1">
        <v>0</v>
      </c>
      <c r="S137" s="26"/>
    </row>
    <row r="138" spans="1:19" ht="16.5" customHeight="1" x14ac:dyDescent="0.25">
      <c r="A138" s="9"/>
      <c r="B138" s="51" t="s">
        <v>72</v>
      </c>
      <c r="C138" s="52"/>
      <c r="D138" s="52"/>
      <c r="E138" s="52"/>
      <c r="F138" s="52"/>
      <c r="G138" s="53"/>
      <c r="H138" s="20"/>
      <c r="I138" s="9">
        <v>4</v>
      </c>
      <c r="J138" s="9"/>
      <c r="K138" s="9"/>
      <c r="L138" s="9"/>
      <c r="M138" s="9">
        <f t="shared" si="20"/>
        <v>27.6</v>
      </c>
      <c r="N138" s="9">
        <f t="shared" si="21"/>
        <v>10</v>
      </c>
      <c r="O138" s="9">
        <v>6.9</v>
      </c>
      <c r="P138" s="9">
        <v>2.5</v>
      </c>
      <c r="Q138" s="9" t="s">
        <v>5</v>
      </c>
      <c r="R138" s="1">
        <v>0</v>
      </c>
      <c r="S138" s="26"/>
    </row>
    <row r="139" spans="1:19" ht="16.5" customHeight="1" x14ac:dyDescent="0.25">
      <c r="A139" s="9"/>
      <c r="B139" s="51" t="s">
        <v>73</v>
      </c>
      <c r="C139" s="52"/>
      <c r="D139" s="52"/>
      <c r="E139" s="52"/>
      <c r="F139" s="52"/>
      <c r="G139" s="53"/>
      <c r="H139" s="20"/>
      <c r="I139" s="9">
        <v>1</v>
      </c>
      <c r="J139" s="9"/>
      <c r="K139" s="9"/>
      <c r="L139" s="9"/>
      <c r="M139" s="9">
        <f t="shared" si="20"/>
        <v>7</v>
      </c>
      <c r="N139" s="9">
        <f t="shared" si="21"/>
        <v>3</v>
      </c>
      <c r="O139" s="9">
        <v>7</v>
      </c>
      <c r="P139" s="9">
        <v>3</v>
      </c>
      <c r="Q139" s="9" t="s">
        <v>6</v>
      </c>
      <c r="R139" s="1">
        <v>0</v>
      </c>
      <c r="S139" s="26"/>
    </row>
    <row r="140" spans="1:19" ht="16.5" customHeight="1" x14ac:dyDescent="0.25">
      <c r="A140" s="9"/>
      <c r="B140" s="51" t="s">
        <v>74</v>
      </c>
      <c r="C140" s="52"/>
      <c r="D140" s="52"/>
      <c r="E140" s="52"/>
      <c r="F140" s="52"/>
      <c r="G140" s="53"/>
      <c r="H140" s="20"/>
      <c r="I140" s="9">
        <v>2</v>
      </c>
      <c r="J140" s="9"/>
      <c r="K140" s="9"/>
      <c r="L140" s="9"/>
      <c r="M140" s="9">
        <f t="shared" si="20"/>
        <v>17.399999999999999</v>
      </c>
      <c r="N140" s="9">
        <f t="shared" si="21"/>
        <v>7.4</v>
      </c>
      <c r="O140" s="9">
        <v>8.6999999999999993</v>
      </c>
      <c r="P140" s="9">
        <v>3.7</v>
      </c>
      <c r="Q140" s="9" t="s">
        <v>10</v>
      </c>
      <c r="R140" s="1">
        <v>0</v>
      </c>
      <c r="S140" s="26"/>
    </row>
    <row r="141" spans="1:19" ht="16.5" customHeight="1" x14ac:dyDescent="0.25">
      <c r="A141" s="9"/>
      <c r="B141" s="51" t="s">
        <v>75</v>
      </c>
      <c r="C141" s="52"/>
      <c r="D141" s="52"/>
      <c r="E141" s="52"/>
      <c r="F141" s="52"/>
      <c r="G141" s="53"/>
      <c r="H141" s="20"/>
      <c r="I141" s="9">
        <v>1</v>
      </c>
      <c r="J141" s="9"/>
      <c r="K141" s="9"/>
      <c r="L141" s="9"/>
      <c r="M141" s="9">
        <f t="shared" si="20"/>
        <v>4.5999999999999996</v>
      </c>
      <c r="N141" s="9">
        <f t="shared" si="21"/>
        <v>1</v>
      </c>
      <c r="O141" s="9">
        <v>4.5999999999999996</v>
      </c>
      <c r="P141" s="9">
        <v>1</v>
      </c>
      <c r="Q141" s="9" t="s">
        <v>8</v>
      </c>
      <c r="R141" s="1">
        <v>0</v>
      </c>
      <c r="S141" s="26"/>
    </row>
    <row r="142" spans="1:19" ht="16.5" customHeight="1" x14ac:dyDescent="0.25">
      <c r="A142" s="9"/>
      <c r="B142" s="51" t="s">
        <v>76</v>
      </c>
      <c r="C142" s="52"/>
      <c r="D142" s="52"/>
      <c r="E142" s="52"/>
      <c r="F142" s="52"/>
      <c r="G142" s="53"/>
      <c r="H142" s="20"/>
      <c r="I142" s="9">
        <v>4</v>
      </c>
      <c r="J142" s="9"/>
      <c r="K142" s="9"/>
      <c r="L142" s="9"/>
      <c r="M142" s="9">
        <f t="shared" si="20"/>
        <v>35.200000000000003</v>
      </c>
      <c r="N142" s="9">
        <f t="shared" si="21"/>
        <v>14.8</v>
      </c>
      <c r="O142" s="9">
        <v>8.8000000000000007</v>
      </c>
      <c r="P142" s="9">
        <v>3.7</v>
      </c>
      <c r="Q142" s="9" t="s">
        <v>10</v>
      </c>
      <c r="R142" s="1">
        <v>0</v>
      </c>
      <c r="S142" s="26"/>
    </row>
    <row r="143" spans="1:19" ht="16.5" customHeight="1" x14ac:dyDescent="0.25">
      <c r="A143" s="9"/>
      <c r="B143" s="51" t="s">
        <v>77</v>
      </c>
      <c r="C143" s="52"/>
      <c r="D143" s="52"/>
      <c r="E143" s="52"/>
      <c r="F143" s="52"/>
      <c r="G143" s="53"/>
      <c r="H143" s="20"/>
      <c r="I143" s="9">
        <v>3</v>
      </c>
      <c r="J143" s="9"/>
      <c r="K143" s="9"/>
      <c r="L143" s="9"/>
      <c r="M143" s="9">
        <f t="shared" si="20"/>
        <v>21.6</v>
      </c>
      <c r="N143" s="9">
        <f t="shared" si="21"/>
        <v>9</v>
      </c>
      <c r="O143" s="9">
        <v>7.2</v>
      </c>
      <c r="P143" s="9">
        <v>3</v>
      </c>
      <c r="Q143" s="9" t="s">
        <v>6</v>
      </c>
      <c r="R143" s="1">
        <v>0</v>
      </c>
      <c r="S143" s="26"/>
    </row>
    <row r="144" spans="1:19" ht="16.5" customHeight="1" x14ac:dyDescent="0.25">
      <c r="A144" s="9"/>
      <c r="B144" s="51" t="s">
        <v>78</v>
      </c>
      <c r="C144" s="52"/>
      <c r="D144" s="52"/>
      <c r="E144" s="52"/>
      <c r="F144" s="52"/>
      <c r="G144" s="53"/>
      <c r="H144" s="20"/>
      <c r="I144" s="9">
        <v>4</v>
      </c>
      <c r="J144" s="9"/>
      <c r="K144" s="9"/>
      <c r="L144" s="9"/>
      <c r="M144" s="9">
        <f t="shared" si="20"/>
        <v>32.4</v>
      </c>
      <c r="N144" s="9">
        <f t="shared" si="21"/>
        <v>14</v>
      </c>
      <c r="O144" s="9">
        <v>8.1</v>
      </c>
      <c r="P144" s="9">
        <v>3.5</v>
      </c>
      <c r="Q144" s="9" t="s">
        <v>9</v>
      </c>
      <c r="R144" s="1">
        <v>0</v>
      </c>
      <c r="S144" s="26"/>
    </row>
    <row r="145" spans="1:19" ht="16.5" hidden="1" customHeight="1" x14ac:dyDescent="0.25">
      <c r="A145" s="21"/>
      <c r="H145" s="21"/>
      <c r="I145" s="21"/>
      <c r="J145" s="21"/>
      <c r="K145" s="21"/>
      <c r="L145" s="21"/>
      <c r="M145" s="9">
        <f t="shared" si="20"/>
        <v>0</v>
      </c>
      <c r="N145" s="9">
        <f t="shared" si="21"/>
        <v>0</v>
      </c>
      <c r="O145" s="21"/>
      <c r="P145" s="21"/>
      <c r="Q145" s="21"/>
      <c r="S145" s="25"/>
    </row>
    <row r="146" spans="1:19" ht="16.5" customHeight="1" x14ac:dyDescent="0.25">
      <c r="A146" s="9"/>
      <c r="B146" s="39" t="s">
        <v>42</v>
      </c>
      <c r="C146" s="40"/>
      <c r="D146" s="40"/>
      <c r="E146" s="40"/>
      <c r="F146" s="40"/>
      <c r="G146" s="41"/>
      <c r="H146" s="23"/>
      <c r="I146" s="24">
        <f>SUM(I137:I145)</f>
        <v>23</v>
      </c>
      <c r="J146" s="9"/>
      <c r="K146" s="9"/>
      <c r="L146" s="9"/>
      <c r="M146" s="9">
        <f t="shared" si="20"/>
        <v>181.01</v>
      </c>
      <c r="N146" s="9">
        <f t="shared" si="21"/>
        <v>74.06</v>
      </c>
      <c r="O146" s="24">
        <f>ROUND(SUM(M137:M145)/I146,2)</f>
        <v>7.87</v>
      </c>
      <c r="P146" s="24">
        <f>ROUND(SUM(N137:N145)/I146,2)</f>
        <v>3.22</v>
      </c>
      <c r="Q146" s="9"/>
      <c r="S146" s="25"/>
    </row>
    <row r="147" spans="1:19" ht="20.25" customHeight="1" x14ac:dyDescent="0.25">
      <c r="A147" s="27" t="s">
        <v>79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</row>
    <row r="148" spans="1:19" ht="16.5" customHeight="1" x14ac:dyDescent="0.25">
      <c r="A148" s="9"/>
      <c r="B148" s="51" t="s">
        <v>80</v>
      </c>
      <c r="C148" s="52"/>
      <c r="D148" s="52"/>
      <c r="E148" s="52"/>
      <c r="F148" s="52"/>
      <c r="G148" s="53"/>
      <c r="H148" s="20"/>
      <c r="I148" s="9">
        <v>3</v>
      </c>
      <c r="J148" s="9"/>
      <c r="K148" s="9"/>
      <c r="L148" s="9"/>
      <c r="M148" s="9">
        <f t="shared" ref="M148:M153" si="22">I148*O148</f>
        <v>20.700000000000003</v>
      </c>
      <c r="N148" s="9">
        <f t="shared" ref="N148:N153" si="23">I148*P148</f>
        <v>7.5</v>
      </c>
      <c r="O148" s="9">
        <v>6.9</v>
      </c>
      <c r="P148" s="9">
        <v>2.5</v>
      </c>
      <c r="Q148" s="9" t="s">
        <v>5</v>
      </c>
      <c r="R148" s="1">
        <v>0</v>
      </c>
      <c r="S148" s="26"/>
    </row>
    <row r="149" spans="1:19" ht="16.5" customHeight="1" x14ac:dyDescent="0.25">
      <c r="A149" s="9"/>
      <c r="B149" s="51" t="s">
        <v>81</v>
      </c>
      <c r="C149" s="52"/>
      <c r="D149" s="52"/>
      <c r="E149" s="52"/>
      <c r="F149" s="52"/>
      <c r="G149" s="53"/>
      <c r="H149" s="20"/>
      <c r="I149" s="9">
        <v>1</v>
      </c>
      <c r="J149" s="9"/>
      <c r="K149" s="9"/>
      <c r="L149" s="9"/>
      <c r="M149" s="9">
        <f t="shared" si="22"/>
        <v>6.9</v>
      </c>
      <c r="N149" s="9">
        <f t="shared" si="23"/>
        <v>2.5</v>
      </c>
      <c r="O149" s="9">
        <v>6.9</v>
      </c>
      <c r="P149" s="9">
        <v>2.5</v>
      </c>
      <c r="Q149" s="9" t="s">
        <v>5</v>
      </c>
      <c r="R149" s="1">
        <v>0</v>
      </c>
      <c r="S149" s="26"/>
    </row>
    <row r="150" spans="1:19" ht="16.5" customHeight="1" x14ac:dyDescent="0.25">
      <c r="A150" s="9"/>
      <c r="B150" s="51" t="s">
        <v>82</v>
      </c>
      <c r="C150" s="52"/>
      <c r="D150" s="52"/>
      <c r="E150" s="52"/>
      <c r="F150" s="52"/>
      <c r="G150" s="53"/>
      <c r="H150" s="20"/>
      <c r="I150" s="9">
        <v>3</v>
      </c>
      <c r="J150" s="9"/>
      <c r="K150" s="9"/>
      <c r="L150" s="9"/>
      <c r="M150" s="9">
        <f t="shared" si="22"/>
        <v>24.299999999999997</v>
      </c>
      <c r="N150" s="9">
        <f t="shared" si="23"/>
        <v>10.5</v>
      </c>
      <c r="O150" s="9">
        <v>8.1</v>
      </c>
      <c r="P150" s="9">
        <v>3.5</v>
      </c>
      <c r="Q150" s="9" t="s">
        <v>9</v>
      </c>
      <c r="R150" s="1">
        <v>0</v>
      </c>
      <c r="S150" s="26"/>
    </row>
    <row r="151" spans="1:19" ht="16.5" customHeight="1" x14ac:dyDescent="0.25">
      <c r="A151" s="9"/>
      <c r="B151" s="51" t="s">
        <v>83</v>
      </c>
      <c r="C151" s="52"/>
      <c r="D151" s="52"/>
      <c r="E151" s="52"/>
      <c r="F151" s="52"/>
      <c r="G151" s="53"/>
      <c r="H151" s="20"/>
      <c r="I151" s="9">
        <v>2</v>
      </c>
      <c r="J151" s="9"/>
      <c r="K151" s="9"/>
      <c r="L151" s="9"/>
      <c r="M151" s="9">
        <f t="shared" si="22"/>
        <v>15.6</v>
      </c>
      <c r="N151" s="9">
        <f t="shared" si="23"/>
        <v>6</v>
      </c>
      <c r="O151" s="9">
        <v>7.8</v>
      </c>
      <c r="P151" s="9">
        <v>3</v>
      </c>
      <c r="Q151" s="9" t="s">
        <v>6</v>
      </c>
      <c r="R151" s="1">
        <v>0</v>
      </c>
      <c r="S151" s="26"/>
    </row>
    <row r="152" spans="1:19" ht="16.5" customHeight="1" x14ac:dyDescent="0.25">
      <c r="A152" s="9"/>
      <c r="B152" s="51" t="s">
        <v>84</v>
      </c>
      <c r="C152" s="52"/>
      <c r="D152" s="52"/>
      <c r="E152" s="52"/>
      <c r="F152" s="52"/>
      <c r="G152" s="53"/>
      <c r="H152" s="20"/>
      <c r="I152" s="9">
        <v>2</v>
      </c>
      <c r="J152" s="9"/>
      <c r="K152" s="9"/>
      <c r="L152" s="9"/>
      <c r="M152" s="9">
        <f t="shared" si="22"/>
        <v>17</v>
      </c>
      <c r="N152" s="9">
        <f t="shared" si="23"/>
        <v>7.4</v>
      </c>
      <c r="O152" s="9">
        <v>8.5</v>
      </c>
      <c r="P152" s="9">
        <v>3.7</v>
      </c>
      <c r="Q152" s="9" t="s">
        <v>10</v>
      </c>
      <c r="R152" s="1">
        <v>0</v>
      </c>
      <c r="S152" s="26"/>
    </row>
    <row r="153" spans="1:19" ht="16.5" customHeight="1" x14ac:dyDescent="0.25">
      <c r="A153" s="9"/>
      <c r="B153" s="51" t="s">
        <v>85</v>
      </c>
      <c r="C153" s="52"/>
      <c r="D153" s="52"/>
      <c r="E153" s="52"/>
      <c r="F153" s="52"/>
      <c r="G153" s="53"/>
      <c r="H153" s="20"/>
      <c r="I153" s="9">
        <v>1</v>
      </c>
      <c r="J153" s="9"/>
      <c r="K153" s="9"/>
      <c r="L153" s="9"/>
      <c r="M153" s="9">
        <f t="shared" si="22"/>
        <v>7.5</v>
      </c>
      <c r="N153" s="9">
        <f t="shared" si="23"/>
        <v>3</v>
      </c>
      <c r="O153" s="9">
        <v>7.5</v>
      </c>
      <c r="P153" s="9">
        <v>3</v>
      </c>
      <c r="Q153" s="9" t="s">
        <v>6</v>
      </c>
      <c r="R153" s="1">
        <v>0</v>
      </c>
      <c r="S153" s="26"/>
    </row>
    <row r="154" spans="1:19" ht="15" customHeight="1" x14ac:dyDescent="0.25">
      <c r="A154" s="36" t="s">
        <v>0</v>
      </c>
      <c r="B154" s="29" t="s">
        <v>1</v>
      </c>
      <c r="C154" s="30"/>
      <c r="D154" s="30"/>
      <c r="E154" s="30"/>
      <c r="F154" s="30"/>
      <c r="G154" s="31"/>
      <c r="H154" s="36" t="s">
        <v>32</v>
      </c>
      <c r="I154" s="36" t="s">
        <v>39</v>
      </c>
      <c r="J154" s="55" t="s">
        <v>2</v>
      </c>
      <c r="K154" s="56"/>
      <c r="L154" s="56"/>
      <c r="M154" s="56"/>
      <c r="N154" s="56"/>
      <c r="O154" s="56"/>
      <c r="P154" s="56"/>
      <c r="Q154" s="57"/>
      <c r="S154" s="36" t="s">
        <v>38</v>
      </c>
    </row>
    <row r="155" spans="1:19" ht="24" customHeight="1" x14ac:dyDescent="0.25">
      <c r="A155" s="37"/>
      <c r="B155" s="32"/>
      <c r="C155" s="33"/>
      <c r="D155" s="33"/>
      <c r="E155" s="33"/>
      <c r="F155" s="33"/>
      <c r="G155" s="34"/>
      <c r="H155" s="37"/>
      <c r="I155" s="37"/>
      <c r="J155" s="7" t="s">
        <v>28</v>
      </c>
      <c r="K155" s="7" t="s">
        <v>29</v>
      </c>
      <c r="L155" s="7" t="s">
        <v>30</v>
      </c>
      <c r="M155" s="7"/>
      <c r="N155" s="7"/>
      <c r="O155" s="6" t="s">
        <v>35</v>
      </c>
      <c r="P155" s="6" t="s">
        <v>36</v>
      </c>
      <c r="Q155" s="6" t="s">
        <v>37</v>
      </c>
      <c r="S155" s="37"/>
    </row>
    <row r="156" spans="1:19" ht="16.5" customHeight="1" x14ac:dyDescent="0.25">
      <c r="A156" s="9"/>
      <c r="B156" s="51" t="s">
        <v>88</v>
      </c>
      <c r="C156" s="52"/>
      <c r="D156" s="52"/>
      <c r="E156" s="52"/>
      <c r="F156" s="52"/>
      <c r="G156" s="53"/>
      <c r="H156" s="20"/>
      <c r="I156" s="9">
        <v>4</v>
      </c>
      <c r="J156" s="9"/>
      <c r="K156" s="9"/>
      <c r="L156" s="9"/>
      <c r="M156" s="9">
        <f t="shared" ref="M156:M162" si="24">I156*O156</f>
        <v>30</v>
      </c>
      <c r="N156" s="9">
        <f t="shared" ref="N156:N162" si="25">I156*P156</f>
        <v>12</v>
      </c>
      <c r="O156" s="9">
        <v>7.5</v>
      </c>
      <c r="P156" s="9">
        <v>3</v>
      </c>
      <c r="Q156" s="9" t="s">
        <v>6</v>
      </c>
      <c r="R156" s="1">
        <v>0</v>
      </c>
      <c r="S156" s="26"/>
    </row>
    <row r="157" spans="1:19" ht="16.5" customHeight="1" x14ac:dyDescent="0.25">
      <c r="A157" s="9"/>
      <c r="B157" s="51" t="s">
        <v>87</v>
      </c>
      <c r="C157" s="52"/>
      <c r="D157" s="52"/>
      <c r="E157" s="52"/>
      <c r="F157" s="52"/>
      <c r="G157" s="53"/>
      <c r="H157" s="20"/>
      <c r="I157" s="9">
        <v>3</v>
      </c>
      <c r="J157" s="9"/>
      <c r="K157" s="9"/>
      <c r="L157" s="9"/>
      <c r="M157" s="9">
        <f t="shared" si="24"/>
        <v>23.700000000000003</v>
      </c>
      <c r="N157" s="9">
        <f t="shared" si="25"/>
        <v>9</v>
      </c>
      <c r="O157" s="9">
        <v>7.9</v>
      </c>
      <c r="P157" s="9">
        <v>3</v>
      </c>
      <c r="Q157" s="9" t="s">
        <v>6</v>
      </c>
      <c r="R157" s="1">
        <v>0</v>
      </c>
      <c r="S157" s="26"/>
    </row>
    <row r="158" spans="1:19" ht="16.5" customHeight="1" x14ac:dyDescent="0.25">
      <c r="A158" s="9"/>
      <c r="B158" s="51" t="s">
        <v>86</v>
      </c>
      <c r="C158" s="52"/>
      <c r="D158" s="52"/>
      <c r="E158" s="52"/>
      <c r="F158" s="52"/>
      <c r="G158" s="53"/>
      <c r="H158" s="20"/>
      <c r="I158" s="9">
        <v>2</v>
      </c>
      <c r="J158" s="9"/>
      <c r="K158" s="9"/>
      <c r="L158" s="9"/>
      <c r="M158" s="9">
        <f t="shared" si="24"/>
        <v>17.399999999999999</v>
      </c>
      <c r="N158" s="9">
        <f t="shared" si="25"/>
        <v>7.4</v>
      </c>
      <c r="O158" s="9">
        <v>8.6999999999999993</v>
      </c>
      <c r="P158" s="9">
        <v>3.7</v>
      </c>
      <c r="Q158" s="9" t="s">
        <v>10</v>
      </c>
      <c r="R158" s="1">
        <v>0</v>
      </c>
      <c r="S158" s="26"/>
    </row>
    <row r="159" spans="1:19" ht="16.5" customHeight="1" x14ac:dyDescent="0.25">
      <c r="A159" s="9"/>
      <c r="B159" s="51" t="s">
        <v>89</v>
      </c>
      <c r="C159" s="52"/>
      <c r="D159" s="52"/>
      <c r="E159" s="52"/>
      <c r="F159" s="52"/>
      <c r="G159" s="53"/>
      <c r="H159" s="20"/>
      <c r="I159" s="9">
        <v>3</v>
      </c>
      <c r="J159" s="9"/>
      <c r="K159" s="9"/>
      <c r="L159" s="9"/>
      <c r="M159" s="9">
        <f t="shared" si="24"/>
        <v>28.200000000000003</v>
      </c>
      <c r="N159" s="9">
        <f t="shared" si="25"/>
        <v>12</v>
      </c>
      <c r="O159" s="9">
        <v>9.4</v>
      </c>
      <c r="P159" s="9">
        <v>4</v>
      </c>
      <c r="Q159" s="9" t="s">
        <v>12</v>
      </c>
      <c r="R159" s="1">
        <v>0</v>
      </c>
      <c r="S159" s="26"/>
    </row>
    <row r="160" spans="1:19" ht="16.5" customHeight="1" x14ac:dyDescent="0.25">
      <c r="A160" s="9"/>
      <c r="B160" s="51" t="s">
        <v>90</v>
      </c>
      <c r="C160" s="52"/>
      <c r="D160" s="52"/>
      <c r="E160" s="52"/>
      <c r="F160" s="52"/>
      <c r="G160" s="53"/>
      <c r="H160" s="20"/>
      <c r="I160" s="9">
        <v>2</v>
      </c>
      <c r="J160" s="9"/>
      <c r="K160" s="9"/>
      <c r="L160" s="9"/>
      <c r="M160" s="9">
        <f t="shared" si="24"/>
        <v>15.8</v>
      </c>
      <c r="N160" s="9">
        <f t="shared" si="25"/>
        <v>6</v>
      </c>
      <c r="O160" s="9">
        <v>7.9</v>
      </c>
      <c r="P160" s="9">
        <v>3</v>
      </c>
      <c r="Q160" s="9" t="s">
        <v>6</v>
      </c>
      <c r="R160" s="1">
        <v>0</v>
      </c>
      <c r="S160" s="26"/>
    </row>
    <row r="161" spans="1:19" ht="16.5" hidden="1" customHeight="1" x14ac:dyDescent="0.25">
      <c r="A161" s="21"/>
      <c r="H161" s="21"/>
      <c r="I161" s="21"/>
      <c r="J161" s="21"/>
      <c r="K161" s="21"/>
      <c r="L161" s="21"/>
      <c r="M161" s="9">
        <f t="shared" si="24"/>
        <v>0</v>
      </c>
      <c r="N161" s="9">
        <f t="shared" si="25"/>
        <v>0</v>
      </c>
      <c r="O161" s="21"/>
      <c r="P161" s="21"/>
      <c r="Q161" s="21"/>
      <c r="S161" s="25"/>
    </row>
    <row r="162" spans="1:19" ht="16.5" customHeight="1" x14ac:dyDescent="0.25">
      <c r="A162" s="9"/>
      <c r="B162" s="39" t="s">
        <v>42</v>
      </c>
      <c r="C162" s="40"/>
      <c r="D162" s="40"/>
      <c r="E162" s="40"/>
      <c r="F162" s="40"/>
      <c r="G162" s="41"/>
      <c r="H162" s="23"/>
      <c r="I162" s="24">
        <f>SUM(I148:I161)</f>
        <v>26</v>
      </c>
      <c r="J162" s="9"/>
      <c r="K162" s="9"/>
      <c r="L162" s="9"/>
      <c r="M162" s="9">
        <f t="shared" si="24"/>
        <v>207.22</v>
      </c>
      <c r="N162" s="9">
        <f t="shared" si="25"/>
        <v>83.2</v>
      </c>
      <c r="O162" s="24">
        <f>ROUND(SUM(M148:M161)/I162,2)</f>
        <v>7.97</v>
      </c>
      <c r="P162" s="24">
        <f>ROUND(SUM(N148:N161)/I162,2)</f>
        <v>3.2</v>
      </c>
      <c r="Q162" s="9"/>
      <c r="S162" s="25"/>
    </row>
    <row r="163" spans="1:19" ht="20.25" customHeight="1" x14ac:dyDescent="0.25">
      <c r="A163" s="27" t="s">
        <v>91</v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</row>
    <row r="164" spans="1:19" ht="16.5" customHeight="1" x14ac:dyDescent="0.25">
      <c r="A164" s="9"/>
      <c r="B164" s="51" t="s">
        <v>92</v>
      </c>
      <c r="C164" s="52"/>
      <c r="D164" s="52"/>
      <c r="E164" s="52"/>
      <c r="F164" s="52"/>
      <c r="G164" s="53"/>
      <c r="H164" s="20"/>
      <c r="I164" s="9">
        <v>1</v>
      </c>
      <c r="J164" s="9"/>
      <c r="K164" s="9"/>
      <c r="L164" s="9"/>
      <c r="M164" s="9">
        <f t="shared" ref="M164:M175" si="26">I164*O164</f>
        <v>8.1999999999999993</v>
      </c>
      <c r="N164" s="9">
        <f t="shared" ref="N164:N175" si="27">I164*P164</f>
        <v>3.5</v>
      </c>
      <c r="O164" s="9">
        <v>8.1999999999999993</v>
      </c>
      <c r="P164" s="9">
        <v>3.5</v>
      </c>
      <c r="Q164" s="9" t="s">
        <v>9</v>
      </c>
      <c r="R164" s="1">
        <v>0</v>
      </c>
      <c r="S164" s="26"/>
    </row>
    <row r="165" spans="1:19" ht="16.5" customHeight="1" x14ac:dyDescent="0.25">
      <c r="A165" s="9"/>
      <c r="B165" s="51" t="s">
        <v>93</v>
      </c>
      <c r="C165" s="52"/>
      <c r="D165" s="52"/>
      <c r="E165" s="52"/>
      <c r="F165" s="52"/>
      <c r="G165" s="53"/>
      <c r="H165" s="20"/>
      <c r="I165" s="9">
        <v>3</v>
      </c>
      <c r="J165" s="9"/>
      <c r="K165" s="9"/>
      <c r="L165" s="9"/>
      <c r="M165" s="9">
        <f t="shared" si="26"/>
        <v>24.900000000000002</v>
      </c>
      <c r="N165" s="9">
        <f t="shared" si="27"/>
        <v>10.5</v>
      </c>
      <c r="O165" s="9">
        <v>8.3000000000000007</v>
      </c>
      <c r="P165" s="9">
        <v>3.5</v>
      </c>
      <c r="Q165" s="9" t="s">
        <v>9</v>
      </c>
      <c r="R165" s="1">
        <v>0</v>
      </c>
      <c r="S165" s="26"/>
    </row>
    <row r="166" spans="1:19" ht="16.5" customHeight="1" x14ac:dyDescent="0.25">
      <c r="A166" s="9"/>
      <c r="B166" s="51" t="s">
        <v>94</v>
      </c>
      <c r="C166" s="52"/>
      <c r="D166" s="52"/>
      <c r="E166" s="52"/>
      <c r="F166" s="52"/>
      <c r="G166" s="53"/>
      <c r="H166" s="20"/>
      <c r="I166" s="9">
        <v>3</v>
      </c>
      <c r="J166" s="9"/>
      <c r="K166" s="9"/>
      <c r="L166" s="9"/>
      <c r="M166" s="9">
        <f t="shared" si="26"/>
        <v>27.900000000000002</v>
      </c>
      <c r="N166" s="9">
        <f t="shared" si="27"/>
        <v>12</v>
      </c>
      <c r="O166" s="9">
        <v>9.3000000000000007</v>
      </c>
      <c r="P166" s="9">
        <v>4</v>
      </c>
      <c r="Q166" s="9" t="s">
        <v>12</v>
      </c>
      <c r="R166" s="1">
        <v>0</v>
      </c>
      <c r="S166" s="26"/>
    </row>
    <row r="167" spans="1:19" ht="16.5" customHeight="1" x14ac:dyDescent="0.25">
      <c r="A167" s="9"/>
      <c r="B167" s="51" t="s">
        <v>95</v>
      </c>
      <c r="C167" s="52"/>
      <c r="D167" s="52"/>
      <c r="E167" s="52"/>
      <c r="F167" s="52"/>
      <c r="G167" s="53"/>
      <c r="H167" s="20"/>
      <c r="I167" s="9">
        <v>1</v>
      </c>
      <c r="J167" s="9"/>
      <c r="K167" s="9"/>
      <c r="L167" s="9"/>
      <c r="M167" s="9">
        <f t="shared" si="26"/>
        <v>8.4</v>
      </c>
      <c r="N167" s="9">
        <f t="shared" si="27"/>
        <v>3.5</v>
      </c>
      <c r="O167" s="9">
        <v>8.4</v>
      </c>
      <c r="P167" s="9">
        <v>3.5</v>
      </c>
      <c r="Q167" s="9" t="s">
        <v>9</v>
      </c>
      <c r="R167" s="1">
        <v>0</v>
      </c>
      <c r="S167" s="26"/>
    </row>
    <row r="168" spans="1:19" ht="16.5" customHeight="1" x14ac:dyDescent="0.25">
      <c r="A168" s="9"/>
      <c r="B168" s="51" t="s">
        <v>96</v>
      </c>
      <c r="C168" s="52"/>
      <c r="D168" s="52"/>
      <c r="E168" s="52"/>
      <c r="F168" s="52"/>
      <c r="G168" s="53"/>
      <c r="H168" s="20"/>
      <c r="I168" s="9">
        <v>1</v>
      </c>
      <c r="J168" s="9"/>
      <c r="K168" s="9"/>
      <c r="L168" s="9"/>
      <c r="M168" s="9">
        <f t="shared" si="26"/>
        <v>7.7</v>
      </c>
      <c r="N168" s="9">
        <f t="shared" si="27"/>
        <v>3</v>
      </c>
      <c r="O168" s="9">
        <v>7.7</v>
      </c>
      <c r="P168" s="9">
        <v>3</v>
      </c>
      <c r="Q168" s="9" t="s">
        <v>6</v>
      </c>
      <c r="R168" s="1">
        <v>0</v>
      </c>
      <c r="S168" s="26"/>
    </row>
    <row r="169" spans="1:19" ht="16.5" customHeight="1" x14ac:dyDescent="0.25">
      <c r="A169" s="9"/>
      <c r="B169" s="51" t="s">
        <v>97</v>
      </c>
      <c r="C169" s="52"/>
      <c r="D169" s="52"/>
      <c r="E169" s="52"/>
      <c r="F169" s="52"/>
      <c r="G169" s="53"/>
      <c r="H169" s="20"/>
      <c r="I169" s="9">
        <v>2</v>
      </c>
      <c r="J169" s="9"/>
      <c r="K169" s="9"/>
      <c r="L169" s="9"/>
      <c r="M169" s="9">
        <f t="shared" si="26"/>
        <v>17.600000000000001</v>
      </c>
      <c r="N169" s="9">
        <f t="shared" si="27"/>
        <v>7.4</v>
      </c>
      <c r="O169" s="9">
        <v>8.8000000000000007</v>
      </c>
      <c r="P169" s="9">
        <v>3.7</v>
      </c>
      <c r="Q169" s="9" t="s">
        <v>10</v>
      </c>
      <c r="R169" s="1">
        <v>0</v>
      </c>
      <c r="S169" s="26"/>
    </row>
    <row r="170" spans="1:19" ht="16.5" customHeight="1" x14ac:dyDescent="0.25">
      <c r="A170" s="9"/>
      <c r="B170" s="51" t="s">
        <v>98</v>
      </c>
      <c r="C170" s="52"/>
      <c r="D170" s="52"/>
      <c r="E170" s="52"/>
      <c r="F170" s="52"/>
      <c r="G170" s="53"/>
      <c r="H170" s="20"/>
      <c r="I170" s="9">
        <v>2</v>
      </c>
      <c r="J170" s="9"/>
      <c r="K170" s="9"/>
      <c r="L170" s="9"/>
      <c r="M170" s="9">
        <f t="shared" si="26"/>
        <v>16.600000000000001</v>
      </c>
      <c r="N170" s="9">
        <f t="shared" si="27"/>
        <v>7</v>
      </c>
      <c r="O170" s="9">
        <v>8.3000000000000007</v>
      </c>
      <c r="P170" s="9">
        <v>3.5</v>
      </c>
      <c r="Q170" s="9" t="s">
        <v>9</v>
      </c>
      <c r="R170" s="1">
        <v>0</v>
      </c>
      <c r="S170" s="26"/>
    </row>
    <row r="171" spans="1:19" ht="16.5" customHeight="1" x14ac:dyDescent="0.25">
      <c r="A171" s="9"/>
      <c r="B171" s="51" t="s">
        <v>99</v>
      </c>
      <c r="C171" s="52"/>
      <c r="D171" s="52"/>
      <c r="E171" s="52"/>
      <c r="F171" s="52"/>
      <c r="G171" s="53"/>
      <c r="H171" s="20"/>
      <c r="I171" s="9">
        <v>2</v>
      </c>
      <c r="J171" s="9"/>
      <c r="K171" s="9"/>
      <c r="L171" s="9"/>
      <c r="M171" s="9">
        <f t="shared" si="26"/>
        <v>16</v>
      </c>
      <c r="N171" s="9">
        <f t="shared" si="27"/>
        <v>7</v>
      </c>
      <c r="O171" s="9">
        <v>8</v>
      </c>
      <c r="P171" s="9">
        <v>3.5</v>
      </c>
      <c r="Q171" s="9" t="s">
        <v>9</v>
      </c>
      <c r="R171" s="1">
        <v>0</v>
      </c>
      <c r="S171" s="26"/>
    </row>
    <row r="172" spans="1:19" ht="16.5" customHeight="1" x14ac:dyDescent="0.25">
      <c r="A172" s="9"/>
      <c r="B172" s="51" t="s">
        <v>100</v>
      </c>
      <c r="C172" s="52"/>
      <c r="D172" s="52"/>
      <c r="E172" s="52"/>
      <c r="F172" s="52"/>
      <c r="G172" s="53"/>
      <c r="H172" s="20"/>
      <c r="I172" s="9">
        <v>2</v>
      </c>
      <c r="J172" s="9"/>
      <c r="K172" s="9"/>
      <c r="L172" s="9"/>
      <c r="M172" s="9">
        <f t="shared" si="26"/>
        <v>16.2</v>
      </c>
      <c r="N172" s="9">
        <f t="shared" si="27"/>
        <v>7</v>
      </c>
      <c r="O172" s="9">
        <v>8.1</v>
      </c>
      <c r="P172" s="9">
        <v>3.5</v>
      </c>
      <c r="Q172" s="9" t="s">
        <v>9</v>
      </c>
      <c r="R172" s="1">
        <v>0</v>
      </c>
      <c r="S172" s="26"/>
    </row>
    <row r="173" spans="1:19" ht="16.5" customHeight="1" x14ac:dyDescent="0.25">
      <c r="A173" s="9"/>
      <c r="B173" s="51" t="s">
        <v>101</v>
      </c>
      <c r="C173" s="52"/>
      <c r="D173" s="52"/>
      <c r="E173" s="52"/>
      <c r="F173" s="52"/>
      <c r="G173" s="53"/>
      <c r="H173" s="20"/>
      <c r="I173" s="9">
        <v>4</v>
      </c>
      <c r="J173" s="9"/>
      <c r="K173" s="9"/>
      <c r="L173" s="9"/>
      <c r="M173" s="9">
        <f t="shared" si="26"/>
        <v>37.200000000000003</v>
      </c>
      <c r="N173" s="9">
        <f t="shared" si="27"/>
        <v>16</v>
      </c>
      <c r="O173" s="9">
        <v>9.3000000000000007</v>
      </c>
      <c r="P173" s="9">
        <v>4</v>
      </c>
      <c r="Q173" s="9" t="s">
        <v>12</v>
      </c>
      <c r="R173" s="1">
        <v>0</v>
      </c>
      <c r="S173" s="26"/>
    </row>
    <row r="174" spans="1:19" ht="16.5" hidden="1" customHeight="1" x14ac:dyDescent="0.25">
      <c r="A174" s="21"/>
      <c r="H174" s="21"/>
      <c r="I174" s="21"/>
      <c r="J174" s="21"/>
      <c r="K174" s="21"/>
      <c r="L174" s="21"/>
      <c r="M174" s="9">
        <f t="shared" si="26"/>
        <v>0</v>
      </c>
      <c r="N174" s="9">
        <f t="shared" si="27"/>
        <v>0</v>
      </c>
      <c r="O174" s="21"/>
      <c r="P174" s="21"/>
      <c r="Q174" s="21"/>
      <c r="S174" s="25"/>
    </row>
    <row r="175" spans="1:19" ht="16.5" customHeight="1" x14ac:dyDescent="0.25">
      <c r="A175" s="9"/>
      <c r="B175" s="39" t="s">
        <v>42</v>
      </c>
      <c r="C175" s="40"/>
      <c r="D175" s="40"/>
      <c r="E175" s="40"/>
      <c r="F175" s="40"/>
      <c r="G175" s="41"/>
      <c r="H175" s="23"/>
      <c r="I175" s="24">
        <f>SUM(I164:I174)</f>
        <v>21</v>
      </c>
      <c r="J175" s="9"/>
      <c r="K175" s="9"/>
      <c r="L175" s="9"/>
      <c r="M175" s="9">
        <f t="shared" si="26"/>
        <v>180.6</v>
      </c>
      <c r="N175" s="9">
        <f t="shared" si="27"/>
        <v>76.86</v>
      </c>
      <c r="O175" s="24">
        <f>ROUND(SUM(M164:M174)/I175,2)</f>
        <v>8.6</v>
      </c>
      <c r="P175" s="24">
        <f>ROUND(SUM(N164:N174)/I175,2)</f>
        <v>3.66</v>
      </c>
      <c r="Q175" s="9"/>
      <c r="S175" s="25"/>
    </row>
    <row r="176" spans="1:19" ht="20.25" customHeight="1" x14ac:dyDescent="0.25">
      <c r="A176" s="27" t="s">
        <v>102</v>
      </c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</row>
    <row r="177" spans="1:19" ht="16.5" customHeight="1" x14ac:dyDescent="0.25">
      <c r="A177" s="9"/>
      <c r="B177" s="51" t="s">
        <v>103</v>
      </c>
      <c r="C177" s="52"/>
      <c r="D177" s="52"/>
      <c r="E177" s="52"/>
      <c r="F177" s="52"/>
      <c r="G177" s="53"/>
      <c r="H177" s="20"/>
      <c r="I177" s="9">
        <v>1</v>
      </c>
      <c r="J177" s="9"/>
      <c r="K177" s="9"/>
      <c r="L177" s="9"/>
      <c r="M177" s="9">
        <f t="shared" ref="M177:M188" si="28">I177*O177</f>
        <v>6.7</v>
      </c>
      <c r="N177" s="9">
        <f t="shared" ref="N177:N188" si="29">I177*P177</f>
        <v>2.5</v>
      </c>
      <c r="O177" s="9">
        <v>6.7</v>
      </c>
      <c r="P177" s="9">
        <v>2.5</v>
      </c>
      <c r="Q177" s="9" t="s">
        <v>5</v>
      </c>
      <c r="R177" s="1">
        <v>0</v>
      </c>
      <c r="S177" s="26"/>
    </row>
    <row r="178" spans="1:19" ht="16.5" customHeight="1" x14ac:dyDescent="0.25">
      <c r="A178" s="9"/>
      <c r="B178" s="51" t="s">
        <v>104</v>
      </c>
      <c r="C178" s="52"/>
      <c r="D178" s="52"/>
      <c r="E178" s="52"/>
      <c r="F178" s="52"/>
      <c r="G178" s="53"/>
      <c r="H178" s="20"/>
      <c r="I178" s="9">
        <v>3</v>
      </c>
      <c r="J178" s="9"/>
      <c r="K178" s="9"/>
      <c r="L178" s="9"/>
      <c r="M178" s="9">
        <f t="shared" si="28"/>
        <v>24</v>
      </c>
      <c r="N178" s="9">
        <f t="shared" si="29"/>
        <v>10.5</v>
      </c>
      <c r="O178" s="9">
        <v>8</v>
      </c>
      <c r="P178" s="9">
        <v>3.5</v>
      </c>
      <c r="Q178" s="9" t="s">
        <v>9</v>
      </c>
      <c r="R178" s="1">
        <v>0</v>
      </c>
      <c r="S178" s="26"/>
    </row>
    <row r="179" spans="1:19" ht="16.5" customHeight="1" x14ac:dyDescent="0.25">
      <c r="A179" s="9"/>
      <c r="B179" s="51" t="s">
        <v>105</v>
      </c>
      <c r="C179" s="52"/>
      <c r="D179" s="52"/>
      <c r="E179" s="52"/>
      <c r="F179" s="52"/>
      <c r="G179" s="53"/>
      <c r="H179" s="20"/>
      <c r="I179" s="9">
        <v>3</v>
      </c>
      <c r="J179" s="9"/>
      <c r="K179" s="9"/>
      <c r="L179" s="9"/>
      <c r="M179" s="9">
        <f t="shared" si="28"/>
        <v>27</v>
      </c>
      <c r="N179" s="9">
        <f t="shared" si="29"/>
        <v>12</v>
      </c>
      <c r="O179" s="9">
        <v>9</v>
      </c>
      <c r="P179" s="9">
        <v>4</v>
      </c>
      <c r="Q179" s="9" t="s">
        <v>12</v>
      </c>
      <c r="R179" s="1">
        <v>0</v>
      </c>
      <c r="S179" s="26"/>
    </row>
    <row r="180" spans="1:19" ht="16.5" customHeight="1" x14ac:dyDescent="0.25">
      <c r="A180" s="9"/>
      <c r="B180" s="51" t="s">
        <v>106</v>
      </c>
      <c r="C180" s="52"/>
      <c r="D180" s="52"/>
      <c r="E180" s="52"/>
      <c r="F180" s="52"/>
      <c r="G180" s="53"/>
      <c r="H180" s="20"/>
      <c r="I180" s="9">
        <v>3</v>
      </c>
      <c r="J180" s="9"/>
      <c r="K180" s="9"/>
      <c r="L180" s="9"/>
      <c r="M180" s="9">
        <f t="shared" si="28"/>
        <v>26.700000000000003</v>
      </c>
      <c r="N180" s="9">
        <f t="shared" si="29"/>
        <v>11.100000000000001</v>
      </c>
      <c r="O180" s="9">
        <v>8.9</v>
      </c>
      <c r="P180" s="9">
        <v>3.7</v>
      </c>
      <c r="Q180" s="9" t="s">
        <v>10</v>
      </c>
      <c r="R180" s="1">
        <v>0</v>
      </c>
      <c r="S180" s="26"/>
    </row>
    <row r="181" spans="1:19" ht="16.5" customHeight="1" x14ac:dyDescent="0.25">
      <c r="A181" s="9"/>
      <c r="B181" s="51" t="s">
        <v>107</v>
      </c>
      <c r="C181" s="52"/>
      <c r="D181" s="52"/>
      <c r="E181" s="52"/>
      <c r="F181" s="52"/>
      <c r="G181" s="53"/>
      <c r="H181" s="20"/>
      <c r="I181" s="9">
        <v>2</v>
      </c>
      <c r="J181" s="9"/>
      <c r="K181" s="9"/>
      <c r="L181" s="9"/>
      <c r="M181" s="9">
        <f t="shared" si="28"/>
        <v>16.2</v>
      </c>
      <c r="N181" s="9">
        <f t="shared" si="29"/>
        <v>7</v>
      </c>
      <c r="O181" s="9">
        <v>8.1</v>
      </c>
      <c r="P181" s="9">
        <v>3.5</v>
      </c>
      <c r="Q181" s="9" t="s">
        <v>9</v>
      </c>
      <c r="R181" s="1">
        <v>0</v>
      </c>
      <c r="S181" s="26"/>
    </row>
    <row r="182" spans="1:19" ht="16.5" customHeight="1" x14ac:dyDescent="0.25">
      <c r="A182" s="9"/>
      <c r="B182" s="51" t="s">
        <v>108</v>
      </c>
      <c r="C182" s="52"/>
      <c r="D182" s="52"/>
      <c r="E182" s="52"/>
      <c r="F182" s="52"/>
      <c r="G182" s="53"/>
      <c r="H182" s="20"/>
      <c r="I182" s="9">
        <v>2</v>
      </c>
      <c r="J182" s="9"/>
      <c r="K182" s="9"/>
      <c r="L182" s="9"/>
      <c r="M182" s="9">
        <f t="shared" si="28"/>
        <v>17</v>
      </c>
      <c r="N182" s="9">
        <f t="shared" si="29"/>
        <v>7.4</v>
      </c>
      <c r="O182" s="9">
        <v>8.5</v>
      </c>
      <c r="P182" s="9">
        <v>3.7</v>
      </c>
      <c r="Q182" s="9" t="s">
        <v>10</v>
      </c>
      <c r="R182" s="1">
        <v>0</v>
      </c>
      <c r="S182" s="26"/>
    </row>
    <row r="183" spans="1:19" ht="16.5" customHeight="1" x14ac:dyDescent="0.25">
      <c r="A183" s="9"/>
      <c r="B183" s="51" t="s">
        <v>109</v>
      </c>
      <c r="C183" s="52"/>
      <c r="D183" s="52"/>
      <c r="E183" s="52"/>
      <c r="F183" s="52"/>
      <c r="G183" s="53"/>
      <c r="H183" s="20"/>
      <c r="I183" s="9">
        <v>2</v>
      </c>
      <c r="J183" s="9"/>
      <c r="K183" s="9"/>
      <c r="L183" s="9"/>
      <c r="M183" s="9">
        <f t="shared" si="28"/>
        <v>14</v>
      </c>
      <c r="N183" s="9">
        <f t="shared" si="29"/>
        <v>6</v>
      </c>
      <c r="O183" s="9">
        <v>7</v>
      </c>
      <c r="P183" s="9">
        <v>3</v>
      </c>
      <c r="Q183" s="9" t="s">
        <v>6</v>
      </c>
      <c r="R183" s="1">
        <v>0</v>
      </c>
      <c r="S183" s="26"/>
    </row>
    <row r="184" spans="1:19" ht="16.5" customHeight="1" x14ac:dyDescent="0.25">
      <c r="A184" s="9"/>
      <c r="B184" s="51" t="s">
        <v>110</v>
      </c>
      <c r="C184" s="52"/>
      <c r="D184" s="52"/>
      <c r="E184" s="52"/>
      <c r="F184" s="52"/>
      <c r="G184" s="53"/>
      <c r="H184" s="20"/>
      <c r="I184" s="9">
        <v>4</v>
      </c>
      <c r="J184" s="9"/>
      <c r="K184" s="9"/>
      <c r="L184" s="9"/>
      <c r="M184" s="9">
        <f t="shared" si="28"/>
        <v>33.200000000000003</v>
      </c>
      <c r="N184" s="9">
        <f t="shared" si="29"/>
        <v>14</v>
      </c>
      <c r="O184" s="9">
        <v>8.3000000000000007</v>
      </c>
      <c r="P184" s="9">
        <v>3.5</v>
      </c>
      <c r="Q184" s="9" t="s">
        <v>9</v>
      </c>
      <c r="R184" s="1">
        <v>0</v>
      </c>
      <c r="S184" s="26"/>
    </row>
    <row r="185" spans="1:19" ht="16.5" customHeight="1" x14ac:dyDescent="0.25">
      <c r="A185" s="9"/>
      <c r="B185" s="51" t="s">
        <v>111</v>
      </c>
      <c r="C185" s="52"/>
      <c r="D185" s="52"/>
      <c r="E185" s="52"/>
      <c r="F185" s="52"/>
      <c r="G185" s="53"/>
      <c r="H185" s="20"/>
      <c r="I185" s="9">
        <v>2</v>
      </c>
      <c r="J185" s="9"/>
      <c r="K185" s="9"/>
      <c r="L185" s="9"/>
      <c r="M185" s="9">
        <f t="shared" si="28"/>
        <v>15.2</v>
      </c>
      <c r="N185" s="9">
        <f t="shared" si="29"/>
        <v>6</v>
      </c>
      <c r="O185" s="9">
        <v>7.6</v>
      </c>
      <c r="P185" s="9">
        <v>3</v>
      </c>
      <c r="Q185" s="9" t="s">
        <v>6</v>
      </c>
      <c r="R185" s="1">
        <v>0</v>
      </c>
      <c r="S185" s="26"/>
    </row>
    <row r="186" spans="1:19" ht="16.5" customHeight="1" x14ac:dyDescent="0.25">
      <c r="A186" s="9"/>
      <c r="B186" s="51" t="s">
        <v>112</v>
      </c>
      <c r="C186" s="52"/>
      <c r="D186" s="52"/>
      <c r="E186" s="52"/>
      <c r="F186" s="52"/>
      <c r="G186" s="53"/>
      <c r="H186" s="20"/>
      <c r="I186" s="9">
        <v>3</v>
      </c>
      <c r="J186" s="9"/>
      <c r="K186" s="9"/>
      <c r="L186" s="9"/>
      <c r="M186" s="9">
        <f t="shared" si="28"/>
        <v>26.400000000000002</v>
      </c>
      <c r="N186" s="9">
        <f t="shared" si="29"/>
        <v>11.100000000000001</v>
      </c>
      <c r="O186" s="9">
        <v>8.8000000000000007</v>
      </c>
      <c r="P186" s="9">
        <v>3.7</v>
      </c>
      <c r="Q186" s="9" t="s">
        <v>10</v>
      </c>
      <c r="R186" s="1">
        <v>0</v>
      </c>
      <c r="S186" s="26"/>
    </row>
    <row r="187" spans="1:19" ht="16.5" hidden="1" customHeight="1" x14ac:dyDescent="0.25">
      <c r="A187" s="21"/>
      <c r="H187" s="21"/>
      <c r="I187" s="21"/>
      <c r="J187" s="21"/>
      <c r="K187" s="21"/>
      <c r="L187" s="21"/>
      <c r="M187" s="9">
        <f t="shared" si="28"/>
        <v>0</v>
      </c>
      <c r="N187" s="9">
        <f t="shared" si="29"/>
        <v>0</v>
      </c>
      <c r="O187" s="21"/>
      <c r="P187" s="21"/>
      <c r="Q187" s="21"/>
      <c r="S187" s="25"/>
    </row>
    <row r="188" spans="1:19" ht="16.5" customHeight="1" x14ac:dyDescent="0.25">
      <c r="A188" s="9"/>
      <c r="B188" s="39" t="s">
        <v>42</v>
      </c>
      <c r="C188" s="40"/>
      <c r="D188" s="40"/>
      <c r="E188" s="40"/>
      <c r="F188" s="40"/>
      <c r="G188" s="41"/>
      <c r="H188" s="23"/>
      <c r="I188" s="24">
        <f>SUM(I177:I187)</f>
        <v>25</v>
      </c>
      <c r="J188" s="9"/>
      <c r="K188" s="9"/>
      <c r="L188" s="9"/>
      <c r="M188" s="9">
        <f t="shared" si="28"/>
        <v>206.5</v>
      </c>
      <c r="N188" s="9">
        <f t="shared" si="29"/>
        <v>87.5</v>
      </c>
      <c r="O188" s="24">
        <f>ROUND(SUM(M177:M187)/I188,2)</f>
        <v>8.26</v>
      </c>
      <c r="P188" s="24">
        <f>ROUND(SUM(N177:N187)/I188,2)</f>
        <v>3.5</v>
      </c>
      <c r="Q188" s="9"/>
      <c r="S188" s="25"/>
    </row>
    <row r="189" spans="1:19" ht="20.25" customHeight="1" x14ac:dyDescent="0.25">
      <c r="A189" s="27" t="s">
        <v>113</v>
      </c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</row>
    <row r="190" spans="1:19" ht="16.5" customHeight="1" x14ac:dyDescent="0.25">
      <c r="A190" s="9"/>
      <c r="B190" s="51" t="s">
        <v>114</v>
      </c>
      <c r="C190" s="52"/>
      <c r="D190" s="52"/>
      <c r="E190" s="52"/>
      <c r="F190" s="52"/>
      <c r="G190" s="53"/>
      <c r="H190" s="20"/>
      <c r="I190" s="9">
        <v>3</v>
      </c>
      <c r="J190" s="9"/>
      <c r="K190" s="9"/>
      <c r="L190" s="9"/>
      <c r="M190" s="9">
        <f t="shared" ref="M190:M198" si="30">I190*O190</f>
        <v>0</v>
      </c>
      <c r="N190" s="9">
        <f t="shared" ref="N190:N198" si="31">I190*P190</f>
        <v>0</v>
      </c>
      <c r="O190" s="9"/>
      <c r="P190" s="9"/>
      <c r="Q190" s="9"/>
      <c r="R190" s="1">
        <v>0</v>
      </c>
      <c r="S190" s="26"/>
    </row>
    <row r="191" spans="1:19" ht="16.5" customHeight="1" x14ac:dyDescent="0.25">
      <c r="A191" s="9"/>
      <c r="B191" s="51" t="s">
        <v>115</v>
      </c>
      <c r="C191" s="52"/>
      <c r="D191" s="52"/>
      <c r="E191" s="52"/>
      <c r="F191" s="52"/>
      <c r="G191" s="53"/>
      <c r="H191" s="20"/>
      <c r="I191" s="9">
        <v>3</v>
      </c>
      <c r="J191" s="9"/>
      <c r="K191" s="9"/>
      <c r="L191" s="9"/>
      <c r="M191" s="9">
        <f t="shared" si="30"/>
        <v>0</v>
      </c>
      <c r="N191" s="9">
        <f t="shared" si="31"/>
        <v>0</v>
      </c>
      <c r="O191" s="9"/>
      <c r="P191" s="9"/>
      <c r="Q191" s="9"/>
      <c r="R191" s="1">
        <v>0</v>
      </c>
      <c r="S191" s="26"/>
    </row>
    <row r="192" spans="1:19" ht="16.5" customHeight="1" x14ac:dyDescent="0.25">
      <c r="A192" s="9"/>
      <c r="B192" s="51" t="s">
        <v>116</v>
      </c>
      <c r="C192" s="52"/>
      <c r="D192" s="52"/>
      <c r="E192" s="52"/>
      <c r="F192" s="52"/>
      <c r="G192" s="53"/>
      <c r="H192" s="20"/>
      <c r="I192" s="9">
        <v>3</v>
      </c>
      <c r="J192" s="9"/>
      <c r="K192" s="9"/>
      <c r="L192" s="9"/>
      <c r="M192" s="9">
        <f t="shared" si="30"/>
        <v>0</v>
      </c>
      <c r="N192" s="9">
        <f t="shared" si="31"/>
        <v>0</v>
      </c>
      <c r="O192" s="9"/>
      <c r="P192" s="9"/>
      <c r="Q192" s="9"/>
      <c r="R192" s="1">
        <v>0</v>
      </c>
      <c r="S192" s="26"/>
    </row>
    <row r="193" spans="1:19" ht="16.5" customHeight="1" x14ac:dyDescent="0.25">
      <c r="A193" s="9"/>
      <c r="B193" s="51" t="s">
        <v>117</v>
      </c>
      <c r="C193" s="52"/>
      <c r="D193" s="52"/>
      <c r="E193" s="52"/>
      <c r="F193" s="52"/>
      <c r="G193" s="53"/>
      <c r="H193" s="20"/>
      <c r="I193" s="9">
        <v>1</v>
      </c>
      <c r="J193" s="9"/>
      <c r="K193" s="9"/>
      <c r="L193" s="9"/>
      <c r="M193" s="9">
        <f t="shared" si="30"/>
        <v>7.3</v>
      </c>
      <c r="N193" s="9">
        <f t="shared" si="31"/>
        <v>3</v>
      </c>
      <c r="O193" s="9">
        <v>7.3</v>
      </c>
      <c r="P193" s="9">
        <v>3</v>
      </c>
      <c r="Q193" s="9" t="s">
        <v>6</v>
      </c>
      <c r="R193" s="1">
        <v>0</v>
      </c>
      <c r="S193" s="26"/>
    </row>
    <row r="194" spans="1:19" ht="16.5" customHeight="1" x14ac:dyDescent="0.25">
      <c r="A194" s="9"/>
      <c r="B194" s="51" t="s">
        <v>118</v>
      </c>
      <c r="C194" s="52"/>
      <c r="D194" s="52"/>
      <c r="E194" s="52"/>
      <c r="F194" s="52"/>
      <c r="G194" s="53"/>
      <c r="H194" s="20"/>
      <c r="I194" s="9">
        <v>3</v>
      </c>
      <c r="J194" s="9"/>
      <c r="K194" s="9"/>
      <c r="L194" s="9"/>
      <c r="M194" s="9">
        <f t="shared" si="30"/>
        <v>0</v>
      </c>
      <c r="N194" s="9">
        <f t="shared" si="31"/>
        <v>0</v>
      </c>
      <c r="O194" s="9"/>
      <c r="P194" s="9"/>
      <c r="Q194" s="9"/>
      <c r="R194" s="1">
        <v>0</v>
      </c>
      <c r="S194" s="26"/>
    </row>
    <row r="195" spans="1:19" ht="16.5" customHeight="1" x14ac:dyDescent="0.25">
      <c r="A195" s="9"/>
      <c r="B195" s="51" t="s">
        <v>119</v>
      </c>
      <c r="C195" s="52"/>
      <c r="D195" s="52"/>
      <c r="E195" s="52"/>
      <c r="F195" s="52"/>
      <c r="G195" s="53"/>
      <c r="H195" s="20"/>
      <c r="I195" s="9">
        <v>3</v>
      </c>
      <c r="J195" s="9"/>
      <c r="K195" s="9"/>
      <c r="L195" s="9"/>
      <c r="M195" s="9">
        <f t="shared" si="30"/>
        <v>0</v>
      </c>
      <c r="N195" s="9">
        <f t="shared" si="31"/>
        <v>0</v>
      </c>
      <c r="O195" s="9"/>
      <c r="P195" s="9"/>
      <c r="Q195" s="9"/>
      <c r="R195" s="1">
        <v>0</v>
      </c>
      <c r="S195" s="26"/>
    </row>
    <row r="196" spans="1:19" ht="16.5" customHeight="1" x14ac:dyDescent="0.25">
      <c r="A196" s="9"/>
      <c r="B196" s="51" t="s">
        <v>120</v>
      </c>
      <c r="C196" s="52"/>
      <c r="D196" s="52"/>
      <c r="E196" s="52"/>
      <c r="F196" s="52"/>
      <c r="G196" s="53"/>
      <c r="H196" s="20"/>
      <c r="I196" s="9">
        <v>2</v>
      </c>
      <c r="J196" s="9"/>
      <c r="K196" s="9"/>
      <c r="L196" s="9"/>
      <c r="M196" s="9">
        <f t="shared" si="30"/>
        <v>16</v>
      </c>
      <c r="N196" s="9">
        <f t="shared" si="31"/>
        <v>7</v>
      </c>
      <c r="O196" s="9">
        <v>8</v>
      </c>
      <c r="P196" s="9">
        <v>3.5</v>
      </c>
      <c r="Q196" s="9" t="s">
        <v>9</v>
      </c>
      <c r="R196" s="1">
        <v>0</v>
      </c>
      <c r="S196" s="26"/>
    </row>
    <row r="197" spans="1:19" ht="16.5" hidden="1" customHeight="1" x14ac:dyDescent="0.25">
      <c r="A197" s="21"/>
      <c r="H197" s="21"/>
      <c r="I197" s="21"/>
      <c r="J197" s="21"/>
      <c r="K197" s="21"/>
      <c r="L197" s="21"/>
      <c r="M197" s="9">
        <f t="shared" si="30"/>
        <v>0</v>
      </c>
      <c r="N197" s="9">
        <f t="shared" si="31"/>
        <v>0</v>
      </c>
      <c r="O197" s="21"/>
      <c r="P197" s="21"/>
      <c r="Q197" s="21"/>
      <c r="S197" s="25"/>
    </row>
    <row r="198" spans="1:19" ht="16.5" customHeight="1" x14ac:dyDescent="0.25">
      <c r="A198" s="9"/>
      <c r="B198" s="39" t="s">
        <v>42</v>
      </c>
      <c r="C198" s="40"/>
      <c r="D198" s="40"/>
      <c r="E198" s="40"/>
      <c r="F198" s="40"/>
      <c r="G198" s="41"/>
      <c r="H198" s="23"/>
      <c r="I198" s="24">
        <f>SUM(I190:I197)</f>
        <v>18</v>
      </c>
      <c r="J198" s="9"/>
      <c r="K198" s="9"/>
      <c r="L198" s="9"/>
      <c r="M198" s="9">
        <f t="shared" si="30"/>
        <v>23.22</v>
      </c>
      <c r="N198" s="9">
        <f t="shared" si="31"/>
        <v>10.080000000000002</v>
      </c>
      <c r="O198" s="24">
        <f>ROUND(SUM(M190:M197)/I198,2)</f>
        <v>1.29</v>
      </c>
      <c r="P198" s="24">
        <f>ROUND(SUM(N190:N197)/I198,2)</f>
        <v>0.56000000000000005</v>
      </c>
      <c r="Q198" s="9"/>
      <c r="S198" s="25"/>
    </row>
    <row r="199" spans="1:19" ht="16.5" customHeight="1" x14ac:dyDescent="0.25">
      <c r="A199" s="21"/>
      <c r="B199" s="22"/>
      <c r="C199" s="22"/>
      <c r="D199" s="22"/>
      <c r="E199" s="22"/>
      <c r="F199" s="22"/>
      <c r="G199" s="22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1" spans="1:19" ht="18" x14ac:dyDescent="0.25">
      <c r="A201" s="35" t="s">
        <v>50</v>
      </c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</row>
    <row r="202" spans="1:19" ht="18" x14ac:dyDescent="0.25">
      <c r="A202" s="35" t="s">
        <v>124</v>
      </c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</row>
    <row r="203" spans="1:19" ht="18" x14ac:dyDescent="0.25">
      <c r="A203" s="35" t="s">
        <v>125</v>
      </c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</row>
    <row r="204" spans="1:19" ht="18" x14ac:dyDescent="0.25">
      <c r="A204" s="45" t="s">
        <v>126</v>
      </c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</row>
    <row r="205" spans="1:19" ht="19.5" customHeight="1" x14ac:dyDescent="0.25">
      <c r="A205" s="17"/>
      <c r="B205" s="17"/>
      <c r="C205" s="8"/>
      <c r="D205" s="18"/>
      <c r="E205" s="10"/>
      <c r="F205" s="11"/>
      <c r="G205" s="46" t="s">
        <v>49</v>
      </c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</row>
    <row r="206" spans="1:19" ht="31.5" customHeight="1" x14ac:dyDescent="0.3">
      <c r="A206" s="8"/>
      <c r="B206" s="8"/>
      <c r="C206" s="8"/>
      <c r="D206" s="8"/>
      <c r="E206" s="8"/>
      <c r="F206" s="8"/>
      <c r="G206" s="8"/>
      <c r="H206" s="12"/>
      <c r="I206" s="42" t="s">
        <v>40</v>
      </c>
      <c r="J206" s="43"/>
      <c r="K206" s="43"/>
      <c r="L206" s="43"/>
      <c r="M206" s="43"/>
      <c r="N206" s="43"/>
      <c r="O206" s="43"/>
      <c r="P206" s="43"/>
      <c r="Q206" s="43"/>
      <c r="R206" s="43"/>
      <c r="S206" s="43"/>
    </row>
    <row r="207" spans="1:19" ht="16.8" x14ac:dyDescent="0.3">
      <c r="A207" s="8"/>
      <c r="B207" s="8"/>
      <c r="C207" s="8"/>
      <c r="D207" s="8"/>
      <c r="E207" s="8"/>
      <c r="F207" s="8"/>
      <c r="G207" s="8"/>
      <c r="H207" s="12"/>
      <c r="I207" s="12"/>
      <c r="J207" s="12"/>
      <c r="K207" s="12"/>
      <c r="L207" s="8"/>
      <c r="M207" s="8"/>
      <c r="N207" s="8"/>
      <c r="O207" s="8"/>
      <c r="P207" s="8"/>
      <c r="Q207" s="8"/>
    </row>
    <row r="208" spans="1:19" ht="33" customHeight="1" x14ac:dyDescent="0.3">
      <c r="A208" s="8"/>
      <c r="B208" s="8"/>
      <c r="C208" s="8"/>
      <c r="D208" s="8"/>
      <c r="E208" s="8"/>
      <c r="F208" s="8"/>
      <c r="G208" s="8"/>
      <c r="H208" s="12"/>
      <c r="I208" s="12"/>
      <c r="J208" s="12"/>
      <c r="K208" s="12"/>
      <c r="L208" s="8"/>
      <c r="M208" s="8"/>
      <c r="N208" s="8"/>
      <c r="O208" s="8"/>
      <c r="P208" s="8"/>
      <c r="Q208" s="8"/>
    </row>
    <row r="209" spans="1:20" ht="11.25" customHeight="1" x14ac:dyDescent="0.3">
      <c r="A209" s="8"/>
      <c r="B209" s="8"/>
      <c r="C209" s="8"/>
      <c r="D209" s="8"/>
      <c r="E209" s="8"/>
      <c r="F209" s="8"/>
      <c r="G209" s="8"/>
      <c r="H209" s="12"/>
      <c r="I209" s="12"/>
      <c r="J209" s="12"/>
      <c r="K209" s="12"/>
      <c r="L209" s="8"/>
      <c r="M209" s="8"/>
      <c r="N209" s="8"/>
      <c r="O209" s="8"/>
      <c r="P209" s="8"/>
      <c r="Q209" s="8"/>
    </row>
    <row r="210" spans="1:20" ht="17.399999999999999" x14ac:dyDescent="0.3">
      <c r="A210" s="8"/>
      <c r="B210" s="8"/>
      <c r="C210" s="8"/>
      <c r="D210" s="8"/>
      <c r="E210" s="8"/>
      <c r="F210" s="8"/>
      <c r="G210" s="47" t="s">
        <v>41</v>
      </c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</row>
    <row r="211" spans="1:20" ht="54" customHeight="1" x14ac:dyDescent="0.25">
      <c r="A211" s="48" t="s">
        <v>33</v>
      </c>
      <c r="B211" s="48"/>
      <c r="C211" s="48"/>
      <c r="D211" s="48"/>
      <c r="E211" s="48"/>
      <c r="F211" s="42" t="s">
        <v>24</v>
      </c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</row>
    <row r="212" spans="1:20" ht="17.399999999999999" x14ac:dyDescent="0.25">
      <c r="A212" s="49" t="s">
        <v>34</v>
      </c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</row>
    <row r="213" spans="1:20" ht="4.5" customHeight="1" x14ac:dyDescent="0.25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</row>
    <row r="214" spans="1:20" ht="5.25" customHeight="1" x14ac:dyDescent="0.25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20" ht="16.5" customHeight="1" x14ac:dyDescent="0.25">
      <c r="A215" s="54" t="s">
        <v>127</v>
      </c>
      <c r="B215" s="54"/>
      <c r="C215" s="54"/>
      <c r="D215" s="54"/>
      <c r="E215" s="54"/>
      <c r="F215" s="54"/>
      <c r="G215" s="58" t="s">
        <v>128</v>
      </c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</row>
    <row r="216" spans="1:20" ht="16.5" customHeight="1" x14ac:dyDescent="0.25">
      <c r="A216" s="54" t="s">
        <v>129</v>
      </c>
      <c r="B216" s="54"/>
      <c r="C216" s="54"/>
      <c r="D216" s="54"/>
      <c r="E216" s="54"/>
      <c r="F216" s="54"/>
      <c r="G216" s="8" t="s">
        <v>46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T216" s="2"/>
    </row>
    <row r="217" spans="1:20" ht="16.5" customHeight="1" x14ac:dyDescent="0.25">
      <c r="A217" s="54" t="s">
        <v>47</v>
      </c>
      <c r="B217" s="54"/>
      <c r="C217" s="54"/>
      <c r="D217" s="54"/>
      <c r="E217" s="54"/>
      <c r="F217" s="54"/>
      <c r="G217" s="58" t="s">
        <v>48</v>
      </c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</row>
    <row r="218" spans="1:20" ht="5.2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19"/>
      <c r="K218" s="19"/>
      <c r="L218" s="19"/>
      <c r="M218" s="19"/>
      <c r="N218" s="19"/>
      <c r="O218" s="19"/>
      <c r="P218" s="19"/>
      <c r="Q218" s="19"/>
    </row>
    <row r="219" spans="1:20" ht="15" customHeight="1" x14ac:dyDescent="0.25">
      <c r="A219" s="36" t="s">
        <v>0</v>
      </c>
      <c r="B219" s="29" t="s">
        <v>1</v>
      </c>
      <c r="C219" s="30"/>
      <c r="D219" s="30"/>
      <c r="E219" s="30"/>
      <c r="F219" s="30"/>
      <c r="G219" s="31"/>
      <c r="H219" s="36" t="s">
        <v>32</v>
      </c>
      <c r="I219" s="36" t="s">
        <v>39</v>
      </c>
      <c r="J219" s="55" t="s">
        <v>2</v>
      </c>
      <c r="K219" s="56"/>
      <c r="L219" s="56"/>
      <c r="M219" s="56"/>
      <c r="N219" s="56"/>
      <c r="O219" s="56"/>
      <c r="P219" s="56"/>
      <c r="Q219" s="57"/>
      <c r="S219" s="36" t="s">
        <v>38</v>
      </c>
    </row>
    <row r="220" spans="1:20" ht="24" customHeight="1" x14ac:dyDescent="0.25">
      <c r="A220" s="37"/>
      <c r="B220" s="32"/>
      <c r="C220" s="33"/>
      <c r="D220" s="33"/>
      <c r="E220" s="33"/>
      <c r="F220" s="33"/>
      <c r="G220" s="34"/>
      <c r="H220" s="37"/>
      <c r="I220" s="37"/>
      <c r="J220" s="7" t="s">
        <v>28</v>
      </c>
      <c r="K220" s="7" t="s">
        <v>29</v>
      </c>
      <c r="L220" s="7" t="s">
        <v>30</v>
      </c>
      <c r="M220" s="7"/>
      <c r="N220" s="7"/>
      <c r="O220" s="6" t="s">
        <v>35</v>
      </c>
      <c r="P220" s="6" t="s">
        <v>36</v>
      </c>
      <c r="Q220" s="6" t="s">
        <v>37</v>
      </c>
      <c r="S220" s="37"/>
    </row>
    <row r="221" spans="1:20" ht="20.25" customHeight="1" x14ac:dyDescent="0.25">
      <c r="A221" s="27" t="s">
        <v>54</v>
      </c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</row>
    <row r="222" spans="1:20" ht="16.5" customHeight="1" x14ac:dyDescent="0.25">
      <c r="A222" s="9"/>
      <c r="B222" s="51" t="s">
        <v>55</v>
      </c>
      <c r="C222" s="52"/>
      <c r="D222" s="52"/>
      <c r="E222" s="52"/>
      <c r="F222" s="52"/>
      <c r="G222" s="53"/>
      <c r="H222" s="20"/>
      <c r="I222" s="9">
        <v>1</v>
      </c>
      <c r="J222" s="9"/>
      <c r="K222" s="9"/>
      <c r="L222" s="9"/>
      <c r="M222" s="9">
        <f t="shared" ref="M222:M230" si="32">I222*O222</f>
        <v>5.0999999999999996</v>
      </c>
      <c r="N222" s="9">
        <f t="shared" ref="N222:N230" si="33">I222*P222</f>
        <v>1.5</v>
      </c>
      <c r="O222" s="9">
        <v>5.0999999999999996</v>
      </c>
      <c r="P222" s="9">
        <v>1.5</v>
      </c>
      <c r="Q222" s="9" t="s">
        <v>4</v>
      </c>
      <c r="R222" s="1">
        <v>0</v>
      </c>
      <c r="S222" s="26"/>
    </row>
    <row r="223" spans="1:20" ht="16.5" customHeight="1" x14ac:dyDescent="0.25">
      <c r="A223" s="9"/>
      <c r="B223" s="51" t="s">
        <v>56</v>
      </c>
      <c r="C223" s="52"/>
      <c r="D223" s="52"/>
      <c r="E223" s="52"/>
      <c r="F223" s="52"/>
      <c r="G223" s="53"/>
      <c r="H223" s="20"/>
      <c r="I223" s="9">
        <v>3</v>
      </c>
      <c r="J223" s="9"/>
      <c r="K223" s="9"/>
      <c r="L223" s="9"/>
      <c r="M223" s="9">
        <f t="shared" si="32"/>
        <v>14.700000000000001</v>
      </c>
      <c r="N223" s="9">
        <f t="shared" si="33"/>
        <v>3</v>
      </c>
      <c r="O223" s="9">
        <v>4.9000000000000004</v>
      </c>
      <c r="P223" s="9">
        <v>1</v>
      </c>
      <c r="Q223" s="9" t="s">
        <v>8</v>
      </c>
      <c r="R223" s="1">
        <v>0</v>
      </c>
      <c r="S223" s="26"/>
    </row>
    <row r="224" spans="1:20" ht="31.2" customHeight="1" x14ac:dyDescent="0.25">
      <c r="A224" s="9"/>
      <c r="B224" s="51" t="s">
        <v>57</v>
      </c>
      <c r="C224" s="52"/>
      <c r="D224" s="52"/>
      <c r="E224" s="52"/>
      <c r="F224" s="52"/>
      <c r="G224" s="53"/>
      <c r="H224" s="20"/>
      <c r="I224" s="9">
        <v>3</v>
      </c>
      <c r="J224" s="9"/>
      <c r="K224" s="9"/>
      <c r="L224" s="9"/>
      <c r="M224" s="9">
        <f t="shared" si="32"/>
        <v>22.5</v>
      </c>
      <c r="N224" s="9">
        <f t="shared" si="33"/>
        <v>9</v>
      </c>
      <c r="O224" s="9">
        <v>7.5</v>
      </c>
      <c r="P224" s="9">
        <v>3</v>
      </c>
      <c r="Q224" s="9" t="s">
        <v>6</v>
      </c>
      <c r="R224" s="1">
        <v>0</v>
      </c>
      <c r="S224" s="26"/>
    </row>
    <row r="225" spans="1:19" ht="16.5" customHeight="1" x14ac:dyDescent="0.25">
      <c r="A225" s="9"/>
      <c r="B225" s="51" t="s">
        <v>58</v>
      </c>
      <c r="C225" s="52"/>
      <c r="D225" s="52"/>
      <c r="E225" s="52"/>
      <c r="F225" s="52"/>
      <c r="G225" s="53"/>
      <c r="H225" s="20"/>
      <c r="I225" s="9">
        <v>1</v>
      </c>
      <c r="J225" s="9"/>
      <c r="K225" s="9"/>
      <c r="L225" s="9"/>
      <c r="M225" s="9">
        <f t="shared" si="32"/>
        <v>6.7</v>
      </c>
      <c r="N225" s="9">
        <f t="shared" si="33"/>
        <v>2.5</v>
      </c>
      <c r="O225" s="9">
        <v>6.7</v>
      </c>
      <c r="P225" s="9">
        <v>2.5</v>
      </c>
      <c r="Q225" s="9" t="s">
        <v>5</v>
      </c>
      <c r="R225" s="1">
        <v>0</v>
      </c>
      <c r="S225" s="26"/>
    </row>
    <row r="226" spans="1:19" ht="16.5" customHeight="1" x14ac:dyDescent="0.25">
      <c r="A226" s="9"/>
      <c r="B226" s="51" t="s">
        <v>59</v>
      </c>
      <c r="C226" s="52"/>
      <c r="D226" s="52"/>
      <c r="E226" s="52"/>
      <c r="F226" s="52"/>
      <c r="G226" s="53"/>
      <c r="H226" s="20"/>
      <c r="I226" s="9">
        <v>1</v>
      </c>
      <c r="J226" s="9"/>
      <c r="K226" s="9"/>
      <c r="L226" s="9"/>
      <c r="M226" s="9">
        <f t="shared" si="32"/>
        <v>7.6</v>
      </c>
      <c r="N226" s="9">
        <f t="shared" si="33"/>
        <v>3</v>
      </c>
      <c r="O226" s="9">
        <v>7.6</v>
      </c>
      <c r="P226" s="9">
        <v>3</v>
      </c>
      <c r="Q226" s="9" t="s">
        <v>6</v>
      </c>
      <c r="R226" s="1">
        <v>0</v>
      </c>
      <c r="S226" s="26"/>
    </row>
    <row r="227" spans="1:19" ht="16.5" customHeight="1" x14ac:dyDescent="0.25">
      <c r="A227" s="9"/>
      <c r="B227" s="51" t="s">
        <v>60</v>
      </c>
      <c r="C227" s="52"/>
      <c r="D227" s="52"/>
      <c r="E227" s="52"/>
      <c r="F227" s="52"/>
      <c r="G227" s="53"/>
      <c r="H227" s="20"/>
      <c r="I227" s="9">
        <v>3</v>
      </c>
      <c r="J227" s="9"/>
      <c r="K227" s="9"/>
      <c r="L227" s="9"/>
      <c r="M227" s="9">
        <f t="shared" si="32"/>
        <v>21.9</v>
      </c>
      <c r="N227" s="9">
        <f t="shared" si="33"/>
        <v>9</v>
      </c>
      <c r="O227" s="9">
        <v>7.3</v>
      </c>
      <c r="P227" s="9">
        <v>3</v>
      </c>
      <c r="Q227" s="9" t="s">
        <v>6</v>
      </c>
      <c r="R227" s="1">
        <v>0</v>
      </c>
      <c r="S227" s="26"/>
    </row>
    <row r="228" spans="1:19" ht="16.5" customHeight="1" x14ac:dyDescent="0.25">
      <c r="A228" s="9"/>
      <c r="B228" s="51" t="s">
        <v>61</v>
      </c>
      <c r="C228" s="52"/>
      <c r="D228" s="52"/>
      <c r="E228" s="52"/>
      <c r="F228" s="52"/>
      <c r="G228" s="53"/>
      <c r="H228" s="20"/>
      <c r="I228" s="9">
        <v>2</v>
      </c>
      <c r="J228" s="9"/>
      <c r="K228" s="9"/>
      <c r="L228" s="9"/>
      <c r="M228" s="9">
        <f t="shared" si="32"/>
        <v>13.8</v>
      </c>
      <c r="N228" s="9">
        <f t="shared" si="33"/>
        <v>5</v>
      </c>
      <c r="O228" s="9">
        <v>6.9</v>
      </c>
      <c r="P228" s="9">
        <v>2.5</v>
      </c>
      <c r="Q228" s="9" t="s">
        <v>5</v>
      </c>
      <c r="R228" s="1">
        <v>0</v>
      </c>
      <c r="S228" s="26"/>
    </row>
    <row r="229" spans="1:19" ht="16.5" hidden="1" customHeight="1" x14ac:dyDescent="0.25">
      <c r="A229" s="21"/>
      <c r="H229" s="21"/>
      <c r="I229" s="21"/>
      <c r="J229" s="21"/>
      <c r="K229" s="21"/>
      <c r="L229" s="21"/>
      <c r="M229" s="9">
        <f t="shared" si="32"/>
        <v>0</v>
      </c>
      <c r="N229" s="9">
        <f t="shared" si="33"/>
        <v>0</v>
      </c>
      <c r="O229" s="21"/>
      <c r="P229" s="21"/>
      <c r="Q229" s="21"/>
      <c r="S229" s="25"/>
    </row>
    <row r="230" spans="1:19" ht="16.5" customHeight="1" x14ac:dyDescent="0.25">
      <c r="A230" s="9"/>
      <c r="B230" s="39" t="s">
        <v>42</v>
      </c>
      <c r="C230" s="40"/>
      <c r="D230" s="40"/>
      <c r="E230" s="40"/>
      <c r="F230" s="40"/>
      <c r="G230" s="41"/>
      <c r="H230" s="23"/>
      <c r="I230" s="24">
        <f>SUM(I222:I229)</f>
        <v>14</v>
      </c>
      <c r="J230" s="9"/>
      <c r="K230" s="9"/>
      <c r="L230" s="9"/>
      <c r="M230" s="9">
        <f t="shared" si="32"/>
        <v>92.259999999999991</v>
      </c>
      <c r="N230" s="9">
        <f t="shared" si="33"/>
        <v>33.04</v>
      </c>
      <c r="O230" s="24">
        <f>ROUND(SUM(M222:M229)/I230,2)</f>
        <v>6.59</v>
      </c>
      <c r="P230" s="24">
        <f>ROUND(SUM(N222:N229)/I230,2)</f>
        <v>2.36</v>
      </c>
      <c r="Q230" s="9"/>
      <c r="S230" s="25"/>
    </row>
    <row r="231" spans="1:19" ht="20.25" customHeight="1" x14ac:dyDescent="0.25">
      <c r="A231" s="27" t="s">
        <v>62</v>
      </c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</row>
    <row r="232" spans="1:19" ht="16.5" customHeight="1" x14ac:dyDescent="0.25">
      <c r="A232" s="9"/>
      <c r="B232" s="51" t="s">
        <v>63</v>
      </c>
      <c r="C232" s="52"/>
      <c r="D232" s="52"/>
      <c r="E232" s="52"/>
      <c r="F232" s="52"/>
      <c r="G232" s="53"/>
      <c r="H232" s="20"/>
      <c r="I232" s="9">
        <v>4</v>
      </c>
      <c r="J232" s="9"/>
      <c r="K232" s="9"/>
      <c r="L232" s="9"/>
      <c r="M232" s="9">
        <f t="shared" ref="M232:M240" si="34">I232*O232</f>
        <v>33.6</v>
      </c>
      <c r="N232" s="9">
        <f t="shared" ref="N232:N240" si="35">I232*P232</f>
        <v>14</v>
      </c>
      <c r="O232" s="9">
        <v>8.4</v>
      </c>
      <c r="P232" s="9">
        <v>3.5</v>
      </c>
      <c r="Q232" s="9" t="s">
        <v>9</v>
      </c>
      <c r="R232" s="1">
        <v>0</v>
      </c>
      <c r="S232" s="26"/>
    </row>
    <row r="233" spans="1:19" ht="16.5" customHeight="1" x14ac:dyDescent="0.25">
      <c r="A233" s="9"/>
      <c r="B233" s="51" t="s">
        <v>64</v>
      </c>
      <c r="C233" s="52"/>
      <c r="D233" s="52"/>
      <c r="E233" s="52"/>
      <c r="F233" s="52"/>
      <c r="G233" s="53"/>
      <c r="H233" s="20"/>
      <c r="I233" s="9">
        <v>4</v>
      </c>
      <c r="J233" s="9"/>
      <c r="K233" s="9"/>
      <c r="L233" s="9"/>
      <c r="M233" s="9">
        <f t="shared" si="34"/>
        <v>24.8</v>
      </c>
      <c r="N233" s="9">
        <f t="shared" si="35"/>
        <v>8</v>
      </c>
      <c r="O233" s="9">
        <v>6.2</v>
      </c>
      <c r="P233" s="9">
        <v>2</v>
      </c>
      <c r="Q233" s="9" t="s">
        <v>3</v>
      </c>
      <c r="R233" s="1">
        <v>0</v>
      </c>
      <c r="S233" s="26"/>
    </row>
    <row r="234" spans="1:19" ht="16.5" customHeight="1" x14ac:dyDescent="0.25">
      <c r="A234" s="9"/>
      <c r="B234" s="51" t="s">
        <v>65</v>
      </c>
      <c r="C234" s="52"/>
      <c r="D234" s="52"/>
      <c r="E234" s="52"/>
      <c r="F234" s="52"/>
      <c r="G234" s="53"/>
      <c r="H234" s="20"/>
      <c r="I234" s="9">
        <v>4</v>
      </c>
      <c r="J234" s="9"/>
      <c r="K234" s="9"/>
      <c r="L234" s="9"/>
      <c r="M234" s="9">
        <f t="shared" si="34"/>
        <v>31.2</v>
      </c>
      <c r="N234" s="9">
        <f t="shared" si="35"/>
        <v>12</v>
      </c>
      <c r="O234" s="9">
        <v>7.8</v>
      </c>
      <c r="P234" s="9">
        <v>3</v>
      </c>
      <c r="Q234" s="9" t="s">
        <v>6</v>
      </c>
      <c r="R234" s="1">
        <v>0</v>
      </c>
      <c r="S234" s="26"/>
    </row>
    <row r="235" spans="1:19" ht="16.5" customHeight="1" x14ac:dyDescent="0.25">
      <c r="A235" s="9"/>
      <c r="B235" s="51" t="s">
        <v>66</v>
      </c>
      <c r="C235" s="52"/>
      <c r="D235" s="52"/>
      <c r="E235" s="52"/>
      <c r="F235" s="52"/>
      <c r="G235" s="53"/>
      <c r="H235" s="20"/>
      <c r="I235" s="9">
        <v>1</v>
      </c>
      <c r="J235" s="9"/>
      <c r="K235" s="9"/>
      <c r="L235" s="9"/>
      <c r="M235" s="9">
        <f t="shared" si="34"/>
        <v>6.9</v>
      </c>
      <c r="N235" s="9">
        <f t="shared" si="35"/>
        <v>2.5</v>
      </c>
      <c r="O235" s="9">
        <v>6.9</v>
      </c>
      <c r="P235" s="9">
        <v>2.5</v>
      </c>
      <c r="Q235" s="9" t="s">
        <v>5</v>
      </c>
      <c r="R235" s="1">
        <v>0</v>
      </c>
      <c r="S235" s="26"/>
    </row>
    <row r="236" spans="1:19" ht="16.5" customHeight="1" x14ac:dyDescent="0.25">
      <c r="A236" s="9"/>
      <c r="B236" s="51" t="s">
        <v>67</v>
      </c>
      <c r="C236" s="52"/>
      <c r="D236" s="52"/>
      <c r="E236" s="52"/>
      <c r="F236" s="52"/>
      <c r="G236" s="53"/>
      <c r="H236" s="20"/>
      <c r="I236" s="9">
        <v>1</v>
      </c>
      <c r="J236" s="9"/>
      <c r="K236" s="9"/>
      <c r="L236" s="9"/>
      <c r="M236" s="9">
        <f t="shared" si="34"/>
        <v>7.4</v>
      </c>
      <c r="N236" s="9">
        <f t="shared" si="35"/>
        <v>3</v>
      </c>
      <c r="O236" s="9">
        <v>7.4</v>
      </c>
      <c r="P236" s="9">
        <v>3</v>
      </c>
      <c r="Q236" s="9" t="s">
        <v>6</v>
      </c>
      <c r="R236" s="1">
        <v>0</v>
      </c>
      <c r="S236" s="26"/>
    </row>
    <row r="237" spans="1:19" ht="16.5" customHeight="1" x14ac:dyDescent="0.25">
      <c r="A237" s="9"/>
      <c r="B237" s="51" t="s">
        <v>68</v>
      </c>
      <c r="C237" s="52"/>
      <c r="D237" s="52"/>
      <c r="E237" s="52"/>
      <c r="F237" s="52"/>
      <c r="G237" s="53"/>
      <c r="H237" s="20"/>
      <c r="I237" s="9">
        <v>1</v>
      </c>
      <c r="J237" s="9"/>
      <c r="K237" s="9"/>
      <c r="L237" s="9"/>
      <c r="M237" s="9">
        <f t="shared" si="34"/>
        <v>7.7</v>
      </c>
      <c r="N237" s="9">
        <f t="shared" si="35"/>
        <v>3</v>
      </c>
      <c r="O237" s="9">
        <v>7.7</v>
      </c>
      <c r="P237" s="9">
        <v>3</v>
      </c>
      <c r="Q237" s="9" t="s">
        <v>6</v>
      </c>
      <c r="R237" s="1">
        <v>0</v>
      </c>
      <c r="S237" s="26"/>
    </row>
    <row r="238" spans="1:19" ht="16.5" customHeight="1" x14ac:dyDescent="0.25">
      <c r="A238" s="9"/>
      <c r="B238" s="51" t="s">
        <v>69</v>
      </c>
      <c r="C238" s="52"/>
      <c r="D238" s="52"/>
      <c r="E238" s="52"/>
      <c r="F238" s="52"/>
      <c r="G238" s="53"/>
      <c r="H238" s="20"/>
      <c r="I238" s="9">
        <v>1</v>
      </c>
      <c r="J238" s="9"/>
      <c r="K238" s="9"/>
      <c r="L238" s="9"/>
      <c r="M238" s="9">
        <f t="shared" si="34"/>
        <v>7.8</v>
      </c>
      <c r="N238" s="9">
        <f t="shared" si="35"/>
        <v>3</v>
      </c>
      <c r="O238" s="9">
        <v>7.8</v>
      </c>
      <c r="P238" s="9">
        <v>3</v>
      </c>
      <c r="Q238" s="9" t="s">
        <v>6</v>
      </c>
      <c r="R238" s="1">
        <v>0</v>
      </c>
      <c r="S238" s="26"/>
    </row>
    <row r="239" spans="1:19" ht="16.5" hidden="1" customHeight="1" x14ac:dyDescent="0.25">
      <c r="A239" s="21"/>
      <c r="H239" s="21"/>
      <c r="I239" s="21"/>
      <c r="J239" s="21"/>
      <c r="K239" s="21"/>
      <c r="L239" s="21"/>
      <c r="M239" s="9">
        <f t="shared" si="34"/>
        <v>0</v>
      </c>
      <c r="N239" s="9">
        <f t="shared" si="35"/>
        <v>0</v>
      </c>
      <c r="O239" s="21"/>
      <c r="P239" s="21"/>
      <c r="Q239" s="21"/>
      <c r="S239" s="25"/>
    </row>
    <row r="240" spans="1:19" ht="16.5" customHeight="1" x14ac:dyDescent="0.25">
      <c r="A240" s="9"/>
      <c r="B240" s="39" t="s">
        <v>42</v>
      </c>
      <c r="C240" s="40"/>
      <c r="D240" s="40"/>
      <c r="E240" s="40"/>
      <c r="F240" s="40"/>
      <c r="G240" s="41"/>
      <c r="H240" s="23"/>
      <c r="I240" s="24">
        <f>SUM(I232:I239)</f>
        <v>16</v>
      </c>
      <c r="J240" s="9"/>
      <c r="K240" s="9"/>
      <c r="L240" s="9"/>
      <c r="M240" s="9">
        <f t="shared" si="34"/>
        <v>119.36</v>
      </c>
      <c r="N240" s="9">
        <f t="shared" si="35"/>
        <v>45.44</v>
      </c>
      <c r="O240" s="24">
        <f>ROUND(SUM(M232:M239)/I240,2)</f>
        <v>7.46</v>
      </c>
      <c r="P240" s="24">
        <f>ROUND(SUM(N232:N239)/I240,2)</f>
        <v>2.84</v>
      </c>
      <c r="Q240" s="9"/>
      <c r="S240" s="25"/>
    </row>
    <row r="241" spans="1:19" ht="20.25" customHeight="1" x14ac:dyDescent="0.25">
      <c r="A241" s="27" t="s">
        <v>70</v>
      </c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</row>
    <row r="242" spans="1:19" ht="16.5" customHeight="1" x14ac:dyDescent="0.25">
      <c r="A242" s="9"/>
      <c r="B242" s="51" t="s">
        <v>71</v>
      </c>
      <c r="C242" s="52"/>
      <c r="D242" s="52"/>
      <c r="E242" s="52"/>
      <c r="F242" s="52"/>
      <c r="G242" s="53"/>
      <c r="H242" s="20"/>
      <c r="I242" s="9">
        <v>4</v>
      </c>
      <c r="J242" s="9"/>
      <c r="K242" s="9"/>
      <c r="L242" s="9"/>
      <c r="M242" s="9">
        <f t="shared" ref="M242:M251" si="36">I242*O242</f>
        <v>31.6</v>
      </c>
      <c r="N242" s="9">
        <f t="shared" ref="N242:N251" si="37">I242*P242</f>
        <v>12</v>
      </c>
      <c r="O242" s="9">
        <v>7.9</v>
      </c>
      <c r="P242" s="9">
        <v>3</v>
      </c>
      <c r="Q242" s="9" t="s">
        <v>6</v>
      </c>
      <c r="R242" s="1">
        <v>0</v>
      </c>
      <c r="S242" s="26"/>
    </row>
    <row r="243" spans="1:19" ht="16.5" customHeight="1" x14ac:dyDescent="0.25">
      <c r="A243" s="9"/>
      <c r="B243" s="51" t="s">
        <v>72</v>
      </c>
      <c r="C243" s="52"/>
      <c r="D243" s="52"/>
      <c r="E243" s="52"/>
      <c r="F243" s="52"/>
      <c r="G243" s="53"/>
      <c r="H243" s="20"/>
      <c r="I243" s="9">
        <v>4</v>
      </c>
      <c r="J243" s="9"/>
      <c r="K243" s="9"/>
      <c r="L243" s="9"/>
      <c r="M243" s="9">
        <f t="shared" si="36"/>
        <v>22.4</v>
      </c>
      <c r="N243" s="9">
        <f t="shared" si="37"/>
        <v>8</v>
      </c>
      <c r="O243" s="9">
        <v>5.6</v>
      </c>
      <c r="P243" s="9">
        <v>2</v>
      </c>
      <c r="Q243" s="9" t="s">
        <v>3</v>
      </c>
      <c r="R243" s="1">
        <v>0</v>
      </c>
      <c r="S243" s="26"/>
    </row>
    <row r="244" spans="1:19" ht="16.5" customHeight="1" x14ac:dyDescent="0.25">
      <c r="A244" s="9"/>
      <c r="B244" s="51" t="s">
        <v>73</v>
      </c>
      <c r="C244" s="52"/>
      <c r="D244" s="52"/>
      <c r="E244" s="52"/>
      <c r="F244" s="52"/>
      <c r="G244" s="53"/>
      <c r="H244" s="20"/>
      <c r="I244" s="9">
        <v>1</v>
      </c>
      <c r="J244" s="9"/>
      <c r="K244" s="9"/>
      <c r="L244" s="9"/>
      <c r="M244" s="9">
        <f t="shared" si="36"/>
        <v>7.9</v>
      </c>
      <c r="N244" s="9">
        <f t="shared" si="37"/>
        <v>3</v>
      </c>
      <c r="O244" s="9">
        <v>7.9</v>
      </c>
      <c r="P244" s="9">
        <v>3</v>
      </c>
      <c r="Q244" s="9" t="s">
        <v>6</v>
      </c>
      <c r="R244" s="1">
        <v>0</v>
      </c>
      <c r="S244" s="26"/>
    </row>
    <row r="245" spans="1:19" ht="16.5" customHeight="1" x14ac:dyDescent="0.25">
      <c r="A245" s="9"/>
      <c r="B245" s="51" t="s">
        <v>74</v>
      </c>
      <c r="C245" s="52"/>
      <c r="D245" s="52"/>
      <c r="E245" s="52"/>
      <c r="F245" s="52"/>
      <c r="G245" s="53"/>
      <c r="H245" s="20"/>
      <c r="I245" s="9">
        <v>2</v>
      </c>
      <c r="J245" s="9"/>
      <c r="K245" s="9"/>
      <c r="L245" s="9"/>
      <c r="M245" s="9">
        <f t="shared" si="36"/>
        <v>16.399999999999999</v>
      </c>
      <c r="N245" s="9">
        <f t="shared" si="37"/>
        <v>7</v>
      </c>
      <c r="O245" s="9">
        <v>8.1999999999999993</v>
      </c>
      <c r="P245" s="9">
        <v>3.5</v>
      </c>
      <c r="Q245" s="9" t="s">
        <v>9</v>
      </c>
      <c r="R245" s="1">
        <v>0</v>
      </c>
      <c r="S245" s="26"/>
    </row>
    <row r="246" spans="1:19" ht="16.5" customHeight="1" x14ac:dyDescent="0.25">
      <c r="A246" s="9"/>
      <c r="B246" s="51" t="s">
        <v>75</v>
      </c>
      <c r="C246" s="52"/>
      <c r="D246" s="52"/>
      <c r="E246" s="52"/>
      <c r="F246" s="52"/>
      <c r="G246" s="53"/>
      <c r="H246" s="20"/>
      <c r="I246" s="9">
        <v>1</v>
      </c>
      <c r="J246" s="9"/>
      <c r="K246" s="9"/>
      <c r="L246" s="9"/>
      <c r="M246" s="9">
        <f t="shared" si="36"/>
        <v>7.3</v>
      </c>
      <c r="N246" s="9">
        <f t="shared" si="37"/>
        <v>3</v>
      </c>
      <c r="O246" s="9">
        <v>7.3</v>
      </c>
      <c r="P246" s="9">
        <v>3</v>
      </c>
      <c r="Q246" s="9" t="s">
        <v>6</v>
      </c>
      <c r="R246" s="1">
        <v>0</v>
      </c>
      <c r="S246" s="26"/>
    </row>
    <row r="247" spans="1:19" ht="16.5" customHeight="1" x14ac:dyDescent="0.25">
      <c r="A247" s="9"/>
      <c r="B247" s="51" t="s">
        <v>76</v>
      </c>
      <c r="C247" s="52"/>
      <c r="D247" s="52"/>
      <c r="E247" s="52"/>
      <c r="F247" s="52"/>
      <c r="G247" s="53"/>
      <c r="H247" s="20"/>
      <c r="I247" s="9">
        <v>4</v>
      </c>
      <c r="J247" s="9"/>
      <c r="K247" s="9"/>
      <c r="L247" s="9"/>
      <c r="M247" s="9">
        <f t="shared" si="36"/>
        <v>33.200000000000003</v>
      </c>
      <c r="N247" s="9">
        <f t="shared" si="37"/>
        <v>14</v>
      </c>
      <c r="O247" s="9">
        <v>8.3000000000000007</v>
      </c>
      <c r="P247" s="9">
        <v>3.5</v>
      </c>
      <c r="Q247" s="9" t="s">
        <v>9</v>
      </c>
      <c r="R247" s="1">
        <v>0</v>
      </c>
      <c r="S247" s="26"/>
    </row>
    <row r="248" spans="1:19" ht="16.5" customHeight="1" x14ac:dyDescent="0.25">
      <c r="A248" s="9"/>
      <c r="B248" s="51" t="s">
        <v>77</v>
      </c>
      <c r="C248" s="52"/>
      <c r="D248" s="52"/>
      <c r="E248" s="52"/>
      <c r="F248" s="52"/>
      <c r="G248" s="53"/>
      <c r="H248" s="20"/>
      <c r="I248" s="9">
        <v>3</v>
      </c>
      <c r="J248" s="9"/>
      <c r="K248" s="9"/>
      <c r="L248" s="9"/>
      <c r="M248" s="9">
        <f t="shared" si="36"/>
        <v>23.4</v>
      </c>
      <c r="N248" s="9">
        <f t="shared" si="37"/>
        <v>9</v>
      </c>
      <c r="O248" s="9">
        <v>7.8</v>
      </c>
      <c r="P248" s="9">
        <v>3</v>
      </c>
      <c r="Q248" s="9" t="s">
        <v>6</v>
      </c>
      <c r="R248" s="1">
        <v>0</v>
      </c>
      <c r="S248" s="26"/>
    </row>
    <row r="249" spans="1:19" ht="16.5" customHeight="1" x14ac:dyDescent="0.25">
      <c r="A249" s="9"/>
      <c r="B249" s="51" t="s">
        <v>78</v>
      </c>
      <c r="C249" s="52"/>
      <c r="D249" s="52"/>
      <c r="E249" s="52"/>
      <c r="F249" s="52"/>
      <c r="G249" s="53"/>
      <c r="H249" s="20"/>
      <c r="I249" s="9">
        <v>4</v>
      </c>
      <c r="J249" s="9"/>
      <c r="K249" s="9"/>
      <c r="L249" s="9"/>
      <c r="M249" s="9">
        <f t="shared" si="36"/>
        <v>30</v>
      </c>
      <c r="N249" s="9">
        <f t="shared" si="37"/>
        <v>12</v>
      </c>
      <c r="O249" s="9">
        <v>7.5</v>
      </c>
      <c r="P249" s="9">
        <v>3</v>
      </c>
      <c r="Q249" s="9" t="s">
        <v>6</v>
      </c>
      <c r="R249" s="1">
        <v>0</v>
      </c>
      <c r="S249" s="26"/>
    </row>
    <row r="250" spans="1:19" ht="16.5" hidden="1" customHeight="1" x14ac:dyDescent="0.25">
      <c r="A250" s="21"/>
      <c r="H250" s="21"/>
      <c r="I250" s="21"/>
      <c r="J250" s="21"/>
      <c r="K250" s="21"/>
      <c r="L250" s="21"/>
      <c r="M250" s="9">
        <f t="shared" si="36"/>
        <v>0</v>
      </c>
      <c r="N250" s="9">
        <f t="shared" si="37"/>
        <v>0</v>
      </c>
      <c r="O250" s="21"/>
      <c r="P250" s="21"/>
      <c r="Q250" s="21"/>
      <c r="S250" s="25"/>
    </row>
    <row r="251" spans="1:19" ht="16.5" customHeight="1" x14ac:dyDescent="0.25">
      <c r="A251" s="9"/>
      <c r="B251" s="39" t="s">
        <v>42</v>
      </c>
      <c r="C251" s="40"/>
      <c r="D251" s="40"/>
      <c r="E251" s="40"/>
      <c r="F251" s="40"/>
      <c r="G251" s="41"/>
      <c r="H251" s="23"/>
      <c r="I251" s="24">
        <f>SUM(I242:I250)</f>
        <v>23</v>
      </c>
      <c r="J251" s="9"/>
      <c r="K251" s="9"/>
      <c r="L251" s="9"/>
      <c r="M251" s="9">
        <f t="shared" si="36"/>
        <v>172.27</v>
      </c>
      <c r="N251" s="9">
        <f t="shared" si="37"/>
        <v>68.08</v>
      </c>
      <c r="O251" s="24">
        <f>ROUND(SUM(M242:M250)/I251,2)</f>
        <v>7.49</v>
      </c>
      <c r="P251" s="24">
        <f>ROUND(SUM(N242:N250)/I251,2)</f>
        <v>2.96</v>
      </c>
      <c r="Q251" s="9"/>
      <c r="S251" s="25"/>
    </row>
    <row r="252" spans="1:19" ht="20.25" customHeight="1" x14ac:dyDescent="0.25">
      <c r="A252" s="27" t="s">
        <v>79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</row>
    <row r="253" spans="1:19" ht="16.5" customHeight="1" x14ac:dyDescent="0.25">
      <c r="A253" s="9"/>
      <c r="B253" s="51" t="s">
        <v>80</v>
      </c>
      <c r="C253" s="52"/>
      <c r="D253" s="52"/>
      <c r="E253" s="52"/>
      <c r="F253" s="52"/>
      <c r="G253" s="53"/>
      <c r="H253" s="20"/>
      <c r="I253" s="9">
        <v>3</v>
      </c>
      <c r="J253" s="9"/>
      <c r="K253" s="9"/>
      <c r="L253" s="9"/>
      <c r="M253" s="9">
        <f t="shared" ref="M253:M258" si="38">I253*O253</f>
        <v>19.200000000000003</v>
      </c>
      <c r="N253" s="9">
        <f t="shared" ref="N253:N258" si="39">I253*P253</f>
        <v>6</v>
      </c>
      <c r="O253" s="9">
        <v>6.4</v>
      </c>
      <c r="P253" s="9">
        <v>2</v>
      </c>
      <c r="Q253" s="9" t="s">
        <v>3</v>
      </c>
      <c r="R253" s="1">
        <v>0</v>
      </c>
      <c r="S253" s="26"/>
    </row>
    <row r="254" spans="1:19" ht="16.5" customHeight="1" x14ac:dyDescent="0.25">
      <c r="A254" s="9"/>
      <c r="B254" s="51" t="s">
        <v>81</v>
      </c>
      <c r="C254" s="52"/>
      <c r="D254" s="52"/>
      <c r="E254" s="52"/>
      <c r="F254" s="52"/>
      <c r="G254" s="53"/>
      <c r="H254" s="20"/>
      <c r="I254" s="9">
        <v>1</v>
      </c>
      <c r="J254" s="9"/>
      <c r="K254" s="9"/>
      <c r="L254" s="9"/>
      <c r="M254" s="9">
        <f t="shared" si="38"/>
        <v>7.3</v>
      </c>
      <c r="N254" s="9">
        <f t="shared" si="39"/>
        <v>3</v>
      </c>
      <c r="O254" s="9">
        <v>7.3</v>
      </c>
      <c r="P254" s="9">
        <v>3</v>
      </c>
      <c r="Q254" s="9" t="s">
        <v>6</v>
      </c>
      <c r="R254" s="1">
        <v>0</v>
      </c>
      <c r="S254" s="26"/>
    </row>
    <row r="255" spans="1:19" ht="16.5" customHeight="1" x14ac:dyDescent="0.25">
      <c r="A255" s="9"/>
      <c r="B255" s="51" t="s">
        <v>82</v>
      </c>
      <c r="C255" s="52"/>
      <c r="D255" s="52"/>
      <c r="E255" s="52"/>
      <c r="F255" s="52"/>
      <c r="G255" s="53"/>
      <c r="H255" s="20"/>
      <c r="I255" s="9">
        <v>3</v>
      </c>
      <c r="J255" s="9"/>
      <c r="K255" s="9"/>
      <c r="L255" s="9"/>
      <c r="M255" s="9">
        <f t="shared" si="38"/>
        <v>21.299999999999997</v>
      </c>
      <c r="N255" s="9">
        <f t="shared" si="39"/>
        <v>9</v>
      </c>
      <c r="O255" s="9">
        <v>7.1</v>
      </c>
      <c r="P255" s="9">
        <v>3</v>
      </c>
      <c r="Q255" s="9" t="s">
        <v>6</v>
      </c>
      <c r="R255" s="1">
        <v>0</v>
      </c>
      <c r="S255" s="26"/>
    </row>
    <row r="256" spans="1:19" ht="16.5" customHeight="1" x14ac:dyDescent="0.25">
      <c r="A256" s="9"/>
      <c r="B256" s="51" t="s">
        <v>83</v>
      </c>
      <c r="C256" s="52"/>
      <c r="D256" s="52"/>
      <c r="E256" s="52"/>
      <c r="F256" s="52"/>
      <c r="G256" s="53"/>
      <c r="H256" s="20"/>
      <c r="I256" s="9">
        <v>2</v>
      </c>
      <c r="J256" s="9"/>
      <c r="K256" s="9"/>
      <c r="L256" s="9"/>
      <c r="M256" s="9">
        <f t="shared" si="38"/>
        <v>14.6</v>
      </c>
      <c r="N256" s="9">
        <f t="shared" si="39"/>
        <v>6</v>
      </c>
      <c r="O256" s="9">
        <v>7.3</v>
      </c>
      <c r="P256" s="9">
        <v>3</v>
      </c>
      <c r="Q256" s="9" t="s">
        <v>6</v>
      </c>
      <c r="R256" s="1">
        <v>0</v>
      </c>
      <c r="S256" s="26"/>
    </row>
    <row r="257" spans="1:19" ht="16.5" customHeight="1" x14ac:dyDescent="0.25">
      <c r="A257" s="9"/>
      <c r="B257" s="51" t="s">
        <v>84</v>
      </c>
      <c r="C257" s="52"/>
      <c r="D257" s="52"/>
      <c r="E257" s="52"/>
      <c r="F257" s="52"/>
      <c r="G257" s="53"/>
      <c r="H257" s="20"/>
      <c r="I257" s="9">
        <v>2</v>
      </c>
      <c r="J257" s="9"/>
      <c r="K257" s="9"/>
      <c r="L257" s="9"/>
      <c r="M257" s="9">
        <f t="shared" si="38"/>
        <v>15.2</v>
      </c>
      <c r="N257" s="9">
        <f t="shared" si="39"/>
        <v>6</v>
      </c>
      <c r="O257" s="9">
        <v>7.6</v>
      </c>
      <c r="P257" s="9">
        <v>3</v>
      </c>
      <c r="Q257" s="9" t="s">
        <v>6</v>
      </c>
      <c r="R257" s="1">
        <v>0</v>
      </c>
      <c r="S257" s="26"/>
    </row>
    <row r="258" spans="1:19" ht="16.5" customHeight="1" x14ac:dyDescent="0.25">
      <c r="A258" s="9"/>
      <c r="B258" s="51" t="s">
        <v>85</v>
      </c>
      <c r="C258" s="52"/>
      <c r="D258" s="52"/>
      <c r="E258" s="52"/>
      <c r="F258" s="52"/>
      <c r="G258" s="53"/>
      <c r="H258" s="20"/>
      <c r="I258" s="9">
        <v>1</v>
      </c>
      <c r="J258" s="9"/>
      <c r="K258" s="9"/>
      <c r="L258" s="9"/>
      <c r="M258" s="9">
        <f t="shared" si="38"/>
        <v>7.5</v>
      </c>
      <c r="N258" s="9">
        <f t="shared" si="39"/>
        <v>3</v>
      </c>
      <c r="O258" s="9">
        <v>7.5</v>
      </c>
      <c r="P258" s="9">
        <v>3</v>
      </c>
      <c r="Q258" s="9" t="s">
        <v>6</v>
      </c>
      <c r="R258" s="1">
        <v>0</v>
      </c>
      <c r="S258" s="26"/>
    </row>
    <row r="259" spans="1:19" ht="15" customHeight="1" x14ac:dyDescent="0.25">
      <c r="A259" s="36" t="s">
        <v>0</v>
      </c>
      <c r="B259" s="29" t="s">
        <v>1</v>
      </c>
      <c r="C259" s="30"/>
      <c r="D259" s="30"/>
      <c r="E259" s="30"/>
      <c r="F259" s="30"/>
      <c r="G259" s="31"/>
      <c r="H259" s="36" t="s">
        <v>32</v>
      </c>
      <c r="I259" s="36" t="s">
        <v>39</v>
      </c>
      <c r="J259" s="55" t="s">
        <v>2</v>
      </c>
      <c r="K259" s="56"/>
      <c r="L259" s="56"/>
      <c r="M259" s="56"/>
      <c r="N259" s="56"/>
      <c r="O259" s="56"/>
      <c r="P259" s="56"/>
      <c r="Q259" s="57"/>
      <c r="S259" s="36" t="s">
        <v>38</v>
      </c>
    </row>
    <row r="260" spans="1:19" ht="24" customHeight="1" x14ac:dyDescent="0.25">
      <c r="A260" s="37"/>
      <c r="B260" s="32"/>
      <c r="C260" s="33"/>
      <c r="D260" s="33"/>
      <c r="E260" s="33"/>
      <c r="F260" s="33"/>
      <c r="G260" s="34"/>
      <c r="H260" s="37"/>
      <c r="I260" s="37"/>
      <c r="J260" s="7" t="s">
        <v>28</v>
      </c>
      <c r="K260" s="7" t="s">
        <v>29</v>
      </c>
      <c r="L260" s="7" t="s">
        <v>30</v>
      </c>
      <c r="M260" s="7"/>
      <c r="N260" s="7"/>
      <c r="O260" s="6" t="s">
        <v>35</v>
      </c>
      <c r="P260" s="6" t="s">
        <v>36</v>
      </c>
      <c r="Q260" s="6" t="s">
        <v>37</v>
      </c>
      <c r="S260" s="37"/>
    </row>
    <row r="261" spans="1:19" ht="16.5" customHeight="1" x14ac:dyDescent="0.25">
      <c r="A261" s="9"/>
      <c r="B261" s="51" t="s">
        <v>88</v>
      </c>
      <c r="C261" s="52"/>
      <c r="D261" s="52"/>
      <c r="E261" s="52"/>
      <c r="F261" s="52"/>
      <c r="G261" s="53"/>
      <c r="H261" s="20"/>
      <c r="I261" s="9">
        <v>4</v>
      </c>
      <c r="J261" s="9"/>
      <c r="K261" s="9"/>
      <c r="L261" s="9"/>
      <c r="M261" s="9">
        <f t="shared" ref="M261:M267" si="40">I261*O261</f>
        <v>32</v>
      </c>
      <c r="N261" s="9">
        <f t="shared" ref="N261:N267" si="41">I261*P261</f>
        <v>14</v>
      </c>
      <c r="O261" s="9">
        <v>8</v>
      </c>
      <c r="P261" s="9">
        <v>3.5</v>
      </c>
      <c r="Q261" s="9" t="s">
        <v>9</v>
      </c>
      <c r="R261" s="1">
        <v>0</v>
      </c>
      <c r="S261" s="26"/>
    </row>
    <row r="262" spans="1:19" ht="16.5" customHeight="1" x14ac:dyDescent="0.25">
      <c r="A262" s="9"/>
      <c r="B262" s="51" t="s">
        <v>90</v>
      </c>
      <c r="C262" s="52"/>
      <c r="D262" s="52"/>
      <c r="E262" s="52"/>
      <c r="F262" s="52"/>
      <c r="G262" s="53"/>
      <c r="H262" s="20"/>
      <c r="I262" s="9">
        <v>2</v>
      </c>
      <c r="J262" s="9"/>
      <c r="K262" s="9"/>
      <c r="L262" s="9"/>
      <c r="M262" s="9">
        <f t="shared" si="40"/>
        <v>16</v>
      </c>
      <c r="N262" s="9">
        <f t="shared" si="41"/>
        <v>7</v>
      </c>
      <c r="O262" s="9">
        <v>8</v>
      </c>
      <c r="P262" s="9">
        <v>3.5</v>
      </c>
      <c r="Q262" s="9" t="s">
        <v>9</v>
      </c>
      <c r="R262" s="1">
        <v>0</v>
      </c>
      <c r="S262" s="26"/>
    </row>
    <row r="263" spans="1:19" ht="16.5" customHeight="1" x14ac:dyDescent="0.25">
      <c r="A263" s="9"/>
      <c r="B263" s="51" t="s">
        <v>86</v>
      </c>
      <c r="C263" s="52"/>
      <c r="D263" s="52"/>
      <c r="E263" s="52"/>
      <c r="F263" s="52"/>
      <c r="G263" s="53"/>
      <c r="H263" s="20"/>
      <c r="I263" s="9">
        <v>2</v>
      </c>
      <c r="J263" s="9"/>
      <c r="K263" s="9"/>
      <c r="L263" s="9"/>
      <c r="M263" s="9">
        <f t="shared" si="40"/>
        <v>15.2</v>
      </c>
      <c r="N263" s="9">
        <f t="shared" si="41"/>
        <v>6</v>
      </c>
      <c r="O263" s="9">
        <v>7.6</v>
      </c>
      <c r="P263" s="9">
        <v>3</v>
      </c>
      <c r="Q263" s="9" t="s">
        <v>6</v>
      </c>
      <c r="R263" s="1">
        <v>0</v>
      </c>
      <c r="S263" s="26"/>
    </row>
    <row r="264" spans="1:19" ht="16.5" customHeight="1" x14ac:dyDescent="0.25">
      <c r="A264" s="9"/>
      <c r="B264" s="51" t="s">
        <v>89</v>
      </c>
      <c r="C264" s="52"/>
      <c r="D264" s="52"/>
      <c r="E264" s="52"/>
      <c r="F264" s="52"/>
      <c r="G264" s="53"/>
      <c r="H264" s="20"/>
      <c r="I264" s="9">
        <v>3</v>
      </c>
      <c r="J264" s="9"/>
      <c r="K264" s="9"/>
      <c r="L264" s="9"/>
      <c r="M264" s="9">
        <f t="shared" si="40"/>
        <v>24.299999999999997</v>
      </c>
      <c r="N264" s="9">
        <f t="shared" si="41"/>
        <v>10.5</v>
      </c>
      <c r="O264" s="9">
        <v>8.1</v>
      </c>
      <c r="P264" s="9">
        <v>3.5</v>
      </c>
      <c r="Q264" s="9" t="s">
        <v>9</v>
      </c>
      <c r="R264" s="1">
        <v>0</v>
      </c>
      <c r="S264" s="26"/>
    </row>
    <row r="265" spans="1:19" ht="16.5" customHeight="1" x14ac:dyDescent="0.25">
      <c r="A265" s="9"/>
      <c r="B265" s="51" t="s">
        <v>87</v>
      </c>
      <c r="C265" s="52"/>
      <c r="D265" s="52"/>
      <c r="E265" s="52"/>
      <c r="F265" s="52"/>
      <c r="G265" s="53"/>
      <c r="H265" s="20"/>
      <c r="I265" s="9">
        <v>3</v>
      </c>
      <c r="J265" s="9"/>
      <c r="K265" s="9"/>
      <c r="L265" s="9"/>
      <c r="M265" s="9">
        <f t="shared" si="40"/>
        <v>23.4</v>
      </c>
      <c r="N265" s="9">
        <f t="shared" si="41"/>
        <v>9</v>
      </c>
      <c r="O265" s="9">
        <v>7.8</v>
      </c>
      <c r="P265" s="9">
        <v>3</v>
      </c>
      <c r="Q265" s="9" t="s">
        <v>6</v>
      </c>
      <c r="R265" s="1">
        <v>0</v>
      </c>
      <c r="S265" s="26"/>
    </row>
    <row r="266" spans="1:19" ht="16.5" hidden="1" customHeight="1" x14ac:dyDescent="0.25">
      <c r="A266" s="21"/>
      <c r="H266" s="21"/>
      <c r="I266" s="21"/>
      <c r="J266" s="21"/>
      <c r="K266" s="21"/>
      <c r="L266" s="21"/>
      <c r="M266" s="9">
        <f t="shared" si="40"/>
        <v>0</v>
      </c>
      <c r="N266" s="9">
        <f t="shared" si="41"/>
        <v>0</v>
      </c>
      <c r="O266" s="21"/>
      <c r="P266" s="21"/>
      <c r="Q266" s="21"/>
      <c r="S266" s="25"/>
    </row>
    <row r="267" spans="1:19" ht="16.5" customHeight="1" x14ac:dyDescent="0.25">
      <c r="A267" s="9"/>
      <c r="B267" s="39" t="s">
        <v>42</v>
      </c>
      <c r="C267" s="40"/>
      <c r="D267" s="40"/>
      <c r="E267" s="40"/>
      <c r="F267" s="40"/>
      <c r="G267" s="41"/>
      <c r="H267" s="23"/>
      <c r="I267" s="24">
        <f>SUM(I253:I266)</f>
        <v>26</v>
      </c>
      <c r="J267" s="9"/>
      <c r="K267" s="9"/>
      <c r="L267" s="9"/>
      <c r="M267" s="9">
        <f t="shared" si="40"/>
        <v>196.04</v>
      </c>
      <c r="N267" s="9">
        <f t="shared" si="41"/>
        <v>79.56</v>
      </c>
      <c r="O267" s="24">
        <f>ROUND(SUM(M253:M266)/I267,2)</f>
        <v>7.54</v>
      </c>
      <c r="P267" s="24">
        <f>ROUND(SUM(N253:N266)/I267,2)</f>
        <v>3.06</v>
      </c>
      <c r="Q267" s="9"/>
      <c r="S267" s="25"/>
    </row>
    <row r="268" spans="1:19" ht="20.25" customHeight="1" x14ac:dyDescent="0.25">
      <c r="A268" s="27" t="s">
        <v>91</v>
      </c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</row>
    <row r="269" spans="1:19" ht="16.5" customHeight="1" x14ac:dyDescent="0.25">
      <c r="A269" s="9"/>
      <c r="B269" s="51" t="s">
        <v>92</v>
      </c>
      <c r="C269" s="52"/>
      <c r="D269" s="52"/>
      <c r="E269" s="52"/>
      <c r="F269" s="52"/>
      <c r="G269" s="53"/>
      <c r="H269" s="20"/>
      <c r="I269" s="9">
        <v>1</v>
      </c>
      <c r="J269" s="9"/>
      <c r="K269" s="9"/>
      <c r="L269" s="9"/>
      <c r="M269" s="9">
        <f t="shared" ref="M269:M280" si="42">I269*O269</f>
        <v>7.4</v>
      </c>
      <c r="N269" s="9">
        <f t="shared" ref="N269:N280" si="43">I269*P269</f>
        <v>3</v>
      </c>
      <c r="O269" s="9">
        <v>7.4</v>
      </c>
      <c r="P269" s="9">
        <v>3</v>
      </c>
      <c r="Q269" s="9" t="s">
        <v>6</v>
      </c>
      <c r="R269" s="1">
        <v>0</v>
      </c>
      <c r="S269" s="26"/>
    </row>
    <row r="270" spans="1:19" ht="16.5" customHeight="1" x14ac:dyDescent="0.25">
      <c r="A270" s="9"/>
      <c r="B270" s="51" t="s">
        <v>99</v>
      </c>
      <c r="C270" s="52"/>
      <c r="D270" s="52"/>
      <c r="E270" s="52"/>
      <c r="F270" s="52"/>
      <c r="G270" s="53"/>
      <c r="H270" s="20"/>
      <c r="I270" s="9">
        <v>2</v>
      </c>
      <c r="J270" s="9"/>
      <c r="K270" s="9"/>
      <c r="L270" s="9"/>
      <c r="M270" s="9">
        <f t="shared" si="42"/>
        <v>1</v>
      </c>
      <c r="N270" s="9">
        <f t="shared" si="43"/>
        <v>0</v>
      </c>
      <c r="O270" s="9">
        <v>0.5</v>
      </c>
      <c r="P270" s="9">
        <v>0</v>
      </c>
      <c r="Q270" s="9" t="s">
        <v>7</v>
      </c>
      <c r="R270" s="1">
        <v>0</v>
      </c>
      <c r="S270" s="26"/>
    </row>
    <row r="271" spans="1:19" ht="16.5" customHeight="1" x14ac:dyDescent="0.25">
      <c r="A271" s="9"/>
      <c r="B271" s="51" t="s">
        <v>94</v>
      </c>
      <c r="C271" s="52"/>
      <c r="D271" s="52"/>
      <c r="E271" s="52"/>
      <c r="F271" s="52"/>
      <c r="G271" s="53"/>
      <c r="H271" s="20"/>
      <c r="I271" s="9">
        <v>3</v>
      </c>
      <c r="J271" s="9"/>
      <c r="K271" s="9"/>
      <c r="L271" s="9"/>
      <c r="M271" s="9">
        <f t="shared" si="42"/>
        <v>26.700000000000003</v>
      </c>
      <c r="N271" s="9">
        <f t="shared" si="43"/>
        <v>11.100000000000001</v>
      </c>
      <c r="O271" s="9">
        <v>8.9</v>
      </c>
      <c r="P271" s="9">
        <v>3.7</v>
      </c>
      <c r="Q271" s="9" t="s">
        <v>10</v>
      </c>
      <c r="R271" s="1">
        <v>0</v>
      </c>
      <c r="S271" s="26"/>
    </row>
    <row r="272" spans="1:19" ht="16.5" customHeight="1" x14ac:dyDescent="0.25">
      <c r="A272" s="9"/>
      <c r="B272" s="51" t="s">
        <v>95</v>
      </c>
      <c r="C272" s="52"/>
      <c r="D272" s="52"/>
      <c r="E272" s="52"/>
      <c r="F272" s="52"/>
      <c r="G272" s="53"/>
      <c r="H272" s="20"/>
      <c r="I272" s="9">
        <v>1</v>
      </c>
      <c r="J272" s="9"/>
      <c r="K272" s="9"/>
      <c r="L272" s="9"/>
      <c r="M272" s="9">
        <f t="shared" si="42"/>
        <v>8.4</v>
      </c>
      <c r="N272" s="9">
        <f t="shared" si="43"/>
        <v>3.5</v>
      </c>
      <c r="O272" s="9">
        <v>8.4</v>
      </c>
      <c r="P272" s="9">
        <v>3.5</v>
      </c>
      <c r="Q272" s="9" t="s">
        <v>9</v>
      </c>
      <c r="R272" s="1">
        <v>0</v>
      </c>
      <c r="S272" s="26"/>
    </row>
    <row r="273" spans="1:19" ht="16.5" customHeight="1" x14ac:dyDescent="0.25">
      <c r="A273" s="9"/>
      <c r="B273" s="51" t="s">
        <v>96</v>
      </c>
      <c r="C273" s="52"/>
      <c r="D273" s="52"/>
      <c r="E273" s="52"/>
      <c r="F273" s="52"/>
      <c r="G273" s="53"/>
      <c r="H273" s="20"/>
      <c r="I273" s="9">
        <v>1</v>
      </c>
      <c r="J273" s="9"/>
      <c r="K273" s="9"/>
      <c r="L273" s="9"/>
      <c r="M273" s="9">
        <f t="shared" si="42"/>
        <v>7.8</v>
      </c>
      <c r="N273" s="9">
        <f t="shared" si="43"/>
        <v>3</v>
      </c>
      <c r="O273" s="9">
        <v>7.8</v>
      </c>
      <c r="P273" s="9">
        <v>3</v>
      </c>
      <c r="Q273" s="9" t="s">
        <v>6</v>
      </c>
      <c r="R273" s="1">
        <v>0</v>
      </c>
      <c r="S273" s="26"/>
    </row>
    <row r="274" spans="1:19" ht="16.5" customHeight="1" x14ac:dyDescent="0.25">
      <c r="A274" s="9"/>
      <c r="B274" s="51" t="s">
        <v>101</v>
      </c>
      <c r="C274" s="52"/>
      <c r="D274" s="52"/>
      <c r="E274" s="52"/>
      <c r="F274" s="52"/>
      <c r="G274" s="53"/>
      <c r="H274" s="20"/>
      <c r="I274" s="9">
        <v>4</v>
      </c>
      <c r="J274" s="9"/>
      <c r="K274" s="9"/>
      <c r="L274" s="9"/>
      <c r="M274" s="9">
        <f t="shared" si="42"/>
        <v>25.6</v>
      </c>
      <c r="N274" s="9">
        <f t="shared" si="43"/>
        <v>8</v>
      </c>
      <c r="O274" s="9">
        <v>6.4</v>
      </c>
      <c r="P274" s="9">
        <v>2</v>
      </c>
      <c r="Q274" s="9" t="s">
        <v>3</v>
      </c>
      <c r="R274" s="1">
        <v>0</v>
      </c>
      <c r="S274" s="26"/>
    </row>
    <row r="275" spans="1:19" ht="16.5" customHeight="1" x14ac:dyDescent="0.25">
      <c r="A275" s="9"/>
      <c r="B275" s="51" t="s">
        <v>98</v>
      </c>
      <c r="C275" s="52"/>
      <c r="D275" s="52"/>
      <c r="E275" s="52"/>
      <c r="F275" s="52"/>
      <c r="G275" s="53"/>
      <c r="H275" s="20"/>
      <c r="I275" s="9">
        <v>2</v>
      </c>
      <c r="J275" s="9"/>
      <c r="K275" s="9"/>
      <c r="L275" s="9"/>
      <c r="M275" s="9">
        <f t="shared" si="42"/>
        <v>17.2</v>
      </c>
      <c r="N275" s="9">
        <f t="shared" si="43"/>
        <v>7.4</v>
      </c>
      <c r="O275" s="9">
        <v>8.6</v>
      </c>
      <c r="P275" s="9">
        <v>3.7</v>
      </c>
      <c r="Q275" s="9" t="s">
        <v>10</v>
      </c>
      <c r="R275" s="1">
        <v>0</v>
      </c>
      <c r="S275" s="26"/>
    </row>
    <row r="276" spans="1:19" ht="16.5" customHeight="1" x14ac:dyDescent="0.25">
      <c r="A276" s="9"/>
      <c r="B276" s="51" t="s">
        <v>93</v>
      </c>
      <c r="C276" s="52"/>
      <c r="D276" s="52"/>
      <c r="E276" s="52"/>
      <c r="F276" s="52"/>
      <c r="G276" s="53"/>
      <c r="H276" s="20"/>
      <c r="I276" s="9">
        <v>3</v>
      </c>
      <c r="J276" s="9"/>
      <c r="K276" s="9"/>
      <c r="L276" s="9"/>
      <c r="M276" s="9">
        <f t="shared" si="42"/>
        <v>22.799999999999997</v>
      </c>
      <c r="N276" s="9">
        <f t="shared" si="43"/>
        <v>9</v>
      </c>
      <c r="O276" s="9">
        <v>7.6</v>
      </c>
      <c r="P276" s="9">
        <v>3</v>
      </c>
      <c r="Q276" s="9" t="s">
        <v>6</v>
      </c>
      <c r="R276" s="1">
        <v>0</v>
      </c>
      <c r="S276" s="26"/>
    </row>
    <row r="277" spans="1:19" ht="16.5" customHeight="1" x14ac:dyDescent="0.25">
      <c r="A277" s="9"/>
      <c r="B277" s="51" t="s">
        <v>100</v>
      </c>
      <c r="C277" s="52"/>
      <c r="D277" s="52"/>
      <c r="E277" s="52"/>
      <c r="F277" s="52"/>
      <c r="G277" s="53"/>
      <c r="H277" s="20"/>
      <c r="I277" s="9">
        <v>2</v>
      </c>
      <c r="J277" s="9"/>
      <c r="K277" s="9"/>
      <c r="L277" s="9"/>
      <c r="M277" s="9">
        <f t="shared" si="42"/>
        <v>15.4</v>
      </c>
      <c r="N277" s="9">
        <f t="shared" si="43"/>
        <v>6</v>
      </c>
      <c r="O277" s="9">
        <v>7.7</v>
      </c>
      <c r="P277" s="9">
        <v>3</v>
      </c>
      <c r="Q277" s="9" t="s">
        <v>6</v>
      </c>
      <c r="R277" s="1">
        <v>0</v>
      </c>
      <c r="S277" s="26"/>
    </row>
    <row r="278" spans="1:19" ht="16.5" customHeight="1" x14ac:dyDescent="0.25">
      <c r="A278" s="9"/>
      <c r="B278" s="51" t="s">
        <v>97</v>
      </c>
      <c r="C278" s="52"/>
      <c r="D278" s="52"/>
      <c r="E278" s="52"/>
      <c r="F278" s="52"/>
      <c r="G278" s="53"/>
      <c r="H278" s="20"/>
      <c r="I278" s="9">
        <v>2</v>
      </c>
      <c r="J278" s="9"/>
      <c r="K278" s="9"/>
      <c r="L278" s="9"/>
      <c r="M278" s="9">
        <f t="shared" si="42"/>
        <v>17.2</v>
      </c>
      <c r="N278" s="9">
        <f t="shared" si="43"/>
        <v>7.4</v>
      </c>
      <c r="O278" s="9">
        <v>8.6</v>
      </c>
      <c r="P278" s="9">
        <v>3.7</v>
      </c>
      <c r="Q278" s="9" t="s">
        <v>10</v>
      </c>
      <c r="R278" s="1">
        <v>0</v>
      </c>
      <c r="S278" s="26"/>
    </row>
    <row r="279" spans="1:19" ht="16.5" hidden="1" customHeight="1" x14ac:dyDescent="0.25">
      <c r="A279" s="21"/>
      <c r="H279" s="21"/>
      <c r="I279" s="21"/>
      <c r="J279" s="21"/>
      <c r="K279" s="21"/>
      <c r="L279" s="21"/>
      <c r="M279" s="9">
        <f t="shared" si="42"/>
        <v>0</v>
      </c>
      <c r="N279" s="9">
        <f t="shared" si="43"/>
        <v>0</v>
      </c>
      <c r="O279" s="21"/>
      <c r="P279" s="21"/>
      <c r="Q279" s="21"/>
      <c r="S279" s="25"/>
    </row>
    <row r="280" spans="1:19" ht="16.5" customHeight="1" x14ac:dyDescent="0.25">
      <c r="A280" s="9"/>
      <c r="B280" s="39" t="s">
        <v>42</v>
      </c>
      <c r="C280" s="40"/>
      <c r="D280" s="40"/>
      <c r="E280" s="40"/>
      <c r="F280" s="40"/>
      <c r="G280" s="41"/>
      <c r="H280" s="23"/>
      <c r="I280" s="24">
        <f>SUM(I269:I279)</f>
        <v>21</v>
      </c>
      <c r="J280" s="9"/>
      <c r="K280" s="9"/>
      <c r="L280" s="9"/>
      <c r="M280" s="9">
        <f t="shared" si="42"/>
        <v>149.52000000000001</v>
      </c>
      <c r="N280" s="9">
        <f t="shared" si="43"/>
        <v>58.379999999999995</v>
      </c>
      <c r="O280" s="24">
        <f>ROUND(SUM(M269:M279)/I280,2)</f>
        <v>7.12</v>
      </c>
      <c r="P280" s="24">
        <f>ROUND(SUM(N269:N279)/I280,2)</f>
        <v>2.78</v>
      </c>
      <c r="Q280" s="9"/>
      <c r="S280" s="25"/>
    </row>
    <row r="281" spans="1:19" ht="20.25" customHeight="1" x14ac:dyDescent="0.25">
      <c r="A281" s="27" t="s">
        <v>133</v>
      </c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</row>
    <row r="282" spans="1:19" ht="16.5" customHeight="1" x14ac:dyDescent="0.25">
      <c r="A282" s="9"/>
      <c r="B282" s="51" t="s">
        <v>99</v>
      </c>
      <c r="C282" s="52"/>
      <c r="D282" s="52"/>
      <c r="E282" s="52"/>
      <c r="F282" s="52"/>
      <c r="G282" s="53"/>
      <c r="H282" s="20"/>
      <c r="I282" s="9">
        <v>2</v>
      </c>
      <c r="J282" s="9"/>
      <c r="K282" s="9"/>
      <c r="L282" s="9"/>
      <c r="M282" s="9">
        <f>I282*O282</f>
        <v>11.8</v>
      </c>
      <c r="N282" s="9">
        <f>I282*P282</f>
        <v>4</v>
      </c>
      <c r="O282" s="9">
        <v>5.9</v>
      </c>
      <c r="P282" s="9">
        <v>2</v>
      </c>
      <c r="Q282" s="9" t="s">
        <v>3</v>
      </c>
      <c r="R282" s="1">
        <v>6</v>
      </c>
      <c r="S282" s="26" t="s">
        <v>134</v>
      </c>
    </row>
    <row r="283" spans="1:19" ht="16.5" hidden="1" customHeight="1" x14ac:dyDescent="0.25">
      <c r="A283" s="21"/>
      <c r="H283" s="21"/>
      <c r="I283" s="21"/>
      <c r="J283" s="21"/>
      <c r="K283" s="21"/>
      <c r="L283" s="21"/>
      <c r="M283" s="9">
        <f>I283*O283</f>
        <v>0</v>
      </c>
      <c r="N283" s="9">
        <f>I283*P283</f>
        <v>0</v>
      </c>
      <c r="O283" s="21"/>
      <c r="P283" s="21"/>
      <c r="Q283" s="21"/>
      <c r="S283" s="25"/>
    </row>
    <row r="284" spans="1:19" ht="16.5" customHeight="1" x14ac:dyDescent="0.25">
      <c r="A284" s="9"/>
      <c r="B284" s="39" t="s">
        <v>42</v>
      </c>
      <c r="C284" s="40"/>
      <c r="D284" s="40"/>
      <c r="E284" s="40"/>
      <c r="F284" s="40"/>
      <c r="G284" s="41"/>
      <c r="H284" s="23"/>
      <c r="I284" s="24">
        <f>SUM(I282:I283)</f>
        <v>2</v>
      </c>
      <c r="J284" s="9"/>
      <c r="K284" s="9"/>
      <c r="L284" s="9"/>
      <c r="M284" s="9">
        <f>I284*O284</f>
        <v>11.8</v>
      </c>
      <c r="N284" s="9">
        <f>I284*P284</f>
        <v>4</v>
      </c>
      <c r="O284" s="24">
        <f>ROUND(SUM(M282:M283)/I284,2)</f>
        <v>5.9</v>
      </c>
      <c r="P284" s="24">
        <f>ROUND(SUM(N282:N283)/I284,2)</f>
        <v>2</v>
      </c>
      <c r="Q284" s="9"/>
      <c r="S284" s="25"/>
    </row>
    <row r="285" spans="1:19" ht="20.25" customHeight="1" x14ac:dyDescent="0.25">
      <c r="A285" s="27" t="s">
        <v>102</v>
      </c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</row>
    <row r="286" spans="1:19" ht="16.5" customHeight="1" x14ac:dyDescent="0.25">
      <c r="A286" s="9"/>
      <c r="B286" s="51" t="s">
        <v>103</v>
      </c>
      <c r="C286" s="52"/>
      <c r="D286" s="52"/>
      <c r="E286" s="52"/>
      <c r="F286" s="52"/>
      <c r="G286" s="53"/>
      <c r="H286" s="20"/>
      <c r="I286" s="9">
        <v>1</v>
      </c>
      <c r="J286" s="9"/>
      <c r="K286" s="9"/>
      <c r="L286" s="9"/>
      <c r="M286" s="9">
        <f t="shared" ref="M286:M297" si="44">I286*O286</f>
        <v>8.1</v>
      </c>
      <c r="N286" s="9">
        <f t="shared" ref="N286:N297" si="45">I286*P286</f>
        <v>3.5</v>
      </c>
      <c r="O286" s="9">
        <v>8.1</v>
      </c>
      <c r="P286" s="9">
        <v>3.5</v>
      </c>
      <c r="Q286" s="9" t="s">
        <v>9</v>
      </c>
      <c r="R286" s="1">
        <v>0</v>
      </c>
      <c r="S286" s="26"/>
    </row>
    <row r="287" spans="1:19" ht="16.5" customHeight="1" x14ac:dyDescent="0.25">
      <c r="A287" s="9"/>
      <c r="B287" s="51" t="s">
        <v>104</v>
      </c>
      <c r="C287" s="52"/>
      <c r="D287" s="52"/>
      <c r="E287" s="52"/>
      <c r="F287" s="52"/>
      <c r="G287" s="53"/>
      <c r="H287" s="20"/>
      <c r="I287" s="9">
        <v>3</v>
      </c>
      <c r="J287" s="9"/>
      <c r="K287" s="9"/>
      <c r="L287" s="9"/>
      <c r="M287" s="9">
        <f t="shared" si="44"/>
        <v>23.4</v>
      </c>
      <c r="N287" s="9">
        <f t="shared" si="45"/>
        <v>9</v>
      </c>
      <c r="O287" s="9">
        <v>7.8</v>
      </c>
      <c r="P287" s="9">
        <v>3</v>
      </c>
      <c r="Q287" s="9" t="s">
        <v>6</v>
      </c>
      <c r="R287" s="1">
        <v>0</v>
      </c>
      <c r="S287" s="26"/>
    </row>
    <row r="288" spans="1:19" ht="16.5" customHeight="1" x14ac:dyDescent="0.25">
      <c r="A288" s="9"/>
      <c r="B288" s="51" t="s">
        <v>105</v>
      </c>
      <c r="C288" s="52"/>
      <c r="D288" s="52"/>
      <c r="E288" s="52"/>
      <c r="F288" s="52"/>
      <c r="G288" s="53"/>
      <c r="H288" s="20"/>
      <c r="I288" s="9">
        <v>3</v>
      </c>
      <c r="J288" s="9"/>
      <c r="K288" s="9"/>
      <c r="L288" s="9"/>
      <c r="M288" s="9">
        <f t="shared" si="44"/>
        <v>25.200000000000003</v>
      </c>
      <c r="N288" s="9">
        <f t="shared" si="45"/>
        <v>10.5</v>
      </c>
      <c r="O288" s="9">
        <v>8.4</v>
      </c>
      <c r="P288" s="9">
        <v>3.5</v>
      </c>
      <c r="Q288" s="9" t="s">
        <v>9</v>
      </c>
      <c r="R288" s="1">
        <v>0</v>
      </c>
      <c r="S288" s="26"/>
    </row>
    <row r="289" spans="1:19" ht="16.5" customHeight="1" x14ac:dyDescent="0.25">
      <c r="A289" s="9"/>
      <c r="B289" s="51" t="s">
        <v>109</v>
      </c>
      <c r="C289" s="52"/>
      <c r="D289" s="52"/>
      <c r="E289" s="52"/>
      <c r="F289" s="52"/>
      <c r="G289" s="53"/>
      <c r="H289" s="20"/>
      <c r="I289" s="9">
        <v>2</v>
      </c>
      <c r="J289" s="9"/>
      <c r="K289" s="9"/>
      <c r="L289" s="9"/>
      <c r="M289" s="9">
        <f t="shared" si="44"/>
        <v>15.8</v>
      </c>
      <c r="N289" s="9">
        <f t="shared" si="45"/>
        <v>6</v>
      </c>
      <c r="O289" s="9">
        <v>7.9</v>
      </c>
      <c r="P289" s="9">
        <v>3</v>
      </c>
      <c r="Q289" s="9" t="s">
        <v>6</v>
      </c>
      <c r="R289" s="1">
        <v>0</v>
      </c>
      <c r="S289" s="26"/>
    </row>
    <row r="290" spans="1:19" ht="16.5" customHeight="1" x14ac:dyDescent="0.25">
      <c r="A290" s="9"/>
      <c r="B290" s="51" t="s">
        <v>107</v>
      </c>
      <c r="C290" s="52"/>
      <c r="D290" s="52"/>
      <c r="E290" s="52"/>
      <c r="F290" s="52"/>
      <c r="G290" s="53"/>
      <c r="H290" s="20"/>
      <c r="I290" s="9">
        <v>2</v>
      </c>
      <c r="J290" s="9"/>
      <c r="K290" s="9"/>
      <c r="L290" s="9"/>
      <c r="M290" s="9">
        <f t="shared" si="44"/>
        <v>14</v>
      </c>
      <c r="N290" s="9">
        <f t="shared" si="45"/>
        <v>6</v>
      </c>
      <c r="O290" s="9">
        <v>7</v>
      </c>
      <c r="P290" s="9">
        <v>3</v>
      </c>
      <c r="Q290" s="9" t="s">
        <v>6</v>
      </c>
      <c r="R290" s="1">
        <v>0</v>
      </c>
      <c r="S290" s="26"/>
    </row>
    <row r="291" spans="1:19" ht="16.5" customHeight="1" x14ac:dyDescent="0.25">
      <c r="A291" s="9"/>
      <c r="B291" s="51" t="s">
        <v>112</v>
      </c>
      <c r="C291" s="52"/>
      <c r="D291" s="52"/>
      <c r="E291" s="52"/>
      <c r="F291" s="52"/>
      <c r="G291" s="53"/>
      <c r="H291" s="20"/>
      <c r="I291" s="9">
        <v>3</v>
      </c>
      <c r="J291" s="9"/>
      <c r="K291" s="9"/>
      <c r="L291" s="9"/>
      <c r="M291" s="9">
        <f t="shared" si="44"/>
        <v>23.4</v>
      </c>
      <c r="N291" s="9">
        <f t="shared" si="45"/>
        <v>9</v>
      </c>
      <c r="O291" s="9">
        <v>7.8</v>
      </c>
      <c r="P291" s="9">
        <v>3</v>
      </c>
      <c r="Q291" s="9" t="s">
        <v>6</v>
      </c>
      <c r="R291" s="1">
        <v>0</v>
      </c>
      <c r="S291" s="26"/>
    </row>
    <row r="292" spans="1:19" ht="16.5" customHeight="1" x14ac:dyDescent="0.25">
      <c r="A292" s="9"/>
      <c r="B292" s="51" t="s">
        <v>106</v>
      </c>
      <c r="C292" s="52"/>
      <c r="D292" s="52"/>
      <c r="E292" s="52"/>
      <c r="F292" s="52"/>
      <c r="G292" s="53"/>
      <c r="H292" s="20"/>
      <c r="I292" s="9">
        <v>3</v>
      </c>
      <c r="J292" s="9"/>
      <c r="K292" s="9"/>
      <c r="L292" s="9"/>
      <c r="M292" s="9">
        <f t="shared" si="44"/>
        <v>25.5</v>
      </c>
      <c r="N292" s="9">
        <f t="shared" si="45"/>
        <v>11.100000000000001</v>
      </c>
      <c r="O292" s="9">
        <v>8.5</v>
      </c>
      <c r="P292" s="9">
        <v>3.7</v>
      </c>
      <c r="Q292" s="9" t="s">
        <v>10</v>
      </c>
      <c r="R292" s="1">
        <v>0</v>
      </c>
      <c r="S292" s="26"/>
    </row>
    <row r="293" spans="1:19" ht="16.5" customHeight="1" x14ac:dyDescent="0.25">
      <c r="A293" s="9"/>
      <c r="B293" s="51" t="s">
        <v>108</v>
      </c>
      <c r="C293" s="52"/>
      <c r="D293" s="52"/>
      <c r="E293" s="52"/>
      <c r="F293" s="52"/>
      <c r="G293" s="53"/>
      <c r="H293" s="20"/>
      <c r="I293" s="9">
        <v>2</v>
      </c>
      <c r="J293" s="9"/>
      <c r="K293" s="9"/>
      <c r="L293" s="9"/>
      <c r="M293" s="9">
        <f t="shared" si="44"/>
        <v>16.2</v>
      </c>
      <c r="N293" s="9">
        <f t="shared" si="45"/>
        <v>7</v>
      </c>
      <c r="O293" s="9">
        <v>8.1</v>
      </c>
      <c r="P293" s="9">
        <v>3.5</v>
      </c>
      <c r="Q293" s="9" t="s">
        <v>9</v>
      </c>
      <c r="R293" s="1">
        <v>0</v>
      </c>
      <c r="S293" s="26"/>
    </row>
    <row r="294" spans="1:19" ht="16.5" customHeight="1" x14ac:dyDescent="0.25">
      <c r="A294" s="9"/>
      <c r="B294" s="51" t="s">
        <v>111</v>
      </c>
      <c r="C294" s="52"/>
      <c r="D294" s="52"/>
      <c r="E294" s="52"/>
      <c r="F294" s="52"/>
      <c r="G294" s="53"/>
      <c r="H294" s="20"/>
      <c r="I294" s="9">
        <v>2</v>
      </c>
      <c r="J294" s="9"/>
      <c r="K294" s="9"/>
      <c r="L294" s="9"/>
      <c r="M294" s="9">
        <f t="shared" si="44"/>
        <v>15.2</v>
      </c>
      <c r="N294" s="9">
        <f t="shared" si="45"/>
        <v>6</v>
      </c>
      <c r="O294" s="9">
        <v>7.6</v>
      </c>
      <c r="P294" s="9">
        <v>3</v>
      </c>
      <c r="Q294" s="9" t="s">
        <v>6</v>
      </c>
      <c r="R294" s="1">
        <v>0</v>
      </c>
      <c r="S294" s="26"/>
    </row>
    <row r="295" spans="1:19" ht="16.5" customHeight="1" x14ac:dyDescent="0.25">
      <c r="A295" s="9"/>
      <c r="B295" s="51" t="s">
        <v>110</v>
      </c>
      <c r="C295" s="52"/>
      <c r="D295" s="52"/>
      <c r="E295" s="52"/>
      <c r="F295" s="52"/>
      <c r="G295" s="53"/>
      <c r="H295" s="20"/>
      <c r="I295" s="9">
        <v>4</v>
      </c>
      <c r="J295" s="9"/>
      <c r="K295" s="9"/>
      <c r="L295" s="9"/>
      <c r="M295" s="9">
        <f t="shared" si="44"/>
        <v>31.6</v>
      </c>
      <c r="N295" s="9">
        <f t="shared" si="45"/>
        <v>12</v>
      </c>
      <c r="O295" s="9">
        <v>7.9</v>
      </c>
      <c r="P295" s="9">
        <v>3</v>
      </c>
      <c r="Q295" s="9" t="s">
        <v>6</v>
      </c>
      <c r="R295" s="1">
        <v>0</v>
      </c>
      <c r="S295" s="26"/>
    </row>
    <row r="296" spans="1:19" ht="16.5" hidden="1" customHeight="1" x14ac:dyDescent="0.25">
      <c r="A296" s="21"/>
      <c r="H296" s="21"/>
      <c r="I296" s="21"/>
      <c r="J296" s="21"/>
      <c r="K296" s="21"/>
      <c r="L296" s="21"/>
      <c r="M296" s="9">
        <f t="shared" si="44"/>
        <v>0</v>
      </c>
      <c r="N296" s="9">
        <f t="shared" si="45"/>
        <v>0</v>
      </c>
      <c r="O296" s="21"/>
      <c r="P296" s="21"/>
      <c r="Q296" s="21"/>
      <c r="S296" s="25"/>
    </row>
    <row r="297" spans="1:19" ht="16.5" customHeight="1" x14ac:dyDescent="0.25">
      <c r="A297" s="9"/>
      <c r="B297" s="39" t="s">
        <v>42</v>
      </c>
      <c r="C297" s="40"/>
      <c r="D297" s="40"/>
      <c r="E297" s="40"/>
      <c r="F297" s="40"/>
      <c r="G297" s="41"/>
      <c r="H297" s="23"/>
      <c r="I297" s="24">
        <f>SUM(I286:I296)</f>
        <v>25</v>
      </c>
      <c r="J297" s="9"/>
      <c r="K297" s="9"/>
      <c r="L297" s="9"/>
      <c r="M297" s="9">
        <f t="shared" si="44"/>
        <v>198.5</v>
      </c>
      <c r="N297" s="9">
        <f t="shared" si="45"/>
        <v>80</v>
      </c>
      <c r="O297" s="24">
        <f>ROUND(SUM(M286:M296)/I297,2)</f>
        <v>7.94</v>
      </c>
      <c r="P297" s="24">
        <f>ROUND(SUM(N286:N296)/I297,2)</f>
        <v>3.2</v>
      </c>
      <c r="Q297" s="9"/>
      <c r="S297" s="25"/>
    </row>
    <row r="298" spans="1:19" ht="20.25" customHeight="1" x14ac:dyDescent="0.25">
      <c r="A298" s="27" t="s">
        <v>113</v>
      </c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</row>
    <row r="299" spans="1:19" ht="16.5" customHeight="1" x14ac:dyDescent="0.25">
      <c r="A299" s="9"/>
      <c r="B299" s="51" t="s">
        <v>114</v>
      </c>
      <c r="C299" s="52"/>
      <c r="D299" s="52"/>
      <c r="E299" s="52"/>
      <c r="F299" s="52"/>
      <c r="G299" s="53"/>
      <c r="H299" s="20"/>
      <c r="I299" s="9">
        <v>3</v>
      </c>
      <c r="J299" s="9"/>
      <c r="K299" s="9"/>
      <c r="L299" s="9"/>
      <c r="M299" s="9">
        <f t="shared" ref="M299:M307" si="46">I299*O299</f>
        <v>0</v>
      </c>
      <c r="N299" s="9">
        <f t="shared" ref="N299:N307" si="47">I299*P299</f>
        <v>0</v>
      </c>
      <c r="O299" s="9"/>
      <c r="P299" s="9"/>
      <c r="Q299" s="9"/>
      <c r="R299" s="1">
        <v>0</v>
      </c>
      <c r="S299" s="26"/>
    </row>
    <row r="300" spans="1:19" ht="16.5" customHeight="1" x14ac:dyDescent="0.25">
      <c r="A300" s="9"/>
      <c r="B300" s="51" t="s">
        <v>115</v>
      </c>
      <c r="C300" s="52"/>
      <c r="D300" s="52"/>
      <c r="E300" s="52"/>
      <c r="F300" s="52"/>
      <c r="G300" s="53"/>
      <c r="H300" s="20"/>
      <c r="I300" s="9">
        <v>3</v>
      </c>
      <c r="J300" s="9"/>
      <c r="K300" s="9"/>
      <c r="L300" s="9"/>
      <c r="M300" s="9">
        <f t="shared" si="46"/>
        <v>0</v>
      </c>
      <c r="N300" s="9">
        <f t="shared" si="47"/>
        <v>0</v>
      </c>
      <c r="O300" s="9"/>
      <c r="P300" s="9"/>
      <c r="Q300" s="9"/>
      <c r="R300" s="1">
        <v>0</v>
      </c>
      <c r="S300" s="26"/>
    </row>
    <row r="301" spans="1:19" ht="16.5" customHeight="1" x14ac:dyDescent="0.25">
      <c r="A301" s="9"/>
      <c r="B301" s="51" t="s">
        <v>116</v>
      </c>
      <c r="C301" s="52"/>
      <c r="D301" s="52"/>
      <c r="E301" s="52"/>
      <c r="F301" s="52"/>
      <c r="G301" s="53"/>
      <c r="H301" s="20"/>
      <c r="I301" s="9">
        <v>3</v>
      </c>
      <c r="J301" s="9"/>
      <c r="K301" s="9"/>
      <c r="L301" s="9"/>
      <c r="M301" s="9">
        <f t="shared" si="46"/>
        <v>0</v>
      </c>
      <c r="N301" s="9">
        <f t="shared" si="47"/>
        <v>0</v>
      </c>
      <c r="O301" s="9"/>
      <c r="P301" s="9"/>
      <c r="Q301" s="9"/>
      <c r="R301" s="1">
        <v>0</v>
      </c>
      <c r="S301" s="26"/>
    </row>
    <row r="302" spans="1:19" ht="16.5" customHeight="1" x14ac:dyDescent="0.25">
      <c r="A302" s="9"/>
      <c r="B302" s="51" t="s">
        <v>117</v>
      </c>
      <c r="C302" s="52"/>
      <c r="D302" s="52"/>
      <c r="E302" s="52"/>
      <c r="F302" s="52"/>
      <c r="G302" s="53"/>
      <c r="H302" s="20"/>
      <c r="I302" s="9">
        <v>1</v>
      </c>
      <c r="J302" s="9"/>
      <c r="K302" s="9"/>
      <c r="L302" s="9"/>
      <c r="M302" s="9">
        <f t="shared" si="46"/>
        <v>7.7</v>
      </c>
      <c r="N302" s="9">
        <f t="shared" si="47"/>
        <v>3</v>
      </c>
      <c r="O302" s="9">
        <v>7.7</v>
      </c>
      <c r="P302" s="9">
        <v>3</v>
      </c>
      <c r="Q302" s="9" t="s">
        <v>6</v>
      </c>
      <c r="R302" s="1">
        <v>0</v>
      </c>
      <c r="S302" s="26"/>
    </row>
    <row r="303" spans="1:19" ht="16.5" customHeight="1" x14ac:dyDescent="0.25">
      <c r="A303" s="9"/>
      <c r="B303" s="51" t="s">
        <v>118</v>
      </c>
      <c r="C303" s="52"/>
      <c r="D303" s="52"/>
      <c r="E303" s="52"/>
      <c r="F303" s="52"/>
      <c r="G303" s="53"/>
      <c r="H303" s="20"/>
      <c r="I303" s="9">
        <v>3</v>
      </c>
      <c r="J303" s="9"/>
      <c r="K303" s="9"/>
      <c r="L303" s="9"/>
      <c r="M303" s="9">
        <f t="shared" si="46"/>
        <v>0</v>
      </c>
      <c r="N303" s="9">
        <f t="shared" si="47"/>
        <v>0</v>
      </c>
      <c r="O303" s="9"/>
      <c r="P303" s="9"/>
      <c r="Q303" s="9"/>
      <c r="R303" s="1">
        <v>0</v>
      </c>
      <c r="S303" s="26"/>
    </row>
    <row r="304" spans="1:19" ht="16.5" customHeight="1" x14ac:dyDescent="0.25">
      <c r="A304" s="9"/>
      <c r="B304" s="51" t="s">
        <v>119</v>
      </c>
      <c r="C304" s="52"/>
      <c r="D304" s="52"/>
      <c r="E304" s="52"/>
      <c r="F304" s="52"/>
      <c r="G304" s="53"/>
      <c r="H304" s="20"/>
      <c r="I304" s="9">
        <v>3</v>
      </c>
      <c r="J304" s="9"/>
      <c r="K304" s="9"/>
      <c r="L304" s="9"/>
      <c r="M304" s="9">
        <f t="shared" si="46"/>
        <v>0</v>
      </c>
      <c r="N304" s="9">
        <f t="shared" si="47"/>
        <v>0</v>
      </c>
      <c r="O304" s="9"/>
      <c r="P304" s="9"/>
      <c r="Q304" s="9"/>
      <c r="R304" s="1">
        <v>0</v>
      </c>
      <c r="S304" s="26"/>
    </row>
    <row r="305" spans="1:19" ht="16.5" customHeight="1" x14ac:dyDescent="0.25">
      <c r="A305" s="9"/>
      <c r="B305" s="51" t="s">
        <v>120</v>
      </c>
      <c r="C305" s="52"/>
      <c r="D305" s="52"/>
      <c r="E305" s="52"/>
      <c r="F305" s="52"/>
      <c r="G305" s="53"/>
      <c r="H305" s="20"/>
      <c r="I305" s="9">
        <v>2</v>
      </c>
      <c r="J305" s="9"/>
      <c r="K305" s="9"/>
      <c r="L305" s="9"/>
      <c r="M305" s="9">
        <f t="shared" si="46"/>
        <v>15</v>
      </c>
      <c r="N305" s="9">
        <f t="shared" si="47"/>
        <v>6</v>
      </c>
      <c r="O305" s="9">
        <v>7.5</v>
      </c>
      <c r="P305" s="9">
        <v>3</v>
      </c>
      <c r="Q305" s="9" t="s">
        <v>6</v>
      </c>
      <c r="R305" s="1">
        <v>0</v>
      </c>
      <c r="S305" s="26"/>
    </row>
    <row r="306" spans="1:19" ht="16.5" hidden="1" customHeight="1" x14ac:dyDescent="0.25">
      <c r="A306" s="21"/>
      <c r="H306" s="21"/>
      <c r="I306" s="21"/>
      <c r="J306" s="21"/>
      <c r="K306" s="21"/>
      <c r="L306" s="21"/>
      <c r="M306" s="9">
        <f t="shared" si="46"/>
        <v>0</v>
      </c>
      <c r="N306" s="9">
        <f t="shared" si="47"/>
        <v>0</v>
      </c>
      <c r="O306" s="21"/>
      <c r="P306" s="21"/>
      <c r="Q306" s="21"/>
      <c r="S306" s="25"/>
    </row>
    <row r="307" spans="1:19" ht="16.5" customHeight="1" x14ac:dyDescent="0.25">
      <c r="A307" s="9"/>
      <c r="B307" s="39" t="s">
        <v>42</v>
      </c>
      <c r="C307" s="40"/>
      <c r="D307" s="40"/>
      <c r="E307" s="40"/>
      <c r="F307" s="40"/>
      <c r="G307" s="41"/>
      <c r="H307" s="23"/>
      <c r="I307" s="24">
        <f>SUM(I299:I306)</f>
        <v>18</v>
      </c>
      <c r="J307" s="9"/>
      <c r="K307" s="9"/>
      <c r="L307" s="9"/>
      <c r="M307" s="9">
        <f t="shared" si="46"/>
        <v>22.68</v>
      </c>
      <c r="N307" s="9">
        <f t="shared" si="47"/>
        <v>9</v>
      </c>
      <c r="O307" s="24">
        <f>ROUND(SUM(M299:M306)/I307,2)</f>
        <v>1.26</v>
      </c>
      <c r="P307" s="24">
        <f>ROUND(SUM(N299:N306)/I307,2)</f>
        <v>0.5</v>
      </c>
      <c r="Q307" s="9"/>
      <c r="S307" s="25"/>
    </row>
    <row r="308" spans="1:19" ht="16.5" customHeight="1" x14ac:dyDescent="0.25">
      <c r="A308" s="21"/>
      <c r="B308" s="22"/>
      <c r="C308" s="22"/>
      <c r="D308" s="22"/>
      <c r="E308" s="22"/>
      <c r="F308" s="22"/>
      <c r="G308" s="22"/>
      <c r="H308" s="21"/>
      <c r="I308" s="21"/>
      <c r="J308" s="21"/>
      <c r="K308" s="21"/>
      <c r="L308" s="21"/>
      <c r="M308" s="21"/>
      <c r="N308" s="21"/>
      <c r="O308" s="21"/>
      <c r="P308" s="21"/>
      <c r="Q308" s="21"/>
    </row>
    <row r="310" spans="1:19" ht="18" x14ac:dyDescent="0.25">
      <c r="A310" s="35" t="s">
        <v>130</v>
      </c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</row>
    <row r="311" spans="1:19" ht="18" x14ac:dyDescent="0.25">
      <c r="A311" s="35" t="s">
        <v>131</v>
      </c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</row>
    <row r="312" spans="1:19" ht="18" x14ac:dyDescent="0.25">
      <c r="A312" s="35" t="s">
        <v>132</v>
      </c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</row>
    <row r="313" spans="1:19" ht="18" x14ac:dyDescent="0.25">
      <c r="A313" s="45" t="s">
        <v>53</v>
      </c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</row>
    <row r="314" spans="1:19" ht="19.5" customHeight="1" x14ac:dyDescent="0.25">
      <c r="A314" s="17"/>
      <c r="B314" s="17"/>
      <c r="C314" s="8"/>
      <c r="D314" s="18"/>
      <c r="E314" s="10"/>
      <c r="F314" s="11"/>
      <c r="G314" s="46" t="s">
        <v>49</v>
      </c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</row>
    <row r="315" spans="1:19" ht="31.5" customHeight="1" x14ac:dyDescent="0.3">
      <c r="A315" s="8"/>
      <c r="B315" s="8"/>
      <c r="C315" s="8"/>
      <c r="D315" s="8"/>
      <c r="E315" s="8"/>
      <c r="F315" s="8"/>
      <c r="G315" s="8"/>
      <c r="H315" s="12"/>
      <c r="I315" s="42" t="s">
        <v>40</v>
      </c>
      <c r="J315" s="43"/>
      <c r="K315" s="43"/>
      <c r="L315" s="43"/>
      <c r="M315" s="43"/>
      <c r="N315" s="43"/>
      <c r="O315" s="43"/>
      <c r="P315" s="43"/>
      <c r="Q315" s="43"/>
      <c r="R315" s="43"/>
      <c r="S315" s="43"/>
    </row>
    <row r="316" spans="1:19" ht="16.8" x14ac:dyDescent="0.3">
      <c r="A316" s="8"/>
      <c r="B316" s="8"/>
      <c r="C316" s="8"/>
      <c r="D316" s="8"/>
      <c r="E316" s="8"/>
      <c r="F316" s="8"/>
      <c r="G316" s="8"/>
      <c r="H316" s="12"/>
      <c r="I316" s="12"/>
      <c r="J316" s="12"/>
      <c r="K316" s="12"/>
      <c r="L316" s="8"/>
      <c r="M316" s="8"/>
      <c r="N316" s="8"/>
      <c r="O316" s="8"/>
      <c r="P316" s="8"/>
      <c r="Q316" s="8"/>
    </row>
    <row r="317" spans="1:19" ht="33" customHeight="1" x14ac:dyDescent="0.3">
      <c r="A317" s="8"/>
      <c r="B317" s="8"/>
      <c r="C317" s="8"/>
      <c r="D317" s="8"/>
      <c r="E317" s="8"/>
      <c r="F317" s="8"/>
      <c r="G317" s="8"/>
      <c r="H317" s="12"/>
      <c r="I317" s="12"/>
      <c r="J317" s="12"/>
      <c r="K317" s="12"/>
      <c r="L317" s="8"/>
      <c r="M317" s="8"/>
      <c r="N317" s="8"/>
      <c r="O317" s="8"/>
      <c r="P317" s="8"/>
      <c r="Q317" s="8"/>
    </row>
    <row r="318" spans="1:19" ht="11.25" customHeight="1" x14ac:dyDescent="0.3">
      <c r="A318" s="8"/>
      <c r="B318" s="8"/>
      <c r="C318" s="8"/>
      <c r="D318" s="8"/>
      <c r="E318" s="8"/>
      <c r="F318" s="8"/>
      <c r="G318" s="8"/>
      <c r="H318" s="12"/>
      <c r="I318" s="12"/>
      <c r="J318" s="12"/>
      <c r="K318" s="12"/>
      <c r="L318" s="8"/>
      <c r="M318" s="8"/>
      <c r="N318" s="8"/>
      <c r="O318" s="8"/>
      <c r="P318" s="8"/>
      <c r="Q318" s="8"/>
    </row>
    <row r="319" spans="1:19" ht="17.399999999999999" x14ac:dyDescent="0.3">
      <c r="A319" s="8"/>
      <c r="B319" s="8"/>
      <c r="C319" s="8"/>
      <c r="D319" s="8"/>
      <c r="E319" s="8"/>
      <c r="F319" s="8"/>
      <c r="G319" s="47" t="s">
        <v>41</v>
      </c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</row>
    <row r="320" spans="1:19" ht="54" customHeight="1" x14ac:dyDescent="0.25">
      <c r="A320" s="48" t="s">
        <v>33</v>
      </c>
      <c r="B320" s="48"/>
      <c r="C320" s="48"/>
      <c r="D320" s="48"/>
      <c r="E320" s="48"/>
      <c r="F320" s="42" t="s">
        <v>24</v>
      </c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</row>
    <row r="321" spans="1:20" ht="17.399999999999999" x14ac:dyDescent="0.25">
      <c r="A321" s="49" t="s">
        <v>34</v>
      </c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</row>
    <row r="322" spans="1:20" ht="4.5" customHeight="1" x14ac:dyDescent="0.25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</row>
    <row r="323" spans="1:20" ht="5.25" customHeight="1" x14ac:dyDescent="0.25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</row>
    <row r="324" spans="1:20" ht="16.5" customHeight="1" x14ac:dyDescent="0.25">
      <c r="A324" s="54" t="s">
        <v>135</v>
      </c>
      <c r="B324" s="54"/>
      <c r="C324" s="54"/>
      <c r="D324" s="54"/>
      <c r="E324" s="54"/>
      <c r="F324" s="54"/>
      <c r="G324" s="58" t="s">
        <v>136</v>
      </c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</row>
    <row r="325" spans="1:20" ht="16.5" customHeight="1" x14ac:dyDescent="0.25">
      <c r="A325" s="54" t="s">
        <v>137</v>
      </c>
      <c r="B325" s="54"/>
      <c r="C325" s="54"/>
      <c r="D325" s="54"/>
      <c r="E325" s="54"/>
      <c r="F325" s="54"/>
      <c r="G325" s="8" t="s">
        <v>46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T325" s="2"/>
    </row>
    <row r="326" spans="1:20" ht="16.5" customHeight="1" x14ac:dyDescent="0.25">
      <c r="A326" s="54" t="s">
        <v>47</v>
      </c>
      <c r="B326" s="54"/>
      <c r="C326" s="54"/>
      <c r="D326" s="54"/>
      <c r="E326" s="54"/>
      <c r="F326" s="54"/>
      <c r="G326" s="58" t="s">
        <v>48</v>
      </c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</row>
    <row r="327" spans="1:20" ht="5.2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19"/>
      <c r="K327" s="19"/>
      <c r="L327" s="19"/>
      <c r="M327" s="19"/>
      <c r="N327" s="19"/>
      <c r="O327" s="19"/>
      <c r="P327" s="19"/>
      <c r="Q327" s="19"/>
    </row>
    <row r="328" spans="1:20" ht="15" customHeight="1" x14ac:dyDescent="0.25">
      <c r="A328" s="36" t="s">
        <v>0</v>
      </c>
      <c r="B328" s="29" t="s">
        <v>1</v>
      </c>
      <c r="C328" s="30"/>
      <c r="D328" s="30"/>
      <c r="E328" s="30"/>
      <c r="F328" s="30"/>
      <c r="G328" s="31"/>
      <c r="H328" s="36" t="s">
        <v>32</v>
      </c>
      <c r="I328" s="36" t="s">
        <v>39</v>
      </c>
      <c r="J328" s="55" t="s">
        <v>2</v>
      </c>
      <c r="K328" s="56"/>
      <c r="L328" s="56"/>
      <c r="M328" s="56"/>
      <c r="N328" s="56"/>
      <c r="O328" s="56"/>
      <c r="P328" s="56"/>
      <c r="Q328" s="57"/>
      <c r="S328" s="36" t="s">
        <v>38</v>
      </c>
    </row>
    <row r="329" spans="1:20" ht="24" customHeight="1" x14ac:dyDescent="0.25">
      <c r="A329" s="37"/>
      <c r="B329" s="32"/>
      <c r="C329" s="33"/>
      <c r="D329" s="33"/>
      <c r="E329" s="33"/>
      <c r="F329" s="33"/>
      <c r="G329" s="34"/>
      <c r="H329" s="37"/>
      <c r="I329" s="37"/>
      <c r="J329" s="7" t="s">
        <v>28</v>
      </c>
      <c r="K329" s="7" t="s">
        <v>29</v>
      </c>
      <c r="L329" s="7" t="s">
        <v>30</v>
      </c>
      <c r="M329" s="7"/>
      <c r="N329" s="7"/>
      <c r="O329" s="6" t="s">
        <v>35</v>
      </c>
      <c r="P329" s="6" t="s">
        <v>36</v>
      </c>
      <c r="Q329" s="6" t="s">
        <v>37</v>
      </c>
      <c r="S329" s="37"/>
    </row>
    <row r="330" spans="1:20" ht="20.25" customHeight="1" x14ac:dyDescent="0.25">
      <c r="A330" s="27" t="s">
        <v>54</v>
      </c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</row>
    <row r="331" spans="1:20" ht="16.5" customHeight="1" x14ac:dyDescent="0.25">
      <c r="A331" s="9"/>
      <c r="B331" s="51" t="s">
        <v>61</v>
      </c>
      <c r="C331" s="52"/>
      <c r="D331" s="52"/>
      <c r="E331" s="52"/>
      <c r="F331" s="52"/>
      <c r="G331" s="53"/>
      <c r="H331" s="20"/>
      <c r="I331" s="9">
        <v>2</v>
      </c>
      <c r="J331" s="9"/>
      <c r="K331" s="9"/>
      <c r="L331" s="9"/>
      <c r="M331" s="9">
        <f t="shared" ref="M331:M339" si="48">I331*O331</f>
        <v>15.4</v>
      </c>
      <c r="N331" s="9">
        <f t="shared" ref="N331:N339" si="49">I331*P331</f>
        <v>6</v>
      </c>
      <c r="O331" s="9">
        <v>7.7</v>
      </c>
      <c r="P331" s="9">
        <v>3</v>
      </c>
      <c r="Q331" s="9" t="s">
        <v>6</v>
      </c>
      <c r="R331" s="1">
        <v>0</v>
      </c>
      <c r="S331" s="26"/>
    </row>
    <row r="332" spans="1:20" ht="16.5" customHeight="1" x14ac:dyDescent="0.25">
      <c r="A332" s="9"/>
      <c r="B332" s="51" t="s">
        <v>56</v>
      </c>
      <c r="C332" s="52"/>
      <c r="D332" s="52"/>
      <c r="E332" s="52"/>
      <c r="F332" s="52"/>
      <c r="G332" s="53"/>
      <c r="H332" s="20"/>
      <c r="I332" s="9">
        <v>3</v>
      </c>
      <c r="J332" s="9"/>
      <c r="K332" s="9"/>
      <c r="L332" s="9"/>
      <c r="M332" s="9">
        <f t="shared" si="48"/>
        <v>18</v>
      </c>
      <c r="N332" s="9">
        <f t="shared" si="49"/>
        <v>6</v>
      </c>
      <c r="O332" s="9">
        <v>6</v>
      </c>
      <c r="P332" s="9">
        <v>2</v>
      </c>
      <c r="Q332" s="9" t="s">
        <v>3</v>
      </c>
      <c r="R332" s="1">
        <v>0</v>
      </c>
      <c r="S332" s="26"/>
    </row>
    <row r="333" spans="1:20" ht="31.2" customHeight="1" x14ac:dyDescent="0.25">
      <c r="A333" s="9"/>
      <c r="B333" s="51" t="s">
        <v>57</v>
      </c>
      <c r="C333" s="52"/>
      <c r="D333" s="52"/>
      <c r="E333" s="52"/>
      <c r="F333" s="52"/>
      <c r="G333" s="53"/>
      <c r="H333" s="20"/>
      <c r="I333" s="9">
        <v>3</v>
      </c>
      <c r="J333" s="9"/>
      <c r="K333" s="9"/>
      <c r="L333" s="9"/>
      <c r="M333" s="9">
        <f t="shared" si="48"/>
        <v>24.299999999999997</v>
      </c>
      <c r="N333" s="9">
        <f t="shared" si="49"/>
        <v>10.5</v>
      </c>
      <c r="O333" s="9">
        <v>8.1</v>
      </c>
      <c r="P333" s="9">
        <v>3.5</v>
      </c>
      <c r="Q333" s="9" t="s">
        <v>9</v>
      </c>
      <c r="R333" s="1">
        <v>0</v>
      </c>
      <c r="S333" s="26"/>
    </row>
    <row r="334" spans="1:20" ht="16.5" customHeight="1" x14ac:dyDescent="0.25">
      <c r="A334" s="9"/>
      <c r="B334" s="51" t="s">
        <v>58</v>
      </c>
      <c r="C334" s="52"/>
      <c r="D334" s="52"/>
      <c r="E334" s="52"/>
      <c r="F334" s="52"/>
      <c r="G334" s="53"/>
      <c r="H334" s="20"/>
      <c r="I334" s="9">
        <v>1</v>
      </c>
      <c r="J334" s="9"/>
      <c r="K334" s="9"/>
      <c r="L334" s="9"/>
      <c r="M334" s="9">
        <f t="shared" si="48"/>
        <v>7</v>
      </c>
      <c r="N334" s="9">
        <f t="shared" si="49"/>
        <v>3</v>
      </c>
      <c r="O334" s="9">
        <v>7</v>
      </c>
      <c r="P334" s="9">
        <v>3</v>
      </c>
      <c r="Q334" s="9" t="s">
        <v>6</v>
      </c>
      <c r="R334" s="1">
        <v>0</v>
      </c>
      <c r="S334" s="26"/>
    </row>
    <row r="335" spans="1:20" ht="16.5" customHeight="1" x14ac:dyDescent="0.25">
      <c r="A335" s="9"/>
      <c r="B335" s="51" t="s">
        <v>59</v>
      </c>
      <c r="C335" s="52"/>
      <c r="D335" s="52"/>
      <c r="E335" s="52"/>
      <c r="F335" s="52"/>
      <c r="G335" s="53"/>
      <c r="H335" s="20"/>
      <c r="I335" s="9">
        <v>1</v>
      </c>
      <c r="J335" s="9"/>
      <c r="K335" s="9"/>
      <c r="L335" s="9"/>
      <c r="M335" s="9">
        <f t="shared" si="48"/>
        <v>6.5</v>
      </c>
      <c r="N335" s="9">
        <f t="shared" si="49"/>
        <v>2.5</v>
      </c>
      <c r="O335" s="9">
        <v>6.5</v>
      </c>
      <c r="P335" s="9">
        <v>2.5</v>
      </c>
      <c r="Q335" s="9" t="s">
        <v>5</v>
      </c>
      <c r="R335" s="1">
        <v>0</v>
      </c>
      <c r="S335" s="26"/>
    </row>
    <row r="336" spans="1:20" ht="16.5" customHeight="1" x14ac:dyDescent="0.25">
      <c r="A336" s="9"/>
      <c r="B336" s="51" t="s">
        <v>60</v>
      </c>
      <c r="C336" s="52"/>
      <c r="D336" s="52"/>
      <c r="E336" s="52"/>
      <c r="F336" s="52"/>
      <c r="G336" s="53"/>
      <c r="H336" s="20"/>
      <c r="I336" s="9">
        <v>3</v>
      </c>
      <c r="J336" s="9"/>
      <c r="K336" s="9"/>
      <c r="L336" s="9"/>
      <c r="M336" s="9">
        <f t="shared" si="48"/>
        <v>23.700000000000003</v>
      </c>
      <c r="N336" s="9">
        <f t="shared" si="49"/>
        <v>9</v>
      </c>
      <c r="O336" s="9">
        <v>7.9</v>
      </c>
      <c r="P336" s="9">
        <v>3</v>
      </c>
      <c r="Q336" s="9" t="s">
        <v>6</v>
      </c>
      <c r="R336" s="1">
        <v>0</v>
      </c>
      <c r="S336" s="26"/>
    </row>
    <row r="337" spans="1:19" ht="16.5" customHeight="1" x14ac:dyDescent="0.25">
      <c r="A337" s="9"/>
      <c r="B337" s="51" t="s">
        <v>55</v>
      </c>
      <c r="C337" s="52"/>
      <c r="D337" s="52"/>
      <c r="E337" s="52"/>
      <c r="F337" s="52"/>
      <c r="G337" s="53"/>
      <c r="H337" s="20"/>
      <c r="I337" s="9">
        <v>1</v>
      </c>
      <c r="J337" s="9"/>
      <c r="K337" s="9"/>
      <c r="L337" s="9"/>
      <c r="M337" s="9">
        <f t="shared" si="48"/>
        <v>3</v>
      </c>
      <c r="N337" s="9">
        <f t="shared" si="49"/>
        <v>0</v>
      </c>
      <c r="O337" s="9">
        <v>3</v>
      </c>
      <c r="P337" s="9">
        <v>0</v>
      </c>
      <c r="Q337" s="9" t="s">
        <v>7</v>
      </c>
      <c r="R337" s="1">
        <v>0</v>
      </c>
      <c r="S337" s="26"/>
    </row>
    <row r="338" spans="1:19" ht="16.5" hidden="1" customHeight="1" x14ac:dyDescent="0.25">
      <c r="A338" s="21"/>
      <c r="H338" s="21"/>
      <c r="I338" s="21"/>
      <c r="J338" s="21"/>
      <c r="K338" s="21"/>
      <c r="L338" s="21"/>
      <c r="M338" s="9">
        <f t="shared" si="48"/>
        <v>0</v>
      </c>
      <c r="N338" s="9">
        <f t="shared" si="49"/>
        <v>0</v>
      </c>
      <c r="O338" s="21"/>
      <c r="P338" s="21"/>
      <c r="Q338" s="21"/>
      <c r="S338" s="25"/>
    </row>
    <row r="339" spans="1:19" ht="16.5" customHeight="1" x14ac:dyDescent="0.25">
      <c r="A339" s="9"/>
      <c r="B339" s="39" t="s">
        <v>42</v>
      </c>
      <c r="C339" s="40"/>
      <c r="D339" s="40"/>
      <c r="E339" s="40"/>
      <c r="F339" s="40"/>
      <c r="G339" s="41"/>
      <c r="H339" s="23"/>
      <c r="I339" s="24">
        <f>SUM(I331:I338)</f>
        <v>14</v>
      </c>
      <c r="J339" s="9"/>
      <c r="K339" s="9"/>
      <c r="L339" s="9"/>
      <c r="M339" s="9">
        <f t="shared" si="48"/>
        <v>97.86</v>
      </c>
      <c r="N339" s="9">
        <f t="shared" si="49"/>
        <v>36.96</v>
      </c>
      <c r="O339" s="24">
        <f>ROUND(SUM(M331:M338)/I339,2)</f>
        <v>6.99</v>
      </c>
      <c r="P339" s="24">
        <f>ROUND(SUM(N331:N338)/I339,2)</f>
        <v>2.64</v>
      </c>
      <c r="Q339" s="9"/>
      <c r="S339" s="25"/>
    </row>
    <row r="340" spans="1:19" ht="20.25" customHeight="1" x14ac:dyDescent="0.25">
      <c r="A340" s="27" t="s">
        <v>62</v>
      </c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</row>
    <row r="341" spans="1:19" ht="16.5" customHeight="1" x14ac:dyDescent="0.25">
      <c r="A341" s="9"/>
      <c r="B341" s="51" t="s">
        <v>63</v>
      </c>
      <c r="C341" s="52"/>
      <c r="D341" s="52"/>
      <c r="E341" s="52"/>
      <c r="F341" s="52"/>
      <c r="G341" s="53"/>
      <c r="H341" s="20"/>
      <c r="I341" s="9">
        <v>4</v>
      </c>
      <c r="J341" s="9"/>
      <c r="K341" s="9"/>
      <c r="L341" s="9"/>
      <c r="M341" s="9">
        <f t="shared" ref="M341:M349" si="50">I341*O341</f>
        <v>30.8</v>
      </c>
      <c r="N341" s="9">
        <f t="shared" ref="N341:N349" si="51">I341*P341</f>
        <v>12</v>
      </c>
      <c r="O341" s="9">
        <v>7.7</v>
      </c>
      <c r="P341" s="9">
        <v>3</v>
      </c>
      <c r="Q341" s="9" t="s">
        <v>6</v>
      </c>
      <c r="R341" s="1">
        <v>0</v>
      </c>
      <c r="S341" s="26"/>
    </row>
    <row r="342" spans="1:19" ht="16.5" customHeight="1" x14ac:dyDescent="0.25">
      <c r="A342" s="9"/>
      <c r="B342" s="51" t="s">
        <v>64</v>
      </c>
      <c r="C342" s="52"/>
      <c r="D342" s="52"/>
      <c r="E342" s="52"/>
      <c r="F342" s="52"/>
      <c r="G342" s="53"/>
      <c r="H342" s="20"/>
      <c r="I342" s="9">
        <v>4</v>
      </c>
      <c r="J342" s="9"/>
      <c r="K342" s="9"/>
      <c r="L342" s="9"/>
      <c r="M342" s="9">
        <f t="shared" si="50"/>
        <v>23.6</v>
      </c>
      <c r="N342" s="9">
        <f t="shared" si="51"/>
        <v>8</v>
      </c>
      <c r="O342" s="9">
        <v>5.9</v>
      </c>
      <c r="P342" s="9">
        <v>2</v>
      </c>
      <c r="Q342" s="9" t="s">
        <v>3</v>
      </c>
      <c r="R342" s="1">
        <v>0</v>
      </c>
      <c r="S342" s="26"/>
    </row>
    <row r="343" spans="1:19" ht="16.5" customHeight="1" x14ac:dyDescent="0.25">
      <c r="A343" s="9"/>
      <c r="B343" s="51" t="s">
        <v>65</v>
      </c>
      <c r="C343" s="52"/>
      <c r="D343" s="52"/>
      <c r="E343" s="52"/>
      <c r="F343" s="52"/>
      <c r="G343" s="53"/>
      <c r="H343" s="20"/>
      <c r="I343" s="9">
        <v>4</v>
      </c>
      <c r="J343" s="9"/>
      <c r="K343" s="9"/>
      <c r="L343" s="9"/>
      <c r="M343" s="9">
        <f t="shared" si="50"/>
        <v>30.4</v>
      </c>
      <c r="N343" s="9">
        <f t="shared" si="51"/>
        <v>12</v>
      </c>
      <c r="O343" s="9">
        <v>7.6</v>
      </c>
      <c r="P343" s="9">
        <v>3</v>
      </c>
      <c r="Q343" s="9" t="s">
        <v>6</v>
      </c>
      <c r="R343" s="1">
        <v>0</v>
      </c>
      <c r="S343" s="26"/>
    </row>
    <row r="344" spans="1:19" ht="16.5" customHeight="1" x14ac:dyDescent="0.25">
      <c r="A344" s="9"/>
      <c r="B344" s="51" t="s">
        <v>66</v>
      </c>
      <c r="C344" s="52"/>
      <c r="D344" s="52"/>
      <c r="E344" s="52"/>
      <c r="F344" s="52"/>
      <c r="G344" s="53"/>
      <c r="H344" s="20"/>
      <c r="I344" s="9">
        <v>1</v>
      </c>
      <c r="J344" s="9"/>
      <c r="K344" s="9"/>
      <c r="L344" s="9"/>
      <c r="M344" s="9">
        <f t="shared" si="50"/>
        <v>7.6</v>
      </c>
      <c r="N344" s="9">
        <f t="shared" si="51"/>
        <v>3</v>
      </c>
      <c r="O344" s="9">
        <v>7.6</v>
      </c>
      <c r="P344" s="9">
        <v>3</v>
      </c>
      <c r="Q344" s="9" t="s">
        <v>6</v>
      </c>
      <c r="R344" s="1">
        <v>0</v>
      </c>
      <c r="S344" s="26"/>
    </row>
    <row r="345" spans="1:19" ht="16.5" customHeight="1" x14ac:dyDescent="0.25">
      <c r="A345" s="9"/>
      <c r="B345" s="51" t="s">
        <v>67</v>
      </c>
      <c r="C345" s="52"/>
      <c r="D345" s="52"/>
      <c r="E345" s="52"/>
      <c r="F345" s="52"/>
      <c r="G345" s="53"/>
      <c r="H345" s="20"/>
      <c r="I345" s="9">
        <v>1</v>
      </c>
      <c r="J345" s="9"/>
      <c r="K345" s="9"/>
      <c r="L345" s="9"/>
      <c r="M345" s="9">
        <f t="shared" si="50"/>
        <v>7</v>
      </c>
      <c r="N345" s="9">
        <f t="shared" si="51"/>
        <v>3</v>
      </c>
      <c r="O345" s="9">
        <v>7</v>
      </c>
      <c r="P345" s="9">
        <v>3</v>
      </c>
      <c r="Q345" s="9" t="s">
        <v>6</v>
      </c>
      <c r="R345" s="1">
        <v>0</v>
      </c>
      <c r="S345" s="26"/>
    </row>
    <row r="346" spans="1:19" ht="16.5" customHeight="1" x14ac:dyDescent="0.25">
      <c r="A346" s="9"/>
      <c r="B346" s="51" t="s">
        <v>69</v>
      </c>
      <c r="C346" s="52"/>
      <c r="D346" s="52"/>
      <c r="E346" s="52"/>
      <c r="F346" s="52"/>
      <c r="G346" s="53"/>
      <c r="H346" s="20"/>
      <c r="I346" s="9">
        <v>1</v>
      </c>
      <c r="J346" s="9"/>
      <c r="K346" s="9"/>
      <c r="L346" s="9"/>
      <c r="M346" s="9">
        <f t="shared" si="50"/>
        <v>7.4</v>
      </c>
      <c r="N346" s="9">
        <f t="shared" si="51"/>
        <v>3</v>
      </c>
      <c r="O346" s="9">
        <v>7.4</v>
      </c>
      <c r="P346" s="9">
        <v>3</v>
      </c>
      <c r="Q346" s="9" t="s">
        <v>6</v>
      </c>
      <c r="R346" s="1">
        <v>0</v>
      </c>
      <c r="S346" s="26"/>
    </row>
    <row r="347" spans="1:19" ht="16.5" customHeight="1" x14ac:dyDescent="0.25">
      <c r="A347" s="9"/>
      <c r="B347" s="51" t="s">
        <v>68</v>
      </c>
      <c r="C347" s="52"/>
      <c r="D347" s="52"/>
      <c r="E347" s="52"/>
      <c r="F347" s="52"/>
      <c r="G347" s="53"/>
      <c r="H347" s="20"/>
      <c r="I347" s="9">
        <v>1</v>
      </c>
      <c r="J347" s="9"/>
      <c r="K347" s="9"/>
      <c r="L347" s="9"/>
      <c r="M347" s="9">
        <f t="shared" si="50"/>
        <v>7.4</v>
      </c>
      <c r="N347" s="9">
        <f t="shared" si="51"/>
        <v>3</v>
      </c>
      <c r="O347" s="9">
        <v>7.4</v>
      </c>
      <c r="P347" s="9">
        <v>3</v>
      </c>
      <c r="Q347" s="9" t="s">
        <v>6</v>
      </c>
      <c r="R347" s="1">
        <v>0</v>
      </c>
      <c r="S347" s="26"/>
    </row>
    <row r="348" spans="1:19" ht="16.5" hidden="1" customHeight="1" x14ac:dyDescent="0.25">
      <c r="A348" s="21"/>
      <c r="H348" s="21"/>
      <c r="I348" s="21"/>
      <c r="J348" s="21"/>
      <c r="K348" s="21"/>
      <c r="L348" s="21"/>
      <c r="M348" s="9">
        <f t="shared" si="50"/>
        <v>0</v>
      </c>
      <c r="N348" s="9">
        <f t="shared" si="51"/>
        <v>0</v>
      </c>
      <c r="O348" s="21"/>
      <c r="P348" s="21"/>
      <c r="Q348" s="21"/>
      <c r="S348" s="25"/>
    </row>
    <row r="349" spans="1:19" ht="16.5" customHeight="1" x14ac:dyDescent="0.25">
      <c r="A349" s="9"/>
      <c r="B349" s="39" t="s">
        <v>42</v>
      </c>
      <c r="C349" s="40"/>
      <c r="D349" s="40"/>
      <c r="E349" s="40"/>
      <c r="F349" s="40"/>
      <c r="G349" s="41"/>
      <c r="H349" s="23"/>
      <c r="I349" s="24">
        <f>SUM(I341:I348)</f>
        <v>16</v>
      </c>
      <c r="J349" s="9"/>
      <c r="K349" s="9"/>
      <c r="L349" s="9"/>
      <c r="M349" s="9">
        <f t="shared" si="50"/>
        <v>114.24</v>
      </c>
      <c r="N349" s="9">
        <f t="shared" si="51"/>
        <v>44</v>
      </c>
      <c r="O349" s="24">
        <f>ROUND(SUM(M341:M348)/I349,2)</f>
        <v>7.14</v>
      </c>
      <c r="P349" s="24">
        <f>ROUND(SUM(N341:N348)/I349,2)</f>
        <v>2.75</v>
      </c>
      <c r="Q349" s="9"/>
      <c r="S349" s="25"/>
    </row>
    <row r="350" spans="1:19" ht="20.25" customHeight="1" x14ac:dyDescent="0.25">
      <c r="A350" s="27" t="s">
        <v>141</v>
      </c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</row>
    <row r="351" spans="1:19" ht="16.5" customHeight="1" x14ac:dyDescent="0.25">
      <c r="A351" s="9"/>
      <c r="B351" s="51" t="s">
        <v>55</v>
      </c>
      <c r="C351" s="52"/>
      <c r="D351" s="52"/>
      <c r="E351" s="52"/>
      <c r="F351" s="52"/>
      <c r="G351" s="53"/>
      <c r="H351" s="20"/>
      <c r="I351" s="9">
        <v>1</v>
      </c>
      <c r="J351" s="9"/>
      <c r="K351" s="9"/>
      <c r="L351" s="9"/>
      <c r="M351" s="9">
        <f>I351*O351</f>
        <v>7</v>
      </c>
      <c r="N351" s="9">
        <f>I351*P351</f>
        <v>3</v>
      </c>
      <c r="O351" s="9">
        <v>7</v>
      </c>
      <c r="P351" s="9">
        <v>3</v>
      </c>
      <c r="Q351" s="9" t="s">
        <v>6</v>
      </c>
      <c r="R351" s="1">
        <v>6</v>
      </c>
      <c r="S351" s="26" t="s">
        <v>134</v>
      </c>
    </row>
    <row r="352" spans="1:19" ht="16.5" hidden="1" customHeight="1" x14ac:dyDescent="0.25">
      <c r="A352" s="21"/>
      <c r="H352" s="21"/>
      <c r="I352" s="21"/>
      <c r="J352" s="21"/>
      <c r="K352" s="21"/>
      <c r="L352" s="21"/>
      <c r="M352" s="9">
        <f>I352*O352</f>
        <v>0</v>
      </c>
      <c r="N352" s="9">
        <f>I352*P352</f>
        <v>0</v>
      </c>
      <c r="O352" s="21"/>
      <c r="P352" s="21"/>
      <c r="Q352" s="21"/>
      <c r="S352" s="25"/>
    </row>
    <row r="353" spans="1:19" ht="16.5" customHeight="1" x14ac:dyDescent="0.25">
      <c r="A353" s="9"/>
      <c r="B353" s="39" t="s">
        <v>42</v>
      </c>
      <c r="C353" s="40"/>
      <c r="D353" s="40"/>
      <c r="E353" s="40"/>
      <c r="F353" s="40"/>
      <c r="G353" s="41"/>
      <c r="H353" s="23"/>
      <c r="I353" s="24">
        <f>SUM(I351:I352)</f>
        <v>1</v>
      </c>
      <c r="J353" s="9"/>
      <c r="K353" s="9"/>
      <c r="L353" s="9"/>
      <c r="M353" s="9">
        <f>I353*O353</f>
        <v>7</v>
      </c>
      <c r="N353" s="9">
        <f>I353*P353</f>
        <v>3</v>
      </c>
      <c r="O353" s="24">
        <f>ROUND(SUM(M351:M352)/I353,2)</f>
        <v>7</v>
      </c>
      <c r="P353" s="24">
        <f>ROUND(SUM(N351:N352)/I353,2)</f>
        <v>3</v>
      </c>
      <c r="Q353" s="9"/>
      <c r="S353" s="25"/>
    </row>
    <row r="354" spans="1:19" ht="20.25" customHeight="1" x14ac:dyDescent="0.25">
      <c r="A354" s="27" t="s">
        <v>70</v>
      </c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</row>
    <row r="355" spans="1:19" ht="16.5" customHeight="1" x14ac:dyDescent="0.25">
      <c r="A355" s="9"/>
      <c r="B355" s="51" t="s">
        <v>72</v>
      </c>
      <c r="C355" s="52"/>
      <c r="D355" s="52"/>
      <c r="E355" s="52"/>
      <c r="F355" s="52"/>
      <c r="G355" s="53"/>
      <c r="H355" s="20"/>
      <c r="I355" s="9">
        <v>4</v>
      </c>
      <c r="J355" s="9"/>
      <c r="K355" s="9"/>
      <c r="L355" s="9"/>
      <c r="M355" s="9">
        <f t="shared" ref="M355:M364" si="52">I355*O355</f>
        <v>34.799999999999997</v>
      </c>
      <c r="N355" s="9">
        <f t="shared" ref="N355:N364" si="53">I355*P355</f>
        <v>14.8</v>
      </c>
      <c r="O355" s="9">
        <v>8.6999999999999993</v>
      </c>
      <c r="P355" s="9">
        <v>3.7</v>
      </c>
      <c r="Q355" s="9" t="s">
        <v>10</v>
      </c>
      <c r="R355" s="1">
        <v>0</v>
      </c>
      <c r="S355" s="26"/>
    </row>
    <row r="356" spans="1:19" ht="16.5" customHeight="1" x14ac:dyDescent="0.25">
      <c r="A356" s="9"/>
      <c r="B356" s="51" t="s">
        <v>71</v>
      </c>
      <c r="C356" s="52"/>
      <c r="D356" s="52"/>
      <c r="E356" s="52"/>
      <c r="F356" s="52"/>
      <c r="G356" s="53"/>
      <c r="H356" s="20"/>
      <c r="I356" s="9">
        <v>4</v>
      </c>
      <c r="J356" s="9"/>
      <c r="K356" s="9"/>
      <c r="L356" s="9"/>
      <c r="M356" s="9">
        <f t="shared" si="52"/>
        <v>34</v>
      </c>
      <c r="N356" s="9">
        <f t="shared" si="53"/>
        <v>14.8</v>
      </c>
      <c r="O356" s="9">
        <v>8.5</v>
      </c>
      <c r="P356" s="9">
        <v>3.7</v>
      </c>
      <c r="Q356" s="9" t="s">
        <v>10</v>
      </c>
      <c r="R356" s="1">
        <v>0</v>
      </c>
      <c r="S356" s="26"/>
    </row>
    <row r="357" spans="1:19" ht="16.5" customHeight="1" x14ac:dyDescent="0.25">
      <c r="A357" s="9"/>
      <c r="B357" s="51" t="s">
        <v>74</v>
      </c>
      <c r="C357" s="52"/>
      <c r="D357" s="52"/>
      <c r="E357" s="52"/>
      <c r="F357" s="52"/>
      <c r="G357" s="53"/>
      <c r="H357" s="20"/>
      <c r="I357" s="9">
        <v>2</v>
      </c>
      <c r="J357" s="9"/>
      <c r="K357" s="9"/>
      <c r="L357" s="9"/>
      <c r="M357" s="9">
        <f t="shared" si="52"/>
        <v>16</v>
      </c>
      <c r="N357" s="9">
        <f t="shared" si="53"/>
        <v>7</v>
      </c>
      <c r="O357" s="9">
        <v>8</v>
      </c>
      <c r="P357" s="9">
        <v>3.5</v>
      </c>
      <c r="Q357" s="9" t="s">
        <v>9</v>
      </c>
      <c r="R357" s="1">
        <v>0</v>
      </c>
      <c r="S357" s="26"/>
    </row>
    <row r="358" spans="1:19" ht="16.5" customHeight="1" x14ac:dyDescent="0.25">
      <c r="A358" s="9"/>
      <c r="B358" s="51" t="s">
        <v>73</v>
      </c>
      <c r="C358" s="52"/>
      <c r="D358" s="52"/>
      <c r="E358" s="52"/>
      <c r="F358" s="52"/>
      <c r="G358" s="53"/>
      <c r="H358" s="20"/>
      <c r="I358" s="9">
        <v>1</v>
      </c>
      <c r="J358" s="9"/>
      <c r="K358" s="9"/>
      <c r="L358" s="9"/>
      <c r="M358" s="9">
        <f t="shared" si="52"/>
        <v>8</v>
      </c>
      <c r="N358" s="9">
        <f t="shared" si="53"/>
        <v>3.5</v>
      </c>
      <c r="O358" s="9">
        <v>8</v>
      </c>
      <c r="P358" s="9">
        <v>3.5</v>
      </c>
      <c r="Q358" s="9" t="s">
        <v>9</v>
      </c>
      <c r="R358" s="1">
        <v>0</v>
      </c>
      <c r="S358" s="26"/>
    </row>
    <row r="359" spans="1:19" ht="16.5" customHeight="1" x14ac:dyDescent="0.25">
      <c r="A359" s="9"/>
      <c r="B359" s="51" t="s">
        <v>76</v>
      </c>
      <c r="C359" s="52"/>
      <c r="D359" s="52"/>
      <c r="E359" s="52"/>
      <c r="F359" s="52"/>
      <c r="G359" s="53"/>
      <c r="H359" s="20"/>
      <c r="I359" s="9">
        <v>4</v>
      </c>
      <c r="J359" s="9"/>
      <c r="K359" s="9"/>
      <c r="L359" s="9"/>
      <c r="M359" s="9">
        <f t="shared" si="52"/>
        <v>22.8</v>
      </c>
      <c r="N359" s="9">
        <f t="shared" si="53"/>
        <v>8</v>
      </c>
      <c r="O359" s="9">
        <v>5.7</v>
      </c>
      <c r="P359" s="9">
        <v>2</v>
      </c>
      <c r="Q359" s="9" t="s">
        <v>3</v>
      </c>
      <c r="R359" s="1">
        <v>0</v>
      </c>
      <c r="S359" s="26"/>
    </row>
    <row r="360" spans="1:19" ht="16.5" customHeight="1" x14ac:dyDescent="0.25">
      <c r="A360" s="9"/>
      <c r="B360" s="51" t="s">
        <v>75</v>
      </c>
      <c r="C360" s="52"/>
      <c r="D360" s="52"/>
      <c r="E360" s="52"/>
      <c r="F360" s="52"/>
      <c r="G360" s="53"/>
      <c r="H360" s="20"/>
      <c r="I360" s="9">
        <v>1</v>
      </c>
      <c r="J360" s="9"/>
      <c r="K360" s="9"/>
      <c r="L360" s="9"/>
      <c r="M360" s="9">
        <f t="shared" si="52"/>
        <v>8.1999999999999993</v>
      </c>
      <c r="N360" s="9">
        <f t="shared" si="53"/>
        <v>3.5</v>
      </c>
      <c r="O360" s="9">
        <v>8.1999999999999993</v>
      </c>
      <c r="P360" s="9">
        <v>3.5</v>
      </c>
      <c r="Q360" s="9" t="s">
        <v>9</v>
      </c>
      <c r="R360" s="1">
        <v>0</v>
      </c>
      <c r="S360" s="26"/>
    </row>
    <row r="361" spans="1:19" ht="16.5" customHeight="1" x14ac:dyDescent="0.25">
      <c r="A361" s="9"/>
      <c r="B361" s="51" t="s">
        <v>77</v>
      </c>
      <c r="C361" s="52"/>
      <c r="D361" s="52"/>
      <c r="E361" s="52"/>
      <c r="F361" s="52"/>
      <c r="G361" s="53"/>
      <c r="H361" s="20"/>
      <c r="I361" s="9">
        <v>3</v>
      </c>
      <c r="J361" s="9"/>
      <c r="K361" s="9"/>
      <c r="L361" s="9"/>
      <c r="M361" s="9">
        <f t="shared" si="52"/>
        <v>18.299999999999997</v>
      </c>
      <c r="N361" s="9">
        <f t="shared" si="53"/>
        <v>6</v>
      </c>
      <c r="O361" s="9">
        <v>6.1</v>
      </c>
      <c r="P361" s="9">
        <v>2</v>
      </c>
      <c r="Q361" s="9" t="s">
        <v>3</v>
      </c>
      <c r="R361" s="1">
        <v>0</v>
      </c>
      <c r="S361" s="26"/>
    </row>
    <row r="362" spans="1:19" ht="16.5" customHeight="1" x14ac:dyDescent="0.25">
      <c r="A362" s="9"/>
      <c r="B362" s="51" t="s">
        <v>78</v>
      </c>
      <c r="C362" s="52"/>
      <c r="D362" s="52"/>
      <c r="E362" s="52"/>
      <c r="F362" s="52"/>
      <c r="G362" s="53"/>
      <c r="H362" s="20"/>
      <c r="I362" s="9">
        <v>4</v>
      </c>
      <c r="J362" s="9"/>
      <c r="K362" s="9"/>
      <c r="L362" s="9"/>
      <c r="M362" s="9">
        <f t="shared" si="52"/>
        <v>30</v>
      </c>
      <c r="N362" s="9">
        <f t="shared" si="53"/>
        <v>12</v>
      </c>
      <c r="O362" s="9">
        <v>7.5</v>
      </c>
      <c r="P362" s="9">
        <v>3</v>
      </c>
      <c r="Q362" s="9" t="s">
        <v>6</v>
      </c>
      <c r="R362" s="1">
        <v>0</v>
      </c>
      <c r="S362" s="26"/>
    </row>
    <row r="363" spans="1:19" ht="16.5" hidden="1" customHeight="1" x14ac:dyDescent="0.25">
      <c r="A363" s="21"/>
      <c r="H363" s="21"/>
      <c r="I363" s="21"/>
      <c r="J363" s="21"/>
      <c r="K363" s="21"/>
      <c r="L363" s="21"/>
      <c r="M363" s="9">
        <f t="shared" si="52"/>
        <v>0</v>
      </c>
      <c r="N363" s="9">
        <f t="shared" si="53"/>
        <v>0</v>
      </c>
      <c r="O363" s="21"/>
      <c r="P363" s="21"/>
      <c r="Q363" s="21"/>
      <c r="S363" s="25"/>
    </row>
    <row r="364" spans="1:19" ht="16.5" customHeight="1" x14ac:dyDescent="0.25">
      <c r="A364" s="9"/>
      <c r="B364" s="39" t="s">
        <v>42</v>
      </c>
      <c r="C364" s="40"/>
      <c r="D364" s="40"/>
      <c r="E364" s="40"/>
      <c r="F364" s="40"/>
      <c r="G364" s="41"/>
      <c r="H364" s="23"/>
      <c r="I364" s="24">
        <f>SUM(I355:I363)</f>
        <v>23</v>
      </c>
      <c r="J364" s="9"/>
      <c r="K364" s="9"/>
      <c r="L364" s="9"/>
      <c r="M364" s="9">
        <f t="shared" si="52"/>
        <v>172.04000000000002</v>
      </c>
      <c r="N364" s="9">
        <f t="shared" si="53"/>
        <v>69.69</v>
      </c>
      <c r="O364" s="24">
        <f>ROUND(SUM(M355:M363)/I364,2)</f>
        <v>7.48</v>
      </c>
      <c r="P364" s="24">
        <f>ROUND(SUM(N355:N363)/I364,2)</f>
        <v>3.03</v>
      </c>
      <c r="Q364" s="9"/>
      <c r="S364" s="25"/>
    </row>
    <row r="365" spans="1:19" ht="20.25" customHeight="1" x14ac:dyDescent="0.25">
      <c r="A365" s="27" t="s">
        <v>79</v>
      </c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</row>
    <row r="366" spans="1:19" ht="16.5" customHeight="1" x14ac:dyDescent="0.25">
      <c r="A366" s="9"/>
      <c r="B366" s="51" t="s">
        <v>80</v>
      </c>
      <c r="C366" s="52"/>
      <c r="D366" s="52"/>
      <c r="E366" s="52"/>
      <c r="F366" s="52"/>
      <c r="G366" s="53"/>
      <c r="H366" s="20"/>
      <c r="I366" s="9">
        <v>3</v>
      </c>
      <c r="J366" s="9"/>
      <c r="K366" s="9"/>
      <c r="L366" s="9"/>
      <c r="M366" s="9">
        <f>I366*O366</f>
        <v>19.200000000000003</v>
      </c>
      <c r="N366" s="9">
        <f>I366*P366</f>
        <v>6</v>
      </c>
      <c r="O366" s="9">
        <v>6.4</v>
      </c>
      <c r="P366" s="9">
        <v>2</v>
      </c>
      <c r="Q366" s="9" t="s">
        <v>3</v>
      </c>
      <c r="R366" s="1">
        <v>0</v>
      </c>
      <c r="S366" s="26"/>
    </row>
    <row r="367" spans="1:19" ht="16.5" customHeight="1" x14ac:dyDescent="0.25">
      <c r="A367" s="9"/>
      <c r="B367" s="51" t="s">
        <v>81</v>
      </c>
      <c r="C367" s="52"/>
      <c r="D367" s="52"/>
      <c r="E367" s="52"/>
      <c r="F367" s="52"/>
      <c r="G367" s="53"/>
      <c r="H367" s="20"/>
      <c r="I367" s="9">
        <v>1</v>
      </c>
      <c r="J367" s="9"/>
      <c r="K367" s="9"/>
      <c r="L367" s="9"/>
      <c r="M367" s="9">
        <f>I367*O367</f>
        <v>7.6</v>
      </c>
      <c r="N367" s="9">
        <f>I367*P367</f>
        <v>3</v>
      </c>
      <c r="O367" s="9">
        <v>7.6</v>
      </c>
      <c r="P367" s="9">
        <v>3</v>
      </c>
      <c r="Q367" s="9" t="s">
        <v>6</v>
      </c>
      <c r="R367" s="1">
        <v>0</v>
      </c>
      <c r="S367" s="26"/>
    </row>
    <row r="368" spans="1:19" ht="15" customHeight="1" x14ac:dyDescent="0.25">
      <c r="A368" s="36" t="s">
        <v>0</v>
      </c>
      <c r="B368" s="29" t="s">
        <v>1</v>
      </c>
      <c r="C368" s="30"/>
      <c r="D368" s="30"/>
      <c r="E368" s="30"/>
      <c r="F368" s="30"/>
      <c r="G368" s="31"/>
      <c r="H368" s="36" t="s">
        <v>32</v>
      </c>
      <c r="I368" s="36" t="s">
        <v>39</v>
      </c>
      <c r="J368" s="55" t="s">
        <v>2</v>
      </c>
      <c r="K368" s="56"/>
      <c r="L368" s="56"/>
      <c r="M368" s="56"/>
      <c r="N368" s="56"/>
      <c r="O368" s="56"/>
      <c r="P368" s="56"/>
      <c r="Q368" s="57"/>
      <c r="S368" s="36" t="s">
        <v>38</v>
      </c>
    </row>
    <row r="369" spans="1:19" ht="24" customHeight="1" x14ac:dyDescent="0.25">
      <c r="A369" s="37"/>
      <c r="B369" s="32"/>
      <c r="C369" s="33"/>
      <c r="D369" s="33"/>
      <c r="E369" s="33"/>
      <c r="F369" s="33"/>
      <c r="G369" s="34"/>
      <c r="H369" s="37"/>
      <c r="I369" s="37"/>
      <c r="J369" s="7" t="s">
        <v>28</v>
      </c>
      <c r="K369" s="7" t="s">
        <v>29</v>
      </c>
      <c r="L369" s="7" t="s">
        <v>30</v>
      </c>
      <c r="M369" s="7"/>
      <c r="N369" s="7"/>
      <c r="O369" s="6" t="s">
        <v>35</v>
      </c>
      <c r="P369" s="6" t="s">
        <v>36</v>
      </c>
      <c r="Q369" s="6" t="s">
        <v>37</v>
      </c>
      <c r="S369" s="37"/>
    </row>
    <row r="370" spans="1:19" ht="16.5" customHeight="1" x14ac:dyDescent="0.25">
      <c r="A370" s="9"/>
      <c r="B370" s="51" t="s">
        <v>82</v>
      </c>
      <c r="C370" s="52"/>
      <c r="D370" s="52"/>
      <c r="E370" s="52"/>
      <c r="F370" s="52"/>
      <c r="G370" s="53"/>
      <c r="H370" s="20"/>
      <c r="I370" s="9">
        <v>3</v>
      </c>
      <c r="J370" s="9"/>
      <c r="K370" s="9"/>
      <c r="L370" s="9"/>
      <c r="M370" s="9">
        <f t="shared" ref="M370:M380" si="54">I370*O370</f>
        <v>21.299999999999997</v>
      </c>
      <c r="N370" s="9">
        <f t="shared" ref="N370:N380" si="55">I370*P370</f>
        <v>9</v>
      </c>
      <c r="O370" s="9">
        <v>7.1</v>
      </c>
      <c r="P370" s="9">
        <v>3</v>
      </c>
      <c r="Q370" s="9" t="s">
        <v>6</v>
      </c>
      <c r="R370" s="1">
        <v>0</v>
      </c>
      <c r="S370" s="26"/>
    </row>
    <row r="371" spans="1:19" ht="16.5" customHeight="1" x14ac:dyDescent="0.25">
      <c r="A371" s="9"/>
      <c r="B371" s="51" t="s">
        <v>83</v>
      </c>
      <c r="C371" s="52"/>
      <c r="D371" s="52"/>
      <c r="E371" s="52"/>
      <c r="F371" s="52"/>
      <c r="G371" s="53"/>
      <c r="H371" s="20"/>
      <c r="I371" s="9">
        <v>2</v>
      </c>
      <c r="J371" s="9"/>
      <c r="K371" s="9"/>
      <c r="L371" s="9"/>
      <c r="M371" s="9">
        <f t="shared" si="54"/>
        <v>15</v>
      </c>
      <c r="N371" s="9">
        <f t="shared" si="55"/>
        <v>6</v>
      </c>
      <c r="O371" s="9">
        <v>7.5</v>
      </c>
      <c r="P371" s="9">
        <v>3</v>
      </c>
      <c r="Q371" s="9" t="s">
        <v>6</v>
      </c>
      <c r="R371" s="1">
        <v>0</v>
      </c>
      <c r="S371" s="26"/>
    </row>
    <row r="372" spans="1:19" ht="16.5" customHeight="1" x14ac:dyDescent="0.25">
      <c r="A372" s="9"/>
      <c r="B372" s="51" t="s">
        <v>84</v>
      </c>
      <c r="C372" s="52"/>
      <c r="D372" s="52"/>
      <c r="E372" s="52"/>
      <c r="F372" s="52"/>
      <c r="G372" s="53"/>
      <c r="H372" s="20"/>
      <c r="I372" s="9">
        <v>2</v>
      </c>
      <c r="J372" s="9"/>
      <c r="K372" s="9"/>
      <c r="L372" s="9"/>
      <c r="M372" s="9">
        <f t="shared" si="54"/>
        <v>14.2</v>
      </c>
      <c r="N372" s="9">
        <f t="shared" si="55"/>
        <v>6</v>
      </c>
      <c r="O372" s="9">
        <v>7.1</v>
      </c>
      <c r="P372" s="9">
        <v>3</v>
      </c>
      <c r="Q372" s="9" t="s">
        <v>6</v>
      </c>
      <c r="R372" s="1">
        <v>0</v>
      </c>
      <c r="S372" s="26"/>
    </row>
    <row r="373" spans="1:19" ht="16.5" customHeight="1" x14ac:dyDescent="0.25">
      <c r="A373" s="9"/>
      <c r="B373" s="51" t="s">
        <v>85</v>
      </c>
      <c r="C373" s="52"/>
      <c r="D373" s="52"/>
      <c r="E373" s="52"/>
      <c r="F373" s="52"/>
      <c r="G373" s="53"/>
      <c r="H373" s="20"/>
      <c r="I373" s="9">
        <v>1</v>
      </c>
      <c r="J373" s="9"/>
      <c r="K373" s="9"/>
      <c r="L373" s="9"/>
      <c r="M373" s="9">
        <f t="shared" si="54"/>
        <v>7.5</v>
      </c>
      <c r="N373" s="9">
        <f t="shared" si="55"/>
        <v>3</v>
      </c>
      <c r="O373" s="9">
        <v>7.5</v>
      </c>
      <c r="P373" s="9">
        <v>3</v>
      </c>
      <c r="Q373" s="9" t="s">
        <v>6</v>
      </c>
      <c r="R373" s="1">
        <v>0</v>
      </c>
      <c r="S373" s="26"/>
    </row>
    <row r="374" spans="1:19" ht="16.5" customHeight="1" x14ac:dyDescent="0.25">
      <c r="A374" s="9"/>
      <c r="B374" s="51" t="s">
        <v>86</v>
      </c>
      <c r="C374" s="52"/>
      <c r="D374" s="52"/>
      <c r="E374" s="52"/>
      <c r="F374" s="52"/>
      <c r="G374" s="53"/>
      <c r="H374" s="20"/>
      <c r="I374" s="9">
        <v>2</v>
      </c>
      <c r="J374" s="9"/>
      <c r="K374" s="9"/>
      <c r="L374" s="9"/>
      <c r="M374" s="9">
        <f t="shared" si="54"/>
        <v>13</v>
      </c>
      <c r="N374" s="9">
        <f t="shared" si="55"/>
        <v>5</v>
      </c>
      <c r="O374" s="9">
        <v>6.5</v>
      </c>
      <c r="P374" s="9">
        <v>2.5</v>
      </c>
      <c r="Q374" s="9" t="s">
        <v>5</v>
      </c>
      <c r="R374" s="1">
        <v>0</v>
      </c>
      <c r="S374" s="26"/>
    </row>
    <row r="375" spans="1:19" ht="16.5" customHeight="1" x14ac:dyDescent="0.25">
      <c r="A375" s="9"/>
      <c r="B375" s="51" t="s">
        <v>90</v>
      </c>
      <c r="C375" s="52"/>
      <c r="D375" s="52"/>
      <c r="E375" s="52"/>
      <c r="F375" s="52"/>
      <c r="G375" s="53"/>
      <c r="H375" s="20"/>
      <c r="I375" s="9">
        <v>2</v>
      </c>
      <c r="J375" s="9"/>
      <c r="K375" s="9"/>
      <c r="L375" s="9"/>
      <c r="M375" s="9">
        <f t="shared" si="54"/>
        <v>14.6</v>
      </c>
      <c r="N375" s="9">
        <f t="shared" si="55"/>
        <v>6</v>
      </c>
      <c r="O375" s="9">
        <v>7.3</v>
      </c>
      <c r="P375" s="9">
        <v>3</v>
      </c>
      <c r="Q375" s="9" t="s">
        <v>6</v>
      </c>
      <c r="R375" s="1">
        <v>0</v>
      </c>
      <c r="S375" s="26"/>
    </row>
    <row r="376" spans="1:19" ht="16.5" customHeight="1" x14ac:dyDescent="0.25">
      <c r="A376" s="9"/>
      <c r="B376" s="51" t="s">
        <v>88</v>
      </c>
      <c r="C376" s="52"/>
      <c r="D376" s="52"/>
      <c r="E376" s="52"/>
      <c r="F376" s="52"/>
      <c r="G376" s="53"/>
      <c r="H376" s="20"/>
      <c r="I376" s="9">
        <v>4</v>
      </c>
      <c r="J376" s="9"/>
      <c r="K376" s="9"/>
      <c r="L376" s="9"/>
      <c r="M376" s="9">
        <f t="shared" si="54"/>
        <v>31.6</v>
      </c>
      <c r="N376" s="9">
        <f t="shared" si="55"/>
        <v>12</v>
      </c>
      <c r="O376" s="9">
        <v>7.9</v>
      </c>
      <c r="P376" s="9">
        <v>3</v>
      </c>
      <c r="Q376" s="9" t="s">
        <v>6</v>
      </c>
      <c r="R376" s="1">
        <v>0</v>
      </c>
      <c r="S376" s="26"/>
    </row>
    <row r="377" spans="1:19" ht="16.5" customHeight="1" x14ac:dyDescent="0.25">
      <c r="A377" s="9"/>
      <c r="B377" s="51" t="s">
        <v>89</v>
      </c>
      <c r="C377" s="52"/>
      <c r="D377" s="52"/>
      <c r="E377" s="52"/>
      <c r="F377" s="52"/>
      <c r="G377" s="53"/>
      <c r="H377" s="20"/>
      <c r="I377" s="9">
        <v>3</v>
      </c>
      <c r="J377" s="9"/>
      <c r="K377" s="9"/>
      <c r="L377" s="9"/>
      <c r="M377" s="9">
        <f t="shared" si="54"/>
        <v>27.900000000000002</v>
      </c>
      <c r="N377" s="9">
        <f t="shared" si="55"/>
        <v>12</v>
      </c>
      <c r="O377" s="9">
        <v>9.3000000000000007</v>
      </c>
      <c r="P377" s="9">
        <v>4</v>
      </c>
      <c r="Q377" s="9" t="s">
        <v>12</v>
      </c>
      <c r="R377" s="1">
        <v>0</v>
      </c>
      <c r="S377" s="26"/>
    </row>
    <row r="378" spans="1:19" ht="16.5" customHeight="1" x14ac:dyDescent="0.25">
      <c r="A378" s="9"/>
      <c r="B378" s="51" t="s">
        <v>87</v>
      </c>
      <c r="C378" s="52"/>
      <c r="D378" s="52"/>
      <c r="E378" s="52"/>
      <c r="F378" s="52"/>
      <c r="G378" s="53"/>
      <c r="H378" s="20"/>
      <c r="I378" s="9">
        <v>3</v>
      </c>
      <c r="J378" s="9"/>
      <c r="K378" s="9"/>
      <c r="L378" s="9"/>
      <c r="M378" s="9">
        <f t="shared" si="54"/>
        <v>22.5</v>
      </c>
      <c r="N378" s="9">
        <f t="shared" si="55"/>
        <v>9</v>
      </c>
      <c r="O378" s="9">
        <v>7.5</v>
      </c>
      <c r="P378" s="9">
        <v>3</v>
      </c>
      <c r="Q378" s="9" t="s">
        <v>6</v>
      </c>
      <c r="R378" s="1">
        <v>0</v>
      </c>
      <c r="S378" s="26"/>
    </row>
    <row r="379" spans="1:19" ht="16.5" hidden="1" customHeight="1" x14ac:dyDescent="0.25">
      <c r="A379" s="21"/>
      <c r="H379" s="21"/>
      <c r="I379" s="21"/>
      <c r="J379" s="21"/>
      <c r="K379" s="21"/>
      <c r="L379" s="21"/>
      <c r="M379" s="9">
        <f t="shared" si="54"/>
        <v>0</v>
      </c>
      <c r="N379" s="9">
        <f t="shared" si="55"/>
        <v>0</v>
      </c>
      <c r="O379" s="21"/>
      <c r="P379" s="21"/>
      <c r="Q379" s="21"/>
      <c r="S379" s="25"/>
    </row>
    <row r="380" spans="1:19" ht="16.5" customHeight="1" x14ac:dyDescent="0.25">
      <c r="A380" s="9"/>
      <c r="B380" s="39" t="s">
        <v>42</v>
      </c>
      <c r="C380" s="40"/>
      <c r="D380" s="40"/>
      <c r="E380" s="40"/>
      <c r="F380" s="40"/>
      <c r="G380" s="41"/>
      <c r="H380" s="23"/>
      <c r="I380" s="24">
        <f>SUM(I366:I379)</f>
        <v>26</v>
      </c>
      <c r="J380" s="9"/>
      <c r="K380" s="9"/>
      <c r="L380" s="9"/>
      <c r="M380" s="9">
        <f t="shared" si="54"/>
        <v>194.48000000000002</v>
      </c>
      <c r="N380" s="9">
        <f t="shared" si="55"/>
        <v>76.959999999999994</v>
      </c>
      <c r="O380" s="24">
        <f>ROUND(SUM(M366:M379)/I380,2)</f>
        <v>7.48</v>
      </c>
      <c r="P380" s="24">
        <f>ROUND(SUM(N366:N379)/I380,2)</f>
        <v>2.96</v>
      </c>
      <c r="Q380" s="9"/>
      <c r="S380" s="25"/>
    </row>
    <row r="381" spans="1:19" ht="20.25" customHeight="1" x14ac:dyDescent="0.25">
      <c r="A381" s="27" t="s">
        <v>91</v>
      </c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</row>
    <row r="382" spans="1:19" ht="16.5" customHeight="1" x14ac:dyDescent="0.25">
      <c r="A382" s="9"/>
      <c r="B382" s="51" t="s">
        <v>92</v>
      </c>
      <c r="C382" s="52"/>
      <c r="D382" s="52"/>
      <c r="E382" s="52"/>
      <c r="F382" s="52"/>
      <c r="G382" s="53"/>
      <c r="H382" s="20"/>
      <c r="I382" s="9">
        <v>1</v>
      </c>
      <c r="J382" s="9"/>
      <c r="K382" s="9"/>
      <c r="L382" s="9"/>
      <c r="M382" s="9">
        <f t="shared" ref="M382:M393" si="56">I382*O382</f>
        <v>7.5</v>
      </c>
      <c r="N382" s="9">
        <f t="shared" ref="N382:N393" si="57">I382*P382</f>
        <v>3</v>
      </c>
      <c r="O382" s="9">
        <v>7.5</v>
      </c>
      <c r="P382" s="9">
        <v>3</v>
      </c>
      <c r="Q382" s="9" t="s">
        <v>6</v>
      </c>
      <c r="R382" s="1">
        <v>0</v>
      </c>
      <c r="S382" s="26"/>
    </row>
    <row r="383" spans="1:19" ht="16.5" customHeight="1" x14ac:dyDescent="0.25">
      <c r="A383" s="9"/>
      <c r="B383" s="51" t="s">
        <v>99</v>
      </c>
      <c r="C383" s="52"/>
      <c r="D383" s="52"/>
      <c r="E383" s="52"/>
      <c r="F383" s="52"/>
      <c r="G383" s="53"/>
      <c r="H383" s="20"/>
      <c r="I383" s="9">
        <v>2</v>
      </c>
      <c r="J383" s="9"/>
      <c r="K383" s="9"/>
      <c r="L383" s="9"/>
      <c r="M383" s="9">
        <f t="shared" si="56"/>
        <v>18.399999999999999</v>
      </c>
      <c r="N383" s="9">
        <f t="shared" si="57"/>
        <v>8</v>
      </c>
      <c r="O383" s="9">
        <v>9.1999999999999993</v>
      </c>
      <c r="P383" s="9">
        <v>4</v>
      </c>
      <c r="Q383" s="9" t="s">
        <v>12</v>
      </c>
      <c r="R383" s="1">
        <v>0</v>
      </c>
      <c r="S383" s="26"/>
    </row>
    <row r="384" spans="1:19" ht="16.5" customHeight="1" x14ac:dyDescent="0.25">
      <c r="A384" s="9"/>
      <c r="B384" s="51" t="s">
        <v>94</v>
      </c>
      <c r="C384" s="52"/>
      <c r="D384" s="52"/>
      <c r="E384" s="52"/>
      <c r="F384" s="52"/>
      <c r="G384" s="53"/>
      <c r="H384" s="20"/>
      <c r="I384" s="9">
        <v>3</v>
      </c>
      <c r="J384" s="9"/>
      <c r="K384" s="9"/>
      <c r="L384" s="9"/>
      <c r="M384" s="9">
        <f t="shared" si="56"/>
        <v>28.200000000000003</v>
      </c>
      <c r="N384" s="9">
        <f t="shared" si="57"/>
        <v>12</v>
      </c>
      <c r="O384" s="9">
        <v>9.4</v>
      </c>
      <c r="P384" s="9">
        <v>4</v>
      </c>
      <c r="Q384" s="9" t="s">
        <v>12</v>
      </c>
      <c r="R384" s="1">
        <v>0</v>
      </c>
      <c r="S384" s="26"/>
    </row>
    <row r="385" spans="1:19" ht="16.5" customHeight="1" x14ac:dyDescent="0.25">
      <c r="A385" s="9"/>
      <c r="B385" s="51" t="s">
        <v>95</v>
      </c>
      <c r="C385" s="52"/>
      <c r="D385" s="52"/>
      <c r="E385" s="52"/>
      <c r="F385" s="52"/>
      <c r="G385" s="53"/>
      <c r="H385" s="20"/>
      <c r="I385" s="9">
        <v>1</v>
      </c>
      <c r="J385" s="9"/>
      <c r="K385" s="9"/>
      <c r="L385" s="9"/>
      <c r="M385" s="9">
        <f t="shared" si="56"/>
        <v>8.1</v>
      </c>
      <c r="N385" s="9">
        <f t="shared" si="57"/>
        <v>3.5</v>
      </c>
      <c r="O385" s="9">
        <v>8.1</v>
      </c>
      <c r="P385" s="9">
        <v>3.5</v>
      </c>
      <c r="Q385" s="9" t="s">
        <v>9</v>
      </c>
      <c r="R385" s="1">
        <v>0</v>
      </c>
      <c r="S385" s="26"/>
    </row>
    <row r="386" spans="1:19" ht="16.5" customHeight="1" x14ac:dyDescent="0.25">
      <c r="A386" s="9"/>
      <c r="B386" s="51" t="s">
        <v>96</v>
      </c>
      <c r="C386" s="52"/>
      <c r="D386" s="52"/>
      <c r="E386" s="52"/>
      <c r="F386" s="52"/>
      <c r="G386" s="53"/>
      <c r="H386" s="20"/>
      <c r="I386" s="9">
        <v>1</v>
      </c>
      <c r="J386" s="9"/>
      <c r="K386" s="9"/>
      <c r="L386" s="9"/>
      <c r="M386" s="9">
        <f t="shared" si="56"/>
        <v>8</v>
      </c>
      <c r="N386" s="9">
        <f t="shared" si="57"/>
        <v>3.5</v>
      </c>
      <c r="O386" s="9">
        <v>8</v>
      </c>
      <c r="P386" s="9">
        <v>3.5</v>
      </c>
      <c r="Q386" s="9" t="s">
        <v>9</v>
      </c>
      <c r="R386" s="1">
        <v>0</v>
      </c>
      <c r="S386" s="26"/>
    </row>
    <row r="387" spans="1:19" ht="16.5" customHeight="1" x14ac:dyDescent="0.25">
      <c r="A387" s="9"/>
      <c r="B387" s="51" t="s">
        <v>101</v>
      </c>
      <c r="C387" s="52"/>
      <c r="D387" s="52"/>
      <c r="E387" s="52"/>
      <c r="F387" s="52"/>
      <c r="G387" s="53"/>
      <c r="H387" s="20"/>
      <c r="I387" s="9">
        <v>4</v>
      </c>
      <c r="J387" s="9"/>
      <c r="K387" s="9"/>
      <c r="L387" s="9"/>
      <c r="M387" s="9">
        <f t="shared" si="56"/>
        <v>26.8</v>
      </c>
      <c r="N387" s="9">
        <f t="shared" si="57"/>
        <v>10</v>
      </c>
      <c r="O387" s="9">
        <v>6.7</v>
      </c>
      <c r="P387" s="9">
        <v>2.5</v>
      </c>
      <c r="Q387" s="9" t="s">
        <v>5</v>
      </c>
      <c r="R387" s="1">
        <v>0</v>
      </c>
      <c r="S387" s="26"/>
    </row>
    <row r="388" spans="1:19" ht="16.5" customHeight="1" x14ac:dyDescent="0.25">
      <c r="A388" s="9"/>
      <c r="B388" s="51" t="s">
        <v>98</v>
      </c>
      <c r="C388" s="52"/>
      <c r="D388" s="52"/>
      <c r="E388" s="52"/>
      <c r="F388" s="52"/>
      <c r="G388" s="53"/>
      <c r="H388" s="20"/>
      <c r="I388" s="9">
        <v>2</v>
      </c>
      <c r="J388" s="9"/>
      <c r="K388" s="9"/>
      <c r="L388" s="9"/>
      <c r="M388" s="9">
        <f t="shared" si="56"/>
        <v>16</v>
      </c>
      <c r="N388" s="9">
        <f t="shared" si="57"/>
        <v>7</v>
      </c>
      <c r="O388" s="9">
        <v>8</v>
      </c>
      <c r="P388" s="9">
        <v>3.5</v>
      </c>
      <c r="Q388" s="9" t="s">
        <v>9</v>
      </c>
      <c r="R388" s="1">
        <v>0</v>
      </c>
      <c r="S388" s="26"/>
    </row>
    <row r="389" spans="1:19" ht="16.5" customHeight="1" x14ac:dyDescent="0.25">
      <c r="A389" s="9"/>
      <c r="B389" s="51" t="s">
        <v>93</v>
      </c>
      <c r="C389" s="52"/>
      <c r="D389" s="52"/>
      <c r="E389" s="52"/>
      <c r="F389" s="52"/>
      <c r="G389" s="53"/>
      <c r="H389" s="20"/>
      <c r="I389" s="9">
        <v>3</v>
      </c>
      <c r="J389" s="9"/>
      <c r="K389" s="9"/>
      <c r="L389" s="9"/>
      <c r="M389" s="9">
        <f t="shared" si="56"/>
        <v>22.200000000000003</v>
      </c>
      <c r="N389" s="9">
        <f t="shared" si="57"/>
        <v>9</v>
      </c>
      <c r="O389" s="9">
        <v>7.4</v>
      </c>
      <c r="P389" s="9">
        <v>3</v>
      </c>
      <c r="Q389" s="9" t="s">
        <v>6</v>
      </c>
      <c r="R389" s="1">
        <v>0</v>
      </c>
      <c r="S389" s="26"/>
    </row>
    <row r="390" spans="1:19" ht="16.5" customHeight="1" x14ac:dyDescent="0.25">
      <c r="A390" s="9"/>
      <c r="B390" s="51" t="s">
        <v>100</v>
      </c>
      <c r="C390" s="52"/>
      <c r="D390" s="52"/>
      <c r="E390" s="52"/>
      <c r="F390" s="52"/>
      <c r="G390" s="53"/>
      <c r="H390" s="20"/>
      <c r="I390" s="9">
        <v>2</v>
      </c>
      <c r="J390" s="9"/>
      <c r="K390" s="9"/>
      <c r="L390" s="9"/>
      <c r="M390" s="9">
        <f t="shared" si="56"/>
        <v>14.6</v>
      </c>
      <c r="N390" s="9">
        <f t="shared" si="57"/>
        <v>6</v>
      </c>
      <c r="O390" s="9">
        <v>7.3</v>
      </c>
      <c r="P390" s="9">
        <v>3</v>
      </c>
      <c r="Q390" s="9" t="s">
        <v>6</v>
      </c>
      <c r="R390" s="1">
        <v>0</v>
      </c>
      <c r="S390" s="26"/>
    </row>
    <row r="391" spans="1:19" ht="16.5" customHeight="1" x14ac:dyDescent="0.25">
      <c r="A391" s="9"/>
      <c r="B391" s="51" t="s">
        <v>97</v>
      </c>
      <c r="C391" s="52"/>
      <c r="D391" s="52"/>
      <c r="E391" s="52"/>
      <c r="F391" s="52"/>
      <c r="G391" s="53"/>
      <c r="H391" s="20"/>
      <c r="I391" s="9">
        <v>2</v>
      </c>
      <c r="J391" s="9"/>
      <c r="K391" s="9"/>
      <c r="L391" s="9"/>
      <c r="M391" s="9">
        <f t="shared" si="56"/>
        <v>14.2</v>
      </c>
      <c r="N391" s="9">
        <f t="shared" si="57"/>
        <v>6</v>
      </c>
      <c r="O391" s="9">
        <v>7.1</v>
      </c>
      <c r="P391" s="9">
        <v>3</v>
      </c>
      <c r="Q391" s="9" t="s">
        <v>6</v>
      </c>
      <c r="R391" s="1">
        <v>0</v>
      </c>
      <c r="S391" s="26"/>
    </row>
    <row r="392" spans="1:19" ht="16.5" hidden="1" customHeight="1" x14ac:dyDescent="0.25">
      <c r="A392" s="21"/>
      <c r="H392" s="21"/>
      <c r="I392" s="21"/>
      <c r="J392" s="21"/>
      <c r="K392" s="21"/>
      <c r="L392" s="21"/>
      <c r="M392" s="9">
        <f t="shared" si="56"/>
        <v>0</v>
      </c>
      <c r="N392" s="9">
        <f t="shared" si="57"/>
        <v>0</v>
      </c>
      <c r="O392" s="21"/>
      <c r="P392" s="21"/>
      <c r="Q392" s="21"/>
      <c r="S392" s="25"/>
    </row>
    <row r="393" spans="1:19" ht="16.5" customHeight="1" x14ac:dyDescent="0.25">
      <c r="A393" s="9"/>
      <c r="B393" s="39" t="s">
        <v>42</v>
      </c>
      <c r="C393" s="40"/>
      <c r="D393" s="40"/>
      <c r="E393" s="40"/>
      <c r="F393" s="40"/>
      <c r="G393" s="41"/>
      <c r="H393" s="23"/>
      <c r="I393" s="24">
        <f>SUM(I382:I392)</f>
        <v>21</v>
      </c>
      <c r="J393" s="9"/>
      <c r="K393" s="9"/>
      <c r="L393" s="9"/>
      <c r="M393" s="9">
        <f t="shared" si="56"/>
        <v>164.01</v>
      </c>
      <c r="N393" s="9">
        <f t="shared" si="57"/>
        <v>68.040000000000006</v>
      </c>
      <c r="O393" s="24">
        <f>ROUND(SUM(M382:M392)/I393,2)</f>
        <v>7.81</v>
      </c>
      <c r="P393" s="24">
        <f>ROUND(SUM(N382:N392)/I393,2)</f>
        <v>3.24</v>
      </c>
      <c r="Q393" s="9"/>
      <c r="S393" s="25"/>
    </row>
    <row r="394" spans="1:19" ht="20.25" customHeight="1" x14ac:dyDescent="0.25">
      <c r="A394" s="27" t="s">
        <v>102</v>
      </c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</row>
    <row r="395" spans="1:19" ht="16.5" customHeight="1" x14ac:dyDescent="0.25">
      <c r="A395" s="9"/>
      <c r="B395" s="51" t="s">
        <v>103</v>
      </c>
      <c r="C395" s="52"/>
      <c r="D395" s="52"/>
      <c r="E395" s="52"/>
      <c r="F395" s="52"/>
      <c r="G395" s="53"/>
      <c r="H395" s="20"/>
      <c r="I395" s="9">
        <v>1</v>
      </c>
      <c r="J395" s="9"/>
      <c r="K395" s="9"/>
      <c r="L395" s="9"/>
      <c r="M395" s="9">
        <f t="shared" ref="M395:M406" si="58">I395*O395</f>
        <v>7.5</v>
      </c>
      <c r="N395" s="9">
        <f t="shared" ref="N395:N406" si="59">I395*P395</f>
        <v>3</v>
      </c>
      <c r="O395" s="9">
        <v>7.5</v>
      </c>
      <c r="P395" s="9">
        <v>3</v>
      </c>
      <c r="Q395" s="9" t="s">
        <v>6</v>
      </c>
      <c r="R395" s="1">
        <v>0</v>
      </c>
      <c r="S395" s="26"/>
    </row>
    <row r="396" spans="1:19" ht="16.5" customHeight="1" x14ac:dyDescent="0.25">
      <c r="A396" s="9"/>
      <c r="B396" s="51" t="s">
        <v>104</v>
      </c>
      <c r="C396" s="52"/>
      <c r="D396" s="52"/>
      <c r="E396" s="52"/>
      <c r="F396" s="52"/>
      <c r="G396" s="53"/>
      <c r="H396" s="20"/>
      <c r="I396" s="9">
        <v>3</v>
      </c>
      <c r="J396" s="9"/>
      <c r="K396" s="9"/>
      <c r="L396" s="9"/>
      <c r="M396" s="9">
        <f t="shared" si="58"/>
        <v>22.5</v>
      </c>
      <c r="N396" s="9">
        <f t="shared" si="59"/>
        <v>9</v>
      </c>
      <c r="O396" s="9">
        <v>7.5</v>
      </c>
      <c r="P396" s="9">
        <v>3</v>
      </c>
      <c r="Q396" s="9" t="s">
        <v>6</v>
      </c>
      <c r="R396" s="1">
        <v>0</v>
      </c>
      <c r="S396" s="26"/>
    </row>
    <row r="397" spans="1:19" ht="16.5" customHeight="1" x14ac:dyDescent="0.25">
      <c r="A397" s="9"/>
      <c r="B397" s="51" t="s">
        <v>105</v>
      </c>
      <c r="C397" s="52"/>
      <c r="D397" s="52"/>
      <c r="E397" s="52"/>
      <c r="F397" s="52"/>
      <c r="G397" s="53"/>
      <c r="H397" s="20"/>
      <c r="I397" s="9">
        <v>3</v>
      </c>
      <c r="J397" s="9"/>
      <c r="K397" s="9"/>
      <c r="L397" s="9"/>
      <c r="M397" s="9">
        <f t="shared" si="58"/>
        <v>25.200000000000003</v>
      </c>
      <c r="N397" s="9">
        <f t="shared" si="59"/>
        <v>10.5</v>
      </c>
      <c r="O397" s="9">
        <v>8.4</v>
      </c>
      <c r="P397" s="9">
        <v>3.5</v>
      </c>
      <c r="Q397" s="9" t="s">
        <v>9</v>
      </c>
      <c r="R397" s="1">
        <v>0</v>
      </c>
      <c r="S397" s="26"/>
    </row>
    <row r="398" spans="1:19" ht="16.5" customHeight="1" x14ac:dyDescent="0.25">
      <c r="A398" s="9"/>
      <c r="B398" s="51" t="s">
        <v>106</v>
      </c>
      <c r="C398" s="52"/>
      <c r="D398" s="52"/>
      <c r="E398" s="52"/>
      <c r="F398" s="52"/>
      <c r="G398" s="53"/>
      <c r="H398" s="20"/>
      <c r="I398" s="9">
        <v>3</v>
      </c>
      <c r="J398" s="9"/>
      <c r="K398" s="9"/>
      <c r="L398" s="9"/>
      <c r="M398" s="9">
        <f t="shared" si="58"/>
        <v>25.200000000000003</v>
      </c>
      <c r="N398" s="9">
        <f t="shared" si="59"/>
        <v>10.5</v>
      </c>
      <c r="O398" s="9">
        <v>8.4</v>
      </c>
      <c r="P398" s="9">
        <v>3.5</v>
      </c>
      <c r="Q398" s="9" t="s">
        <v>9</v>
      </c>
      <c r="R398" s="1">
        <v>0</v>
      </c>
      <c r="S398" s="26"/>
    </row>
    <row r="399" spans="1:19" ht="16.5" customHeight="1" x14ac:dyDescent="0.25">
      <c r="A399" s="9"/>
      <c r="B399" s="51" t="s">
        <v>107</v>
      </c>
      <c r="C399" s="52"/>
      <c r="D399" s="52"/>
      <c r="E399" s="52"/>
      <c r="F399" s="52"/>
      <c r="G399" s="53"/>
      <c r="H399" s="20"/>
      <c r="I399" s="9">
        <v>2</v>
      </c>
      <c r="J399" s="9"/>
      <c r="K399" s="9"/>
      <c r="L399" s="9"/>
      <c r="M399" s="9">
        <f t="shared" si="58"/>
        <v>15.6</v>
      </c>
      <c r="N399" s="9">
        <f t="shared" si="59"/>
        <v>6</v>
      </c>
      <c r="O399" s="9">
        <v>7.8</v>
      </c>
      <c r="P399" s="9">
        <v>3</v>
      </c>
      <c r="Q399" s="9" t="s">
        <v>6</v>
      </c>
      <c r="R399" s="1">
        <v>0</v>
      </c>
      <c r="S399" s="26"/>
    </row>
    <row r="400" spans="1:19" ht="16.5" customHeight="1" x14ac:dyDescent="0.25">
      <c r="A400" s="9"/>
      <c r="B400" s="51" t="s">
        <v>108</v>
      </c>
      <c r="C400" s="52"/>
      <c r="D400" s="52"/>
      <c r="E400" s="52"/>
      <c r="F400" s="52"/>
      <c r="G400" s="53"/>
      <c r="H400" s="20"/>
      <c r="I400" s="9">
        <v>2</v>
      </c>
      <c r="J400" s="9"/>
      <c r="K400" s="9"/>
      <c r="L400" s="9"/>
      <c r="M400" s="9">
        <f t="shared" si="58"/>
        <v>15</v>
      </c>
      <c r="N400" s="9">
        <f t="shared" si="59"/>
        <v>6</v>
      </c>
      <c r="O400" s="9">
        <v>7.5</v>
      </c>
      <c r="P400" s="9">
        <v>3</v>
      </c>
      <c r="Q400" s="9" t="s">
        <v>6</v>
      </c>
      <c r="R400" s="1">
        <v>0</v>
      </c>
      <c r="S400" s="26"/>
    </row>
    <row r="401" spans="1:19" ht="16.5" customHeight="1" x14ac:dyDescent="0.25">
      <c r="A401" s="9"/>
      <c r="B401" s="51" t="s">
        <v>109</v>
      </c>
      <c r="C401" s="52"/>
      <c r="D401" s="52"/>
      <c r="E401" s="52"/>
      <c r="F401" s="52"/>
      <c r="G401" s="53"/>
      <c r="H401" s="20"/>
      <c r="I401" s="9">
        <v>2</v>
      </c>
      <c r="J401" s="9"/>
      <c r="K401" s="9"/>
      <c r="L401" s="9"/>
      <c r="M401" s="9">
        <f t="shared" si="58"/>
        <v>13.6</v>
      </c>
      <c r="N401" s="9">
        <f t="shared" si="59"/>
        <v>5</v>
      </c>
      <c r="O401" s="9">
        <v>6.8</v>
      </c>
      <c r="P401" s="9">
        <v>2.5</v>
      </c>
      <c r="Q401" s="9" t="s">
        <v>5</v>
      </c>
      <c r="R401" s="1">
        <v>0</v>
      </c>
      <c r="S401" s="26"/>
    </row>
    <row r="402" spans="1:19" ht="16.5" customHeight="1" x14ac:dyDescent="0.25">
      <c r="A402" s="9"/>
      <c r="B402" s="51" t="s">
        <v>110</v>
      </c>
      <c r="C402" s="52"/>
      <c r="D402" s="52"/>
      <c r="E402" s="52"/>
      <c r="F402" s="52"/>
      <c r="G402" s="53"/>
      <c r="H402" s="20"/>
      <c r="I402" s="9">
        <v>4</v>
      </c>
      <c r="J402" s="9"/>
      <c r="K402" s="9"/>
      <c r="L402" s="9"/>
      <c r="M402" s="9">
        <f t="shared" si="58"/>
        <v>30</v>
      </c>
      <c r="N402" s="9">
        <f t="shared" si="59"/>
        <v>12</v>
      </c>
      <c r="O402" s="9">
        <v>7.5</v>
      </c>
      <c r="P402" s="9">
        <v>3</v>
      </c>
      <c r="Q402" s="9" t="s">
        <v>6</v>
      </c>
      <c r="R402" s="1">
        <v>0</v>
      </c>
      <c r="S402" s="26"/>
    </row>
    <row r="403" spans="1:19" ht="16.5" customHeight="1" x14ac:dyDescent="0.25">
      <c r="A403" s="9"/>
      <c r="B403" s="51" t="s">
        <v>111</v>
      </c>
      <c r="C403" s="52"/>
      <c r="D403" s="52"/>
      <c r="E403" s="52"/>
      <c r="F403" s="52"/>
      <c r="G403" s="53"/>
      <c r="H403" s="20"/>
      <c r="I403" s="9">
        <v>2</v>
      </c>
      <c r="J403" s="9"/>
      <c r="K403" s="9"/>
      <c r="L403" s="9"/>
      <c r="M403" s="9">
        <f t="shared" si="58"/>
        <v>14.8</v>
      </c>
      <c r="N403" s="9">
        <f t="shared" si="59"/>
        <v>6</v>
      </c>
      <c r="O403" s="9">
        <v>7.4</v>
      </c>
      <c r="P403" s="9">
        <v>3</v>
      </c>
      <c r="Q403" s="9" t="s">
        <v>6</v>
      </c>
      <c r="R403" s="1">
        <v>0</v>
      </c>
      <c r="S403" s="26"/>
    </row>
    <row r="404" spans="1:19" ht="16.5" customHeight="1" x14ac:dyDescent="0.25">
      <c r="A404" s="9"/>
      <c r="B404" s="51" t="s">
        <v>112</v>
      </c>
      <c r="C404" s="52"/>
      <c r="D404" s="52"/>
      <c r="E404" s="52"/>
      <c r="F404" s="52"/>
      <c r="G404" s="53"/>
      <c r="H404" s="20"/>
      <c r="I404" s="9">
        <v>3</v>
      </c>
      <c r="J404" s="9"/>
      <c r="K404" s="9"/>
      <c r="L404" s="9"/>
      <c r="M404" s="9">
        <f t="shared" si="58"/>
        <v>25.799999999999997</v>
      </c>
      <c r="N404" s="9">
        <f t="shared" si="59"/>
        <v>11.100000000000001</v>
      </c>
      <c r="O404" s="9">
        <v>8.6</v>
      </c>
      <c r="P404" s="9">
        <v>3.7</v>
      </c>
      <c r="Q404" s="9" t="s">
        <v>10</v>
      </c>
      <c r="R404" s="1">
        <v>0</v>
      </c>
      <c r="S404" s="26"/>
    </row>
    <row r="405" spans="1:19" ht="16.5" hidden="1" customHeight="1" x14ac:dyDescent="0.25">
      <c r="A405" s="21"/>
      <c r="H405" s="21"/>
      <c r="I405" s="21"/>
      <c r="J405" s="21"/>
      <c r="K405" s="21"/>
      <c r="L405" s="21"/>
      <c r="M405" s="9">
        <f t="shared" si="58"/>
        <v>0</v>
      </c>
      <c r="N405" s="9">
        <f t="shared" si="59"/>
        <v>0</v>
      </c>
      <c r="O405" s="21"/>
      <c r="P405" s="21"/>
      <c r="Q405" s="21"/>
      <c r="S405" s="25"/>
    </row>
    <row r="406" spans="1:19" ht="16.5" customHeight="1" x14ac:dyDescent="0.25">
      <c r="A406" s="9"/>
      <c r="B406" s="39" t="s">
        <v>42</v>
      </c>
      <c r="C406" s="40"/>
      <c r="D406" s="40"/>
      <c r="E406" s="40"/>
      <c r="F406" s="40"/>
      <c r="G406" s="41"/>
      <c r="H406" s="23"/>
      <c r="I406" s="24">
        <f>SUM(I395:I405)</f>
        <v>25</v>
      </c>
      <c r="J406" s="9"/>
      <c r="K406" s="9"/>
      <c r="L406" s="9"/>
      <c r="M406" s="9">
        <f t="shared" si="58"/>
        <v>195.25</v>
      </c>
      <c r="N406" s="9">
        <f t="shared" si="59"/>
        <v>79</v>
      </c>
      <c r="O406" s="24">
        <f>ROUND(SUM(M395:M405)/I406,2)</f>
        <v>7.81</v>
      </c>
      <c r="P406" s="24">
        <f>ROUND(SUM(N395:N405)/I406,2)</f>
        <v>3.16</v>
      </c>
      <c r="Q406" s="9"/>
      <c r="S406" s="25"/>
    </row>
    <row r="407" spans="1:19" ht="20.25" customHeight="1" x14ac:dyDescent="0.25">
      <c r="A407" s="27" t="s">
        <v>113</v>
      </c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</row>
    <row r="408" spans="1:19" ht="16.5" customHeight="1" x14ac:dyDescent="0.25">
      <c r="A408" s="9"/>
      <c r="B408" s="51" t="s">
        <v>114</v>
      </c>
      <c r="C408" s="52"/>
      <c r="D408" s="52"/>
      <c r="E408" s="52"/>
      <c r="F408" s="52"/>
      <c r="G408" s="53"/>
      <c r="H408" s="20"/>
      <c r="I408" s="9">
        <v>3</v>
      </c>
      <c r="J408" s="9"/>
      <c r="K408" s="9"/>
      <c r="L408" s="9"/>
      <c r="M408" s="9">
        <f t="shared" ref="M408:M416" si="60">I408*O408</f>
        <v>0</v>
      </c>
      <c r="N408" s="9">
        <f t="shared" ref="N408:N416" si="61">I408*P408</f>
        <v>0</v>
      </c>
      <c r="O408" s="9"/>
      <c r="P408" s="9"/>
      <c r="Q408" s="9"/>
      <c r="R408" s="1">
        <v>0</v>
      </c>
      <c r="S408" s="26"/>
    </row>
    <row r="409" spans="1:19" ht="16.5" customHeight="1" x14ac:dyDescent="0.25">
      <c r="A409" s="9"/>
      <c r="B409" s="51" t="s">
        <v>115</v>
      </c>
      <c r="C409" s="52"/>
      <c r="D409" s="52"/>
      <c r="E409" s="52"/>
      <c r="F409" s="52"/>
      <c r="G409" s="53"/>
      <c r="H409" s="20"/>
      <c r="I409" s="9">
        <v>3</v>
      </c>
      <c r="J409" s="9"/>
      <c r="K409" s="9"/>
      <c r="L409" s="9"/>
      <c r="M409" s="9">
        <f t="shared" si="60"/>
        <v>0</v>
      </c>
      <c r="N409" s="9">
        <f t="shared" si="61"/>
        <v>0</v>
      </c>
      <c r="O409" s="9"/>
      <c r="P409" s="9"/>
      <c r="Q409" s="9"/>
      <c r="R409" s="1">
        <v>0</v>
      </c>
      <c r="S409" s="26"/>
    </row>
    <row r="410" spans="1:19" ht="16.5" customHeight="1" x14ac:dyDescent="0.25">
      <c r="A410" s="9"/>
      <c r="B410" s="51" t="s">
        <v>116</v>
      </c>
      <c r="C410" s="52"/>
      <c r="D410" s="52"/>
      <c r="E410" s="52"/>
      <c r="F410" s="52"/>
      <c r="G410" s="53"/>
      <c r="H410" s="20"/>
      <c r="I410" s="9">
        <v>3</v>
      </c>
      <c r="J410" s="9"/>
      <c r="K410" s="9"/>
      <c r="L410" s="9"/>
      <c r="M410" s="9">
        <f t="shared" si="60"/>
        <v>0</v>
      </c>
      <c r="N410" s="9">
        <f t="shared" si="61"/>
        <v>0</v>
      </c>
      <c r="O410" s="9"/>
      <c r="P410" s="9"/>
      <c r="Q410" s="9"/>
      <c r="R410" s="1">
        <v>0</v>
      </c>
      <c r="S410" s="26"/>
    </row>
    <row r="411" spans="1:19" ht="16.5" customHeight="1" x14ac:dyDescent="0.25">
      <c r="A411" s="9"/>
      <c r="B411" s="51" t="s">
        <v>117</v>
      </c>
      <c r="C411" s="52"/>
      <c r="D411" s="52"/>
      <c r="E411" s="52"/>
      <c r="F411" s="52"/>
      <c r="G411" s="53"/>
      <c r="H411" s="20"/>
      <c r="I411" s="9">
        <v>1</v>
      </c>
      <c r="J411" s="9"/>
      <c r="K411" s="9"/>
      <c r="L411" s="9"/>
      <c r="M411" s="9">
        <f t="shared" si="60"/>
        <v>7.4</v>
      </c>
      <c r="N411" s="9">
        <f t="shared" si="61"/>
        <v>3</v>
      </c>
      <c r="O411" s="9">
        <v>7.4</v>
      </c>
      <c r="P411" s="9">
        <v>3</v>
      </c>
      <c r="Q411" s="9" t="s">
        <v>6</v>
      </c>
      <c r="R411" s="1">
        <v>0</v>
      </c>
      <c r="S411" s="26"/>
    </row>
    <row r="412" spans="1:19" ht="16.5" customHeight="1" x14ac:dyDescent="0.25">
      <c r="A412" s="9"/>
      <c r="B412" s="51" t="s">
        <v>118</v>
      </c>
      <c r="C412" s="52"/>
      <c r="D412" s="52"/>
      <c r="E412" s="52"/>
      <c r="F412" s="52"/>
      <c r="G412" s="53"/>
      <c r="H412" s="20"/>
      <c r="I412" s="9">
        <v>3</v>
      </c>
      <c r="J412" s="9"/>
      <c r="K412" s="9"/>
      <c r="L412" s="9"/>
      <c r="M412" s="9">
        <f t="shared" si="60"/>
        <v>0</v>
      </c>
      <c r="N412" s="9">
        <f t="shared" si="61"/>
        <v>0</v>
      </c>
      <c r="O412" s="9"/>
      <c r="P412" s="9"/>
      <c r="Q412" s="9"/>
      <c r="R412" s="1">
        <v>0</v>
      </c>
      <c r="S412" s="26"/>
    </row>
    <row r="413" spans="1:19" ht="16.5" customHeight="1" x14ac:dyDescent="0.25">
      <c r="A413" s="9"/>
      <c r="B413" s="51" t="s">
        <v>119</v>
      </c>
      <c r="C413" s="52"/>
      <c r="D413" s="52"/>
      <c r="E413" s="52"/>
      <c r="F413" s="52"/>
      <c r="G413" s="53"/>
      <c r="H413" s="20"/>
      <c r="I413" s="9">
        <v>3</v>
      </c>
      <c r="J413" s="9"/>
      <c r="K413" s="9"/>
      <c r="L413" s="9"/>
      <c r="M413" s="9">
        <f t="shared" si="60"/>
        <v>0</v>
      </c>
      <c r="N413" s="9">
        <f t="shared" si="61"/>
        <v>0</v>
      </c>
      <c r="O413" s="9"/>
      <c r="P413" s="9"/>
      <c r="Q413" s="9"/>
      <c r="R413" s="1">
        <v>0</v>
      </c>
      <c r="S413" s="26"/>
    </row>
    <row r="414" spans="1:19" ht="16.5" customHeight="1" x14ac:dyDescent="0.25">
      <c r="A414" s="9"/>
      <c r="B414" s="51" t="s">
        <v>120</v>
      </c>
      <c r="C414" s="52"/>
      <c r="D414" s="52"/>
      <c r="E414" s="52"/>
      <c r="F414" s="52"/>
      <c r="G414" s="53"/>
      <c r="H414" s="20"/>
      <c r="I414" s="9">
        <v>2</v>
      </c>
      <c r="J414" s="9"/>
      <c r="K414" s="9"/>
      <c r="L414" s="9"/>
      <c r="M414" s="9">
        <f t="shared" si="60"/>
        <v>12</v>
      </c>
      <c r="N414" s="9">
        <f t="shared" si="61"/>
        <v>4</v>
      </c>
      <c r="O414" s="9">
        <v>6</v>
      </c>
      <c r="P414" s="9">
        <v>2</v>
      </c>
      <c r="Q414" s="9" t="s">
        <v>3</v>
      </c>
      <c r="R414" s="1">
        <v>0</v>
      </c>
      <c r="S414" s="26"/>
    </row>
    <row r="415" spans="1:19" ht="16.5" hidden="1" customHeight="1" x14ac:dyDescent="0.25">
      <c r="A415" s="21"/>
      <c r="H415" s="21"/>
      <c r="I415" s="21"/>
      <c r="J415" s="21"/>
      <c r="K415" s="21"/>
      <c r="L415" s="21"/>
      <c r="M415" s="9">
        <f t="shared" si="60"/>
        <v>0</v>
      </c>
      <c r="N415" s="9">
        <f t="shared" si="61"/>
        <v>0</v>
      </c>
      <c r="O415" s="21"/>
      <c r="P415" s="21"/>
      <c r="Q415" s="21"/>
      <c r="S415" s="25"/>
    </row>
    <row r="416" spans="1:19" ht="16.5" customHeight="1" x14ac:dyDescent="0.25">
      <c r="A416" s="9"/>
      <c r="B416" s="39" t="s">
        <v>42</v>
      </c>
      <c r="C416" s="40"/>
      <c r="D416" s="40"/>
      <c r="E416" s="40"/>
      <c r="F416" s="40"/>
      <c r="G416" s="41"/>
      <c r="H416" s="23"/>
      <c r="I416" s="24">
        <f>SUM(I408:I415)</f>
        <v>18</v>
      </c>
      <c r="J416" s="9"/>
      <c r="K416" s="9"/>
      <c r="L416" s="9"/>
      <c r="M416" s="9">
        <f t="shared" si="60"/>
        <v>19.440000000000001</v>
      </c>
      <c r="N416" s="9">
        <f t="shared" si="61"/>
        <v>7.0200000000000005</v>
      </c>
      <c r="O416" s="24">
        <f>ROUND(SUM(M408:M415)/I416,2)</f>
        <v>1.08</v>
      </c>
      <c r="P416" s="24">
        <f>ROUND(SUM(N408:N415)/I416,2)</f>
        <v>0.39</v>
      </c>
      <c r="Q416" s="9"/>
      <c r="S416" s="25"/>
    </row>
    <row r="417" spans="1:19" ht="16.5" customHeight="1" x14ac:dyDescent="0.25">
      <c r="A417" s="21"/>
      <c r="B417" s="22"/>
      <c r="C417" s="22"/>
      <c r="D417" s="22"/>
      <c r="E417" s="22"/>
      <c r="F417" s="22"/>
      <c r="G417" s="22"/>
      <c r="H417" s="21"/>
      <c r="I417" s="21"/>
      <c r="J417" s="21"/>
      <c r="K417" s="21"/>
      <c r="L417" s="21"/>
      <c r="M417" s="21"/>
      <c r="N417" s="21"/>
      <c r="O417" s="21"/>
      <c r="P417" s="21"/>
      <c r="Q417" s="21"/>
    </row>
    <row r="419" spans="1:19" ht="18" x14ac:dyDescent="0.25">
      <c r="A419" s="35" t="s">
        <v>138</v>
      </c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</row>
    <row r="420" spans="1:19" ht="18" x14ac:dyDescent="0.25">
      <c r="A420" s="35" t="s">
        <v>139</v>
      </c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</row>
    <row r="421" spans="1:19" ht="18" x14ac:dyDescent="0.25">
      <c r="A421" s="35" t="s">
        <v>140</v>
      </c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</row>
    <row r="422" spans="1:19" ht="18" x14ac:dyDescent="0.25">
      <c r="A422" s="45" t="s">
        <v>53</v>
      </c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</row>
    <row r="423" spans="1:19" ht="19.5" customHeight="1" x14ac:dyDescent="0.25">
      <c r="A423" s="17"/>
      <c r="B423" s="17"/>
      <c r="C423" s="8"/>
      <c r="D423" s="18"/>
      <c r="E423" s="10"/>
      <c r="F423" s="11"/>
      <c r="G423" s="46" t="s">
        <v>49</v>
      </c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</row>
    <row r="424" spans="1:19" ht="31.5" customHeight="1" x14ac:dyDescent="0.3">
      <c r="A424" s="8"/>
      <c r="B424" s="8"/>
      <c r="C424" s="8"/>
      <c r="D424" s="8"/>
      <c r="E424" s="8"/>
      <c r="F424" s="8"/>
      <c r="G424" s="8"/>
      <c r="H424" s="12"/>
      <c r="I424" s="42" t="s">
        <v>40</v>
      </c>
      <c r="J424" s="43"/>
      <c r="K424" s="43"/>
      <c r="L424" s="43"/>
      <c r="M424" s="43"/>
      <c r="N424" s="43"/>
      <c r="O424" s="43"/>
      <c r="P424" s="43"/>
      <c r="Q424" s="43"/>
      <c r="R424" s="43"/>
      <c r="S424" s="43"/>
    </row>
    <row r="425" spans="1:19" ht="16.8" x14ac:dyDescent="0.3">
      <c r="A425" s="8"/>
      <c r="B425" s="8"/>
      <c r="C425" s="8"/>
      <c r="D425" s="8"/>
      <c r="E425" s="8"/>
      <c r="F425" s="8"/>
      <c r="G425" s="8"/>
      <c r="H425" s="12"/>
      <c r="I425" s="12"/>
      <c r="J425" s="12"/>
      <c r="K425" s="12"/>
      <c r="L425" s="8"/>
      <c r="M425" s="8"/>
      <c r="N425" s="8"/>
      <c r="O425" s="8"/>
      <c r="P425" s="8"/>
      <c r="Q425" s="8"/>
    </row>
    <row r="426" spans="1:19" ht="33" customHeight="1" x14ac:dyDescent="0.3">
      <c r="A426" s="8"/>
      <c r="B426" s="8"/>
      <c r="C426" s="8"/>
      <c r="D426" s="8"/>
      <c r="E426" s="8"/>
      <c r="F426" s="8"/>
      <c r="G426" s="8"/>
      <c r="H426" s="12"/>
      <c r="I426" s="12"/>
      <c r="J426" s="12"/>
      <c r="K426" s="12"/>
      <c r="L426" s="8"/>
      <c r="M426" s="8"/>
      <c r="N426" s="8"/>
      <c r="O426" s="8"/>
      <c r="P426" s="8"/>
      <c r="Q426" s="8"/>
    </row>
    <row r="427" spans="1:19" ht="11.25" customHeight="1" x14ac:dyDescent="0.3">
      <c r="A427" s="8"/>
      <c r="B427" s="8"/>
      <c r="C427" s="8"/>
      <c r="D427" s="8"/>
      <c r="E427" s="8"/>
      <c r="F427" s="8"/>
      <c r="G427" s="8"/>
      <c r="H427" s="12"/>
      <c r="I427" s="12"/>
      <c r="J427" s="12"/>
      <c r="K427" s="12"/>
      <c r="L427" s="8"/>
      <c r="M427" s="8"/>
      <c r="N427" s="8"/>
      <c r="O427" s="8"/>
      <c r="P427" s="8"/>
      <c r="Q427" s="8"/>
    </row>
    <row r="428" spans="1:19" ht="17.399999999999999" x14ac:dyDescent="0.3">
      <c r="A428" s="8"/>
      <c r="B428" s="8"/>
      <c r="C428" s="8"/>
      <c r="D428" s="8"/>
      <c r="E428" s="8"/>
      <c r="F428" s="8"/>
      <c r="G428" s="47" t="s">
        <v>41</v>
      </c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</row>
    <row r="429" spans="1:19" ht="54" customHeight="1" x14ac:dyDescent="0.25">
      <c r="A429" s="48" t="s">
        <v>33</v>
      </c>
      <c r="B429" s="48"/>
      <c r="C429" s="48"/>
      <c r="D429" s="48"/>
      <c r="E429" s="48"/>
      <c r="F429" s="42" t="s">
        <v>24</v>
      </c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</row>
    <row r="430" spans="1:19" ht="17.399999999999999" x14ac:dyDescent="0.25">
      <c r="A430" s="49" t="s">
        <v>34</v>
      </c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</row>
    <row r="431" spans="1:19" ht="4.5" customHeight="1" x14ac:dyDescent="0.25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</row>
    <row r="432" spans="1:19" ht="5.25" customHeight="1" x14ac:dyDescent="0.25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</row>
    <row r="433" spans="1:20" ht="16.5" customHeight="1" x14ac:dyDescent="0.25">
      <c r="A433" s="54" t="s">
        <v>142</v>
      </c>
      <c r="B433" s="54"/>
      <c r="C433" s="54"/>
      <c r="D433" s="54"/>
      <c r="E433" s="54"/>
      <c r="F433" s="54"/>
      <c r="G433" s="58" t="s">
        <v>143</v>
      </c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</row>
    <row r="434" spans="1:20" ht="16.5" customHeight="1" x14ac:dyDescent="0.25">
      <c r="A434" s="54" t="s">
        <v>144</v>
      </c>
      <c r="B434" s="54"/>
      <c r="C434" s="54"/>
      <c r="D434" s="54"/>
      <c r="E434" s="54"/>
      <c r="F434" s="54"/>
      <c r="G434" s="8" t="s">
        <v>46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T434" s="2"/>
    </row>
    <row r="435" spans="1:20" ht="16.5" customHeight="1" x14ac:dyDescent="0.25">
      <c r="A435" s="54" t="s">
        <v>47</v>
      </c>
      <c r="B435" s="54"/>
      <c r="C435" s="54"/>
      <c r="D435" s="54"/>
      <c r="E435" s="54"/>
      <c r="F435" s="54"/>
      <c r="G435" s="58" t="s">
        <v>48</v>
      </c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</row>
    <row r="436" spans="1:20" ht="5.2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19"/>
      <c r="K436" s="19"/>
      <c r="L436" s="19"/>
      <c r="M436" s="19"/>
      <c r="N436" s="19"/>
      <c r="O436" s="19"/>
      <c r="P436" s="19"/>
      <c r="Q436" s="19"/>
    </row>
    <row r="437" spans="1:20" ht="15" customHeight="1" x14ac:dyDescent="0.25">
      <c r="A437" s="36" t="s">
        <v>0</v>
      </c>
      <c r="B437" s="29" t="s">
        <v>1</v>
      </c>
      <c r="C437" s="30"/>
      <c r="D437" s="30"/>
      <c r="E437" s="30"/>
      <c r="F437" s="30"/>
      <c r="G437" s="31"/>
      <c r="H437" s="36" t="s">
        <v>32</v>
      </c>
      <c r="I437" s="36" t="s">
        <v>39</v>
      </c>
      <c r="J437" s="55" t="s">
        <v>2</v>
      </c>
      <c r="K437" s="56"/>
      <c r="L437" s="56"/>
      <c r="M437" s="56"/>
      <c r="N437" s="56"/>
      <c r="O437" s="56"/>
      <c r="P437" s="56"/>
      <c r="Q437" s="57"/>
      <c r="S437" s="36" t="s">
        <v>38</v>
      </c>
    </row>
    <row r="438" spans="1:20" ht="24" customHeight="1" x14ac:dyDescent="0.25">
      <c r="A438" s="37"/>
      <c r="B438" s="32"/>
      <c r="C438" s="33"/>
      <c r="D438" s="33"/>
      <c r="E438" s="33"/>
      <c r="F438" s="33"/>
      <c r="G438" s="34"/>
      <c r="H438" s="37"/>
      <c r="I438" s="37"/>
      <c r="J438" s="7" t="s">
        <v>28</v>
      </c>
      <c r="K438" s="7" t="s">
        <v>29</v>
      </c>
      <c r="L438" s="7" t="s">
        <v>30</v>
      </c>
      <c r="M438" s="7"/>
      <c r="N438" s="7"/>
      <c r="O438" s="6" t="s">
        <v>35</v>
      </c>
      <c r="P438" s="6" t="s">
        <v>36</v>
      </c>
      <c r="Q438" s="6" t="s">
        <v>37</v>
      </c>
      <c r="S438" s="37"/>
    </row>
    <row r="439" spans="1:20" ht="20.25" customHeight="1" x14ac:dyDescent="0.25">
      <c r="A439" s="27" t="s">
        <v>54</v>
      </c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</row>
    <row r="440" spans="1:20" ht="16.5" customHeight="1" x14ac:dyDescent="0.25">
      <c r="A440" s="9"/>
      <c r="B440" s="51" t="s">
        <v>55</v>
      </c>
      <c r="C440" s="52"/>
      <c r="D440" s="52"/>
      <c r="E440" s="52"/>
      <c r="F440" s="52"/>
      <c r="G440" s="53"/>
      <c r="H440" s="20"/>
      <c r="I440" s="9">
        <v>1</v>
      </c>
      <c r="J440" s="9"/>
      <c r="K440" s="9"/>
      <c r="L440" s="9"/>
      <c r="M440" s="9">
        <f t="shared" ref="M440:M448" si="62">I440*O440</f>
        <v>7.8</v>
      </c>
      <c r="N440" s="9">
        <f t="shared" ref="N440:N448" si="63">I440*P440</f>
        <v>3</v>
      </c>
      <c r="O440" s="9">
        <v>7.8</v>
      </c>
      <c r="P440" s="9">
        <v>3</v>
      </c>
      <c r="Q440" s="9" t="s">
        <v>6</v>
      </c>
      <c r="R440" s="1">
        <v>0</v>
      </c>
      <c r="S440" s="26"/>
    </row>
    <row r="441" spans="1:20" ht="16.5" customHeight="1" x14ac:dyDescent="0.25">
      <c r="A441" s="9"/>
      <c r="B441" s="51" t="s">
        <v>56</v>
      </c>
      <c r="C441" s="52"/>
      <c r="D441" s="52"/>
      <c r="E441" s="52"/>
      <c r="F441" s="52"/>
      <c r="G441" s="53"/>
      <c r="H441" s="20"/>
      <c r="I441" s="9">
        <v>3</v>
      </c>
      <c r="J441" s="9"/>
      <c r="K441" s="9"/>
      <c r="L441" s="9"/>
      <c r="M441" s="9">
        <f t="shared" si="62"/>
        <v>7.5</v>
      </c>
      <c r="N441" s="9">
        <f t="shared" si="63"/>
        <v>0</v>
      </c>
      <c r="O441" s="9">
        <v>2.5</v>
      </c>
      <c r="P441" s="9">
        <v>0</v>
      </c>
      <c r="Q441" s="9" t="s">
        <v>7</v>
      </c>
      <c r="R441" s="1">
        <v>0</v>
      </c>
      <c r="S441" s="26"/>
    </row>
    <row r="442" spans="1:20" ht="31.2" customHeight="1" x14ac:dyDescent="0.25">
      <c r="A442" s="9"/>
      <c r="B442" s="51" t="s">
        <v>57</v>
      </c>
      <c r="C442" s="52"/>
      <c r="D442" s="52"/>
      <c r="E442" s="52"/>
      <c r="F442" s="52"/>
      <c r="G442" s="53"/>
      <c r="H442" s="20"/>
      <c r="I442" s="9">
        <v>3</v>
      </c>
      <c r="J442" s="9"/>
      <c r="K442" s="9"/>
      <c r="L442" s="9"/>
      <c r="M442" s="9">
        <f t="shared" si="62"/>
        <v>21.9</v>
      </c>
      <c r="N442" s="9">
        <f t="shared" si="63"/>
        <v>9</v>
      </c>
      <c r="O442" s="9">
        <v>7.3</v>
      </c>
      <c r="P442" s="9">
        <v>3</v>
      </c>
      <c r="Q442" s="9" t="s">
        <v>6</v>
      </c>
      <c r="R442" s="1">
        <v>0</v>
      </c>
      <c r="S442" s="26"/>
    </row>
    <row r="443" spans="1:20" ht="16.5" customHeight="1" x14ac:dyDescent="0.25">
      <c r="A443" s="9"/>
      <c r="B443" s="51" t="s">
        <v>58</v>
      </c>
      <c r="C443" s="52"/>
      <c r="D443" s="52"/>
      <c r="E443" s="52"/>
      <c r="F443" s="52"/>
      <c r="G443" s="53"/>
      <c r="H443" s="20"/>
      <c r="I443" s="9">
        <v>1</v>
      </c>
      <c r="J443" s="9"/>
      <c r="K443" s="9"/>
      <c r="L443" s="9"/>
      <c r="M443" s="9">
        <f t="shared" si="62"/>
        <v>6.8</v>
      </c>
      <c r="N443" s="9">
        <f t="shared" si="63"/>
        <v>2.5</v>
      </c>
      <c r="O443" s="9">
        <v>6.8</v>
      </c>
      <c r="P443" s="9">
        <v>2.5</v>
      </c>
      <c r="Q443" s="9" t="s">
        <v>5</v>
      </c>
      <c r="R443" s="1">
        <v>0</v>
      </c>
      <c r="S443" s="26"/>
    </row>
    <row r="444" spans="1:20" ht="16.5" customHeight="1" x14ac:dyDescent="0.25">
      <c r="A444" s="9"/>
      <c r="B444" s="51" t="s">
        <v>59</v>
      </c>
      <c r="C444" s="52"/>
      <c r="D444" s="52"/>
      <c r="E444" s="52"/>
      <c r="F444" s="52"/>
      <c r="G444" s="53"/>
      <c r="H444" s="20"/>
      <c r="I444" s="9">
        <v>1</v>
      </c>
      <c r="J444" s="9"/>
      <c r="K444" s="9"/>
      <c r="L444" s="9"/>
      <c r="M444" s="9">
        <f t="shared" si="62"/>
        <v>6.5</v>
      </c>
      <c r="N444" s="9">
        <f t="shared" si="63"/>
        <v>2.5</v>
      </c>
      <c r="O444" s="9">
        <v>6.5</v>
      </c>
      <c r="P444" s="9">
        <v>2.5</v>
      </c>
      <c r="Q444" s="9" t="s">
        <v>5</v>
      </c>
      <c r="R444" s="1">
        <v>0</v>
      </c>
      <c r="S444" s="26"/>
    </row>
    <row r="445" spans="1:20" ht="16.5" customHeight="1" x14ac:dyDescent="0.25">
      <c r="A445" s="9"/>
      <c r="B445" s="51" t="s">
        <v>60</v>
      </c>
      <c r="C445" s="52"/>
      <c r="D445" s="52"/>
      <c r="E445" s="52"/>
      <c r="F445" s="52"/>
      <c r="G445" s="53"/>
      <c r="H445" s="20"/>
      <c r="I445" s="9">
        <v>3</v>
      </c>
      <c r="J445" s="9"/>
      <c r="K445" s="9"/>
      <c r="L445" s="9"/>
      <c r="M445" s="9">
        <f t="shared" si="62"/>
        <v>23.700000000000003</v>
      </c>
      <c r="N445" s="9">
        <f t="shared" si="63"/>
        <v>9</v>
      </c>
      <c r="O445" s="9">
        <v>7.9</v>
      </c>
      <c r="P445" s="9">
        <v>3</v>
      </c>
      <c r="Q445" s="9" t="s">
        <v>6</v>
      </c>
      <c r="R445" s="1">
        <v>0</v>
      </c>
      <c r="S445" s="26"/>
    </row>
    <row r="446" spans="1:20" ht="16.5" customHeight="1" x14ac:dyDescent="0.25">
      <c r="A446" s="9"/>
      <c r="B446" s="51" t="s">
        <v>61</v>
      </c>
      <c r="C446" s="52"/>
      <c r="D446" s="52"/>
      <c r="E446" s="52"/>
      <c r="F446" s="52"/>
      <c r="G446" s="53"/>
      <c r="H446" s="20"/>
      <c r="I446" s="9">
        <v>2</v>
      </c>
      <c r="J446" s="9"/>
      <c r="K446" s="9"/>
      <c r="L446" s="9"/>
      <c r="M446" s="9">
        <f t="shared" si="62"/>
        <v>13.4</v>
      </c>
      <c r="N446" s="9">
        <f t="shared" si="63"/>
        <v>5</v>
      </c>
      <c r="O446" s="9">
        <v>6.7</v>
      </c>
      <c r="P446" s="9">
        <v>2.5</v>
      </c>
      <c r="Q446" s="9" t="s">
        <v>5</v>
      </c>
      <c r="R446" s="1">
        <v>0</v>
      </c>
      <c r="S446" s="26"/>
    </row>
    <row r="447" spans="1:20" ht="16.5" hidden="1" customHeight="1" x14ac:dyDescent="0.25">
      <c r="A447" s="21"/>
      <c r="H447" s="21"/>
      <c r="I447" s="21"/>
      <c r="J447" s="21"/>
      <c r="K447" s="21"/>
      <c r="L447" s="21"/>
      <c r="M447" s="9">
        <f t="shared" si="62"/>
        <v>0</v>
      </c>
      <c r="N447" s="9">
        <f t="shared" si="63"/>
        <v>0</v>
      </c>
      <c r="O447" s="21"/>
      <c r="P447" s="21"/>
      <c r="Q447" s="21"/>
      <c r="S447" s="25"/>
    </row>
    <row r="448" spans="1:20" ht="16.5" customHeight="1" x14ac:dyDescent="0.25">
      <c r="A448" s="9"/>
      <c r="B448" s="39" t="s">
        <v>42</v>
      </c>
      <c r="C448" s="40"/>
      <c r="D448" s="40"/>
      <c r="E448" s="40"/>
      <c r="F448" s="40"/>
      <c r="G448" s="41"/>
      <c r="H448" s="23"/>
      <c r="I448" s="24">
        <f>SUM(I440:I447)</f>
        <v>14</v>
      </c>
      <c r="J448" s="9"/>
      <c r="K448" s="9"/>
      <c r="L448" s="9"/>
      <c r="M448" s="9">
        <f t="shared" si="62"/>
        <v>87.64</v>
      </c>
      <c r="N448" s="9">
        <f t="shared" si="63"/>
        <v>30.939999999999998</v>
      </c>
      <c r="O448" s="24">
        <f>ROUND(SUM(M440:M447)/I448,2)</f>
        <v>6.26</v>
      </c>
      <c r="P448" s="24">
        <f>ROUND(SUM(N440:N447)/I448,2)</f>
        <v>2.21</v>
      </c>
      <c r="Q448" s="9"/>
      <c r="S448" s="25"/>
    </row>
    <row r="449" spans="1:19" ht="20.25" customHeight="1" x14ac:dyDescent="0.25">
      <c r="A449" s="27" t="s">
        <v>62</v>
      </c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</row>
    <row r="450" spans="1:19" ht="16.5" customHeight="1" x14ac:dyDescent="0.25">
      <c r="A450" s="9"/>
      <c r="B450" s="51" t="s">
        <v>63</v>
      </c>
      <c r="C450" s="52"/>
      <c r="D450" s="52"/>
      <c r="E450" s="52"/>
      <c r="F450" s="52"/>
      <c r="G450" s="53"/>
      <c r="H450" s="20"/>
      <c r="I450" s="9">
        <v>4</v>
      </c>
      <c r="J450" s="9"/>
      <c r="K450" s="9"/>
      <c r="L450" s="9"/>
      <c r="M450" s="9">
        <f t="shared" ref="M450:M458" si="64">I450*O450</f>
        <v>27.6</v>
      </c>
      <c r="N450" s="9">
        <f t="shared" ref="N450:N458" si="65">I450*P450</f>
        <v>10</v>
      </c>
      <c r="O450" s="9">
        <v>6.9</v>
      </c>
      <c r="P450" s="9">
        <v>2.5</v>
      </c>
      <c r="Q450" s="9" t="s">
        <v>5</v>
      </c>
      <c r="R450" s="1">
        <v>0</v>
      </c>
      <c r="S450" s="26"/>
    </row>
    <row r="451" spans="1:19" ht="16.5" customHeight="1" x14ac:dyDescent="0.25">
      <c r="A451" s="9"/>
      <c r="B451" s="51" t="s">
        <v>64</v>
      </c>
      <c r="C451" s="52"/>
      <c r="D451" s="52"/>
      <c r="E451" s="52"/>
      <c r="F451" s="52"/>
      <c r="G451" s="53"/>
      <c r="H451" s="20"/>
      <c r="I451" s="9">
        <v>4</v>
      </c>
      <c r="J451" s="9"/>
      <c r="K451" s="9"/>
      <c r="L451" s="9"/>
      <c r="M451" s="9">
        <f t="shared" si="64"/>
        <v>22.8</v>
      </c>
      <c r="N451" s="9">
        <f t="shared" si="65"/>
        <v>8</v>
      </c>
      <c r="O451" s="9">
        <v>5.7</v>
      </c>
      <c r="P451" s="9">
        <v>2</v>
      </c>
      <c r="Q451" s="9" t="s">
        <v>3</v>
      </c>
      <c r="R451" s="1">
        <v>0</v>
      </c>
      <c r="S451" s="26"/>
    </row>
    <row r="452" spans="1:19" ht="16.5" customHeight="1" x14ac:dyDescent="0.25">
      <c r="A452" s="9"/>
      <c r="B452" s="51" t="s">
        <v>65</v>
      </c>
      <c r="C452" s="52"/>
      <c r="D452" s="52"/>
      <c r="E452" s="52"/>
      <c r="F452" s="52"/>
      <c r="G452" s="53"/>
      <c r="H452" s="20"/>
      <c r="I452" s="9">
        <v>4</v>
      </c>
      <c r="J452" s="9"/>
      <c r="K452" s="9"/>
      <c r="L452" s="9"/>
      <c r="M452" s="9">
        <f t="shared" si="64"/>
        <v>25.6</v>
      </c>
      <c r="N452" s="9">
        <f t="shared" si="65"/>
        <v>8</v>
      </c>
      <c r="O452" s="9">
        <v>6.4</v>
      </c>
      <c r="P452" s="9">
        <v>2</v>
      </c>
      <c r="Q452" s="9" t="s">
        <v>3</v>
      </c>
      <c r="R452" s="1">
        <v>0</v>
      </c>
      <c r="S452" s="26"/>
    </row>
    <row r="453" spans="1:19" ht="16.5" customHeight="1" x14ac:dyDescent="0.25">
      <c r="A453" s="9"/>
      <c r="B453" s="51" t="s">
        <v>66</v>
      </c>
      <c r="C453" s="52"/>
      <c r="D453" s="52"/>
      <c r="E453" s="52"/>
      <c r="F453" s="52"/>
      <c r="G453" s="53"/>
      <c r="H453" s="20"/>
      <c r="I453" s="9">
        <v>1</v>
      </c>
      <c r="J453" s="9"/>
      <c r="K453" s="9"/>
      <c r="L453" s="9"/>
      <c r="M453" s="9">
        <f t="shared" si="64"/>
        <v>7.4</v>
      </c>
      <c r="N453" s="9">
        <f t="shared" si="65"/>
        <v>3</v>
      </c>
      <c r="O453" s="9">
        <v>7.4</v>
      </c>
      <c r="P453" s="9">
        <v>3</v>
      </c>
      <c r="Q453" s="9" t="s">
        <v>6</v>
      </c>
      <c r="R453" s="1">
        <v>0</v>
      </c>
      <c r="S453" s="26"/>
    </row>
    <row r="454" spans="1:19" ht="16.5" customHeight="1" x14ac:dyDescent="0.25">
      <c r="A454" s="9"/>
      <c r="B454" s="51" t="s">
        <v>67</v>
      </c>
      <c r="C454" s="52"/>
      <c r="D454" s="52"/>
      <c r="E454" s="52"/>
      <c r="F454" s="52"/>
      <c r="G454" s="53"/>
      <c r="H454" s="20"/>
      <c r="I454" s="9">
        <v>1</v>
      </c>
      <c r="J454" s="9"/>
      <c r="K454" s="9"/>
      <c r="L454" s="9"/>
      <c r="M454" s="9">
        <f t="shared" si="64"/>
        <v>6.5</v>
      </c>
      <c r="N454" s="9">
        <f t="shared" si="65"/>
        <v>2.5</v>
      </c>
      <c r="O454" s="9">
        <v>6.5</v>
      </c>
      <c r="P454" s="9">
        <v>2.5</v>
      </c>
      <c r="Q454" s="9" t="s">
        <v>5</v>
      </c>
      <c r="R454" s="1">
        <v>0</v>
      </c>
      <c r="S454" s="26"/>
    </row>
    <row r="455" spans="1:19" ht="16.5" customHeight="1" x14ac:dyDescent="0.25">
      <c r="A455" s="9"/>
      <c r="B455" s="51" t="s">
        <v>68</v>
      </c>
      <c r="C455" s="52"/>
      <c r="D455" s="52"/>
      <c r="E455" s="52"/>
      <c r="F455" s="52"/>
      <c r="G455" s="53"/>
      <c r="H455" s="20"/>
      <c r="I455" s="9">
        <v>1</v>
      </c>
      <c r="J455" s="9"/>
      <c r="K455" s="9"/>
      <c r="L455" s="9"/>
      <c r="M455" s="9">
        <f t="shared" si="64"/>
        <v>8</v>
      </c>
      <c r="N455" s="9">
        <f t="shared" si="65"/>
        <v>3.5</v>
      </c>
      <c r="O455" s="9">
        <v>8</v>
      </c>
      <c r="P455" s="9">
        <v>3.5</v>
      </c>
      <c r="Q455" s="9" t="s">
        <v>9</v>
      </c>
      <c r="R455" s="1">
        <v>0</v>
      </c>
      <c r="S455" s="26"/>
    </row>
    <row r="456" spans="1:19" ht="16.5" customHeight="1" x14ac:dyDescent="0.25">
      <c r="A456" s="9"/>
      <c r="B456" s="51" t="s">
        <v>69</v>
      </c>
      <c r="C456" s="52"/>
      <c r="D456" s="52"/>
      <c r="E456" s="52"/>
      <c r="F456" s="52"/>
      <c r="G456" s="53"/>
      <c r="H456" s="20"/>
      <c r="I456" s="9">
        <v>1</v>
      </c>
      <c r="J456" s="9"/>
      <c r="K456" s="9"/>
      <c r="L456" s="9"/>
      <c r="M456" s="9">
        <f t="shared" si="64"/>
        <v>6.2</v>
      </c>
      <c r="N456" s="9">
        <f t="shared" si="65"/>
        <v>2</v>
      </c>
      <c r="O456" s="9">
        <v>6.2</v>
      </c>
      <c r="P456" s="9">
        <v>2</v>
      </c>
      <c r="Q456" s="9" t="s">
        <v>3</v>
      </c>
      <c r="R456" s="1">
        <v>0</v>
      </c>
      <c r="S456" s="26"/>
    </row>
    <row r="457" spans="1:19" ht="16.5" hidden="1" customHeight="1" x14ac:dyDescent="0.25">
      <c r="A457" s="21"/>
      <c r="H457" s="21"/>
      <c r="I457" s="21"/>
      <c r="J457" s="21"/>
      <c r="K457" s="21"/>
      <c r="L457" s="21"/>
      <c r="M457" s="9">
        <f t="shared" si="64"/>
        <v>0</v>
      </c>
      <c r="N457" s="9">
        <f t="shared" si="65"/>
        <v>0</v>
      </c>
      <c r="O457" s="21"/>
      <c r="P457" s="21"/>
      <c r="Q457" s="21"/>
      <c r="S457" s="25"/>
    </row>
    <row r="458" spans="1:19" ht="16.5" customHeight="1" x14ac:dyDescent="0.25">
      <c r="A458" s="9"/>
      <c r="B458" s="39" t="s">
        <v>42</v>
      </c>
      <c r="C458" s="40"/>
      <c r="D458" s="40"/>
      <c r="E458" s="40"/>
      <c r="F458" s="40"/>
      <c r="G458" s="41"/>
      <c r="H458" s="23"/>
      <c r="I458" s="24">
        <f>SUM(I450:I457)</f>
        <v>16</v>
      </c>
      <c r="J458" s="9"/>
      <c r="K458" s="9"/>
      <c r="L458" s="9"/>
      <c r="M458" s="9">
        <f t="shared" si="64"/>
        <v>104.16</v>
      </c>
      <c r="N458" s="9">
        <f t="shared" si="65"/>
        <v>36.96</v>
      </c>
      <c r="O458" s="24">
        <f>ROUND(SUM(M450:M457)/I458,2)</f>
        <v>6.51</v>
      </c>
      <c r="P458" s="24">
        <f>ROUND(SUM(N450:N457)/I458,2)</f>
        <v>2.31</v>
      </c>
      <c r="Q458" s="9"/>
      <c r="S458" s="25"/>
    </row>
    <row r="459" spans="1:19" ht="20.25" customHeight="1" x14ac:dyDescent="0.25">
      <c r="A459" s="27" t="s">
        <v>149</v>
      </c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</row>
    <row r="460" spans="1:19" ht="16.5" customHeight="1" x14ac:dyDescent="0.25">
      <c r="A460" s="9"/>
      <c r="B460" s="51" t="s">
        <v>56</v>
      </c>
      <c r="C460" s="52"/>
      <c r="D460" s="52"/>
      <c r="E460" s="52"/>
      <c r="F460" s="52"/>
      <c r="G460" s="53"/>
      <c r="H460" s="20"/>
      <c r="I460" s="9">
        <v>3</v>
      </c>
      <c r="J460" s="9"/>
      <c r="K460" s="9"/>
      <c r="L460" s="9"/>
      <c r="M460" s="9">
        <f>I460*O460</f>
        <v>7.5</v>
      </c>
      <c r="N460" s="9">
        <f>I460*P460</f>
        <v>0</v>
      </c>
      <c r="O460" s="9">
        <v>2.5</v>
      </c>
      <c r="P460" s="9">
        <v>0</v>
      </c>
      <c r="Q460" s="9" t="s">
        <v>7</v>
      </c>
      <c r="R460" s="1">
        <v>6</v>
      </c>
      <c r="S460" s="26" t="s">
        <v>134</v>
      </c>
    </row>
    <row r="461" spans="1:19" ht="16.5" hidden="1" customHeight="1" x14ac:dyDescent="0.25">
      <c r="A461" s="21"/>
      <c r="H461" s="21"/>
      <c r="I461" s="21"/>
      <c r="J461" s="21"/>
      <c r="K461" s="21"/>
      <c r="L461" s="21"/>
      <c r="M461" s="9">
        <f>I461*O461</f>
        <v>0</v>
      </c>
      <c r="N461" s="9">
        <f>I461*P461</f>
        <v>0</v>
      </c>
      <c r="O461" s="21"/>
      <c r="P461" s="21"/>
      <c r="Q461" s="21"/>
      <c r="S461" s="25"/>
    </row>
    <row r="462" spans="1:19" ht="16.5" customHeight="1" x14ac:dyDescent="0.25">
      <c r="A462" s="9"/>
      <c r="B462" s="39" t="s">
        <v>42</v>
      </c>
      <c r="C462" s="40"/>
      <c r="D462" s="40"/>
      <c r="E462" s="40"/>
      <c r="F462" s="40"/>
      <c r="G462" s="41"/>
      <c r="H462" s="23"/>
      <c r="I462" s="24">
        <f>SUM(I460:I461)</f>
        <v>3</v>
      </c>
      <c r="J462" s="9"/>
      <c r="K462" s="9"/>
      <c r="L462" s="9"/>
      <c r="M462" s="9">
        <f>I462*O462</f>
        <v>7.5</v>
      </c>
      <c r="N462" s="9">
        <f>I462*P462</f>
        <v>0</v>
      </c>
      <c r="O462" s="24">
        <f>ROUND(SUM(M460:M461)/I462,2)</f>
        <v>2.5</v>
      </c>
      <c r="P462" s="24">
        <f>ROUND(SUM(N460:N461)/I462,2)</f>
        <v>0</v>
      </c>
      <c r="Q462" s="9"/>
      <c r="S462" s="25"/>
    </row>
    <row r="463" spans="1:19" ht="20.25" customHeight="1" x14ac:dyDescent="0.25">
      <c r="A463" s="27" t="s">
        <v>141</v>
      </c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</row>
    <row r="464" spans="1:19" ht="16.5" customHeight="1" x14ac:dyDescent="0.25">
      <c r="A464" s="9"/>
      <c r="B464" s="51" t="s">
        <v>56</v>
      </c>
      <c r="C464" s="52"/>
      <c r="D464" s="52"/>
      <c r="E464" s="52"/>
      <c r="F464" s="52"/>
      <c r="G464" s="53"/>
      <c r="H464" s="20"/>
      <c r="I464" s="9">
        <v>3</v>
      </c>
      <c r="J464" s="9"/>
      <c r="K464" s="9"/>
      <c r="L464" s="9"/>
      <c r="M464" s="9">
        <f>I464*O464</f>
        <v>14.100000000000001</v>
      </c>
      <c r="N464" s="9">
        <f>I464*P464</f>
        <v>3</v>
      </c>
      <c r="O464" s="9">
        <v>4.7</v>
      </c>
      <c r="P464" s="9">
        <v>1</v>
      </c>
      <c r="Q464" s="9" t="s">
        <v>8</v>
      </c>
      <c r="R464" s="1">
        <v>4</v>
      </c>
      <c r="S464" s="26" t="s">
        <v>150</v>
      </c>
    </row>
    <row r="465" spans="1:19" ht="16.5" hidden="1" customHeight="1" x14ac:dyDescent="0.25">
      <c r="A465" s="21"/>
      <c r="H465" s="21"/>
      <c r="I465" s="21"/>
      <c r="J465" s="21"/>
      <c r="K465" s="21"/>
      <c r="L465" s="21"/>
      <c r="M465" s="9">
        <f>I465*O465</f>
        <v>0</v>
      </c>
      <c r="N465" s="9">
        <f>I465*P465</f>
        <v>0</v>
      </c>
      <c r="O465" s="21"/>
      <c r="P465" s="21"/>
      <c r="Q465" s="21"/>
      <c r="S465" s="25"/>
    </row>
    <row r="466" spans="1:19" ht="16.5" customHeight="1" x14ac:dyDescent="0.25">
      <c r="A466" s="9"/>
      <c r="B466" s="39" t="s">
        <v>42</v>
      </c>
      <c r="C466" s="40"/>
      <c r="D466" s="40"/>
      <c r="E466" s="40"/>
      <c r="F466" s="40"/>
      <c r="G466" s="41"/>
      <c r="H466" s="23"/>
      <c r="I466" s="24">
        <f>SUM(I464:I465)</f>
        <v>3</v>
      </c>
      <c r="J466" s="9"/>
      <c r="K466" s="9"/>
      <c r="L466" s="9"/>
      <c r="M466" s="9">
        <f>I466*O466</f>
        <v>14.100000000000001</v>
      </c>
      <c r="N466" s="9">
        <f>I466*P466</f>
        <v>3</v>
      </c>
      <c r="O466" s="24">
        <f>ROUND(SUM(M464:M465)/I466,2)</f>
        <v>4.7</v>
      </c>
      <c r="P466" s="24">
        <f>ROUND(SUM(N464:N465)/I466,2)</f>
        <v>1</v>
      </c>
      <c r="Q466" s="9"/>
      <c r="S466" s="25"/>
    </row>
    <row r="467" spans="1:19" ht="20.25" customHeight="1" x14ac:dyDescent="0.25">
      <c r="A467" s="27" t="s">
        <v>70</v>
      </c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</row>
    <row r="468" spans="1:19" ht="16.5" customHeight="1" x14ac:dyDescent="0.25">
      <c r="A468" s="9"/>
      <c r="B468" s="51" t="s">
        <v>71</v>
      </c>
      <c r="C468" s="52"/>
      <c r="D468" s="52"/>
      <c r="E468" s="52"/>
      <c r="F468" s="52"/>
      <c r="G468" s="53"/>
      <c r="H468" s="20"/>
      <c r="I468" s="9">
        <v>4</v>
      </c>
      <c r="J468" s="9"/>
      <c r="K468" s="9"/>
      <c r="L468" s="9"/>
      <c r="M468" s="9">
        <f t="shared" ref="M468:M476" si="66">I468*O468</f>
        <v>24</v>
      </c>
      <c r="N468" s="9">
        <f t="shared" ref="N468:N476" si="67">I468*P468</f>
        <v>8</v>
      </c>
      <c r="O468" s="9">
        <v>6</v>
      </c>
      <c r="P468" s="9">
        <v>2</v>
      </c>
      <c r="Q468" s="9" t="s">
        <v>3</v>
      </c>
      <c r="R468" s="1">
        <v>0</v>
      </c>
      <c r="S468" s="26"/>
    </row>
    <row r="469" spans="1:19" ht="16.5" customHeight="1" x14ac:dyDescent="0.25">
      <c r="A469" s="9"/>
      <c r="B469" s="51" t="s">
        <v>74</v>
      </c>
      <c r="C469" s="52"/>
      <c r="D469" s="52"/>
      <c r="E469" s="52"/>
      <c r="F469" s="52"/>
      <c r="G469" s="53"/>
      <c r="H469" s="20"/>
      <c r="I469" s="9">
        <v>2</v>
      </c>
      <c r="J469" s="9"/>
      <c r="K469" s="9"/>
      <c r="L469" s="9"/>
      <c r="M469" s="9">
        <f t="shared" si="66"/>
        <v>15.8</v>
      </c>
      <c r="N469" s="9">
        <f t="shared" si="67"/>
        <v>6</v>
      </c>
      <c r="O469" s="9">
        <v>7.9</v>
      </c>
      <c r="P469" s="9">
        <v>3</v>
      </c>
      <c r="Q469" s="9" t="s">
        <v>6</v>
      </c>
      <c r="R469" s="1">
        <v>0</v>
      </c>
      <c r="S469" s="26"/>
    </row>
    <row r="470" spans="1:19" ht="16.5" customHeight="1" x14ac:dyDescent="0.25">
      <c r="A470" s="9"/>
      <c r="B470" s="51" t="s">
        <v>73</v>
      </c>
      <c r="C470" s="52"/>
      <c r="D470" s="52"/>
      <c r="E470" s="52"/>
      <c r="F470" s="52"/>
      <c r="G470" s="53"/>
      <c r="H470" s="20"/>
      <c r="I470" s="9">
        <v>1</v>
      </c>
      <c r="J470" s="9"/>
      <c r="K470" s="9"/>
      <c r="L470" s="9"/>
      <c r="M470" s="9">
        <f t="shared" si="66"/>
        <v>6.7</v>
      </c>
      <c r="N470" s="9">
        <f t="shared" si="67"/>
        <v>2.5</v>
      </c>
      <c r="O470" s="9">
        <v>6.7</v>
      </c>
      <c r="P470" s="9">
        <v>2.5</v>
      </c>
      <c r="Q470" s="9" t="s">
        <v>5</v>
      </c>
      <c r="R470" s="1">
        <v>0</v>
      </c>
      <c r="S470" s="26"/>
    </row>
    <row r="471" spans="1:19" ht="16.5" customHeight="1" x14ac:dyDescent="0.25">
      <c r="A471" s="9"/>
      <c r="B471" s="51" t="s">
        <v>72</v>
      </c>
      <c r="C471" s="52"/>
      <c r="D471" s="52"/>
      <c r="E471" s="52"/>
      <c r="F471" s="52"/>
      <c r="G471" s="53"/>
      <c r="H471" s="20"/>
      <c r="I471" s="9">
        <v>4</v>
      </c>
      <c r="J471" s="9"/>
      <c r="K471" s="9"/>
      <c r="L471" s="9"/>
      <c r="M471" s="9">
        <f t="shared" si="66"/>
        <v>30</v>
      </c>
      <c r="N471" s="9">
        <f t="shared" si="67"/>
        <v>12</v>
      </c>
      <c r="O471" s="9">
        <v>7.5</v>
      </c>
      <c r="P471" s="9">
        <v>3</v>
      </c>
      <c r="Q471" s="9" t="s">
        <v>6</v>
      </c>
      <c r="R471" s="1">
        <v>0</v>
      </c>
      <c r="S471" s="26"/>
    </row>
    <row r="472" spans="1:19" ht="16.5" customHeight="1" x14ac:dyDescent="0.25">
      <c r="A472" s="9"/>
      <c r="B472" s="51" t="s">
        <v>75</v>
      </c>
      <c r="C472" s="52"/>
      <c r="D472" s="52"/>
      <c r="E472" s="52"/>
      <c r="F472" s="52"/>
      <c r="G472" s="53"/>
      <c r="H472" s="20"/>
      <c r="I472" s="9">
        <v>1</v>
      </c>
      <c r="J472" s="9"/>
      <c r="K472" s="9"/>
      <c r="L472" s="9"/>
      <c r="M472" s="9">
        <f t="shared" si="66"/>
        <v>7.3</v>
      </c>
      <c r="N472" s="9">
        <f t="shared" si="67"/>
        <v>3</v>
      </c>
      <c r="O472" s="9">
        <v>7.3</v>
      </c>
      <c r="P472" s="9">
        <v>3</v>
      </c>
      <c r="Q472" s="9" t="s">
        <v>6</v>
      </c>
      <c r="R472" s="1">
        <v>0</v>
      </c>
      <c r="S472" s="26"/>
    </row>
    <row r="473" spans="1:19" ht="16.5" customHeight="1" x14ac:dyDescent="0.25">
      <c r="A473" s="9"/>
      <c r="B473" s="51" t="s">
        <v>77</v>
      </c>
      <c r="C473" s="52"/>
      <c r="D473" s="52"/>
      <c r="E473" s="52"/>
      <c r="F473" s="52"/>
      <c r="G473" s="53"/>
      <c r="H473" s="20"/>
      <c r="I473" s="9">
        <v>3</v>
      </c>
      <c r="J473" s="9"/>
      <c r="K473" s="9"/>
      <c r="L473" s="9"/>
      <c r="M473" s="9">
        <f t="shared" si="66"/>
        <v>17.399999999999999</v>
      </c>
      <c r="N473" s="9">
        <f t="shared" si="67"/>
        <v>6</v>
      </c>
      <c r="O473" s="9">
        <v>5.8</v>
      </c>
      <c r="P473" s="9">
        <v>2</v>
      </c>
      <c r="Q473" s="9" t="s">
        <v>3</v>
      </c>
      <c r="R473" s="1">
        <v>0</v>
      </c>
      <c r="S473" s="26"/>
    </row>
    <row r="474" spans="1:19" ht="16.5" customHeight="1" x14ac:dyDescent="0.25">
      <c r="A474" s="9"/>
      <c r="B474" s="51" t="s">
        <v>76</v>
      </c>
      <c r="C474" s="52"/>
      <c r="D474" s="52"/>
      <c r="E474" s="52"/>
      <c r="F474" s="52"/>
      <c r="G474" s="53"/>
      <c r="H474" s="20"/>
      <c r="I474" s="9">
        <v>4</v>
      </c>
      <c r="J474" s="9"/>
      <c r="K474" s="9"/>
      <c r="L474" s="9"/>
      <c r="M474" s="9">
        <f t="shared" si="66"/>
        <v>28.4</v>
      </c>
      <c r="N474" s="9">
        <f t="shared" si="67"/>
        <v>12</v>
      </c>
      <c r="O474" s="9">
        <v>7.1</v>
      </c>
      <c r="P474" s="9">
        <v>3</v>
      </c>
      <c r="Q474" s="9" t="s">
        <v>6</v>
      </c>
      <c r="R474" s="1">
        <v>0</v>
      </c>
      <c r="S474" s="26"/>
    </row>
    <row r="475" spans="1:19" ht="16.5" customHeight="1" x14ac:dyDescent="0.25">
      <c r="A475" s="9"/>
      <c r="B475" s="51" t="s">
        <v>78</v>
      </c>
      <c r="C475" s="52"/>
      <c r="D475" s="52"/>
      <c r="E475" s="52"/>
      <c r="F475" s="52"/>
      <c r="G475" s="53"/>
      <c r="H475" s="20"/>
      <c r="I475" s="9">
        <v>4</v>
      </c>
      <c r="J475" s="9"/>
      <c r="K475" s="9"/>
      <c r="L475" s="9"/>
      <c r="M475" s="9">
        <f t="shared" si="66"/>
        <v>20.8</v>
      </c>
      <c r="N475" s="9">
        <f t="shared" si="67"/>
        <v>6</v>
      </c>
      <c r="O475" s="9">
        <v>5.2</v>
      </c>
      <c r="P475" s="9">
        <v>1.5</v>
      </c>
      <c r="Q475" s="9" t="s">
        <v>4</v>
      </c>
      <c r="R475" s="1">
        <v>0</v>
      </c>
      <c r="S475" s="26"/>
    </row>
    <row r="476" spans="1:19" ht="16.5" hidden="1" customHeight="1" x14ac:dyDescent="0.25">
      <c r="A476" s="21"/>
      <c r="H476" s="21"/>
      <c r="I476" s="21"/>
      <c r="J476" s="21"/>
      <c r="K476" s="21"/>
      <c r="L476" s="21"/>
      <c r="M476" s="9">
        <f t="shared" si="66"/>
        <v>0</v>
      </c>
      <c r="N476" s="9">
        <f t="shared" si="67"/>
        <v>0</v>
      </c>
      <c r="O476" s="21"/>
      <c r="P476" s="21"/>
      <c r="Q476" s="21"/>
      <c r="S476" s="25"/>
    </row>
    <row r="477" spans="1:19" ht="15" customHeight="1" x14ac:dyDescent="0.25">
      <c r="A477" s="36" t="s">
        <v>0</v>
      </c>
      <c r="B477" s="29" t="s">
        <v>1</v>
      </c>
      <c r="C477" s="30"/>
      <c r="D477" s="30"/>
      <c r="E477" s="30"/>
      <c r="F477" s="30"/>
      <c r="G477" s="31"/>
      <c r="H477" s="36" t="s">
        <v>32</v>
      </c>
      <c r="I477" s="36" t="s">
        <v>39</v>
      </c>
      <c r="J477" s="55" t="s">
        <v>2</v>
      </c>
      <c r="K477" s="56"/>
      <c r="L477" s="56"/>
      <c r="M477" s="56"/>
      <c r="N477" s="56"/>
      <c r="O477" s="56"/>
      <c r="P477" s="56"/>
      <c r="Q477" s="57"/>
      <c r="S477" s="36" t="s">
        <v>38</v>
      </c>
    </row>
    <row r="478" spans="1:19" ht="24" customHeight="1" x14ac:dyDescent="0.25">
      <c r="A478" s="37"/>
      <c r="B478" s="32"/>
      <c r="C478" s="33"/>
      <c r="D478" s="33"/>
      <c r="E478" s="33"/>
      <c r="F478" s="33"/>
      <c r="G478" s="34"/>
      <c r="H478" s="37"/>
      <c r="I478" s="37"/>
      <c r="J478" s="7" t="s">
        <v>28</v>
      </c>
      <c r="K478" s="7" t="s">
        <v>29</v>
      </c>
      <c r="L478" s="7" t="s">
        <v>30</v>
      </c>
      <c r="M478" s="7"/>
      <c r="N478" s="7"/>
      <c r="O478" s="6" t="s">
        <v>35</v>
      </c>
      <c r="P478" s="6" t="s">
        <v>36</v>
      </c>
      <c r="Q478" s="6" t="s">
        <v>37</v>
      </c>
      <c r="S478" s="37"/>
    </row>
    <row r="479" spans="1:19" ht="16.5" customHeight="1" x14ac:dyDescent="0.25">
      <c r="A479" s="9"/>
      <c r="B479" s="39" t="s">
        <v>42</v>
      </c>
      <c r="C479" s="40"/>
      <c r="D479" s="40"/>
      <c r="E479" s="40"/>
      <c r="F479" s="40"/>
      <c r="G479" s="41"/>
      <c r="H479" s="23"/>
      <c r="I479" s="24">
        <f>SUM(I468:I476)</f>
        <v>23</v>
      </c>
      <c r="J479" s="9"/>
      <c r="K479" s="9"/>
      <c r="L479" s="9"/>
      <c r="M479" s="9">
        <f>I479*O479</f>
        <v>150.41999999999999</v>
      </c>
      <c r="N479" s="9">
        <f>I479*P479</f>
        <v>55.430000000000007</v>
      </c>
      <c r="O479" s="24">
        <f>ROUND(SUM(M468:M476)/I479,2)</f>
        <v>6.54</v>
      </c>
      <c r="P479" s="24">
        <f>ROUND(SUM(N468:N476)/I479,2)</f>
        <v>2.41</v>
      </c>
      <c r="Q479" s="9"/>
      <c r="S479" s="25"/>
    </row>
    <row r="480" spans="1:19" ht="20.25" customHeight="1" x14ac:dyDescent="0.25">
      <c r="A480" s="27" t="s">
        <v>79</v>
      </c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</row>
    <row r="481" spans="1:19" ht="16.5" customHeight="1" x14ac:dyDescent="0.25">
      <c r="A481" s="9"/>
      <c r="B481" s="51" t="s">
        <v>80</v>
      </c>
      <c r="C481" s="52"/>
      <c r="D481" s="52"/>
      <c r="E481" s="52"/>
      <c r="F481" s="52"/>
      <c r="G481" s="53"/>
      <c r="H481" s="20"/>
      <c r="I481" s="9">
        <v>3</v>
      </c>
      <c r="J481" s="9"/>
      <c r="K481" s="9"/>
      <c r="L481" s="9"/>
      <c r="M481" s="9">
        <f t="shared" ref="M481:M493" si="68">I481*O481</f>
        <v>14.700000000000001</v>
      </c>
      <c r="N481" s="9">
        <f t="shared" ref="N481:N493" si="69">I481*P481</f>
        <v>3</v>
      </c>
      <c r="O481" s="9">
        <v>4.9000000000000004</v>
      </c>
      <c r="P481" s="9">
        <v>1</v>
      </c>
      <c r="Q481" s="9" t="s">
        <v>8</v>
      </c>
      <c r="R481" s="1">
        <v>0</v>
      </c>
      <c r="S481" s="26"/>
    </row>
    <row r="482" spans="1:19" ht="16.5" customHeight="1" x14ac:dyDescent="0.25">
      <c r="A482" s="9"/>
      <c r="B482" s="51" t="s">
        <v>81</v>
      </c>
      <c r="C482" s="52"/>
      <c r="D482" s="52"/>
      <c r="E482" s="52"/>
      <c r="F482" s="52"/>
      <c r="G482" s="53"/>
      <c r="H482" s="20"/>
      <c r="I482" s="9">
        <v>1</v>
      </c>
      <c r="J482" s="9"/>
      <c r="K482" s="9"/>
      <c r="L482" s="9"/>
      <c r="M482" s="9">
        <f t="shared" si="68"/>
        <v>7.8</v>
      </c>
      <c r="N482" s="9">
        <f t="shared" si="69"/>
        <v>3</v>
      </c>
      <c r="O482" s="9">
        <v>7.8</v>
      </c>
      <c r="P482" s="9">
        <v>3</v>
      </c>
      <c r="Q482" s="9" t="s">
        <v>6</v>
      </c>
      <c r="R482" s="1">
        <v>0</v>
      </c>
      <c r="S482" s="26"/>
    </row>
    <row r="483" spans="1:19" ht="16.5" customHeight="1" x14ac:dyDescent="0.25">
      <c r="A483" s="9"/>
      <c r="B483" s="51" t="s">
        <v>82</v>
      </c>
      <c r="C483" s="52"/>
      <c r="D483" s="52"/>
      <c r="E483" s="52"/>
      <c r="F483" s="52"/>
      <c r="G483" s="53"/>
      <c r="H483" s="20"/>
      <c r="I483" s="9">
        <v>3</v>
      </c>
      <c r="J483" s="9"/>
      <c r="K483" s="9"/>
      <c r="L483" s="9"/>
      <c r="M483" s="9">
        <f t="shared" si="68"/>
        <v>21.299999999999997</v>
      </c>
      <c r="N483" s="9">
        <f t="shared" si="69"/>
        <v>9</v>
      </c>
      <c r="O483" s="9">
        <v>7.1</v>
      </c>
      <c r="P483" s="9">
        <v>3</v>
      </c>
      <c r="Q483" s="9" t="s">
        <v>6</v>
      </c>
      <c r="R483" s="1">
        <v>0</v>
      </c>
      <c r="S483" s="26"/>
    </row>
    <row r="484" spans="1:19" ht="16.5" customHeight="1" x14ac:dyDescent="0.25">
      <c r="A484" s="9"/>
      <c r="B484" s="51" t="s">
        <v>83</v>
      </c>
      <c r="C484" s="52"/>
      <c r="D484" s="52"/>
      <c r="E484" s="52"/>
      <c r="F484" s="52"/>
      <c r="G484" s="53"/>
      <c r="H484" s="20"/>
      <c r="I484" s="9">
        <v>2</v>
      </c>
      <c r="J484" s="9"/>
      <c r="K484" s="9"/>
      <c r="L484" s="9"/>
      <c r="M484" s="9">
        <f t="shared" si="68"/>
        <v>12.8</v>
      </c>
      <c r="N484" s="9">
        <f t="shared" si="69"/>
        <v>4</v>
      </c>
      <c r="O484" s="9">
        <v>6.4</v>
      </c>
      <c r="P484" s="9">
        <v>2</v>
      </c>
      <c r="Q484" s="9" t="s">
        <v>3</v>
      </c>
      <c r="R484" s="1">
        <v>0</v>
      </c>
      <c r="S484" s="26"/>
    </row>
    <row r="485" spans="1:19" ht="16.5" customHeight="1" x14ac:dyDescent="0.25">
      <c r="A485" s="9"/>
      <c r="B485" s="51" t="s">
        <v>84</v>
      </c>
      <c r="C485" s="52"/>
      <c r="D485" s="52"/>
      <c r="E485" s="52"/>
      <c r="F485" s="52"/>
      <c r="G485" s="53"/>
      <c r="H485" s="20"/>
      <c r="I485" s="9">
        <v>2</v>
      </c>
      <c r="J485" s="9"/>
      <c r="K485" s="9"/>
      <c r="L485" s="9"/>
      <c r="M485" s="9">
        <f t="shared" si="68"/>
        <v>14.8</v>
      </c>
      <c r="N485" s="9">
        <f t="shared" si="69"/>
        <v>6</v>
      </c>
      <c r="O485" s="9">
        <v>7.4</v>
      </c>
      <c r="P485" s="9">
        <v>3</v>
      </c>
      <c r="Q485" s="9" t="s">
        <v>6</v>
      </c>
      <c r="R485" s="1">
        <v>0</v>
      </c>
      <c r="S485" s="26"/>
    </row>
    <row r="486" spans="1:19" ht="16.5" customHeight="1" x14ac:dyDescent="0.25">
      <c r="A486" s="9"/>
      <c r="B486" s="51" t="s">
        <v>85</v>
      </c>
      <c r="C486" s="52"/>
      <c r="D486" s="52"/>
      <c r="E486" s="52"/>
      <c r="F486" s="52"/>
      <c r="G486" s="53"/>
      <c r="H486" s="20"/>
      <c r="I486" s="9">
        <v>1</v>
      </c>
      <c r="J486" s="9"/>
      <c r="K486" s="9"/>
      <c r="L486" s="9"/>
      <c r="M486" s="9">
        <f t="shared" si="68"/>
        <v>7</v>
      </c>
      <c r="N486" s="9">
        <f t="shared" si="69"/>
        <v>3</v>
      </c>
      <c r="O486" s="9">
        <v>7</v>
      </c>
      <c r="P486" s="9">
        <v>3</v>
      </c>
      <c r="Q486" s="9" t="s">
        <v>6</v>
      </c>
      <c r="R486" s="1">
        <v>0</v>
      </c>
      <c r="S486" s="26"/>
    </row>
    <row r="487" spans="1:19" ht="16.5" customHeight="1" x14ac:dyDescent="0.25">
      <c r="A487" s="9"/>
      <c r="B487" s="51" t="s">
        <v>86</v>
      </c>
      <c r="C487" s="52"/>
      <c r="D487" s="52"/>
      <c r="E487" s="52"/>
      <c r="F487" s="52"/>
      <c r="G487" s="53"/>
      <c r="H487" s="20"/>
      <c r="I487" s="9">
        <v>2</v>
      </c>
      <c r="J487" s="9"/>
      <c r="K487" s="9"/>
      <c r="L487" s="9"/>
      <c r="M487" s="9">
        <f t="shared" si="68"/>
        <v>14.8</v>
      </c>
      <c r="N487" s="9">
        <f t="shared" si="69"/>
        <v>6</v>
      </c>
      <c r="O487" s="9">
        <v>7.4</v>
      </c>
      <c r="P487" s="9">
        <v>3</v>
      </c>
      <c r="Q487" s="9" t="s">
        <v>6</v>
      </c>
      <c r="R487" s="1">
        <v>0</v>
      </c>
      <c r="S487" s="26"/>
    </row>
    <row r="488" spans="1:19" ht="16.5" customHeight="1" x14ac:dyDescent="0.25">
      <c r="A488" s="9"/>
      <c r="B488" s="51" t="s">
        <v>87</v>
      </c>
      <c r="C488" s="52"/>
      <c r="D488" s="52"/>
      <c r="E488" s="52"/>
      <c r="F488" s="52"/>
      <c r="G488" s="53"/>
      <c r="H488" s="20"/>
      <c r="I488" s="9">
        <v>3</v>
      </c>
      <c r="J488" s="9"/>
      <c r="K488" s="9"/>
      <c r="L488" s="9"/>
      <c r="M488" s="9">
        <f t="shared" si="68"/>
        <v>21.6</v>
      </c>
      <c r="N488" s="9">
        <f t="shared" si="69"/>
        <v>9</v>
      </c>
      <c r="O488" s="9">
        <v>7.2</v>
      </c>
      <c r="P488" s="9">
        <v>3</v>
      </c>
      <c r="Q488" s="9" t="s">
        <v>6</v>
      </c>
      <c r="R488" s="1">
        <v>0</v>
      </c>
      <c r="S488" s="26"/>
    </row>
    <row r="489" spans="1:19" ht="16.5" customHeight="1" x14ac:dyDescent="0.25">
      <c r="A489" s="9"/>
      <c r="B489" s="51" t="s">
        <v>88</v>
      </c>
      <c r="C489" s="52"/>
      <c r="D489" s="52"/>
      <c r="E489" s="52"/>
      <c r="F489" s="52"/>
      <c r="G489" s="53"/>
      <c r="H489" s="20"/>
      <c r="I489" s="9">
        <v>4</v>
      </c>
      <c r="J489" s="9"/>
      <c r="K489" s="9"/>
      <c r="L489" s="9"/>
      <c r="M489" s="9">
        <f t="shared" si="68"/>
        <v>25.6</v>
      </c>
      <c r="N489" s="9">
        <f t="shared" si="69"/>
        <v>8</v>
      </c>
      <c r="O489" s="9">
        <v>6.4</v>
      </c>
      <c r="P489" s="9">
        <v>2</v>
      </c>
      <c r="Q489" s="9" t="s">
        <v>3</v>
      </c>
      <c r="R489" s="1">
        <v>0</v>
      </c>
      <c r="S489" s="26"/>
    </row>
    <row r="490" spans="1:19" ht="16.5" customHeight="1" x14ac:dyDescent="0.25">
      <c r="A490" s="9"/>
      <c r="B490" s="51" t="s">
        <v>89</v>
      </c>
      <c r="C490" s="52"/>
      <c r="D490" s="52"/>
      <c r="E490" s="52"/>
      <c r="F490" s="52"/>
      <c r="G490" s="53"/>
      <c r="H490" s="20"/>
      <c r="I490" s="9">
        <v>3</v>
      </c>
      <c r="J490" s="9"/>
      <c r="K490" s="9"/>
      <c r="L490" s="9"/>
      <c r="M490" s="9">
        <f t="shared" si="68"/>
        <v>23.1</v>
      </c>
      <c r="N490" s="9">
        <f t="shared" si="69"/>
        <v>9</v>
      </c>
      <c r="O490" s="9">
        <v>7.7</v>
      </c>
      <c r="P490" s="9">
        <v>3</v>
      </c>
      <c r="Q490" s="9" t="s">
        <v>6</v>
      </c>
      <c r="R490" s="1">
        <v>0</v>
      </c>
      <c r="S490" s="26"/>
    </row>
    <row r="491" spans="1:19" ht="16.5" customHeight="1" x14ac:dyDescent="0.25">
      <c r="A491" s="9"/>
      <c r="B491" s="51" t="s">
        <v>90</v>
      </c>
      <c r="C491" s="52"/>
      <c r="D491" s="52"/>
      <c r="E491" s="52"/>
      <c r="F491" s="52"/>
      <c r="G491" s="53"/>
      <c r="H491" s="20"/>
      <c r="I491" s="9">
        <v>2</v>
      </c>
      <c r="J491" s="9"/>
      <c r="K491" s="9"/>
      <c r="L491" s="9"/>
      <c r="M491" s="9">
        <f t="shared" si="68"/>
        <v>14.4</v>
      </c>
      <c r="N491" s="9">
        <f t="shared" si="69"/>
        <v>6</v>
      </c>
      <c r="O491" s="9">
        <v>7.2</v>
      </c>
      <c r="P491" s="9">
        <v>3</v>
      </c>
      <c r="Q491" s="9" t="s">
        <v>6</v>
      </c>
      <c r="R491" s="1">
        <v>0</v>
      </c>
      <c r="S491" s="26"/>
    </row>
    <row r="492" spans="1:19" ht="16.5" hidden="1" customHeight="1" x14ac:dyDescent="0.25">
      <c r="A492" s="21"/>
      <c r="H492" s="21"/>
      <c r="I492" s="21"/>
      <c r="J492" s="21"/>
      <c r="K492" s="21"/>
      <c r="L492" s="21"/>
      <c r="M492" s="9">
        <f t="shared" si="68"/>
        <v>0</v>
      </c>
      <c r="N492" s="9">
        <f t="shared" si="69"/>
        <v>0</v>
      </c>
      <c r="O492" s="21"/>
      <c r="P492" s="21"/>
      <c r="Q492" s="21"/>
      <c r="S492" s="25"/>
    </row>
    <row r="493" spans="1:19" ht="16.5" customHeight="1" x14ac:dyDescent="0.25">
      <c r="A493" s="9"/>
      <c r="B493" s="39" t="s">
        <v>42</v>
      </c>
      <c r="C493" s="40"/>
      <c r="D493" s="40"/>
      <c r="E493" s="40"/>
      <c r="F493" s="40"/>
      <c r="G493" s="41"/>
      <c r="H493" s="23"/>
      <c r="I493" s="24">
        <f>SUM(I481:I492)</f>
        <v>26</v>
      </c>
      <c r="J493" s="9"/>
      <c r="K493" s="9"/>
      <c r="L493" s="9"/>
      <c r="M493" s="9">
        <f t="shared" si="68"/>
        <v>177.84</v>
      </c>
      <c r="N493" s="9">
        <f t="shared" si="69"/>
        <v>66.040000000000006</v>
      </c>
      <c r="O493" s="24">
        <f>ROUND(SUM(M481:M492)/I493,2)</f>
        <v>6.84</v>
      </c>
      <c r="P493" s="24">
        <f>ROUND(SUM(N481:N492)/I493,2)</f>
        <v>2.54</v>
      </c>
      <c r="Q493" s="9"/>
      <c r="S493" s="25"/>
    </row>
    <row r="494" spans="1:19" ht="20.25" customHeight="1" x14ac:dyDescent="0.25">
      <c r="A494" s="27" t="s">
        <v>91</v>
      </c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</row>
    <row r="495" spans="1:19" ht="16.5" customHeight="1" x14ac:dyDescent="0.25">
      <c r="A495" s="9"/>
      <c r="B495" s="51" t="s">
        <v>92</v>
      </c>
      <c r="C495" s="52"/>
      <c r="D495" s="52"/>
      <c r="E495" s="52"/>
      <c r="F495" s="52"/>
      <c r="G495" s="53"/>
      <c r="H495" s="20"/>
      <c r="I495" s="9">
        <v>1</v>
      </c>
      <c r="J495" s="9"/>
      <c r="K495" s="9"/>
      <c r="L495" s="9"/>
      <c r="M495" s="9">
        <f t="shared" ref="M495:M506" si="70">I495*O495</f>
        <v>7.5</v>
      </c>
      <c r="N495" s="9">
        <f t="shared" ref="N495:N506" si="71">I495*P495</f>
        <v>3</v>
      </c>
      <c r="O495" s="9">
        <v>7.5</v>
      </c>
      <c r="P495" s="9">
        <v>3</v>
      </c>
      <c r="Q495" s="9" t="s">
        <v>6</v>
      </c>
      <c r="R495" s="1">
        <v>0</v>
      </c>
      <c r="S495" s="26"/>
    </row>
    <row r="496" spans="1:19" ht="16.5" customHeight="1" x14ac:dyDescent="0.25">
      <c r="A496" s="9"/>
      <c r="B496" s="51" t="s">
        <v>93</v>
      </c>
      <c r="C496" s="52"/>
      <c r="D496" s="52"/>
      <c r="E496" s="52"/>
      <c r="F496" s="52"/>
      <c r="G496" s="53"/>
      <c r="H496" s="20"/>
      <c r="I496" s="9">
        <v>3</v>
      </c>
      <c r="J496" s="9"/>
      <c r="K496" s="9"/>
      <c r="L496" s="9"/>
      <c r="M496" s="9">
        <f t="shared" si="70"/>
        <v>21.299999999999997</v>
      </c>
      <c r="N496" s="9">
        <f t="shared" si="71"/>
        <v>9</v>
      </c>
      <c r="O496" s="9">
        <v>7.1</v>
      </c>
      <c r="P496" s="9">
        <v>3</v>
      </c>
      <c r="Q496" s="9" t="s">
        <v>6</v>
      </c>
      <c r="R496" s="1">
        <v>0</v>
      </c>
      <c r="S496" s="26"/>
    </row>
    <row r="497" spans="1:19" ht="16.5" customHeight="1" x14ac:dyDescent="0.25">
      <c r="A497" s="9"/>
      <c r="B497" s="51" t="s">
        <v>94</v>
      </c>
      <c r="C497" s="52"/>
      <c r="D497" s="52"/>
      <c r="E497" s="52"/>
      <c r="F497" s="52"/>
      <c r="G497" s="53"/>
      <c r="H497" s="20"/>
      <c r="I497" s="9">
        <v>3</v>
      </c>
      <c r="J497" s="9"/>
      <c r="K497" s="9"/>
      <c r="L497" s="9"/>
      <c r="M497" s="9">
        <f t="shared" si="70"/>
        <v>27.900000000000002</v>
      </c>
      <c r="N497" s="9">
        <f t="shared" si="71"/>
        <v>12</v>
      </c>
      <c r="O497" s="9">
        <v>9.3000000000000007</v>
      </c>
      <c r="P497" s="9">
        <v>4</v>
      </c>
      <c r="Q497" s="9" t="s">
        <v>12</v>
      </c>
      <c r="R497" s="1">
        <v>0</v>
      </c>
      <c r="S497" s="26"/>
    </row>
    <row r="498" spans="1:19" ht="16.5" customHeight="1" x14ac:dyDescent="0.25">
      <c r="A498" s="9"/>
      <c r="B498" s="51" t="s">
        <v>95</v>
      </c>
      <c r="C498" s="52"/>
      <c r="D498" s="52"/>
      <c r="E498" s="52"/>
      <c r="F498" s="52"/>
      <c r="G498" s="53"/>
      <c r="H498" s="20"/>
      <c r="I498" s="9">
        <v>1</v>
      </c>
      <c r="J498" s="9"/>
      <c r="K498" s="9"/>
      <c r="L498" s="9"/>
      <c r="M498" s="9">
        <f t="shared" si="70"/>
        <v>7.8</v>
      </c>
      <c r="N498" s="9">
        <f t="shared" si="71"/>
        <v>3</v>
      </c>
      <c r="O498" s="9">
        <v>7.8</v>
      </c>
      <c r="P498" s="9">
        <v>3</v>
      </c>
      <c r="Q498" s="9" t="s">
        <v>6</v>
      </c>
      <c r="R498" s="1">
        <v>0</v>
      </c>
      <c r="S498" s="26"/>
    </row>
    <row r="499" spans="1:19" ht="16.5" customHeight="1" x14ac:dyDescent="0.25">
      <c r="A499" s="9"/>
      <c r="B499" s="51" t="s">
        <v>96</v>
      </c>
      <c r="C499" s="52"/>
      <c r="D499" s="52"/>
      <c r="E499" s="52"/>
      <c r="F499" s="52"/>
      <c r="G499" s="53"/>
      <c r="H499" s="20"/>
      <c r="I499" s="9">
        <v>1</v>
      </c>
      <c r="J499" s="9"/>
      <c r="K499" s="9"/>
      <c r="L499" s="9"/>
      <c r="M499" s="9">
        <f t="shared" si="70"/>
        <v>8</v>
      </c>
      <c r="N499" s="9">
        <f t="shared" si="71"/>
        <v>3.5</v>
      </c>
      <c r="O499" s="9">
        <v>8</v>
      </c>
      <c r="P499" s="9">
        <v>3.5</v>
      </c>
      <c r="Q499" s="9" t="s">
        <v>9</v>
      </c>
      <c r="R499" s="1">
        <v>0</v>
      </c>
      <c r="S499" s="26"/>
    </row>
    <row r="500" spans="1:19" ht="16.5" customHeight="1" x14ac:dyDescent="0.25">
      <c r="A500" s="9"/>
      <c r="B500" s="51" t="s">
        <v>101</v>
      </c>
      <c r="C500" s="52"/>
      <c r="D500" s="52"/>
      <c r="E500" s="52"/>
      <c r="F500" s="52"/>
      <c r="G500" s="53"/>
      <c r="H500" s="20"/>
      <c r="I500" s="9">
        <v>4</v>
      </c>
      <c r="J500" s="9"/>
      <c r="K500" s="9"/>
      <c r="L500" s="9"/>
      <c r="M500" s="9">
        <f t="shared" si="70"/>
        <v>28</v>
      </c>
      <c r="N500" s="9">
        <f t="shared" si="71"/>
        <v>12</v>
      </c>
      <c r="O500" s="9">
        <v>7</v>
      </c>
      <c r="P500" s="9">
        <v>3</v>
      </c>
      <c r="Q500" s="9" t="s">
        <v>6</v>
      </c>
      <c r="R500" s="1">
        <v>0</v>
      </c>
      <c r="S500" s="26"/>
    </row>
    <row r="501" spans="1:19" ht="16.5" customHeight="1" x14ac:dyDescent="0.25">
      <c r="A501" s="9"/>
      <c r="B501" s="51" t="s">
        <v>98</v>
      </c>
      <c r="C501" s="52"/>
      <c r="D501" s="52"/>
      <c r="E501" s="52"/>
      <c r="F501" s="52"/>
      <c r="G501" s="53"/>
      <c r="H501" s="20"/>
      <c r="I501" s="9">
        <v>2</v>
      </c>
      <c r="J501" s="9"/>
      <c r="K501" s="9"/>
      <c r="L501" s="9"/>
      <c r="M501" s="9">
        <f t="shared" si="70"/>
        <v>14.6</v>
      </c>
      <c r="N501" s="9">
        <f t="shared" si="71"/>
        <v>6</v>
      </c>
      <c r="O501" s="9">
        <v>7.3</v>
      </c>
      <c r="P501" s="9">
        <v>3</v>
      </c>
      <c r="Q501" s="9" t="s">
        <v>6</v>
      </c>
      <c r="R501" s="1">
        <v>0</v>
      </c>
      <c r="S501" s="26"/>
    </row>
    <row r="502" spans="1:19" ht="16.5" customHeight="1" x14ac:dyDescent="0.25">
      <c r="A502" s="9"/>
      <c r="B502" s="51" t="s">
        <v>99</v>
      </c>
      <c r="C502" s="52"/>
      <c r="D502" s="52"/>
      <c r="E502" s="52"/>
      <c r="F502" s="52"/>
      <c r="G502" s="53"/>
      <c r="H502" s="20"/>
      <c r="I502" s="9">
        <v>2</v>
      </c>
      <c r="J502" s="9"/>
      <c r="K502" s="9"/>
      <c r="L502" s="9"/>
      <c r="M502" s="9">
        <f t="shared" si="70"/>
        <v>16</v>
      </c>
      <c r="N502" s="9">
        <f t="shared" si="71"/>
        <v>7</v>
      </c>
      <c r="O502" s="9">
        <v>8</v>
      </c>
      <c r="P502" s="9">
        <v>3.5</v>
      </c>
      <c r="Q502" s="9" t="s">
        <v>9</v>
      </c>
      <c r="R502" s="1">
        <v>0</v>
      </c>
      <c r="S502" s="26"/>
    </row>
    <row r="503" spans="1:19" ht="16.5" customHeight="1" x14ac:dyDescent="0.25">
      <c r="A503" s="9"/>
      <c r="B503" s="51" t="s">
        <v>100</v>
      </c>
      <c r="C503" s="52"/>
      <c r="D503" s="52"/>
      <c r="E503" s="52"/>
      <c r="F503" s="52"/>
      <c r="G503" s="53"/>
      <c r="H503" s="20"/>
      <c r="I503" s="9">
        <v>2</v>
      </c>
      <c r="J503" s="9"/>
      <c r="K503" s="9"/>
      <c r="L503" s="9"/>
      <c r="M503" s="9">
        <f t="shared" si="70"/>
        <v>14.2</v>
      </c>
      <c r="N503" s="9">
        <f t="shared" si="71"/>
        <v>6</v>
      </c>
      <c r="O503" s="9">
        <v>7.1</v>
      </c>
      <c r="P503" s="9">
        <v>3</v>
      </c>
      <c r="Q503" s="9" t="s">
        <v>6</v>
      </c>
      <c r="R503" s="1">
        <v>0</v>
      </c>
      <c r="S503" s="26"/>
    </row>
    <row r="504" spans="1:19" ht="16.5" customHeight="1" x14ac:dyDescent="0.25">
      <c r="A504" s="9"/>
      <c r="B504" s="51" t="s">
        <v>97</v>
      </c>
      <c r="C504" s="52"/>
      <c r="D504" s="52"/>
      <c r="E504" s="52"/>
      <c r="F504" s="52"/>
      <c r="G504" s="53"/>
      <c r="H504" s="20"/>
      <c r="I504" s="9">
        <v>2</v>
      </c>
      <c r="J504" s="9"/>
      <c r="K504" s="9"/>
      <c r="L504" s="9"/>
      <c r="M504" s="9">
        <f t="shared" si="70"/>
        <v>14.8</v>
      </c>
      <c r="N504" s="9">
        <f t="shared" si="71"/>
        <v>6</v>
      </c>
      <c r="O504" s="9">
        <v>7.4</v>
      </c>
      <c r="P504" s="9">
        <v>3</v>
      </c>
      <c r="Q504" s="9" t="s">
        <v>6</v>
      </c>
      <c r="R504" s="1">
        <v>0</v>
      </c>
      <c r="S504" s="26"/>
    </row>
    <row r="505" spans="1:19" ht="16.5" hidden="1" customHeight="1" x14ac:dyDescent="0.25">
      <c r="A505" s="21"/>
      <c r="H505" s="21"/>
      <c r="I505" s="21"/>
      <c r="J505" s="21"/>
      <c r="K505" s="21"/>
      <c r="L505" s="21"/>
      <c r="M505" s="9">
        <f t="shared" si="70"/>
        <v>0</v>
      </c>
      <c r="N505" s="9">
        <f t="shared" si="71"/>
        <v>0</v>
      </c>
      <c r="O505" s="21"/>
      <c r="P505" s="21"/>
      <c r="Q505" s="21"/>
      <c r="S505" s="25"/>
    </row>
    <row r="506" spans="1:19" ht="16.5" customHeight="1" x14ac:dyDescent="0.25">
      <c r="A506" s="9"/>
      <c r="B506" s="39" t="s">
        <v>42</v>
      </c>
      <c r="C506" s="40"/>
      <c r="D506" s="40"/>
      <c r="E506" s="40"/>
      <c r="F506" s="40"/>
      <c r="G506" s="41"/>
      <c r="H506" s="23"/>
      <c r="I506" s="24">
        <f>SUM(I495:I505)</f>
        <v>21</v>
      </c>
      <c r="J506" s="9"/>
      <c r="K506" s="9"/>
      <c r="L506" s="9"/>
      <c r="M506" s="9">
        <f t="shared" si="70"/>
        <v>160.02000000000001</v>
      </c>
      <c r="N506" s="9">
        <f t="shared" si="71"/>
        <v>67.41</v>
      </c>
      <c r="O506" s="24">
        <f>ROUND(SUM(M495:M505)/I506,2)</f>
        <v>7.62</v>
      </c>
      <c r="P506" s="24">
        <f>ROUND(SUM(N495:N505)/I506,2)</f>
        <v>3.21</v>
      </c>
      <c r="Q506" s="9"/>
      <c r="S506" s="25"/>
    </row>
    <row r="507" spans="1:19" ht="20.25" customHeight="1" x14ac:dyDescent="0.25">
      <c r="A507" s="27" t="s">
        <v>102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</row>
    <row r="508" spans="1:19" ht="16.5" customHeight="1" x14ac:dyDescent="0.25">
      <c r="A508" s="9"/>
      <c r="B508" s="51" t="s">
        <v>103</v>
      </c>
      <c r="C508" s="52"/>
      <c r="D508" s="52"/>
      <c r="E508" s="52"/>
      <c r="F508" s="52"/>
      <c r="G508" s="53"/>
      <c r="H508" s="20"/>
      <c r="I508" s="9">
        <v>1</v>
      </c>
      <c r="J508" s="9"/>
      <c r="K508" s="9"/>
      <c r="L508" s="9"/>
      <c r="M508" s="9">
        <f t="shared" ref="M508:M519" si="72">I508*O508</f>
        <v>7.4</v>
      </c>
      <c r="N508" s="9">
        <f t="shared" ref="N508:N519" si="73">I508*P508</f>
        <v>3</v>
      </c>
      <c r="O508" s="9">
        <v>7.4</v>
      </c>
      <c r="P508" s="9">
        <v>3</v>
      </c>
      <c r="Q508" s="9" t="s">
        <v>6</v>
      </c>
      <c r="R508" s="1">
        <v>0</v>
      </c>
      <c r="S508" s="26"/>
    </row>
    <row r="509" spans="1:19" ht="16.5" customHeight="1" x14ac:dyDescent="0.25">
      <c r="A509" s="9"/>
      <c r="B509" s="51" t="s">
        <v>104</v>
      </c>
      <c r="C509" s="52"/>
      <c r="D509" s="52"/>
      <c r="E509" s="52"/>
      <c r="F509" s="52"/>
      <c r="G509" s="53"/>
      <c r="H509" s="20"/>
      <c r="I509" s="9">
        <v>3</v>
      </c>
      <c r="J509" s="9"/>
      <c r="K509" s="9"/>
      <c r="L509" s="9"/>
      <c r="M509" s="9">
        <f t="shared" si="72"/>
        <v>18.899999999999999</v>
      </c>
      <c r="N509" s="9">
        <f t="shared" si="73"/>
        <v>6</v>
      </c>
      <c r="O509" s="9">
        <v>6.3</v>
      </c>
      <c r="P509" s="9">
        <v>2</v>
      </c>
      <c r="Q509" s="9" t="s">
        <v>3</v>
      </c>
      <c r="R509" s="1">
        <v>0</v>
      </c>
      <c r="S509" s="26"/>
    </row>
    <row r="510" spans="1:19" ht="16.5" customHeight="1" x14ac:dyDescent="0.25">
      <c r="A510" s="9"/>
      <c r="B510" s="51" t="s">
        <v>105</v>
      </c>
      <c r="C510" s="52"/>
      <c r="D510" s="52"/>
      <c r="E510" s="52"/>
      <c r="F510" s="52"/>
      <c r="G510" s="53"/>
      <c r="H510" s="20"/>
      <c r="I510" s="9">
        <v>3</v>
      </c>
      <c r="J510" s="9"/>
      <c r="K510" s="9"/>
      <c r="L510" s="9"/>
      <c r="M510" s="9">
        <f t="shared" si="72"/>
        <v>24.299999999999997</v>
      </c>
      <c r="N510" s="9">
        <f t="shared" si="73"/>
        <v>10.5</v>
      </c>
      <c r="O510" s="9">
        <v>8.1</v>
      </c>
      <c r="P510" s="9">
        <v>3.5</v>
      </c>
      <c r="Q510" s="9" t="s">
        <v>9</v>
      </c>
      <c r="R510" s="1">
        <v>0</v>
      </c>
      <c r="S510" s="26"/>
    </row>
    <row r="511" spans="1:19" ht="16.5" customHeight="1" x14ac:dyDescent="0.25">
      <c r="A511" s="9"/>
      <c r="B511" s="51" t="s">
        <v>106</v>
      </c>
      <c r="C511" s="52"/>
      <c r="D511" s="52"/>
      <c r="E511" s="52"/>
      <c r="F511" s="52"/>
      <c r="G511" s="53"/>
      <c r="H511" s="20"/>
      <c r="I511" s="9">
        <v>3</v>
      </c>
      <c r="J511" s="9"/>
      <c r="K511" s="9"/>
      <c r="L511" s="9"/>
      <c r="M511" s="9">
        <f t="shared" si="72"/>
        <v>20.700000000000003</v>
      </c>
      <c r="N511" s="9">
        <f t="shared" si="73"/>
        <v>7.5</v>
      </c>
      <c r="O511" s="9">
        <v>6.9</v>
      </c>
      <c r="P511" s="9">
        <v>2.5</v>
      </c>
      <c r="Q511" s="9" t="s">
        <v>5</v>
      </c>
      <c r="R511" s="1">
        <v>0</v>
      </c>
      <c r="S511" s="26"/>
    </row>
    <row r="512" spans="1:19" ht="16.5" customHeight="1" x14ac:dyDescent="0.25">
      <c r="A512" s="9"/>
      <c r="B512" s="51" t="s">
        <v>107</v>
      </c>
      <c r="C512" s="52"/>
      <c r="D512" s="52"/>
      <c r="E512" s="52"/>
      <c r="F512" s="52"/>
      <c r="G512" s="53"/>
      <c r="H512" s="20"/>
      <c r="I512" s="9">
        <v>2</v>
      </c>
      <c r="J512" s="9"/>
      <c r="K512" s="9"/>
      <c r="L512" s="9"/>
      <c r="M512" s="9">
        <f t="shared" si="72"/>
        <v>15.6</v>
      </c>
      <c r="N512" s="9">
        <f t="shared" si="73"/>
        <v>6</v>
      </c>
      <c r="O512" s="9">
        <v>7.8</v>
      </c>
      <c r="P512" s="9">
        <v>3</v>
      </c>
      <c r="Q512" s="9" t="s">
        <v>6</v>
      </c>
      <c r="R512" s="1">
        <v>0</v>
      </c>
      <c r="S512" s="26"/>
    </row>
    <row r="513" spans="1:19" ht="16.5" customHeight="1" x14ac:dyDescent="0.25">
      <c r="A513" s="9"/>
      <c r="B513" s="51" t="s">
        <v>108</v>
      </c>
      <c r="C513" s="52"/>
      <c r="D513" s="52"/>
      <c r="E513" s="52"/>
      <c r="F513" s="52"/>
      <c r="G513" s="53"/>
      <c r="H513" s="20"/>
      <c r="I513" s="9">
        <v>2</v>
      </c>
      <c r="J513" s="9"/>
      <c r="K513" s="9"/>
      <c r="L513" s="9"/>
      <c r="M513" s="9">
        <f t="shared" si="72"/>
        <v>16.399999999999999</v>
      </c>
      <c r="N513" s="9">
        <f t="shared" si="73"/>
        <v>7</v>
      </c>
      <c r="O513" s="9">
        <v>8.1999999999999993</v>
      </c>
      <c r="P513" s="9">
        <v>3.5</v>
      </c>
      <c r="Q513" s="9" t="s">
        <v>9</v>
      </c>
      <c r="R513" s="1">
        <v>0</v>
      </c>
      <c r="S513" s="26"/>
    </row>
    <row r="514" spans="1:19" ht="16.5" customHeight="1" x14ac:dyDescent="0.25">
      <c r="A514" s="9"/>
      <c r="B514" s="51" t="s">
        <v>109</v>
      </c>
      <c r="C514" s="52"/>
      <c r="D514" s="52"/>
      <c r="E514" s="52"/>
      <c r="F514" s="52"/>
      <c r="G514" s="53"/>
      <c r="H514" s="20"/>
      <c r="I514" s="9">
        <v>2</v>
      </c>
      <c r="J514" s="9"/>
      <c r="K514" s="9"/>
      <c r="L514" s="9"/>
      <c r="M514" s="9">
        <f t="shared" si="72"/>
        <v>13.2</v>
      </c>
      <c r="N514" s="9">
        <f t="shared" si="73"/>
        <v>5</v>
      </c>
      <c r="O514" s="9">
        <v>6.6</v>
      </c>
      <c r="P514" s="9">
        <v>2.5</v>
      </c>
      <c r="Q514" s="9" t="s">
        <v>5</v>
      </c>
      <c r="R514" s="1">
        <v>0</v>
      </c>
      <c r="S514" s="26"/>
    </row>
    <row r="515" spans="1:19" ht="16.5" customHeight="1" x14ac:dyDescent="0.25">
      <c r="A515" s="9"/>
      <c r="B515" s="51" t="s">
        <v>110</v>
      </c>
      <c r="C515" s="52"/>
      <c r="D515" s="52"/>
      <c r="E515" s="52"/>
      <c r="F515" s="52"/>
      <c r="G515" s="53"/>
      <c r="H515" s="20"/>
      <c r="I515" s="9">
        <v>4</v>
      </c>
      <c r="J515" s="9"/>
      <c r="K515" s="9"/>
      <c r="L515" s="9"/>
      <c r="M515" s="9">
        <f t="shared" si="72"/>
        <v>30</v>
      </c>
      <c r="N515" s="9">
        <f t="shared" si="73"/>
        <v>12</v>
      </c>
      <c r="O515" s="9">
        <v>7.5</v>
      </c>
      <c r="P515" s="9">
        <v>3</v>
      </c>
      <c r="Q515" s="9" t="s">
        <v>6</v>
      </c>
      <c r="R515" s="1">
        <v>0</v>
      </c>
      <c r="S515" s="26"/>
    </row>
    <row r="516" spans="1:19" ht="16.5" customHeight="1" x14ac:dyDescent="0.25">
      <c r="A516" s="9"/>
      <c r="B516" s="51" t="s">
        <v>111</v>
      </c>
      <c r="C516" s="52"/>
      <c r="D516" s="52"/>
      <c r="E516" s="52"/>
      <c r="F516" s="52"/>
      <c r="G516" s="53"/>
      <c r="H516" s="20"/>
      <c r="I516" s="9">
        <v>2</v>
      </c>
      <c r="J516" s="9"/>
      <c r="K516" s="9"/>
      <c r="L516" s="9"/>
      <c r="M516" s="9">
        <f t="shared" si="72"/>
        <v>15.2</v>
      </c>
      <c r="N516" s="9">
        <f t="shared" si="73"/>
        <v>6</v>
      </c>
      <c r="O516" s="9">
        <v>7.6</v>
      </c>
      <c r="P516" s="9">
        <v>3</v>
      </c>
      <c r="Q516" s="9" t="s">
        <v>6</v>
      </c>
      <c r="R516" s="1">
        <v>0</v>
      </c>
      <c r="S516" s="26"/>
    </row>
    <row r="517" spans="1:19" ht="16.5" customHeight="1" x14ac:dyDescent="0.25">
      <c r="A517" s="9"/>
      <c r="B517" s="51" t="s">
        <v>112</v>
      </c>
      <c r="C517" s="52"/>
      <c r="D517" s="52"/>
      <c r="E517" s="52"/>
      <c r="F517" s="52"/>
      <c r="G517" s="53"/>
      <c r="H517" s="20"/>
      <c r="I517" s="9">
        <v>3</v>
      </c>
      <c r="J517" s="9"/>
      <c r="K517" s="9"/>
      <c r="L517" s="9"/>
      <c r="M517" s="9">
        <f t="shared" si="72"/>
        <v>23.1</v>
      </c>
      <c r="N517" s="9">
        <f t="shared" si="73"/>
        <v>9</v>
      </c>
      <c r="O517" s="9">
        <v>7.7</v>
      </c>
      <c r="P517" s="9">
        <v>3</v>
      </c>
      <c r="Q517" s="9" t="s">
        <v>6</v>
      </c>
      <c r="R517" s="1">
        <v>0</v>
      </c>
      <c r="S517" s="26"/>
    </row>
    <row r="518" spans="1:19" ht="16.5" hidden="1" customHeight="1" x14ac:dyDescent="0.25">
      <c r="A518" s="21"/>
      <c r="H518" s="21"/>
      <c r="I518" s="21"/>
      <c r="J518" s="21"/>
      <c r="K518" s="21"/>
      <c r="L518" s="21"/>
      <c r="M518" s="9">
        <f t="shared" si="72"/>
        <v>0</v>
      </c>
      <c r="N518" s="9">
        <f t="shared" si="73"/>
        <v>0</v>
      </c>
      <c r="O518" s="21"/>
      <c r="P518" s="21"/>
      <c r="Q518" s="21"/>
      <c r="S518" s="25"/>
    </row>
    <row r="519" spans="1:19" ht="16.5" customHeight="1" x14ac:dyDescent="0.25">
      <c r="A519" s="9"/>
      <c r="B519" s="39" t="s">
        <v>42</v>
      </c>
      <c r="C519" s="40"/>
      <c r="D519" s="40"/>
      <c r="E519" s="40"/>
      <c r="F519" s="40"/>
      <c r="G519" s="41"/>
      <c r="H519" s="23"/>
      <c r="I519" s="24">
        <f>SUM(I508:I518)</f>
        <v>25</v>
      </c>
      <c r="J519" s="9"/>
      <c r="K519" s="9"/>
      <c r="L519" s="9"/>
      <c r="M519" s="9">
        <f t="shared" si="72"/>
        <v>184.75</v>
      </c>
      <c r="N519" s="9">
        <f t="shared" si="73"/>
        <v>72</v>
      </c>
      <c r="O519" s="24">
        <f>ROUND(SUM(M508:M518)/I519,2)</f>
        <v>7.39</v>
      </c>
      <c r="P519" s="24">
        <f>ROUND(SUM(N508:N518)/I519,2)</f>
        <v>2.88</v>
      </c>
      <c r="Q519" s="9"/>
      <c r="S519" s="25"/>
    </row>
    <row r="520" spans="1:19" ht="20.25" customHeight="1" x14ac:dyDescent="0.25">
      <c r="A520" s="27" t="s">
        <v>113</v>
      </c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</row>
    <row r="521" spans="1:19" ht="16.5" customHeight="1" x14ac:dyDescent="0.25">
      <c r="A521" s="9"/>
      <c r="B521" s="51" t="s">
        <v>114</v>
      </c>
      <c r="C521" s="52"/>
      <c r="D521" s="52"/>
      <c r="E521" s="52"/>
      <c r="F521" s="52"/>
      <c r="G521" s="53"/>
      <c r="H521" s="20"/>
      <c r="I521" s="9">
        <v>3</v>
      </c>
      <c r="J521" s="9"/>
      <c r="K521" s="9"/>
      <c r="L521" s="9"/>
      <c r="M521" s="9">
        <f t="shared" ref="M521:M529" si="74">I521*O521</f>
        <v>0</v>
      </c>
      <c r="N521" s="9">
        <f t="shared" ref="N521:N529" si="75">I521*P521</f>
        <v>0</v>
      </c>
      <c r="O521" s="9"/>
      <c r="P521" s="9"/>
      <c r="Q521" s="9"/>
      <c r="R521" s="1">
        <v>0</v>
      </c>
      <c r="S521" s="26"/>
    </row>
    <row r="522" spans="1:19" ht="16.5" customHeight="1" x14ac:dyDescent="0.25">
      <c r="A522" s="9"/>
      <c r="B522" s="51" t="s">
        <v>115</v>
      </c>
      <c r="C522" s="52"/>
      <c r="D522" s="52"/>
      <c r="E522" s="52"/>
      <c r="F522" s="52"/>
      <c r="G522" s="53"/>
      <c r="H522" s="20"/>
      <c r="I522" s="9">
        <v>3</v>
      </c>
      <c r="J522" s="9"/>
      <c r="K522" s="9"/>
      <c r="L522" s="9"/>
      <c r="M522" s="9">
        <f t="shared" si="74"/>
        <v>0</v>
      </c>
      <c r="N522" s="9">
        <f t="shared" si="75"/>
        <v>0</v>
      </c>
      <c r="O522" s="9"/>
      <c r="P522" s="9"/>
      <c r="Q522" s="9"/>
      <c r="R522" s="1">
        <v>0</v>
      </c>
      <c r="S522" s="26"/>
    </row>
    <row r="523" spans="1:19" ht="16.5" customHeight="1" x14ac:dyDescent="0.25">
      <c r="A523" s="9"/>
      <c r="B523" s="51" t="s">
        <v>116</v>
      </c>
      <c r="C523" s="52"/>
      <c r="D523" s="52"/>
      <c r="E523" s="52"/>
      <c r="F523" s="52"/>
      <c r="G523" s="53"/>
      <c r="H523" s="20"/>
      <c r="I523" s="9">
        <v>3</v>
      </c>
      <c r="J523" s="9"/>
      <c r="K523" s="9"/>
      <c r="L523" s="9"/>
      <c r="M523" s="9">
        <f t="shared" si="74"/>
        <v>0</v>
      </c>
      <c r="N523" s="9">
        <f t="shared" si="75"/>
        <v>0</v>
      </c>
      <c r="O523" s="9"/>
      <c r="P523" s="9"/>
      <c r="Q523" s="9"/>
      <c r="R523" s="1">
        <v>0</v>
      </c>
      <c r="S523" s="26"/>
    </row>
    <row r="524" spans="1:19" ht="16.5" customHeight="1" x14ac:dyDescent="0.25">
      <c r="A524" s="9"/>
      <c r="B524" s="51" t="s">
        <v>120</v>
      </c>
      <c r="C524" s="52"/>
      <c r="D524" s="52"/>
      <c r="E524" s="52"/>
      <c r="F524" s="52"/>
      <c r="G524" s="53"/>
      <c r="H524" s="20"/>
      <c r="I524" s="9">
        <v>2</v>
      </c>
      <c r="J524" s="9"/>
      <c r="K524" s="9"/>
      <c r="L524" s="9"/>
      <c r="M524" s="9">
        <f t="shared" si="74"/>
        <v>17</v>
      </c>
      <c r="N524" s="9">
        <f t="shared" si="75"/>
        <v>7.4</v>
      </c>
      <c r="O524" s="9">
        <v>8.5</v>
      </c>
      <c r="P524" s="9">
        <v>3.7</v>
      </c>
      <c r="Q524" s="9" t="s">
        <v>10</v>
      </c>
      <c r="R524" s="1">
        <v>0</v>
      </c>
      <c r="S524" s="26"/>
    </row>
    <row r="525" spans="1:19" ht="16.5" customHeight="1" x14ac:dyDescent="0.25">
      <c r="A525" s="9"/>
      <c r="B525" s="51" t="s">
        <v>118</v>
      </c>
      <c r="C525" s="52"/>
      <c r="D525" s="52"/>
      <c r="E525" s="52"/>
      <c r="F525" s="52"/>
      <c r="G525" s="53"/>
      <c r="H525" s="20"/>
      <c r="I525" s="9">
        <v>3</v>
      </c>
      <c r="J525" s="9"/>
      <c r="K525" s="9"/>
      <c r="L525" s="9"/>
      <c r="M525" s="9">
        <f t="shared" si="74"/>
        <v>0</v>
      </c>
      <c r="N525" s="9">
        <f t="shared" si="75"/>
        <v>0</v>
      </c>
      <c r="O525" s="9"/>
      <c r="P525" s="9"/>
      <c r="Q525" s="9"/>
      <c r="R525" s="1">
        <v>0</v>
      </c>
      <c r="S525" s="26"/>
    </row>
    <row r="526" spans="1:19" ht="16.5" customHeight="1" x14ac:dyDescent="0.25">
      <c r="A526" s="9"/>
      <c r="B526" s="51" t="s">
        <v>119</v>
      </c>
      <c r="C526" s="52"/>
      <c r="D526" s="52"/>
      <c r="E526" s="52"/>
      <c r="F526" s="52"/>
      <c r="G526" s="53"/>
      <c r="H526" s="20"/>
      <c r="I526" s="9">
        <v>3</v>
      </c>
      <c r="J526" s="9"/>
      <c r="K526" s="9"/>
      <c r="L526" s="9"/>
      <c r="M526" s="9">
        <f t="shared" si="74"/>
        <v>0</v>
      </c>
      <c r="N526" s="9">
        <f t="shared" si="75"/>
        <v>0</v>
      </c>
      <c r="O526" s="9"/>
      <c r="P526" s="9"/>
      <c r="Q526" s="9"/>
      <c r="R526" s="1">
        <v>0</v>
      </c>
      <c r="S526" s="26"/>
    </row>
    <row r="527" spans="1:19" ht="16.5" customHeight="1" x14ac:dyDescent="0.25">
      <c r="A527" s="9"/>
      <c r="B527" s="51" t="s">
        <v>117</v>
      </c>
      <c r="C527" s="52"/>
      <c r="D527" s="52"/>
      <c r="E527" s="52"/>
      <c r="F527" s="52"/>
      <c r="G527" s="53"/>
      <c r="H527" s="20"/>
      <c r="I527" s="9">
        <v>1</v>
      </c>
      <c r="J527" s="9"/>
      <c r="K527" s="9"/>
      <c r="L527" s="9"/>
      <c r="M527" s="9">
        <f t="shared" si="74"/>
        <v>6.8</v>
      </c>
      <c r="N527" s="9">
        <f t="shared" si="75"/>
        <v>2.5</v>
      </c>
      <c r="O527" s="9">
        <v>6.8</v>
      </c>
      <c r="P527" s="9">
        <v>2.5</v>
      </c>
      <c r="Q527" s="9" t="s">
        <v>5</v>
      </c>
      <c r="R527" s="1">
        <v>0</v>
      </c>
      <c r="S527" s="26"/>
    </row>
    <row r="528" spans="1:19" ht="16.5" hidden="1" customHeight="1" x14ac:dyDescent="0.25">
      <c r="A528" s="21"/>
      <c r="H528" s="21"/>
      <c r="I528" s="21"/>
      <c r="J528" s="21"/>
      <c r="K528" s="21"/>
      <c r="L528" s="21"/>
      <c r="M528" s="9">
        <f t="shared" si="74"/>
        <v>0</v>
      </c>
      <c r="N528" s="9">
        <f t="shared" si="75"/>
        <v>0</v>
      </c>
      <c r="O528" s="21"/>
      <c r="P528" s="21"/>
      <c r="Q528" s="21"/>
      <c r="S528" s="25"/>
    </row>
    <row r="529" spans="1:19" ht="16.5" customHeight="1" x14ac:dyDescent="0.25">
      <c r="A529" s="9"/>
      <c r="B529" s="39" t="s">
        <v>42</v>
      </c>
      <c r="C529" s="40"/>
      <c r="D529" s="40"/>
      <c r="E529" s="40"/>
      <c r="F529" s="40"/>
      <c r="G529" s="41"/>
      <c r="H529" s="23"/>
      <c r="I529" s="24">
        <f>SUM(I521:I528)</f>
        <v>18</v>
      </c>
      <c r="J529" s="9"/>
      <c r="K529" s="9"/>
      <c r="L529" s="9"/>
      <c r="M529" s="9">
        <f t="shared" si="74"/>
        <v>23.76</v>
      </c>
      <c r="N529" s="9">
        <f t="shared" si="75"/>
        <v>9.9</v>
      </c>
      <c r="O529" s="24">
        <f>ROUND(SUM(M521:M528)/I529,2)</f>
        <v>1.32</v>
      </c>
      <c r="P529" s="24">
        <f>ROUND(SUM(N521:N528)/I529,2)</f>
        <v>0.55000000000000004</v>
      </c>
      <c r="Q529" s="9"/>
      <c r="S529" s="25"/>
    </row>
    <row r="530" spans="1:19" ht="16.5" customHeight="1" x14ac:dyDescent="0.25">
      <c r="A530" s="21"/>
      <c r="B530" s="22"/>
      <c r="C530" s="22"/>
      <c r="D530" s="22"/>
      <c r="E530" s="22"/>
      <c r="F530" s="22"/>
      <c r="G530" s="22"/>
      <c r="H530" s="21"/>
      <c r="I530" s="21"/>
      <c r="J530" s="21"/>
      <c r="K530" s="21"/>
      <c r="L530" s="21"/>
      <c r="M530" s="21"/>
      <c r="N530" s="21"/>
      <c r="O530" s="21"/>
      <c r="P530" s="21"/>
      <c r="Q530" s="21"/>
    </row>
    <row r="532" spans="1:19" ht="18" x14ac:dyDescent="0.25">
      <c r="A532" s="35" t="s">
        <v>145</v>
      </c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</row>
    <row r="533" spans="1:19" ht="18" x14ac:dyDescent="0.25">
      <c r="A533" s="35" t="s">
        <v>146</v>
      </c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</row>
    <row r="534" spans="1:19" ht="18" x14ac:dyDescent="0.25">
      <c r="A534" s="35" t="s">
        <v>147</v>
      </c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</row>
    <row r="535" spans="1:19" ht="18" x14ac:dyDescent="0.25">
      <c r="A535" s="45" t="s">
        <v>148</v>
      </c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</row>
    <row r="536" spans="1:19" ht="19.5" customHeight="1" x14ac:dyDescent="0.25">
      <c r="A536" s="17"/>
      <c r="B536" s="17"/>
      <c r="C536" s="8"/>
      <c r="D536" s="18"/>
      <c r="E536" s="10"/>
      <c r="F536" s="11"/>
      <c r="G536" s="46" t="s">
        <v>49</v>
      </c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</row>
    <row r="537" spans="1:19" ht="31.5" customHeight="1" x14ac:dyDescent="0.3">
      <c r="A537" s="8"/>
      <c r="B537" s="8"/>
      <c r="C537" s="8"/>
      <c r="D537" s="8"/>
      <c r="E537" s="8"/>
      <c r="F537" s="8"/>
      <c r="G537" s="8"/>
      <c r="H537" s="12"/>
      <c r="I537" s="42" t="s">
        <v>40</v>
      </c>
      <c r="J537" s="43"/>
      <c r="K537" s="43"/>
      <c r="L537" s="43"/>
      <c r="M537" s="43"/>
      <c r="N537" s="43"/>
      <c r="O537" s="43"/>
      <c r="P537" s="43"/>
      <c r="Q537" s="43"/>
      <c r="R537" s="43"/>
      <c r="S537" s="43"/>
    </row>
    <row r="538" spans="1:19" ht="16.8" x14ac:dyDescent="0.3">
      <c r="A538" s="8"/>
      <c r="B538" s="8"/>
      <c r="C538" s="8"/>
      <c r="D538" s="8"/>
      <c r="E538" s="8"/>
      <c r="F538" s="8"/>
      <c r="G538" s="8"/>
      <c r="H538" s="12"/>
      <c r="I538" s="12"/>
      <c r="J538" s="12"/>
      <c r="K538" s="12"/>
      <c r="L538" s="8"/>
      <c r="M538" s="8"/>
      <c r="N538" s="8"/>
      <c r="O538" s="8"/>
      <c r="P538" s="8"/>
      <c r="Q538" s="8"/>
    </row>
    <row r="539" spans="1:19" ht="33" customHeight="1" x14ac:dyDescent="0.3">
      <c r="A539" s="8"/>
      <c r="B539" s="8"/>
      <c r="C539" s="8"/>
      <c r="D539" s="8"/>
      <c r="E539" s="8"/>
      <c r="F539" s="8"/>
      <c r="G539" s="8"/>
      <c r="H539" s="12"/>
      <c r="I539" s="12"/>
      <c r="J539" s="12"/>
      <c r="K539" s="12"/>
      <c r="L539" s="8"/>
      <c r="M539" s="8"/>
      <c r="N539" s="8"/>
      <c r="O539" s="8"/>
      <c r="P539" s="8"/>
      <c r="Q539" s="8"/>
    </row>
    <row r="540" spans="1:19" ht="11.25" customHeight="1" x14ac:dyDescent="0.3">
      <c r="A540" s="8"/>
      <c r="B540" s="8"/>
      <c r="C540" s="8"/>
      <c r="D540" s="8"/>
      <c r="E540" s="8"/>
      <c r="F540" s="8"/>
      <c r="G540" s="8"/>
      <c r="H540" s="12"/>
      <c r="I540" s="12"/>
      <c r="J540" s="12"/>
      <c r="K540" s="12"/>
      <c r="L540" s="8"/>
      <c r="M540" s="8"/>
      <c r="N540" s="8"/>
      <c r="O540" s="8"/>
      <c r="P540" s="8"/>
      <c r="Q540" s="8"/>
    </row>
    <row r="541" spans="1:19" ht="17.399999999999999" x14ac:dyDescent="0.3">
      <c r="A541" s="8"/>
      <c r="B541" s="8"/>
      <c r="C541" s="8"/>
      <c r="D541" s="8"/>
      <c r="E541" s="8"/>
      <c r="F541" s="8"/>
      <c r="G541" s="47" t="s">
        <v>41</v>
      </c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</row>
    <row r="542" spans="1:19" ht="54" customHeight="1" x14ac:dyDescent="0.25">
      <c r="A542" s="48" t="s">
        <v>33</v>
      </c>
      <c r="B542" s="48"/>
      <c r="C542" s="48"/>
      <c r="D542" s="48"/>
      <c r="E542" s="48"/>
      <c r="F542" s="42" t="s">
        <v>24</v>
      </c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</row>
    <row r="543" spans="1:19" ht="17.399999999999999" x14ac:dyDescent="0.25">
      <c r="A543" s="49" t="s">
        <v>34</v>
      </c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</row>
    <row r="544" spans="1:19" ht="4.5" customHeight="1" x14ac:dyDescent="0.25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</row>
    <row r="545" spans="1:20" ht="5.25" customHeight="1" x14ac:dyDescent="0.2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</row>
    <row r="546" spans="1:20" ht="16.5" customHeight="1" x14ac:dyDescent="0.25">
      <c r="A546" s="54" t="s">
        <v>151</v>
      </c>
      <c r="B546" s="54"/>
      <c r="C546" s="54"/>
      <c r="D546" s="54"/>
      <c r="E546" s="54"/>
      <c r="F546" s="54"/>
      <c r="G546" s="58" t="s">
        <v>152</v>
      </c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</row>
    <row r="547" spans="1:20" ht="16.5" customHeight="1" x14ac:dyDescent="0.25">
      <c r="A547" s="54" t="s">
        <v>153</v>
      </c>
      <c r="B547" s="54"/>
      <c r="C547" s="54"/>
      <c r="D547" s="54"/>
      <c r="E547" s="54"/>
      <c r="F547" s="54"/>
      <c r="G547" s="8" t="s">
        <v>46</v>
      </c>
      <c r="H547" s="8"/>
      <c r="I547" s="8"/>
      <c r="J547" s="8"/>
      <c r="K547" s="8"/>
      <c r="L547" s="8"/>
      <c r="M547" s="8"/>
      <c r="N547" s="8"/>
      <c r="O547" s="8"/>
      <c r="P547" s="8"/>
      <c r="Q547" s="8"/>
      <c r="T547" s="2"/>
    </row>
    <row r="548" spans="1:20" ht="16.5" customHeight="1" x14ac:dyDescent="0.25">
      <c r="A548" s="54" t="s">
        <v>47</v>
      </c>
      <c r="B548" s="54"/>
      <c r="C548" s="54"/>
      <c r="D548" s="54"/>
      <c r="E548" s="54"/>
      <c r="F548" s="54"/>
      <c r="G548" s="58" t="s">
        <v>48</v>
      </c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</row>
    <row r="549" spans="1:20" ht="5.2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19"/>
      <c r="K549" s="19"/>
      <c r="L549" s="19"/>
      <c r="M549" s="19"/>
      <c r="N549" s="19"/>
      <c r="O549" s="19"/>
      <c r="P549" s="19"/>
      <c r="Q549" s="19"/>
    </row>
    <row r="550" spans="1:20" ht="15" customHeight="1" x14ac:dyDescent="0.25">
      <c r="A550" s="36" t="s">
        <v>0</v>
      </c>
      <c r="B550" s="29" t="s">
        <v>1</v>
      </c>
      <c r="C550" s="30"/>
      <c r="D550" s="30"/>
      <c r="E550" s="30"/>
      <c r="F550" s="30"/>
      <c r="G550" s="31"/>
      <c r="H550" s="36" t="s">
        <v>32</v>
      </c>
      <c r="I550" s="36" t="s">
        <v>39</v>
      </c>
      <c r="J550" s="55" t="s">
        <v>2</v>
      </c>
      <c r="K550" s="56"/>
      <c r="L550" s="56"/>
      <c r="M550" s="56"/>
      <c r="N550" s="56"/>
      <c r="O550" s="56"/>
      <c r="P550" s="56"/>
      <c r="Q550" s="57"/>
      <c r="S550" s="36" t="s">
        <v>38</v>
      </c>
    </row>
    <row r="551" spans="1:20" ht="24" customHeight="1" x14ac:dyDescent="0.25">
      <c r="A551" s="37"/>
      <c r="B551" s="32"/>
      <c r="C551" s="33"/>
      <c r="D551" s="33"/>
      <c r="E551" s="33"/>
      <c r="F551" s="33"/>
      <c r="G551" s="34"/>
      <c r="H551" s="37"/>
      <c r="I551" s="37"/>
      <c r="J551" s="7" t="s">
        <v>28</v>
      </c>
      <c r="K551" s="7" t="s">
        <v>29</v>
      </c>
      <c r="L551" s="7" t="s">
        <v>30</v>
      </c>
      <c r="M551" s="7"/>
      <c r="N551" s="7"/>
      <c r="O551" s="6" t="s">
        <v>35</v>
      </c>
      <c r="P551" s="6" t="s">
        <v>36</v>
      </c>
      <c r="Q551" s="6" t="s">
        <v>37</v>
      </c>
      <c r="S551" s="37"/>
    </row>
    <row r="552" spans="1:20" ht="20.25" customHeight="1" x14ac:dyDescent="0.25">
      <c r="A552" s="27" t="s">
        <v>54</v>
      </c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</row>
    <row r="553" spans="1:20" ht="16.5" customHeight="1" x14ac:dyDescent="0.25">
      <c r="A553" s="9"/>
      <c r="B553" s="51" t="s">
        <v>55</v>
      </c>
      <c r="C553" s="52"/>
      <c r="D553" s="52"/>
      <c r="E553" s="52"/>
      <c r="F553" s="52"/>
      <c r="G553" s="53"/>
      <c r="H553" s="20"/>
      <c r="I553" s="9">
        <v>1</v>
      </c>
      <c r="J553" s="9"/>
      <c r="K553" s="9"/>
      <c r="L553" s="9"/>
      <c r="M553" s="9">
        <f t="shared" ref="M553:M561" si="76">I553*O553</f>
        <v>7.3</v>
      </c>
      <c r="N553" s="9">
        <f t="shared" ref="N553:N561" si="77">I553*P553</f>
        <v>3</v>
      </c>
      <c r="O553" s="9">
        <v>7.3</v>
      </c>
      <c r="P553" s="9">
        <v>3</v>
      </c>
      <c r="Q553" s="9" t="s">
        <v>6</v>
      </c>
      <c r="R553" s="1">
        <v>0</v>
      </c>
      <c r="S553" s="26"/>
    </row>
    <row r="554" spans="1:20" ht="16.5" customHeight="1" x14ac:dyDescent="0.25">
      <c r="A554" s="9"/>
      <c r="B554" s="51" t="s">
        <v>56</v>
      </c>
      <c r="C554" s="52"/>
      <c r="D554" s="52"/>
      <c r="E554" s="52"/>
      <c r="F554" s="52"/>
      <c r="G554" s="53"/>
      <c r="H554" s="20"/>
      <c r="I554" s="9">
        <v>3</v>
      </c>
      <c r="J554" s="9"/>
      <c r="K554" s="9"/>
      <c r="L554" s="9"/>
      <c r="M554" s="9">
        <f t="shared" si="76"/>
        <v>13.5</v>
      </c>
      <c r="N554" s="9">
        <f t="shared" si="77"/>
        <v>3</v>
      </c>
      <c r="O554" s="9">
        <v>4.5</v>
      </c>
      <c r="P554" s="9">
        <v>1</v>
      </c>
      <c r="Q554" s="9" t="s">
        <v>8</v>
      </c>
      <c r="R554" s="1">
        <v>0</v>
      </c>
      <c r="S554" s="26"/>
    </row>
    <row r="555" spans="1:20" ht="31.2" customHeight="1" x14ac:dyDescent="0.25">
      <c r="A555" s="9"/>
      <c r="B555" s="51" t="s">
        <v>57</v>
      </c>
      <c r="C555" s="52"/>
      <c r="D555" s="52"/>
      <c r="E555" s="52"/>
      <c r="F555" s="52"/>
      <c r="G555" s="53"/>
      <c r="H555" s="20"/>
      <c r="I555" s="9">
        <v>3</v>
      </c>
      <c r="J555" s="9"/>
      <c r="K555" s="9"/>
      <c r="L555" s="9"/>
      <c r="M555" s="9">
        <f t="shared" si="76"/>
        <v>22.799999999999997</v>
      </c>
      <c r="N555" s="9">
        <f t="shared" si="77"/>
        <v>9</v>
      </c>
      <c r="O555" s="9">
        <v>7.6</v>
      </c>
      <c r="P555" s="9">
        <v>3</v>
      </c>
      <c r="Q555" s="9" t="s">
        <v>6</v>
      </c>
      <c r="R555" s="1">
        <v>0</v>
      </c>
      <c r="S555" s="26"/>
    </row>
    <row r="556" spans="1:20" ht="16.5" customHeight="1" x14ac:dyDescent="0.25">
      <c r="A556" s="9"/>
      <c r="B556" s="51" t="s">
        <v>58</v>
      </c>
      <c r="C556" s="52"/>
      <c r="D556" s="52"/>
      <c r="E556" s="52"/>
      <c r="F556" s="52"/>
      <c r="G556" s="53"/>
      <c r="H556" s="20"/>
      <c r="I556" s="9">
        <v>1</v>
      </c>
      <c r="J556" s="9"/>
      <c r="K556" s="9"/>
      <c r="L556" s="9"/>
      <c r="M556" s="9">
        <f t="shared" si="76"/>
        <v>7.4</v>
      </c>
      <c r="N556" s="9">
        <f t="shared" si="77"/>
        <v>3</v>
      </c>
      <c r="O556" s="9">
        <v>7.4</v>
      </c>
      <c r="P556" s="9">
        <v>3</v>
      </c>
      <c r="Q556" s="9" t="s">
        <v>6</v>
      </c>
      <c r="R556" s="1">
        <v>0</v>
      </c>
      <c r="S556" s="26"/>
    </row>
    <row r="557" spans="1:20" ht="16.5" customHeight="1" x14ac:dyDescent="0.25">
      <c r="A557" s="9"/>
      <c r="B557" s="51" t="s">
        <v>59</v>
      </c>
      <c r="C557" s="52"/>
      <c r="D557" s="52"/>
      <c r="E557" s="52"/>
      <c r="F557" s="52"/>
      <c r="G557" s="53"/>
      <c r="H557" s="20"/>
      <c r="I557" s="9">
        <v>1</v>
      </c>
      <c r="J557" s="9"/>
      <c r="K557" s="9"/>
      <c r="L557" s="9"/>
      <c r="M557" s="9">
        <f t="shared" si="76"/>
        <v>6.7</v>
      </c>
      <c r="N557" s="9">
        <f t="shared" si="77"/>
        <v>2.5</v>
      </c>
      <c r="O557" s="9">
        <v>6.7</v>
      </c>
      <c r="P557" s="9">
        <v>2.5</v>
      </c>
      <c r="Q557" s="9" t="s">
        <v>5</v>
      </c>
      <c r="R557" s="1">
        <v>0</v>
      </c>
      <c r="S557" s="26"/>
    </row>
    <row r="558" spans="1:20" ht="16.5" customHeight="1" x14ac:dyDescent="0.25">
      <c r="A558" s="9"/>
      <c r="B558" s="51" t="s">
        <v>60</v>
      </c>
      <c r="C558" s="52"/>
      <c r="D558" s="52"/>
      <c r="E558" s="52"/>
      <c r="F558" s="52"/>
      <c r="G558" s="53"/>
      <c r="H558" s="20"/>
      <c r="I558" s="9">
        <v>3</v>
      </c>
      <c r="J558" s="9"/>
      <c r="K558" s="9"/>
      <c r="L558" s="9"/>
      <c r="M558" s="9">
        <f t="shared" si="76"/>
        <v>23.700000000000003</v>
      </c>
      <c r="N558" s="9">
        <f t="shared" si="77"/>
        <v>9</v>
      </c>
      <c r="O558" s="9">
        <v>7.9</v>
      </c>
      <c r="P558" s="9">
        <v>3</v>
      </c>
      <c r="Q558" s="9" t="s">
        <v>6</v>
      </c>
      <c r="R558" s="1">
        <v>0</v>
      </c>
      <c r="S558" s="26"/>
    </row>
    <row r="559" spans="1:20" ht="16.5" customHeight="1" x14ac:dyDescent="0.25">
      <c r="A559" s="9"/>
      <c r="B559" s="51" t="s">
        <v>61</v>
      </c>
      <c r="C559" s="52"/>
      <c r="D559" s="52"/>
      <c r="E559" s="52"/>
      <c r="F559" s="52"/>
      <c r="G559" s="53"/>
      <c r="H559" s="20"/>
      <c r="I559" s="9">
        <v>2</v>
      </c>
      <c r="J559" s="9"/>
      <c r="K559" s="9"/>
      <c r="L559" s="9"/>
      <c r="M559" s="9">
        <f t="shared" si="76"/>
        <v>14.8</v>
      </c>
      <c r="N559" s="9">
        <f t="shared" si="77"/>
        <v>6</v>
      </c>
      <c r="O559" s="9">
        <v>7.4</v>
      </c>
      <c r="P559" s="9">
        <v>3</v>
      </c>
      <c r="Q559" s="9" t="s">
        <v>6</v>
      </c>
      <c r="R559" s="1">
        <v>0</v>
      </c>
      <c r="S559" s="26"/>
    </row>
    <row r="560" spans="1:20" ht="16.5" hidden="1" customHeight="1" x14ac:dyDescent="0.25">
      <c r="A560" s="21"/>
      <c r="H560" s="21"/>
      <c r="I560" s="21"/>
      <c r="J560" s="21"/>
      <c r="K560" s="21"/>
      <c r="L560" s="21"/>
      <c r="M560" s="9">
        <f t="shared" si="76"/>
        <v>0</v>
      </c>
      <c r="N560" s="9">
        <f t="shared" si="77"/>
        <v>0</v>
      </c>
      <c r="O560" s="21"/>
      <c r="P560" s="21"/>
      <c r="Q560" s="21"/>
      <c r="S560" s="25"/>
    </row>
    <row r="561" spans="1:19" ht="16.5" customHeight="1" x14ac:dyDescent="0.25">
      <c r="A561" s="9"/>
      <c r="B561" s="39" t="s">
        <v>42</v>
      </c>
      <c r="C561" s="40"/>
      <c r="D561" s="40"/>
      <c r="E561" s="40"/>
      <c r="F561" s="40"/>
      <c r="G561" s="41"/>
      <c r="H561" s="23"/>
      <c r="I561" s="24">
        <f>SUM(I553:I560)</f>
        <v>14</v>
      </c>
      <c r="J561" s="9"/>
      <c r="K561" s="9"/>
      <c r="L561" s="9"/>
      <c r="M561" s="9">
        <f t="shared" si="76"/>
        <v>96.18</v>
      </c>
      <c r="N561" s="9">
        <f t="shared" si="77"/>
        <v>35.56</v>
      </c>
      <c r="O561" s="24">
        <f>ROUND(SUM(M553:M560)/I561,2)</f>
        <v>6.87</v>
      </c>
      <c r="P561" s="24">
        <f>ROUND(SUM(N553:N560)/I561,2)</f>
        <v>2.54</v>
      </c>
      <c r="Q561" s="9"/>
      <c r="S561" s="25"/>
    </row>
    <row r="562" spans="1:19" ht="20.25" customHeight="1" x14ac:dyDescent="0.25">
      <c r="A562" s="27" t="s">
        <v>62</v>
      </c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</row>
    <row r="563" spans="1:19" ht="16.5" customHeight="1" x14ac:dyDescent="0.25">
      <c r="A563" s="9"/>
      <c r="B563" s="51" t="s">
        <v>63</v>
      </c>
      <c r="C563" s="52"/>
      <c r="D563" s="52"/>
      <c r="E563" s="52"/>
      <c r="F563" s="52"/>
      <c r="G563" s="53"/>
      <c r="H563" s="20"/>
      <c r="I563" s="9">
        <v>4</v>
      </c>
      <c r="J563" s="9"/>
      <c r="K563" s="9"/>
      <c r="L563" s="9"/>
      <c r="M563" s="9">
        <f t="shared" ref="M563:M571" si="78">I563*O563</f>
        <v>28</v>
      </c>
      <c r="N563" s="9">
        <f t="shared" ref="N563:N571" si="79">I563*P563</f>
        <v>12</v>
      </c>
      <c r="O563" s="9">
        <v>7</v>
      </c>
      <c r="P563" s="9">
        <v>3</v>
      </c>
      <c r="Q563" s="9" t="s">
        <v>6</v>
      </c>
      <c r="R563" s="1">
        <v>0</v>
      </c>
      <c r="S563" s="26"/>
    </row>
    <row r="564" spans="1:19" ht="16.5" customHeight="1" x14ac:dyDescent="0.25">
      <c r="A564" s="9"/>
      <c r="B564" s="51" t="s">
        <v>64</v>
      </c>
      <c r="C564" s="52"/>
      <c r="D564" s="52"/>
      <c r="E564" s="52"/>
      <c r="F564" s="52"/>
      <c r="G564" s="53"/>
      <c r="H564" s="20"/>
      <c r="I564" s="9">
        <v>4</v>
      </c>
      <c r="J564" s="9"/>
      <c r="K564" s="9"/>
      <c r="L564" s="9"/>
      <c r="M564" s="9">
        <f t="shared" si="78"/>
        <v>18.8</v>
      </c>
      <c r="N564" s="9">
        <f t="shared" si="79"/>
        <v>4</v>
      </c>
      <c r="O564" s="9">
        <v>4.7</v>
      </c>
      <c r="P564" s="9">
        <v>1</v>
      </c>
      <c r="Q564" s="9" t="s">
        <v>8</v>
      </c>
      <c r="R564" s="1">
        <v>0</v>
      </c>
      <c r="S564" s="26"/>
    </row>
    <row r="565" spans="1:19" ht="16.5" customHeight="1" x14ac:dyDescent="0.25">
      <c r="A565" s="9"/>
      <c r="B565" s="51" t="s">
        <v>65</v>
      </c>
      <c r="C565" s="52"/>
      <c r="D565" s="52"/>
      <c r="E565" s="52"/>
      <c r="F565" s="52"/>
      <c r="G565" s="53"/>
      <c r="H565" s="20"/>
      <c r="I565" s="9">
        <v>4</v>
      </c>
      <c r="J565" s="9"/>
      <c r="K565" s="9"/>
      <c r="L565" s="9"/>
      <c r="M565" s="9">
        <f t="shared" si="78"/>
        <v>24.4</v>
      </c>
      <c r="N565" s="9">
        <f t="shared" si="79"/>
        <v>8</v>
      </c>
      <c r="O565" s="9">
        <v>6.1</v>
      </c>
      <c r="P565" s="9">
        <v>2</v>
      </c>
      <c r="Q565" s="9" t="s">
        <v>3</v>
      </c>
      <c r="R565" s="1">
        <v>0</v>
      </c>
      <c r="S565" s="26"/>
    </row>
    <row r="566" spans="1:19" ht="16.5" customHeight="1" x14ac:dyDescent="0.25">
      <c r="A566" s="9"/>
      <c r="B566" s="51" t="s">
        <v>66</v>
      </c>
      <c r="C566" s="52"/>
      <c r="D566" s="52"/>
      <c r="E566" s="52"/>
      <c r="F566" s="52"/>
      <c r="G566" s="53"/>
      <c r="H566" s="20"/>
      <c r="I566" s="9">
        <v>1</v>
      </c>
      <c r="J566" s="9"/>
      <c r="K566" s="9"/>
      <c r="L566" s="9"/>
      <c r="M566" s="9">
        <f t="shared" si="78"/>
        <v>6.7</v>
      </c>
      <c r="N566" s="9">
        <f t="shared" si="79"/>
        <v>2.5</v>
      </c>
      <c r="O566" s="9">
        <v>6.7</v>
      </c>
      <c r="P566" s="9">
        <v>2.5</v>
      </c>
      <c r="Q566" s="9" t="s">
        <v>5</v>
      </c>
      <c r="R566" s="1">
        <v>0</v>
      </c>
      <c r="S566" s="26"/>
    </row>
    <row r="567" spans="1:19" ht="16.5" customHeight="1" x14ac:dyDescent="0.25">
      <c r="A567" s="9"/>
      <c r="B567" s="51" t="s">
        <v>67</v>
      </c>
      <c r="C567" s="52"/>
      <c r="D567" s="52"/>
      <c r="E567" s="52"/>
      <c r="F567" s="52"/>
      <c r="G567" s="53"/>
      <c r="H567" s="20"/>
      <c r="I567" s="9">
        <v>1</v>
      </c>
      <c r="J567" s="9"/>
      <c r="K567" s="9"/>
      <c r="L567" s="9"/>
      <c r="M567" s="9">
        <f t="shared" si="78"/>
        <v>6.1</v>
      </c>
      <c r="N567" s="9">
        <f t="shared" si="79"/>
        <v>2</v>
      </c>
      <c r="O567" s="9">
        <v>6.1</v>
      </c>
      <c r="P567" s="9">
        <v>2</v>
      </c>
      <c r="Q567" s="9" t="s">
        <v>3</v>
      </c>
      <c r="R567" s="1">
        <v>0</v>
      </c>
      <c r="S567" s="26"/>
    </row>
    <row r="568" spans="1:19" ht="16.5" customHeight="1" x14ac:dyDescent="0.25">
      <c r="A568" s="9"/>
      <c r="B568" s="51" t="s">
        <v>69</v>
      </c>
      <c r="C568" s="52"/>
      <c r="D568" s="52"/>
      <c r="E568" s="52"/>
      <c r="F568" s="52"/>
      <c r="G568" s="53"/>
      <c r="H568" s="20"/>
      <c r="I568" s="9">
        <v>1</v>
      </c>
      <c r="J568" s="9"/>
      <c r="K568" s="9"/>
      <c r="L568" s="9"/>
      <c r="M568" s="9">
        <f t="shared" si="78"/>
        <v>6.8</v>
      </c>
      <c r="N568" s="9">
        <f t="shared" si="79"/>
        <v>2.5</v>
      </c>
      <c r="O568" s="9">
        <v>6.8</v>
      </c>
      <c r="P568" s="9">
        <v>2.5</v>
      </c>
      <c r="Q568" s="9" t="s">
        <v>5</v>
      </c>
      <c r="R568" s="1">
        <v>0</v>
      </c>
      <c r="S568" s="26"/>
    </row>
    <row r="569" spans="1:19" ht="16.5" customHeight="1" x14ac:dyDescent="0.25">
      <c r="A569" s="9"/>
      <c r="B569" s="51" t="s">
        <v>68</v>
      </c>
      <c r="C569" s="52"/>
      <c r="D569" s="52"/>
      <c r="E569" s="52"/>
      <c r="F569" s="52"/>
      <c r="G569" s="53"/>
      <c r="H569" s="20"/>
      <c r="I569" s="9">
        <v>1</v>
      </c>
      <c r="J569" s="9"/>
      <c r="K569" s="9"/>
      <c r="L569" s="9"/>
      <c r="M569" s="9">
        <f t="shared" si="78"/>
        <v>7.7</v>
      </c>
      <c r="N569" s="9">
        <f t="shared" si="79"/>
        <v>3</v>
      </c>
      <c r="O569" s="9">
        <v>7.7</v>
      </c>
      <c r="P569" s="9">
        <v>3</v>
      </c>
      <c r="Q569" s="9" t="s">
        <v>6</v>
      </c>
      <c r="R569" s="1">
        <v>0</v>
      </c>
      <c r="S569" s="26"/>
    </row>
    <row r="570" spans="1:19" ht="16.5" hidden="1" customHeight="1" x14ac:dyDescent="0.25">
      <c r="A570" s="21"/>
      <c r="H570" s="21"/>
      <c r="I570" s="21"/>
      <c r="J570" s="21"/>
      <c r="K570" s="21"/>
      <c r="L570" s="21"/>
      <c r="M570" s="9">
        <f t="shared" si="78"/>
        <v>0</v>
      </c>
      <c r="N570" s="9">
        <f t="shared" si="79"/>
        <v>0</v>
      </c>
      <c r="O570" s="21"/>
      <c r="P570" s="21"/>
      <c r="Q570" s="21"/>
      <c r="S570" s="25"/>
    </row>
    <row r="571" spans="1:19" ht="16.5" customHeight="1" x14ac:dyDescent="0.25">
      <c r="A571" s="9"/>
      <c r="B571" s="39" t="s">
        <v>42</v>
      </c>
      <c r="C571" s="40"/>
      <c r="D571" s="40"/>
      <c r="E571" s="40"/>
      <c r="F571" s="40"/>
      <c r="G571" s="41"/>
      <c r="H571" s="23"/>
      <c r="I571" s="24">
        <f>SUM(I563:I570)</f>
        <v>16</v>
      </c>
      <c r="J571" s="9"/>
      <c r="K571" s="9"/>
      <c r="L571" s="9"/>
      <c r="M571" s="9">
        <f t="shared" si="78"/>
        <v>98.56</v>
      </c>
      <c r="N571" s="9">
        <f t="shared" si="79"/>
        <v>34.08</v>
      </c>
      <c r="O571" s="24">
        <f>ROUND(SUM(M563:M570)/I571,2)</f>
        <v>6.16</v>
      </c>
      <c r="P571" s="24">
        <f>ROUND(SUM(N563:N570)/I571,2)</f>
        <v>2.13</v>
      </c>
      <c r="Q571" s="9"/>
      <c r="S571" s="25"/>
    </row>
    <row r="572" spans="1:19" ht="20.25" customHeight="1" x14ac:dyDescent="0.25">
      <c r="A572" s="27" t="s">
        <v>70</v>
      </c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</row>
    <row r="573" spans="1:19" ht="16.5" customHeight="1" x14ac:dyDescent="0.25">
      <c r="A573" s="9"/>
      <c r="B573" s="51" t="s">
        <v>71</v>
      </c>
      <c r="C573" s="52"/>
      <c r="D573" s="52"/>
      <c r="E573" s="52"/>
      <c r="F573" s="52"/>
      <c r="G573" s="53"/>
      <c r="H573" s="20"/>
      <c r="I573" s="9">
        <v>4</v>
      </c>
      <c r="J573" s="9"/>
      <c r="K573" s="9"/>
      <c r="L573" s="9"/>
      <c r="M573" s="9">
        <f t="shared" ref="M573:M582" si="80">I573*O573</f>
        <v>34</v>
      </c>
      <c r="N573" s="9">
        <f t="shared" ref="N573:N582" si="81">I573*P573</f>
        <v>14.8</v>
      </c>
      <c r="O573" s="9">
        <v>8.5</v>
      </c>
      <c r="P573" s="9">
        <v>3.7</v>
      </c>
      <c r="Q573" s="9" t="s">
        <v>10</v>
      </c>
      <c r="R573" s="1">
        <v>0</v>
      </c>
      <c r="S573" s="26"/>
    </row>
    <row r="574" spans="1:19" ht="16.5" customHeight="1" x14ac:dyDescent="0.25">
      <c r="A574" s="9"/>
      <c r="B574" s="51" t="s">
        <v>72</v>
      </c>
      <c r="C574" s="52"/>
      <c r="D574" s="52"/>
      <c r="E574" s="52"/>
      <c r="F574" s="52"/>
      <c r="G574" s="53"/>
      <c r="H574" s="20"/>
      <c r="I574" s="9">
        <v>4</v>
      </c>
      <c r="J574" s="9"/>
      <c r="K574" s="9"/>
      <c r="L574" s="9"/>
      <c r="M574" s="9">
        <f t="shared" si="80"/>
        <v>28.4</v>
      </c>
      <c r="N574" s="9">
        <f t="shared" si="81"/>
        <v>12</v>
      </c>
      <c r="O574" s="9">
        <v>7.1</v>
      </c>
      <c r="P574" s="9">
        <v>3</v>
      </c>
      <c r="Q574" s="9" t="s">
        <v>6</v>
      </c>
      <c r="R574" s="1">
        <v>0</v>
      </c>
      <c r="S574" s="26"/>
    </row>
    <row r="575" spans="1:19" ht="16.5" customHeight="1" x14ac:dyDescent="0.25">
      <c r="A575" s="9"/>
      <c r="B575" s="51" t="s">
        <v>73</v>
      </c>
      <c r="C575" s="52"/>
      <c r="D575" s="52"/>
      <c r="E575" s="52"/>
      <c r="F575" s="52"/>
      <c r="G575" s="53"/>
      <c r="H575" s="20"/>
      <c r="I575" s="9">
        <v>1</v>
      </c>
      <c r="J575" s="9"/>
      <c r="K575" s="9"/>
      <c r="L575" s="9"/>
      <c r="M575" s="9">
        <f t="shared" si="80"/>
        <v>7.7</v>
      </c>
      <c r="N575" s="9">
        <f t="shared" si="81"/>
        <v>3</v>
      </c>
      <c r="O575" s="9">
        <v>7.7</v>
      </c>
      <c r="P575" s="9">
        <v>3</v>
      </c>
      <c r="Q575" s="9" t="s">
        <v>6</v>
      </c>
      <c r="R575" s="1">
        <v>0</v>
      </c>
      <c r="S575" s="26"/>
    </row>
    <row r="576" spans="1:19" ht="16.5" customHeight="1" x14ac:dyDescent="0.25">
      <c r="A576" s="9"/>
      <c r="B576" s="51" t="s">
        <v>74</v>
      </c>
      <c r="C576" s="52"/>
      <c r="D576" s="52"/>
      <c r="E576" s="52"/>
      <c r="F576" s="52"/>
      <c r="G576" s="53"/>
      <c r="H576" s="20"/>
      <c r="I576" s="9">
        <v>2</v>
      </c>
      <c r="J576" s="9"/>
      <c r="K576" s="9"/>
      <c r="L576" s="9"/>
      <c r="M576" s="9">
        <f t="shared" si="80"/>
        <v>16</v>
      </c>
      <c r="N576" s="9">
        <f t="shared" si="81"/>
        <v>7</v>
      </c>
      <c r="O576" s="9">
        <v>8</v>
      </c>
      <c r="P576" s="9">
        <v>3.5</v>
      </c>
      <c r="Q576" s="9" t="s">
        <v>9</v>
      </c>
      <c r="R576" s="1">
        <v>0</v>
      </c>
      <c r="S576" s="26"/>
    </row>
    <row r="577" spans="1:19" ht="16.5" customHeight="1" x14ac:dyDescent="0.25">
      <c r="A577" s="9"/>
      <c r="B577" s="51" t="s">
        <v>75</v>
      </c>
      <c r="C577" s="52"/>
      <c r="D577" s="52"/>
      <c r="E577" s="52"/>
      <c r="F577" s="52"/>
      <c r="G577" s="53"/>
      <c r="H577" s="20"/>
      <c r="I577" s="9">
        <v>1</v>
      </c>
      <c r="J577" s="9"/>
      <c r="K577" s="9"/>
      <c r="L577" s="9"/>
      <c r="M577" s="9">
        <f t="shared" si="80"/>
        <v>7.3</v>
      </c>
      <c r="N577" s="9">
        <f t="shared" si="81"/>
        <v>3</v>
      </c>
      <c r="O577" s="9">
        <v>7.3</v>
      </c>
      <c r="P577" s="9">
        <v>3</v>
      </c>
      <c r="Q577" s="9" t="s">
        <v>6</v>
      </c>
      <c r="R577" s="1">
        <v>0</v>
      </c>
      <c r="S577" s="26"/>
    </row>
    <row r="578" spans="1:19" ht="16.5" customHeight="1" x14ac:dyDescent="0.25">
      <c r="A578" s="9"/>
      <c r="B578" s="51" t="s">
        <v>76</v>
      </c>
      <c r="C578" s="52"/>
      <c r="D578" s="52"/>
      <c r="E578" s="52"/>
      <c r="F578" s="52"/>
      <c r="G578" s="53"/>
      <c r="H578" s="20"/>
      <c r="I578" s="9">
        <v>4</v>
      </c>
      <c r="J578" s="9"/>
      <c r="K578" s="9"/>
      <c r="L578" s="9"/>
      <c r="M578" s="9">
        <f t="shared" si="80"/>
        <v>20.8</v>
      </c>
      <c r="N578" s="9">
        <f t="shared" si="81"/>
        <v>6</v>
      </c>
      <c r="O578" s="9">
        <v>5.2</v>
      </c>
      <c r="P578" s="9">
        <v>1.5</v>
      </c>
      <c r="Q578" s="9" t="s">
        <v>4</v>
      </c>
      <c r="R578" s="1">
        <v>0</v>
      </c>
      <c r="S578" s="26"/>
    </row>
    <row r="579" spans="1:19" ht="16.5" customHeight="1" x14ac:dyDescent="0.25">
      <c r="A579" s="9"/>
      <c r="B579" s="51" t="s">
        <v>77</v>
      </c>
      <c r="C579" s="52"/>
      <c r="D579" s="52"/>
      <c r="E579" s="52"/>
      <c r="F579" s="52"/>
      <c r="G579" s="53"/>
      <c r="H579" s="20"/>
      <c r="I579" s="9">
        <v>3</v>
      </c>
      <c r="J579" s="9"/>
      <c r="K579" s="9"/>
      <c r="L579" s="9"/>
      <c r="M579" s="9">
        <f t="shared" si="80"/>
        <v>20.399999999999999</v>
      </c>
      <c r="N579" s="9">
        <f t="shared" si="81"/>
        <v>7.5</v>
      </c>
      <c r="O579" s="9">
        <v>6.8</v>
      </c>
      <c r="P579" s="9">
        <v>2.5</v>
      </c>
      <c r="Q579" s="9" t="s">
        <v>5</v>
      </c>
      <c r="R579" s="1">
        <v>0</v>
      </c>
      <c r="S579" s="26"/>
    </row>
    <row r="580" spans="1:19" ht="16.5" customHeight="1" x14ac:dyDescent="0.25">
      <c r="A580" s="9"/>
      <c r="B580" s="51" t="s">
        <v>78</v>
      </c>
      <c r="C580" s="52"/>
      <c r="D580" s="52"/>
      <c r="E580" s="52"/>
      <c r="F580" s="52"/>
      <c r="G580" s="53"/>
      <c r="H580" s="20"/>
      <c r="I580" s="9">
        <v>4</v>
      </c>
      <c r="J580" s="9"/>
      <c r="K580" s="9"/>
      <c r="L580" s="9"/>
      <c r="M580" s="9">
        <f t="shared" si="80"/>
        <v>28.8</v>
      </c>
      <c r="N580" s="9">
        <f t="shared" si="81"/>
        <v>12</v>
      </c>
      <c r="O580" s="9">
        <v>7.2</v>
      </c>
      <c r="P580" s="9">
        <v>3</v>
      </c>
      <c r="Q580" s="9" t="s">
        <v>6</v>
      </c>
      <c r="R580" s="1">
        <v>0</v>
      </c>
      <c r="S580" s="26"/>
    </row>
    <row r="581" spans="1:19" ht="16.5" hidden="1" customHeight="1" x14ac:dyDescent="0.25">
      <c r="A581" s="21"/>
      <c r="H581" s="21"/>
      <c r="I581" s="21"/>
      <c r="J581" s="21"/>
      <c r="K581" s="21"/>
      <c r="L581" s="21"/>
      <c r="M581" s="9">
        <f t="shared" si="80"/>
        <v>0</v>
      </c>
      <c r="N581" s="9">
        <f t="shared" si="81"/>
        <v>0</v>
      </c>
      <c r="O581" s="21"/>
      <c r="P581" s="21"/>
      <c r="Q581" s="21"/>
      <c r="S581" s="25"/>
    </row>
    <row r="582" spans="1:19" ht="16.5" customHeight="1" x14ac:dyDescent="0.25">
      <c r="A582" s="9"/>
      <c r="B582" s="39" t="s">
        <v>42</v>
      </c>
      <c r="C582" s="40"/>
      <c r="D582" s="40"/>
      <c r="E582" s="40"/>
      <c r="F582" s="40"/>
      <c r="G582" s="41"/>
      <c r="H582" s="23"/>
      <c r="I582" s="24">
        <f>SUM(I573:I581)</f>
        <v>23</v>
      </c>
      <c r="J582" s="9"/>
      <c r="K582" s="9"/>
      <c r="L582" s="9"/>
      <c r="M582" s="9">
        <f t="shared" si="80"/>
        <v>163.29999999999998</v>
      </c>
      <c r="N582" s="9">
        <f t="shared" si="81"/>
        <v>65.319999999999993</v>
      </c>
      <c r="O582" s="24">
        <f>ROUND(SUM(M573:M581)/I582,2)</f>
        <v>7.1</v>
      </c>
      <c r="P582" s="24">
        <f>ROUND(SUM(N573:N581)/I582,2)</f>
        <v>2.84</v>
      </c>
      <c r="Q582" s="9"/>
      <c r="S582" s="25"/>
    </row>
    <row r="583" spans="1:19" ht="20.25" customHeight="1" x14ac:dyDescent="0.25">
      <c r="A583" s="27" t="s">
        <v>79</v>
      </c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</row>
    <row r="584" spans="1:19" ht="16.5" customHeight="1" x14ac:dyDescent="0.25">
      <c r="A584" s="9"/>
      <c r="B584" s="51" t="s">
        <v>80</v>
      </c>
      <c r="C584" s="52"/>
      <c r="D584" s="52"/>
      <c r="E584" s="52"/>
      <c r="F584" s="52"/>
      <c r="G584" s="53"/>
      <c r="H584" s="20"/>
      <c r="I584" s="9">
        <v>3</v>
      </c>
      <c r="J584" s="9"/>
      <c r="K584" s="9"/>
      <c r="L584" s="9"/>
      <c r="M584" s="9">
        <f t="shared" ref="M584:M589" si="82">I584*O584</f>
        <v>15.899999999999999</v>
      </c>
      <c r="N584" s="9">
        <f t="shared" ref="N584:N589" si="83">I584*P584</f>
        <v>4.5</v>
      </c>
      <c r="O584" s="9">
        <v>5.3</v>
      </c>
      <c r="P584" s="9">
        <v>1.5</v>
      </c>
      <c r="Q584" s="9" t="s">
        <v>4</v>
      </c>
      <c r="R584" s="1">
        <v>0</v>
      </c>
      <c r="S584" s="26"/>
    </row>
    <row r="585" spans="1:19" ht="16.5" customHeight="1" x14ac:dyDescent="0.25">
      <c r="A585" s="9"/>
      <c r="B585" s="51" t="s">
        <v>81</v>
      </c>
      <c r="C585" s="52"/>
      <c r="D585" s="52"/>
      <c r="E585" s="52"/>
      <c r="F585" s="52"/>
      <c r="G585" s="53"/>
      <c r="H585" s="20"/>
      <c r="I585" s="9">
        <v>1</v>
      </c>
      <c r="J585" s="9"/>
      <c r="K585" s="9"/>
      <c r="L585" s="9"/>
      <c r="M585" s="9">
        <f t="shared" si="82"/>
        <v>8.5</v>
      </c>
      <c r="N585" s="9">
        <f t="shared" si="83"/>
        <v>3.7</v>
      </c>
      <c r="O585" s="9">
        <v>8.5</v>
      </c>
      <c r="P585" s="9">
        <v>3.7</v>
      </c>
      <c r="Q585" s="9" t="s">
        <v>10</v>
      </c>
      <c r="R585" s="1">
        <v>0</v>
      </c>
      <c r="S585" s="26"/>
    </row>
    <row r="586" spans="1:19" ht="16.5" customHeight="1" x14ac:dyDescent="0.25">
      <c r="A586" s="9"/>
      <c r="B586" s="51" t="s">
        <v>82</v>
      </c>
      <c r="C586" s="52"/>
      <c r="D586" s="52"/>
      <c r="E586" s="52"/>
      <c r="F586" s="52"/>
      <c r="G586" s="53"/>
      <c r="H586" s="20"/>
      <c r="I586" s="9">
        <v>3</v>
      </c>
      <c r="J586" s="9"/>
      <c r="K586" s="9"/>
      <c r="L586" s="9"/>
      <c r="M586" s="9">
        <f t="shared" si="82"/>
        <v>24.299999999999997</v>
      </c>
      <c r="N586" s="9">
        <f t="shared" si="83"/>
        <v>10.5</v>
      </c>
      <c r="O586" s="9">
        <v>8.1</v>
      </c>
      <c r="P586" s="9">
        <v>3.5</v>
      </c>
      <c r="Q586" s="9" t="s">
        <v>9</v>
      </c>
      <c r="R586" s="1">
        <v>0</v>
      </c>
      <c r="S586" s="26"/>
    </row>
    <row r="587" spans="1:19" ht="16.5" customHeight="1" x14ac:dyDescent="0.25">
      <c r="A587" s="9"/>
      <c r="B587" s="51" t="s">
        <v>83</v>
      </c>
      <c r="C587" s="52"/>
      <c r="D587" s="52"/>
      <c r="E587" s="52"/>
      <c r="F587" s="52"/>
      <c r="G587" s="53"/>
      <c r="H587" s="20"/>
      <c r="I587" s="9">
        <v>2</v>
      </c>
      <c r="J587" s="9"/>
      <c r="K587" s="9"/>
      <c r="L587" s="9"/>
      <c r="M587" s="9">
        <f t="shared" si="82"/>
        <v>16.8</v>
      </c>
      <c r="N587" s="9">
        <f t="shared" si="83"/>
        <v>7</v>
      </c>
      <c r="O587" s="9">
        <v>8.4</v>
      </c>
      <c r="P587" s="9">
        <v>3.5</v>
      </c>
      <c r="Q587" s="9" t="s">
        <v>9</v>
      </c>
      <c r="R587" s="1">
        <v>0</v>
      </c>
      <c r="S587" s="26"/>
    </row>
    <row r="588" spans="1:19" ht="16.5" customHeight="1" x14ac:dyDescent="0.25">
      <c r="A588" s="9"/>
      <c r="B588" s="51" t="s">
        <v>84</v>
      </c>
      <c r="C588" s="52"/>
      <c r="D588" s="52"/>
      <c r="E588" s="52"/>
      <c r="F588" s="52"/>
      <c r="G588" s="53"/>
      <c r="H588" s="20"/>
      <c r="I588" s="9">
        <v>2</v>
      </c>
      <c r="J588" s="9"/>
      <c r="K588" s="9"/>
      <c r="L588" s="9"/>
      <c r="M588" s="9">
        <f t="shared" si="82"/>
        <v>16.2</v>
      </c>
      <c r="N588" s="9">
        <f t="shared" si="83"/>
        <v>7</v>
      </c>
      <c r="O588" s="9">
        <v>8.1</v>
      </c>
      <c r="P588" s="9">
        <v>3.5</v>
      </c>
      <c r="Q588" s="9" t="s">
        <v>9</v>
      </c>
      <c r="R588" s="1">
        <v>0</v>
      </c>
      <c r="S588" s="26"/>
    </row>
    <row r="589" spans="1:19" ht="16.5" customHeight="1" x14ac:dyDescent="0.25">
      <c r="A589" s="9"/>
      <c r="B589" s="51" t="s">
        <v>85</v>
      </c>
      <c r="C589" s="52"/>
      <c r="D589" s="52"/>
      <c r="E589" s="52"/>
      <c r="F589" s="52"/>
      <c r="G589" s="53"/>
      <c r="H589" s="20"/>
      <c r="I589" s="9">
        <v>1</v>
      </c>
      <c r="J589" s="9"/>
      <c r="K589" s="9"/>
      <c r="L589" s="9"/>
      <c r="M589" s="9">
        <f t="shared" si="82"/>
        <v>7.5</v>
      </c>
      <c r="N589" s="9">
        <f t="shared" si="83"/>
        <v>3</v>
      </c>
      <c r="O589" s="9">
        <v>7.5</v>
      </c>
      <c r="P589" s="9">
        <v>3</v>
      </c>
      <c r="Q589" s="9" t="s">
        <v>6</v>
      </c>
      <c r="R589" s="1">
        <v>0</v>
      </c>
      <c r="S589" s="26"/>
    </row>
    <row r="590" spans="1:19" ht="15" customHeight="1" x14ac:dyDescent="0.25">
      <c r="A590" s="36" t="s">
        <v>0</v>
      </c>
      <c r="B590" s="29" t="s">
        <v>1</v>
      </c>
      <c r="C590" s="30"/>
      <c r="D590" s="30"/>
      <c r="E590" s="30"/>
      <c r="F590" s="30"/>
      <c r="G590" s="31"/>
      <c r="H590" s="36" t="s">
        <v>32</v>
      </c>
      <c r="I590" s="36" t="s">
        <v>39</v>
      </c>
      <c r="J590" s="55" t="s">
        <v>2</v>
      </c>
      <c r="K590" s="56"/>
      <c r="L590" s="56"/>
      <c r="M590" s="56"/>
      <c r="N590" s="56"/>
      <c r="O590" s="56"/>
      <c r="P590" s="56"/>
      <c r="Q590" s="57"/>
      <c r="S590" s="36" t="s">
        <v>38</v>
      </c>
    </row>
    <row r="591" spans="1:19" ht="24" customHeight="1" x14ac:dyDescent="0.25">
      <c r="A591" s="37"/>
      <c r="B591" s="32"/>
      <c r="C591" s="33"/>
      <c r="D591" s="33"/>
      <c r="E591" s="33"/>
      <c r="F591" s="33"/>
      <c r="G591" s="34"/>
      <c r="H591" s="37"/>
      <c r="I591" s="37"/>
      <c r="J591" s="7" t="s">
        <v>28</v>
      </c>
      <c r="K591" s="7" t="s">
        <v>29</v>
      </c>
      <c r="L591" s="7" t="s">
        <v>30</v>
      </c>
      <c r="M591" s="7"/>
      <c r="N591" s="7"/>
      <c r="O591" s="6" t="s">
        <v>35</v>
      </c>
      <c r="P591" s="6" t="s">
        <v>36</v>
      </c>
      <c r="Q591" s="6" t="s">
        <v>37</v>
      </c>
      <c r="S591" s="37"/>
    </row>
    <row r="592" spans="1:19" ht="16.5" customHeight="1" x14ac:dyDescent="0.25">
      <c r="A592" s="9"/>
      <c r="B592" s="51" t="s">
        <v>86</v>
      </c>
      <c r="C592" s="52"/>
      <c r="D592" s="52"/>
      <c r="E592" s="52"/>
      <c r="F592" s="52"/>
      <c r="G592" s="53"/>
      <c r="H592" s="20"/>
      <c r="I592" s="9">
        <v>2</v>
      </c>
      <c r="J592" s="9"/>
      <c r="K592" s="9"/>
      <c r="L592" s="9"/>
      <c r="M592" s="9">
        <f t="shared" ref="M592:M598" si="84">I592*O592</f>
        <v>16.399999999999999</v>
      </c>
      <c r="N592" s="9">
        <f t="shared" ref="N592:N598" si="85">I592*P592</f>
        <v>7</v>
      </c>
      <c r="O592" s="9">
        <v>8.1999999999999993</v>
      </c>
      <c r="P592" s="9">
        <v>3.5</v>
      </c>
      <c r="Q592" s="9" t="s">
        <v>9</v>
      </c>
      <c r="R592" s="1">
        <v>0</v>
      </c>
      <c r="S592" s="26"/>
    </row>
    <row r="593" spans="1:19" ht="16.5" customHeight="1" x14ac:dyDescent="0.25">
      <c r="A593" s="9"/>
      <c r="B593" s="51" t="s">
        <v>90</v>
      </c>
      <c r="C593" s="52"/>
      <c r="D593" s="52"/>
      <c r="E593" s="52"/>
      <c r="F593" s="52"/>
      <c r="G593" s="53"/>
      <c r="H593" s="20"/>
      <c r="I593" s="9">
        <v>2</v>
      </c>
      <c r="J593" s="9"/>
      <c r="K593" s="9"/>
      <c r="L593" s="9"/>
      <c r="M593" s="9">
        <f t="shared" si="84"/>
        <v>13.6</v>
      </c>
      <c r="N593" s="9">
        <f t="shared" si="85"/>
        <v>5</v>
      </c>
      <c r="O593" s="9">
        <v>6.8</v>
      </c>
      <c r="P593" s="9">
        <v>2.5</v>
      </c>
      <c r="Q593" s="9" t="s">
        <v>5</v>
      </c>
      <c r="R593" s="1">
        <v>0</v>
      </c>
      <c r="S593" s="26"/>
    </row>
    <row r="594" spans="1:19" ht="16.5" customHeight="1" x14ac:dyDescent="0.25">
      <c r="A594" s="9"/>
      <c r="B594" s="51" t="s">
        <v>88</v>
      </c>
      <c r="C594" s="52"/>
      <c r="D594" s="52"/>
      <c r="E594" s="52"/>
      <c r="F594" s="52"/>
      <c r="G594" s="53"/>
      <c r="H594" s="20"/>
      <c r="I594" s="9">
        <v>4</v>
      </c>
      <c r="J594" s="9"/>
      <c r="K594" s="9"/>
      <c r="L594" s="9"/>
      <c r="M594" s="9">
        <f t="shared" si="84"/>
        <v>26</v>
      </c>
      <c r="N594" s="9">
        <f t="shared" si="85"/>
        <v>10</v>
      </c>
      <c r="O594" s="9">
        <v>6.5</v>
      </c>
      <c r="P594" s="9">
        <v>2.5</v>
      </c>
      <c r="Q594" s="9" t="s">
        <v>5</v>
      </c>
      <c r="R594" s="1">
        <v>0</v>
      </c>
      <c r="S594" s="26"/>
    </row>
    <row r="595" spans="1:19" ht="16.5" customHeight="1" x14ac:dyDescent="0.25">
      <c r="A595" s="9"/>
      <c r="B595" s="51" t="s">
        <v>89</v>
      </c>
      <c r="C595" s="52"/>
      <c r="D595" s="52"/>
      <c r="E595" s="52"/>
      <c r="F595" s="52"/>
      <c r="G595" s="53"/>
      <c r="H595" s="20"/>
      <c r="I595" s="9">
        <v>3</v>
      </c>
      <c r="J595" s="9"/>
      <c r="K595" s="9"/>
      <c r="L595" s="9"/>
      <c r="M595" s="9">
        <f t="shared" si="84"/>
        <v>23.4</v>
      </c>
      <c r="N595" s="9">
        <f t="shared" si="85"/>
        <v>9</v>
      </c>
      <c r="O595" s="9">
        <v>7.8</v>
      </c>
      <c r="P595" s="9">
        <v>3</v>
      </c>
      <c r="Q595" s="9" t="s">
        <v>6</v>
      </c>
      <c r="R595" s="1">
        <v>0</v>
      </c>
      <c r="S595" s="26"/>
    </row>
    <row r="596" spans="1:19" ht="16.5" customHeight="1" x14ac:dyDescent="0.25">
      <c r="A596" s="9"/>
      <c r="B596" s="51" t="s">
        <v>87</v>
      </c>
      <c r="C596" s="52"/>
      <c r="D596" s="52"/>
      <c r="E596" s="52"/>
      <c r="F596" s="52"/>
      <c r="G596" s="53"/>
      <c r="H596" s="20"/>
      <c r="I596" s="9">
        <v>3</v>
      </c>
      <c r="J596" s="9"/>
      <c r="K596" s="9"/>
      <c r="L596" s="9"/>
      <c r="M596" s="9">
        <f t="shared" si="84"/>
        <v>24.299999999999997</v>
      </c>
      <c r="N596" s="9">
        <f t="shared" si="85"/>
        <v>10.5</v>
      </c>
      <c r="O596" s="9">
        <v>8.1</v>
      </c>
      <c r="P596" s="9">
        <v>3.5</v>
      </c>
      <c r="Q596" s="9" t="s">
        <v>9</v>
      </c>
      <c r="R596" s="1">
        <v>0</v>
      </c>
      <c r="S596" s="26"/>
    </row>
    <row r="597" spans="1:19" ht="16.5" hidden="1" customHeight="1" x14ac:dyDescent="0.25">
      <c r="A597" s="21"/>
      <c r="H597" s="21"/>
      <c r="I597" s="21"/>
      <c r="J597" s="21"/>
      <c r="K597" s="21"/>
      <c r="L597" s="21"/>
      <c r="M597" s="9">
        <f t="shared" si="84"/>
        <v>0</v>
      </c>
      <c r="N597" s="9">
        <f t="shared" si="85"/>
        <v>0</v>
      </c>
      <c r="O597" s="21"/>
      <c r="P597" s="21"/>
      <c r="Q597" s="21"/>
      <c r="S597" s="25"/>
    </row>
    <row r="598" spans="1:19" ht="16.5" customHeight="1" x14ac:dyDescent="0.25">
      <c r="A598" s="9"/>
      <c r="B598" s="39" t="s">
        <v>42</v>
      </c>
      <c r="C598" s="40"/>
      <c r="D598" s="40"/>
      <c r="E598" s="40"/>
      <c r="F598" s="40"/>
      <c r="G598" s="41"/>
      <c r="H598" s="23"/>
      <c r="I598" s="24">
        <f>SUM(I584:I597)</f>
        <v>26</v>
      </c>
      <c r="J598" s="9"/>
      <c r="K598" s="9"/>
      <c r="L598" s="9"/>
      <c r="M598" s="9">
        <f t="shared" si="84"/>
        <v>192.92</v>
      </c>
      <c r="N598" s="9">
        <f t="shared" si="85"/>
        <v>77.22</v>
      </c>
      <c r="O598" s="24">
        <f>ROUND(SUM(M584:M597)/I598,2)</f>
        <v>7.42</v>
      </c>
      <c r="P598" s="24">
        <f>ROUND(SUM(N584:N597)/I598,2)</f>
        <v>2.97</v>
      </c>
      <c r="Q598" s="9"/>
      <c r="S598" s="25"/>
    </row>
    <row r="599" spans="1:19" ht="20.25" customHeight="1" x14ac:dyDescent="0.25">
      <c r="A599" s="27" t="s">
        <v>91</v>
      </c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</row>
    <row r="600" spans="1:19" ht="16.5" customHeight="1" x14ac:dyDescent="0.25">
      <c r="A600" s="9"/>
      <c r="B600" s="51" t="s">
        <v>92</v>
      </c>
      <c r="C600" s="52"/>
      <c r="D600" s="52"/>
      <c r="E600" s="52"/>
      <c r="F600" s="52"/>
      <c r="G600" s="53"/>
      <c r="H600" s="20"/>
      <c r="I600" s="9">
        <v>1</v>
      </c>
      <c r="J600" s="9"/>
      <c r="K600" s="9"/>
      <c r="L600" s="9"/>
      <c r="M600" s="9">
        <f t="shared" ref="M600:M611" si="86">I600*O600</f>
        <v>8.1</v>
      </c>
      <c r="N600" s="9">
        <f t="shared" ref="N600:N611" si="87">I600*P600</f>
        <v>3.5</v>
      </c>
      <c r="O600" s="9">
        <v>8.1</v>
      </c>
      <c r="P600" s="9">
        <v>3.5</v>
      </c>
      <c r="Q600" s="9" t="s">
        <v>9</v>
      </c>
      <c r="R600" s="1">
        <v>0</v>
      </c>
      <c r="S600" s="26"/>
    </row>
    <row r="601" spans="1:19" ht="16.5" customHeight="1" x14ac:dyDescent="0.25">
      <c r="A601" s="9"/>
      <c r="B601" s="51" t="s">
        <v>93</v>
      </c>
      <c r="C601" s="52"/>
      <c r="D601" s="52"/>
      <c r="E601" s="52"/>
      <c r="F601" s="52"/>
      <c r="G601" s="53"/>
      <c r="H601" s="20"/>
      <c r="I601" s="9">
        <v>3</v>
      </c>
      <c r="J601" s="9"/>
      <c r="K601" s="9"/>
      <c r="L601" s="9"/>
      <c r="M601" s="9">
        <f t="shared" si="86"/>
        <v>22.799999999999997</v>
      </c>
      <c r="N601" s="9">
        <f t="shared" si="87"/>
        <v>9</v>
      </c>
      <c r="O601" s="9">
        <v>7.6</v>
      </c>
      <c r="P601" s="9">
        <v>3</v>
      </c>
      <c r="Q601" s="9" t="s">
        <v>6</v>
      </c>
      <c r="R601" s="1">
        <v>0</v>
      </c>
      <c r="S601" s="26"/>
    </row>
    <row r="602" spans="1:19" ht="16.5" customHeight="1" x14ac:dyDescent="0.25">
      <c r="A602" s="9"/>
      <c r="B602" s="51" t="s">
        <v>94</v>
      </c>
      <c r="C602" s="52"/>
      <c r="D602" s="52"/>
      <c r="E602" s="52"/>
      <c r="F602" s="52"/>
      <c r="G602" s="53"/>
      <c r="H602" s="20"/>
      <c r="I602" s="9">
        <v>3</v>
      </c>
      <c r="J602" s="9"/>
      <c r="K602" s="9"/>
      <c r="L602" s="9"/>
      <c r="M602" s="9">
        <f t="shared" si="86"/>
        <v>25.5</v>
      </c>
      <c r="N602" s="9">
        <f t="shared" si="87"/>
        <v>11.100000000000001</v>
      </c>
      <c r="O602" s="9">
        <v>8.5</v>
      </c>
      <c r="P602" s="9">
        <v>3.7</v>
      </c>
      <c r="Q602" s="9" t="s">
        <v>10</v>
      </c>
      <c r="R602" s="1">
        <v>0</v>
      </c>
      <c r="S602" s="26"/>
    </row>
    <row r="603" spans="1:19" ht="16.5" customHeight="1" x14ac:dyDescent="0.25">
      <c r="A603" s="9"/>
      <c r="B603" s="51" t="s">
        <v>95</v>
      </c>
      <c r="C603" s="52"/>
      <c r="D603" s="52"/>
      <c r="E603" s="52"/>
      <c r="F603" s="52"/>
      <c r="G603" s="53"/>
      <c r="H603" s="20"/>
      <c r="I603" s="9">
        <v>1</v>
      </c>
      <c r="J603" s="9"/>
      <c r="K603" s="9"/>
      <c r="L603" s="9"/>
      <c r="M603" s="9">
        <f t="shared" si="86"/>
        <v>7.8</v>
      </c>
      <c r="N603" s="9">
        <f t="shared" si="87"/>
        <v>3</v>
      </c>
      <c r="O603" s="9">
        <v>7.8</v>
      </c>
      <c r="P603" s="9">
        <v>3</v>
      </c>
      <c r="Q603" s="9" t="s">
        <v>6</v>
      </c>
      <c r="R603" s="1">
        <v>0</v>
      </c>
      <c r="S603" s="26"/>
    </row>
    <row r="604" spans="1:19" ht="16.5" customHeight="1" x14ac:dyDescent="0.25">
      <c r="A604" s="9"/>
      <c r="B604" s="51" t="s">
        <v>96</v>
      </c>
      <c r="C604" s="52"/>
      <c r="D604" s="52"/>
      <c r="E604" s="52"/>
      <c r="F604" s="52"/>
      <c r="G604" s="53"/>
      <c r="H604" s="20"/>
      <c r="I604" s="9">
        <v>1</v>
      </c>
      <c r="J604" s="9"/>
      <c r="K604" s="9"/>
      <c r="L604" s="9"/>
      <c r="M604" s="9">
        <f t="shared" si="86"/>
        <v>7.8</v>
      </c>
      <c r="N604" s="9">
        <f t="shared" si="87"/>
        <v>3</v>
      </c>
      <c r="O604" s="9">
        <v>7.8</v>
      </c>
      <c r="P604" s="9">
        <v>3</v>
      </c>
      <c r="Q604" s="9" t="s">
        <v>6</v>
      </c>
      <c r="R604" s="1">
        <v>0</v>
      </c>
      <c r="S604" s="26"/>
    </row>
    <row r="605" spans="1:19" ht="16.5" customHeight="1" x14ac:dyDescent="0.25">
      <c r="A605" s="9"/>
      <c r="B605" s="51" t="s">
        <v>97</v>
      </c>
      <c r="C605" s="52"/>
      <c r="D605" s="52"/>
      <c r="E605" s="52"/>
      <c r="F605" s="52"/>
      <c r="G605" s="53"/>
      <c r="H605" s="20"/>
      <c r="I605" s="9">
        <v>2</v>
      </c>
      <c r="J605" s="9"/>
      <c r="K605" s="9"/>
      <c r="L605" s="9"/>
      <c r="M605" s="9">
        <f t="shared" si="86"/>
        <v>15.6</v>
      </c>
      <c r="N605" s="9">
        <f t="shared" si="87"/>
        <v>6</v>
      </c>
      <c r="O605" s="9">
        <v>7.8</v>
      </c>
      <c r="P605" s="9">
        <v>3</v>
      </c>
      <c r="Q605" s="9" t="s">
        <v>6</v>
      </c>
      <c r="R605" s="1">
        <v>0</v>
      </c>
      <c r="S605" s="26"/>
    </row>
    <row r="606" spans="1:19" ht="16.5" customHeight="1" x14ac:dyDescent="0.25">
      <c r="A606" s="9"/>
      <c r="B606" s="51" t="s">
        <v>100</v>
      </c>
      <c r="C606" s="52"/>
      <c r="D606" s="52"/>
      <c r="E606" s="52"/>
      <c r="F606" s="52"/>
      <c r="G606" s="53"/>
      <c r="H606" s="20"/>
      <c r="I606" s="9">
        <v>2</v>
      </c>
      <c r="J606" s="9"/>
      <c r="K606" s="9"/>
      <c r="L606" s="9"/>
      <c r="M606" s="9">
        <f t="shared" si="86"/>
        <v>16.2</v>
      </c>
      <c r="N606" s="9">
        <f t="shared" si="87"/>
        <v>7</v>
      </c>
      <c r="O606" s="9">
        <v>8.1</v>
      </c>
      <c r="P606" s="9">
        <v>3.5</v>
      </c>
      <c r="Q606" s="9" t="s">
        <v>9</v>
      </c>
      <c r="R606" s="1">
        <v>0</v>
      </c>
      <c r="S606" s="26"/>
    </row>
    <row r="607" spans="1:19" ht="16.5" customHeight="1" x14ac:dyDescent="0.25">
      <c r="A607" s="9"/>
      <c r="B607" s="51" t="s">
        <v>99</v>
      </c>
      <c r="C607" s="52"/>
      <c r="D607" s="52"/>
      <c r="E607" s="52"/>
      <c r="F607" s="52"/>
      <c r="G607" s="53"/>
      <c r="H607" s="20"/>
      <c r="I607" s="9">
        <v>2</v>
      </c>
      <c r="J607" s="9"/>
      <c r="K607" s="9"/>
      <c r="L607" s="9"/>
      <c r="M607" s="9">
        <f t="shared" si="86"/>
        <v>17.2</v>
      </c>
      <c r="N607" s="9">
        <f t="shared" si="87"/>
        <v>7.4</v>
      </c>
      <c r="O607" s="9">
        <v>8.6</v>
      </c>
      <c r="P607" s="9">
        <v>3.7</v>
      </c>
      <c r="Q607" s="9" t="s">
        <v>10</v>
      </c>
      <c r="R607" s="1">
        <v>0</v>
      </c>
      <c r="S607" s="26"/>
    </row>
    <row r="608" spans="1:19" ht="16.5" customHeight="1" x14ac:dyDescent="0.25">
      <c r="A608" s="9"/>
      <c r="B608" s="51" t="s">
        <v>98</v>
      </c>
      <c r="C608" s="52"/>
      <c r="D608" s="52"/>
      <c r="E608" s="52"/>
      <c r="F608" s="52"/>
      <c r="G608" s="53"/>
      <c r="H608" s="20"/>
      <c r="I608" s="9">
        <v>2</v>
      </c>
      <c r="J608" s="9"/>
      <c r="K608" s="9"/>
      <c r="L608" s="9"/>
      <c r="M608" s="9">
        <f t="shared" si="86"/>
        <v>15.8</v>
      </c>
      <c r="N608" s="9">
        <f t="shared" si="87"/>
        <v>6</v>
      </c>
      <c r="O608" s="9">
        <v>7.9</v>
      </c>
      <c r="P608" s="9">
        <v>3</v>
      </c>
      <c r="Q608" s="9" t="s">
        <v>6</v>
      </c>
      <c r="R608" s="1">
        <v>0</v>
      </c>
      <c r="S608" s="26"/>
    </row>
    <row r="609" spans="1:19" ht="16.5" customHeight="1" x14ac:dyDescent="0.25">
      <c r="A609" s="9"/>
      <c r="B609" s="51" t="s">
        <v>101</v>
      </c>
      <c r="C609" s="52"/>
      <c r="D609" s="52"/>
      <c r="E609" s="52"/>
      <c r="F609" s="52"/>
      <c r="G609" s="53"/>
      <c r="H609" s="20"/>
      <c r="I609" s="9">
        <v>4</v>
      </c>
      <c r="J609" s="9"/>
      <c r="K609" s="9"/>
      <c r="L609" s="9"/>
      <c r="M609" s="9">
        <f t="shared" si="86"/>
        <v>28</v>
      </c>
      <c r="N609" s="9">
        <f t="shared" si="87"/>
        <v>12</v>
      </c>
      <c r="O609" s="9">
        <v>7</v>
      </c>
      <c r="P609" s="9">
        <v>3</v>
      </c>
      <c r="Q609" s="9" t="s">
        <v>6</v>
      </c>
      <c r="R609" s="1">
        <v>0</v>
      </c>
      <c r="S609" s="26"/>
    </row>
    <row r="610" spans="1:19" ht="16.5" hidden="1" customHeight="1" x14ac:dyDescent="0.25">
      <c r="A610" s="21"/>
      <c r="H610" s="21"/>
      <c r="I610" s="21"/>
      <c r="J610" s="21"/>
      <c r="K610" s="21"/>
      <c r="L610" s="21"/>
      <c r="M610" s="9">
        <f t="shared" si="86"/>
        <v>0</v>
      </c>
      <c r="N610" s="9">
        <f t="shared" si="87"/>
        <v>0</v>
      </c>
      <c r="O610" s="21"/>
      <c r="P610" s="21"/>
      <c r="Q610" s="21"/>
      <c r="S610" s="25"/>
    </row>
    <row r="611" spans="1:19" ht="16.5" customHeight="1" x14ac:dyDescent="0.25">
      <c r="A611" s="9"/>
      <c r="B611" s="39" t="s">
        <v>42</v>
      </c>
      <c r="C611" s="40"/>
      <c r="D611" s="40"/>
      <c r="E611" s="40"/>
      <c r="F611" s="40"/>
      <c r="G611" s="41"/>
      <c r="H611" s="23"/>
      <c r="I611" s="24">
        <f>SUM(I600:I610)</f>
        <v>21</v>
      </c>
      <c r="J611" s="9"/>
      <c r="K611" s="9"/>
      <c r="L611" s="9"/>
      <c r="M611" s="9">
        <f t="shared" si="86"/>
        <v>164.85</v>
      </c>
      <c r="N611" s="9">
        <f t="shared" si="87"/>
        <v>68.040000000000006</v>
      </c>
      <c r="O611" s="24">
        <f>ROUND(SUM(M600:M610)/I611,2)</f>
        <v>7.85</v>
      </c>
      <c r="P611" s="24">
        <f>ROUND(SUM(N600:N610)/I611,2)</f>
        <v>3.24</v>
      </c>
      <c r="Q611" s="9"/>
      <c r="S611" s="25"/>
    </row>
    <row r="612" spans="1:19" ht="20.25" customHeight="1" x14ac:dyDescent="0.25">
      <c r="A612" s="27" t="s">
        <v>102</v>
      </c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</row>
    <row r="613" spans="1:19" ht="16.5" customHeight="1" x14ac:dyDescent="0.25">
      <c r="A613" s="9"/>
      <c r="B613" s="51" t="s">
        <v>103</v>
      </c>
      <c r="C613" s="52"/>
      <c r="D613" s="52"/>
      <c r="E613" s="52"/>
      <c r="F613" s="52"/>
      <c r="G613" s="53"/>
      <c r="H613" s="20"/>
      <c r="I613" s="9">
        <v>1</v>
      </c>
      <c r="J613" s="9"/>
      <c r="K613" s="9"/>
      <c r="L613" s="9"/>
      <c r="M613" s="9">
        <f t="shared" ref="M613:M624" si="88">I613*O613</f>
        <v>7.6</v>
      </c>
      <c r="N613" s="9">
        <f t="shared" ref="N613:N624" si="89">I613*P613</f>
        <v>3</v>
      </c>
      <c r="O613" s="9">
        <v>7.6</v>
      </c>
      <c r="P613" s="9">
        <v>3</v>
      </c>
      <c r="Q613" s="9" t="s">
        <v>6</v>
      </c>
      <c r="R613" s="1">
        <v>0</v>
      </c>
      <c r="S613" s="26"/>
    </row>
    <row r="614" spans="1:19" ht="16.5" customHeight="1" x14ac:dyDescent="0.25">
      <c r="A614" s="9"/>
      <c r="B614" s="51" t="s">
        <v>104</v>
      </c>
      <c r="C614" s="52"/>
      <c r="D614" s="52"/>
      <c r="E614" s="52"/>
      <c r="F614" s="52"/>
      <c r="G614" s="53"/>
      <c r="H614" s="20"/>
      <c r="I614" s="9">
        <v>3</v>
      </c>
      <c r="J614" s="9"/>
      <c r="K614" s="9"/>
      <c r="L614" s="9"/>
      <c r="M614" s="9">
        <f t="shared" si="88"/>
        <v>23.4</v>
      </c>
      <c r="N614" s="9">
        <f t="shared" si="89"/>
        <v>9</v>
      </c>
      <c r="O614" s="9">
        <v>7.8</v>
      </c>
      <c r="P614" s="9">
        <v>3</v>
      </c>
      <c r="Q614" s="9" t="s">
        <v>6</v>
      </c>
      <c r="R614" s="1">
        <v>0</v>
      </c>
      <c r="S614" s="26"/>
    </row>
    <row r="615" spans="1:19" ht="16.5" customHeight="1" x14ac:dyDescent="0.25">
      <c r="A615" s="9"/>
      <c r="B615" s="51" t="s">
        <v>105</v>
      </c>
      <c r="C615" s="52"/>
      <c r="D615" s="52"/>
      <c r="E615" s="52"/>
      <c r="F615" s="52"/>
      <c r="G615" s="53"/>
      <c r="H615" s="20"/>
      <c r="I615" s="9">
        <v>3</v>
      </c>
      <c r="J615" s="9"/>
      <c r="K615" s="9"/>
      <c r="L615" s="9"/>
      <c r="M615" s="9">
        <f t="shared" si="88"/>
        <v>25.799999999999997</v>
      </c>
      <c r="N615" s="9">
        <f t="shared" si="89"/>
        <v>11.100000000000001</v>
      </c>
      <c r="O615" s="9">
        <v>8.6</v>
      </c>
      <c r="P615" s="9">
        <v>3.7</v>
      </c>
      <c r="Q615" s="9" t="s">
        <v>10</v>
      </c>
      <c r="R615" s="1">
        <v>0</v>
      </c>
      <c r="S615" s="26"/>
    </row>
    <row r="616" spans="1:19" ht="16.5" customHeight="1" x14ac:dyDescent="0.25">
      <c r="A616" s="9"/>
      <c r="B616" s="51" t="s">
        <v>106</v>
      </c>
      <c r="C616" s="52"/>
      <c r="D616" s="52"/>
      <c r="E616" s="52"/>
      <c r="F616" s="52"/>
      <c r="G616" s="53"/>
      <c r="H616" s="20"/>
      <c r="I616" s="9">
        <v>3</v>
      </c>
      <c r="J616" s="9"/>
      <c r="K616" s="9"/>
      <c r="L616" s="9"/>
      <c r="M616" s="9">
        <f t="shared" si="88"/>
        <v>26.400000000000002</v>
      </c>
      <c r="N616" s="9">
        <f t="shared" si="89"/>
        <v>11.100000000000001</v>
      </c>
      <c r="O616" s="9">
        <v>8.8000000000000007</v>
      </c>
      <c r="P616" s="9">
        <v>3.7</v>
      </c>
      <c r="Q616" s="9" t="s">
        <v>10</v>
      </c>
      <c r="R616" s="1">
        <v>0</v>
      </c>
      <c r="S616" s="26"/>
    </row>
    <row r="617" spans="1:19" ht="16.5" customHeight="1" x14ac:dyDescent="0.25">
      <c r="A617" s="9"/>
      <c r="B617" s="51" t="s">
        <v>107</v>
      </c>
      <c r="C617" s="52"/>
      <c r="D617" s="52"/>
      <c r="E617" s="52"/>
      <c r="F617" s="52"/>
      <c r="G617" s="53"/>
      <c r="H617" s="20"/>
      <c r="I617" s="9">
        <v>2</v>
      </c>
      <c r="J617" s="9"/>
      <c r="K617" s="9"/>
      <c r="L617" s="9"/>
      <c r="M617" s="9">
        <f t="shared" si="88"/>
        <v>15.2</v>
      </c>
      <c r="N617" s="9">
        <f t="shared" si="89"/>
        <v>6</v>
      </c>
      <c r="O617" s="9">
        <v>7.6</v>
      </c>
      <c r="P617" s="9">
        <v>3</v>
      </c>
      <c r="Q617" s="9" t="s">
        <v>6</v>
      </c>
      <c r="R617" s="1">
        <v>0</v>
      </c>
      <c r="S617" s="26"/>
    </row>
    <row r="618" spans="1:19" ht="16.5" customHeight="1" x14ac:dyDescent="0.25">
      <c r="A618" s="9"/>
      <c r="B618" s="51" t="s">
        <v>108</v>
      </c>
      <c r="C618" s="52"/>
      <c r="D618" s="52"/>
      <c r="E618" s="52"/>
      <c r="F618" s="52"/>
      <c r="G618" s="53"/>
      <c r="H618" s="20"/>
      <c r="I618" s="9">
        <v>2</v>
      </c>
      <c r="J618" s="9"/>
      <c r="K618" s="9"/>
      <c r="L618" s="9"/>
      <c r="M618" s="9">
        <f t="shared" si="88"/>
        <v>17.399999999999999</v>
      </c>
      <c r="N618" s="9">
        <f t="shared" si="89"/>
        <v>7.4</v>
      </c>
      <c r="O618" s="9">
        <v>8.6999999999999993</v>
      </c>
      <c r="P618" s="9">
        <v>3.7</v>
      </c>
      <c r="Q618" s="9" t="s">
        <v>10</v>
      </c>
      <c r="R618" s="1">
        <v>0</v>
      </c>
      <c r="S618" s="26"/>
    </row>
    <row r="619" spans="1:19" ht="16.5" customHeight="1" x14ac:dyDescent="0.25">
      <c r="A619" s="9"/>
      <c r="B619" s="51" t="s">
        <v>109</v>
      </c>
      <c r="C619" s="52"/>
      <c r="D619" s="52"/>
      <c r="E619" s="52"/>
      <c r="F619" s="52"/>
      <c r="G619" s="53"/>
      <c r="H619" s="20"/>
      <c r="I619" s="9">
        <v>2</v>
      </c>
      <c r="J619" s="9"/>
      <c r="K619" s="9"/>
      <c r="L619" s="9"/>
      <c r="M619" s="9">
        <f t="shared" si="88"/>
        <v>14.4</v>
      </c>
      <c r="N619" s="9">
        <f t="shared" si="89"/>
        <v>6</v>
      </c>
      <c r="O619" s="9">
        <v>7.2</v>
      </c>
      <c r="P619" s="9">
        <v>3</v>
      </c>
      <c r="Q619" s="9" t="s">
        <v>6</v>
      </c>
      <c r="R619" s="1">
        <v>0</v>
      </c>
      <c r="S619" s="26"/>
    </row>
    <row r="620" spans="1:19" ht="16.5" customHeight="1" x14ac:dyDescent="0.25">
      <c r="A620" s="9"/>
      <c r="B620" s="51" t="s">
        <v>110</v>
      </c>
      <c r="C620" s="52"/>
      <c r="D620" s="52"/>
      <c r="E620" s="52"/>
      <c r="F620" s="52"/>
      <c r="G620" s="53"/>
      <c r="H620" s="20"/>
      <c r="I620" s="9">
        <v>4</v>
      </c>
      <c r="J620" s="9"/>
      <c r="K620" s="9"/>
      <c r="L620" s="9"/>
      <c r="M620" s="9">
        <f t="shared" si="88"/>
        <v>33.6</v>
      </c>
      <c r="N620" s="9">
        <f t="shared" si="89"/>
        <v>14</v>
      </c>
      <c r="O620" s="9">
        <v>8.4</v>
      </c>
      <c r="P620" s="9">
        <v>3.5</v>
      </c>
      <c r="Q620" s="9" t="s">
        <v>9</v>
      </c>
      <c r="R620" s="1">
        <v>0</v>
      </c>
      <c r="S620" s="26"/>
    </row>
    <row r="621" spans="1:19" ht="16.5" customHeight="1" x14ac:dyDescent="0.25">
      <c r="A621" s="9"/>
      <c r="B621" s="51" t="s">
        <v>111</v>
      </c>
      <c r="C621" s="52"/>
      <c r="D621" s="52"/>
      <c r="E621" s="52"/>
      <c r="F621" s="52"/>
      <c r="G621" s="53"/>
      <c r="H621" s="20"/>
      <c r="I621" s="9">
        <v>2</v>
      </c>
      <c r="J621" s="9"/>
      <c r="K621" s="9"/>
      <c r="L621" s="9"/>
      <c r="M621" s="9">
        <f t="shared" si="88"/>
        <v>14.8</v>
      </c>
      <c r="N621" s="9">
        <f t="shared" si="89"/>
        <v>6</v>
      </c>
      <c r="O621" s="9">
        <v>7.4</v>
      </c>
      <c r="P621" s="9">
        <v>3</v>
      </c>
      <c r="Q621" s="9" t="s">
        <v>6</v>
      </c>
      <c r="R621" s="1">
        <v>0</v>
      </c>
      <c r="S621" s="26"/>
    </row>
    <row r="622" spans="1:19" ht="16.5" customHeight="1" x14ac:dyDescent="0.25">
      <c r="A622" s="9"/>
      <c r="B622" s="51" t="s">
        <v>112</v>
      </c>
      <c r="C622" s="52"/>
      <c r="D622" s="52"/>
      <c r="E622" s="52"/>
      <c r="F622" s="52"/>
      <c r="G622" s="53"/>
      <c r="H622" s="20"/>
      <c r="I622" s="9">
        <v>3</v>
      </c>
      <c r="J622" s="9"/>
      <c r="K622" s="9"/>
      <c r="L622" s="9"/>
      <c r="M622" s="9">
        <f t="shared" si="88"/>
        <v>24</v>
      </c>
      <c r="N622" s="9">
        <f t="shared" si="89"/>
        <v>10.5</v>
      </c>
      <c r="O622" s="9">
        <v>8</v>
      </c>
      <c r="P622" s="9">
        <v>3.5</v>
      </c>
      <c r="Q622" s="9" t="s">
        <v>9</v>
      </c>
      <c r="R622" s="1">
        <v>0</v>
      </c>
      <c r="S622" s="26"/>
    </row>
    <row r="623" spans="1:19" ht="16.5" hidden="1" customHeight="1" x14ac:dyDescent="0.25">
      <c r="A623" s="21"/>
      <c r="H623" s="21"/>
      <c r="I623" s="21"/>
      <c r="J623" s="21"/>
      <c r="K623" s="21"/>
      <c r="L623" s="21"/>
      <c r="M623" s="9">
        <f t="shared" si="88"/>
        <v>0</v>
      </c>
      <c r="N623" s="9">
        <f t="shared" si="89"/>
        <v>0</v>
      </c>
      <c r="O623" s="21"/>
      <c r="P623" s="21"/>
      <c r="Q623" s="21"/>
      <c r="S623" s="25"/>
    </row>
    <row r="624" spans="1:19" ht="16.5" customHeight="1" x14ac:dyDescent="0.25">
      <c r="A624" s="9"/>
      <c r="B624" s="39" t="s">
        <v>42</v>
      </c>
      <c r="C624" s="40"/>
      <c r="D624" s="40"/>
      <c r="E624" s="40"/>
      <c r="F624" s="40"/>
      <c r="G624" s="41"/>
      <c r="H624" s="23"/>
      <c r="I624" s="24">
        <f>SUM(I613:I623)</f>
        <v>25</v>
      </c>
      <c r="J624" s="9"/>
      <c r="K624" s="9"/>
      <c r="L624" s="9"/>
      <c r="M624" s="9">
        <f t="shared" si="88"/>
        <v>202.5</v>
      </c>
      <c r="N624" s="9">
        <f t="shared" si="89"/>
        <v>84</v>
      </c>
      <c r="O624" s="24">
        <f>ROUND(SUM(M613:M623)/I624,2)</f>
        <v>8.1</v>
      </c>
      <c r="P624" s="24">
        <f>ROUND(SUM(N613:N623)/I624,2)</f>
        <v>3.36</v>
      </c>
      <c r="Q624" s="9"/>
      <c r="S624" s="25"/>
    </row>
    <row r="625" spans="1:19" ht="20.25" customHeight="1" x14ac:dyDescent="0.25">
      <c r="A625" s="27" t="s">
        <v>113</v>
      </c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</row>
    <row r="626" spans="1:19" ht="16.5" customHeight="1" x14ac:dyDescent="0.25">
      <c r="A626" s="9"/>
      <c r="B626" s="51" t="s">
        <v>114</v>
      </c>
      <c r="C626" s="52"/>
      <c r="D626" s="52"/>
      <c r="E626" s="52"/>
      <c r="F626" s="52"/>
      <c r="G626" s="53"/>
      <c r="H626" s="20"/>
      <c r="I626" s="9">
        <v>3</v>
      </c>
      <c r="J626" s="9"/>
      <c r="K626" s="9"/>
      <c r="L626" s="9"/>
      <c r="M626" s="9">
        <f t="shared" ref="M626:M634" si="90">I626*O626</f>
        <v>0</v>
      </c>
      <c r="N626" s="9">
        <f t="shared" ref="N626:N634" si="91">I626*P626</f>
        <v>0</v>
      </c>
      <c r="O626" s="9"/>
      <c r="P626" s="9"/>
      <c r="Q626" s="9"/>
      <c r="R626" s="1">
        <v>0</v>
      </c>
      <c r="S626" s="26"/>
    </row>
    <row r="627" spans="1:19" ht="16.5" customHeight="1" x14ac:dyDescent="0.25">
      <c r="A627" s="9"/>
      <c r="B627" s="51" t="s">
        <v>115</v>
      </c>
      <c r="C627" s="52"/>
      <c r="D627" s="52"/>
      <c r="E627" s="52"/>
      <c r="F627" s="52"/>
      <c r="G627" s="53"/>
      <c r="H627" s="20"/>
      <c r="I627" s="9">
        <v>3</v>
      </c>
      <c r="J627" s="9"/>
      <c r="K627" s="9"/>
      <c r="L627" s="9"/>
      <c r="M627" s="9">
        <f t="shared" si="90"/>
        <v>0</v>
      </c>
      <c r="N627" s="9">
        <f t="shared" si="91"/>
        <v>0</v>
      </c>
      <c r="O627" s="9"/>
      <c r="P627" s="9"/>
      <c r="Q627" s="9"/>
      <c r="R627" s="1">
        <v>0</v>
      </c>
      <c r="S627" s="26"/>
    </row>
    <row r="628" spans="1:19" ht="16.5" customHeight="1" x14ac:dyDescent="0.25">
      <c r="A628" s="9"/>
      <c r="B628" s="51" t="s">
        <v>116</v>
      </c>
      <c r="C628" s="52"/>
      <c r="D628" s="52"/>
      <c r="E628" s="52"/>
      <c r="F628" s="52"/>
      <c r="G628" s="53"/>
      <c r="H628" s="20"/>
      <c r="I628" s="9">
        <v>3</v>
      </c>
      <c r="J628" s="9"/>
      <c r="K628" s="9"/>
      <c r="L628" s="9"/>
      <c r="M628" s="9">
        <f t="shared" si="90"/>
        <v>0</v>
      </c>
      <c r="N628" s="9">
        <f t="shared" si="91"/>
        <v>0</v>
      </c>
      <c r="O628" s="9"/>
      <c r="P628" s="9"/>
      <c r="Q628" s="9"/>
      <c r="R628" s="1">
        <v>0</v>
      </c>
      <c r="S628" s="26"/>
    </row>
    <row r="629" spans="1:19" ht="16.5" customHeight="1" x14ac:dyDescent="0.25">
      <c r="A629" s="9"/>
      <c r="B629" s="51" t="s">
        <v>117</v>
      </c>
      <c r="C629" s="52"/>
      <c r="D629" s="52"/>
      <c r="E629" s="52"/>
      <c r="F629" s="52"/>
      <c r="G629" s="53"/>
      <c r="H629" s="20"/>
      <c r="I629" s="9">
        <v>1</v>
      </c>
      <c r="J629" s="9"/>
      <c r="K629" s="9"/>
      <c r="L629" s="9"/>
      <c r="M629" s="9">
        <f t="shared" si="90"/>
        <v>7.7</v>
      </c>
      <c r="N629" s="9">
        <f t="shared" si="91"/>
        <v>3</v>
      </c>
      <c r="O629" s="9">
        <v>7.7</v>
      </c>
      <c r="P629" s="9">
        <v>3</v>
      </c>
      <c r="Q629" s="9" t="s">
        <v>6</v>
      </c>
      <c r="R629" s="1">
        <v>0</v>
      </c>
      <c r="S629" s="26"/>
    </row>
    <row r="630" spans="1:19" ht="16.5" customHeight="1" x14ac:dyDescent="0.25">
      <c r="A630" s="9"/>
      <c r="B630" s="51" t="s">
        <v>118</v>
      </c>
      <c r="C630" s="52"/>
      <c r="D630" s="52"/>
      <c r="E630" s="52"/>
      <c r="F630" s="52"/>
      <c r="G630" s="53"/>
      <c r="H630" s="20"/>
      <c r="I630" s="9">
        <v>3</v>
      </c>
      <c r="J630" s="9"/>
      <c r="K630" s="9"/>
      <c r="L630" s="9"/>
      <c r="M630" s="9">
        <f t="shared" si="90"/>
        <v>0</v>
      </c>
      <c r="N630" s="9">
        <f t="shared" si="91"/>
        <v>0</v>
      </c>
      <c r="O630" s="9"/>
      <c r="P630" s="9"/>
      <c r="Q630" s="9"/>
      <c r="R630" s="1">
        <v>0</v>
      </c>
      <c r="S630" s="26"/>
    </row>
    <row r="631" spans="1:19" ht="16.5" customHeight="1" x14ac:dyDescent="0.25">
      <c r="A631" s="9"/>
      <c r="B631" s="51" t="s">
        <v>119</v>
      </c>
      <c r="C631" s="52"/>
      <c r="D631" s="52"/>
      <c r="E631" s="52"/>
      <c r="F631" s="52"/>
      <c r="G631" s="53"/>
      <c r="H631" s="20"/>
      <c r="I631" s="9">
        <v>3</v>
      </c>
      <c r="J631" s="9"/>
      <c r="K631" s="9"/>
      <c r="L631" s="9"/>
      <c r="M631" s="9">
        <f t="shared" si="90"/>
        <v>0</v>
      </c>
      <c r="N631" s="9">
        <f t="shared" si="91"/>
        <v>0</v>
      </c>
      <c r="O631" s="9"/>
      <c r="P631" s="9"/>
      <c r="Q631" s="9"/>
      <c r="R631" s="1">
        <v>0</v>
      </c>
      <c r="S631" s="26"/>
    </row>
    <row r="632" spans="1:19" ht="16.5" customHeight="1" x14ac:dyDescent="0.25">
      <c r="A632" s="9"/>
      <c r="B632" s="51" t="s">
        <v>120</v>
      </c>
      <c r="C632" s="52"/>
      <c r="D632" s="52"/>
      <c r="E632" s="52"/>
      <c r="F632" s="52"/>
      <c r="G632" s="53"/>
      <c r="H632" s="20"/>
      <c r="I632" s="9">
        <v>2</v>
      </c>
      <c r="J632" s="9"/>
      <c r="K632" s="9"/>
      <c r="L632" s="9"/>
      <c r="M632" s="9">
        <f t="shared" si="90"/>
        <v>15</v>
      </c>
      <c r="N632" s="9">
        <f t="shared" si="91"/>
        <v>6</v>
      </c>
      <c r="O632" s="9">
        <v>7.5</v>
      </c>
      <c r="P632" s="9">
        <v>3</v>
      </c>
      <c r="Q632" s="9" t="s">
        <v>6</v>
      </c>
      <c r="R632" s="1">
        <v>0</v>
      </c>
      <c r="S632" s="26"/>
    </row>
    <row r="633" spans="1:19" ht="16.5" hidden="1" customHeight="1" x14ac:dyDescent="0.25">
      <c r="A633" s="21"/>
      <c r="H633" s="21"/>
      <c r="I633" s="21"/>
      <c r="J633" s="21"/>
      <c r="K633" s="21"/>
      <c r="L633" s="21"/>
      <c r="M633" s="9">
        <f t="shared" si="90"/>
        <v>0</v>
      </c>
      <c r="N633" s="9">
        <f t="shared" si="91"/>
        <v>0</v>
      </c>
      <c r="O633" s="21"/>
      <c r="P633" s="21"/>
      <c r="Q633" s="21"/>
      <c r="S633" s="25"/>
    </row>
    <row r="634" spans="1:19" ht="16.5" customHeight="1" x14ac:dyDescent="0.25">
      <c r="A634" s="9"/>
      <c r="B634" s="39" t="s">
        <v>42</v>
      </c>
      <c r="C634" s="40"/>
      <c r="D634" s="40"/>
      <c r="E634" s="40"/>
      <c r="F634" s="40"/>
      <c r="G634" s="41"/>
      <c r="H634" s="23"/>
      <c r="I634" s="24">
        <f>SUM(I626:I633)</f>
        <v>18</v>
      </c>
      <c r="J634" s="9"/>
      <c r="K634" s="9"/>
      <c r="L634" s="9"/>
      <c r="M634" s="9">
        <f t="shared" si="90"/>
        <v>22.68</v>
      </c>
      <c r="N634" s="9">
        <f t="shared" si="91"/>
        <v>9</v>
      </c>
      <c r="O634" s="24">
        <f>ROUND(SUM(M626:M633)/I634,2)</f>
        <v>1.26</v>
      </c>
      <c r="P634" s="24">
        <f>ROUND(SUM(N626:N633)/I634,2)</f>
        <v>0.5</v>
      </c>
      <c r="Q634" s="9"/>
      <c r="S634" s="25"/>
    </row>
    <row r="635" spans="1:19" ht="16.5" customHeight="1" x14ac:dyDescent="0.25">
      <c r="A635" s="21"/>
      <c r="B635" s="22"/>
      <c r="C635" s="22"/>
      <c r="D635" s="22"/>
      <c r="E635" s="22"/>
      <c r="F635" s="22"/>
      <c r="G635" s="22"/>
      <c r="H635" s="21"/>
      <c r="I635" s="21"/>
      <c r="J635" s="21"/>
      <c r="K635" s="21"/>
      <c r="L635" s="21"/>
      <c r="M635" s="21"/>
      <c r="N635" s="21"/>
      <c r="O635" s="21"/>
      <c r="P635" s="21"/>
      <c r="Q635" s="21"/>
    </row>
    <row r="637" spans="1:19" ht="18" x14ac:dyDescent="0.25">
      <c r="A637" s="35" t="s">
        <v>50</v>
      </c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</row>
    <row r="638" spans="1:19" ht="18" x14ac:dyDescent="0.25">
      <c r="A638" s="35" t="s">
        <v>154</v>
      </c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</row>
    <row r="639" spans="1:19" ht="18" x14ac:dyDescent="0.25">
      <c r="A639" s="35" t="s">
        <v>155</v>
      </c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</row>
    <row r="640" spans="1:19" ht="18" x14ac:dyDescent="0.25">
      <c r="A640" s="45" t="s">
        <v>53</v>
      </c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</row>
    <row r="641" spans="1:20" ht="19.5" customHeight="1" x14ac:dyDescent="0.25">
      <c r="A641" s="17"/>
      <c r="B641" s="17"/>
      <c r="C641" s="8"/>
      <c r="D641" s="18"/>
      <c r="E641" s="10"/>
      <c r="F641" s="11"/>
      <c r="G641" s="46" t="s">
        <v>49</v>
      </c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</row>
    <row r="642" spans="1:20" ht="31.5" customHeight="1" x14ac:dyDescent="0.3">
      <c r="A642" s="8"/>
      <c r="B642" s="8"/>
      <c r="C642" s="8"/>
      <c r="D642" s="8"/>
      <c r="E642" s="8"/>
      <c r="F642" s="8"/>
      <c r="G642" s="8"/>
      <c r="H642" s="12"/>
      <c r="I642" s="42" t="s">
        <v>40</v>
      </c>
      <c r="J642" s="43"/>
      <c r="K642" s="43"/>
      <c r="L642" s="43"/>
      <c r="M642" s="43"/>
      <c r="N642" s="43"/>
      <c r="O642" s="43"/>
      <c r="P642" s="43"/>
      <c r="Q642" s="43"/>
      <c r="R642" s="43"/>
      <c r="S642" s="43"/>
    </row>
    <row r="643" spans="1:20" ht="16.8" x14ac:dyDescent="0.3">
      <c r="A643" s="8"/>
      <c r="B643" s="8"/>
      <c r="C643" s="8"/>
      <c r="D643" s="8"/>
      <c r="E643" s="8"/>
      <c r="F643" s="8"/>
      <c r="G643" s="8"/>
      <c r="H643" s="12"/>
      <c r="I643" s="12"/>
      <c r="J643" s="12"/>
      <c r="K643" s="12"/>
      <c r="L643" s="8"/>
      <c r="M643" s="8"/>
      <c r="N643" s="8"/>
      <c r="O643" s="8"/>
      <c r="P643" s="8"/>
      <c r="Q643" s="8"/>
    </row>
    <row r="644" spans="1:20" ht="33" customHeight="1" x14ac:dyDescent="0.3">
      <c r="A644" s="8"/>
      <c r="B644" s="8"/>
      <c r="C644" s="8"/>
      <c r="D644" s="8"/>
      <c r="E644" s="8"/>
      <c r="F644" s="8"/>
      <c r="G644" s="8"/>
      <c r="H644" s="12"/>
      <c r="I644" s="12"/>
      <c r="J644" s="12"/>
      <c r="K644" s="12"/>
      <c r="L644" s="8"/>
      <c r="M644" s="8"/>
      <c r="N644" s="8"/>
      <c r="O644" s="8"/>
      <c r="P644" s="8"/>
      <c r="Q644" s="8"/>
    </row>
    <row r="645" spans="1:20" ht="11.25" customHeight="1" x14ac:dyDescent="0.3">
      <c r="A645" s="8"/>
      <c r="B645" s="8"/>
      <c r="C645" s="8"/>
      <c r="D645" s="8"/>
      <c r="E645" s="8"/>
      <c r="F645" s="8"/>
      <c r="G645" s="8"/>
      <c r="H645" s="12"/>
      <c r="I645" s="12"/>
      <c r="J645" s="12"/>
      <c r="K645" s="12"/>
      <c r="L645" s="8"/>
      <c r="M645" s="8"/>
      <c r="N645" s="8"/>
      <c r="O645" s="8"/>
      <c r="P645" s="8"/>
      <c r="Q645" s="8"/>
    </row>
    <row r="646" spans="1:20" ht="17.399999999999999" x14ac:dyDescent="0.3">
      <c r="A646" s="8"/>
      <c r="B646" s="8"/>
      <c r="C646" s="8"/>
      <c r="D646" s="8"/>
      <c r="E646" s="8"/>
      <c r="F646" s="8"/>
      <c r="G646" s="47" t="s">
        <v>41</v>
      </c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</row>
    <row r="647" spans="1:20" ht="54" customHeight="1" x14ac:dyDescent="0.25">
      <c r="A647" s="48" t="s">
        <v>33</v>
      </c>
      <c r="B647" s="48"/>
      <c r="C647" s="48"/>
      <c r="D647" s="48"/>
      <c r="E647" s="48"/>
      <c r="F647" s="42" t="s">
        <v>24</v>
      </c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</row>
    <row r="648" spans="1:20" ht="17.399999999999999" x14ac:dyDescent="0.25">
      <c r="A648" s="49" t="s">
        <v>34</v>
      </c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</row>
    <row r="649" spans="1:20" ht="4.5" customHeight="1" x14ac:dyDescent="0.25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</row>
    <row r="650" spans="1:20" ht="5.25" customHeight="1" x14ac:dyDescent="0.25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</row>
    <row r="651" spans="1:20" ht="16.5" customHeight="1" x14ac:dyDescent="0.25">
      <c r="A651" s="54" t="s">
        <v>156</v>
      </c>
      <c r="B651" s="54"/>
      <c r="C651" s="54"/>
      <c r="D651" s="54"/>
      <c r="E651" s="54"/>
      <c r="F651" s="54"/>
      <c r="G651" s="58" t="s">
        <v>157</v>
      </c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</row>
    <row r="652" spans="1:20" ht="16.5" customHeight="1" x14ac:dyDescent="0.25">
      <c r="A652" s="54" t="s">
        <v>158</v>
      </c>
      <c r="B652" s="54"/>
      <c r="C652" s="54"/>
      <c r="D652" s="54"/>
      <c r="E652" s="54"/>
      <c r="F652" s="54"/>
      <c r="G652" s="8" t="s">
        <v>46</v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T652" s="2"/>
    </row>
    <row r="653" spans="1:20" ht="16.5" customHeight="1" x14ac:dyDescent="0.25">
      <c r="A653" s="54" t="s">
        <v>47</v>
      </c>
      <c r="B653" s="54"/>
      <c r="C653" s="54"/>
      <c r="D653" s="54"/>
      <c r="E653" s="54"/>
      <c r="F653" s="54"/>
      <c r="G653" s="58" t="s">
        <v>48</v>
      </c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</row>
    <row r="654" spans="1:20" ht="5.2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19"/>
      <c r="K654" s="19"/>
      <c r="L654" s="19"/>
      <c r="M654" s="19"/>
      <c r="N654" s="19"/>
      <c r="O654" s="19"/>
      <c r="P654" s="19"/>
      <c r="Q654" s="19"/>
    </row>
    <row r="655" spans="1:20" ht="15" customHeight="1" x14ac:dyDescent="0.25">
      <c r="A655" s="36" t="s">
        <v>0</v>
      </c>
      <c r="B655" s="29" t="s">
        <v>1</v>
      </c>
      <c r="C655" s="30"/>
      <c r="D655" s="30"/>
      <c r="E655" s="30"/>
      <c r="F655" s="30"/>
      <c r="G655" s="31"/>
      <c r="H655" s="36" t="s">
        <v>32</v>
      </c>
      <c r="I655" s="36" t="s">
        <v>39</v>
      </c>
      <c r="J655" s="55" t="s">
        <v>2</v>
      </c>
      <c r="K655" s="56"/>
      <c r="L655" s="56"/>
      <c r="M655" s="56"/>
      <c r="N655" s="56"/>
      <c r="O655" s="56"/>
      <c r="P655" s="56"/>
      <c r="Q655" s="57"/>
      <c r="S655" s="36" t="s">
        <v>38</v>
      </c>
    </row>
    <row r="656" spans="1:20" ht="24" customHeight="1" x14ac:dyDescent="0.25">
      <c r="A656" s="37"/>
      <c r="B656" s="32"/>
      <c r="C656" s="33"/>
      <c r="D656" s="33"/>
      <c r="E656" s="33"/>
      <c r="F656" s="33"/>
      <c r="G656" s="34"/>
      <c r="H656" s="37"/>
      <c r="I656" s="37"/>
      <c r="J656" s="7" t="s">
        <v>28</v>
      </c>
      <c r="K656" s="7" t="s">
        <v>29</v>
      </c>
      <c r="L656" s="7" t="s">
        <v>30</v>
      </c>
      <c r="M656" s="7"/>
      <c r="N656" s="7"/>
      <c r="O656" s="6" t="s">
        <v>35</v>
      </c>
      <c r="P656" s="6" t="s">
        <v>36</v>
      </c>
      <c r="Q656" s="6" t="s">
        <v>37</v>
      </c>
      <c r="S656" s="37"/>
    </row>
    <row r="657" spans="1:19" ht="20.25" customHeight="1" x14ac:dyDescent="0.25">
      <c r="A657" s="27" t="s">
        <v>54</v>
      </c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</row>
    <row r="658" spans="1:19" ht="16.5" customHeight="1" x14ac:dyDescent="0.25">
      <c r="A658" s="9"/>
      <c r="B658" s="51" t="s">
        <v>55</v>
      </c>
      <c r="C658" s="52"/>
      <c r="D658" s="52"/>
      <c r="E658" s="52"/>
      <c r="F658" s="52"/>
      <c r="G658" s="53"/>
      <c r="H658" s="20"/>
      <c r="I658" s="9">
        <v>1</v>
      </c>
      <c r="J658" s="9"/>
      <c r="K658" s="9"/>
      <c r="L658" s="9"/>
      <c r="M658" s="9">
        <f t="shared" ref="M658:M666" si="92">I658*O658</f>
        <v>8.1</v>
      </c>
      <c r="N658" s="9">
        <f t="shared" ref="N658:N666" si="93">I658*P658</f>
        <v>3.5</v>
      </c>
      <c r="O658" s="9">
        <v>8.1</v>
      </c>
      <c r="P658" s="9">
        <v>3.5</v>
      </c>
      <c r="Q658" s="9" t="s">
        <v>9</v>
      </c>
      <c r="R658" s="1">
        <v>0</v>
      </c>
      <c r="S658" s="26"/>
    </row>
    <row r="659" spans="1:19" ht="16.5" customHeight="1" x14ac:dyDescent="0.25">
      <c r="A659" s="9"/>
      <c r="B659" s="51" t="s">
        <v>56</v>
      </c>
      <c r="C659" s="52"/>
      <c r="D659" s="52"/>
      <c r="E659" s="52"/>
      <c r="F659" s="52"/>
      <c r="G659" s="53"/>
      <c r="H659" s="20"/>
      <c r="I659" s="9">
        <v>3</v>
      </c>
      <c r="J659" s="9"/>
      <c r="K659" s="9"/>
      <c r="L659" s="9"/>
      <c r="M659" s="9">
        <f t="shared" si="92"/>
        <v>17.399999999999999</v>
      </c>
      <c r="N659" s="9">
        <f t="shared" si="93"/>
        <v>6</v>
      </c>
      <c r="O659" s="9">
        <v>5.8</v>
      </c>
      <c r="P659" s="9">
        <v>2</v>
      </c>
      <c r="Q659" s="9" t="s">
        <v>3</v>
      </c>
      <c r="R659" s="1">
        <v>0</v>
      </c>
      <c r="S659" s="26"/>
    </row>
    <row r="660" spans="1:19" ht="31.2" customHeight="1" x14ac:dyDescent="0.25">
      <c r="A660" s="9"/>
      <c r="B660" s="51" t="s">
        <v>57</v>
      </c>
      <c r="C660" s="52"/>
      <c r="D660" s="52"/>
      <c r="E660" s="52"/>
      <c r="F660" s="52"/>
      <c r="G660" s="53"/>
      <c r="H660" s="20"/>
      <c r="I660" s="9">
        <v>3</v>
      </c>
      <c r="J660" s="9"/>
      <c r="K660" s="9"/>
      <c r="L660" s="9"/>
      <c r="M660" s="9">
        <f t="shared" si="92"/>
        <v>23.1</v>
      </c>
      <c r="N660" s="9">
        <f t="shared" si="93"/>
        <v>9</v>
      </c>
      <c r="O660" s="9">
        <v>7.7</v>
      </c>
      <c r="P660" s="9">
        <v>3</v>
      </c>
      <c r="Q660" s="9" t="s">
        <v>6</v>
      </c>
      <c r="R660" s="1">
        <v>0</v>
      </c>
      <c r="S660" s="26"/>
    </row>
    <row r="661" spans="1:19" ht="16.5" customHeight="1" x14ac:dyDescent="0.25">
      <c r="A661" s="9"/>
      <c r="B661" s="51" t="s">
        <v>58</v>
      </c>
      <c r="C661" s="52"/>
      <c r="D661" s="52"/>
      <c r="E661" s="52"/>
      <c r="F661" s="52"/>
      <c r="G661" s="53"/>
      <c r="H661" s="20"/>
      <c r="I661" s="9">
        <v>1</v>
      </c>
      <c r="J661" s="9"/>
      <c r="K661" s="9"/>
      <c r="L661" s="9"/>
      <c r="M661" s="9">
        <f t="shared" si="92"/>
        <v>7.3</v>
      </c>
      <c r="N661" s="9">
        <f t="shared" si="93"/>
        <v>3</v>
      </c>
      <c r="O661" s="9">
        <v>7.3</v>
      </c>
      <c r="P661" s="9">
        <v>3</v>
      </c>
      <c r="Q661" s="9" t="s">
        <v>6</v>
      </c>
      <c r="R661" s="1">
        <v>0</v>
      </c>
      <c r="S661" s="26"/>
    </row>
    <row r="662" spans="1:19" ht="16.5" customHeight="1" x14ac:dyDescent="0.25">
      <c r="A662" s="9"/>
      <c r="B662" s="51" t="s">
        <v>59</v>
      </c>
      <c r="C662" s="52"/>
      <c r="D662" s="52"/>
      <c r="E662" s="52"/>
      <c r="F662" s="52"/>
      <c r="G662" s="53"/>
      <c r="H662" s="20"/>
      <c r="I662" s="9">
        <v>1</v>
      </c>
      <c r="J662" s="9"/>
      <c r="K662" s="9"/>
      <c r="L662" s="9"/>
      <c r="M662" s="9">
        <f t="shared" si="92"/>
        <v>6.5</v>
      </c>
      <c r="N662" s="9">
        <f t="shared" si="93"/>
        <v>2.5</v>
      </c>
      <c r="O662" s="9">
        <v>6.5</v>
      </c>
      <c r="P662" s="9">
        <v>2.5</v>
      </c>
      <c r="Q662" s="9" t="s">
        <v>5</v>
      </c>
      <c r="R662" s="1">
        <v>0</v>
      </c>
      <c r="S662" s="26"/>
    </row>
    <row r="663" spans="1:19" ht="16.5" customHeight="1" x14ac:dyDescent="0.25">
      <c r="A663" s="9"/>
      <c r="B663" s="51" t="s">
        <v>60</v>
      </c>
      <c r="C663" s="52"/>
      <c r="D663" s="52"/>
      <c r="E663" s="52"/>
      <c r="F663" s="52"/>
      <c r="G663" s="53"/>
      <c r="H663" s="20"/>
      <c r="I663" s="9">
        <v>3</v>
      </c>
      <c r="J663" s="9"/>
      <c r="K663" s="9"/>
      <c r="L663" s="9"/>
      <c r="M663" s="9">
        <f t="shared" si="92"/>
        <v>23.700000000000003</v>
      </c>
      <c r="N663" s="9">
        <f t="shared" si="93"/>
        <v>9</v>
      </c>
      <c r="O663" s="9">
        <v>7.9</v>
      </c>
      <c r="P663" s="9">
        <v>3</v>
      </c>
      <c r="Q663" s="9" t="s">
        <v>6</v>
      </c>
      <c r="R663" s="1">
        <v>0</v>
      </c>
      <c r="S663" s="26"/>
    </row>
    <row r="664" spans="1:19" ht="16.5" customHeight="1" x14ac:dyDescent="0.25">
      <c r="A664" s="9"/>
      <c r="B664" s="51" t="s">
        <v>61</v>
      </c>
      <c r="C664" s="52"/>
      <c r="D664" s="52"/>
      <c r="E664" s="52"/>
      <c r="F664" s="52"/>
      <c r="G664" s="53"/>
      <c r="H664" s="20"/>
      <c r="I664" s="9">
        <v>2</v>
      </c>
      <c r="J664" s="9"/>
      <c r="K664" s="9"/>
      <c r="L664" s="9"/>
      <c r="M664" s="9">
        <f t="shared" si="92"/>
        <v>14.8</v>
      </c>
      <c r="N664" s="9">
        <f t="shared" si="93"/>
        <v>6</v>
      </c>
      <c r="O664" s="9">
        <v>7.4</v>
      </c>
      <c r="P664" s="9">
        <v>3</v>
      </c>
      <c r="Q664" s="9" t="s">
        <v>6</v>
      </c>
      <c r="R664" s="1">
        <v>0</v>
      </c>
      <c r="S664" s="26"/>
    </row>
    <row r="665" spans="1:19" ht="16.5" hidden="1" customHeight="1" x14ac:dyDescent="0.25">
      <c r="A665" s="21"/>
      <c r="H665" s="21"/>
      <c r="I665" s="21"/>
      <c r="J665" s="21"/>
      <c r="K665" s="21"/>
      <c r="L665" s="21"/>
      <c r="M665" s="9">
        <f t="shared" si="92"/>
        <v>0</v>
      </c>
      <c r="N665" s="9">
        <f t="shared" si="93"/>
        <v>0</v>
      </c>
      <c r="O665" s="21"/>
      <c r="P665" s="21"/>
      <c r="Q665" s="21"/>
      <c r="S665" s="25"/>
    </row>
    <row r="666" spans="1:19" ht="16.5" customHeight="1" x14ac:dyDescent="0.25">
      <c r="A666" s="9"/>
      <c r="B666" s="39" t="s">
        <v>42</v>
      </c>
      <c r="C666" s="40"/>
      <c r="D666" s="40"/>
      <c r="E666" s="40"/>
      <c r="F666" s="40"/>
      <c r="G666" s="41"/>
      <c r="H666" s="23"/>
      <c r="I666" s="24">
        <f>SUM(I658:I665)</f>
        <v>14</v>
      </c>
      <c r="J666" s="9"/>
      <c r="K666" s="9"/>
      <c r="L666" s="9"/>
      <c r="M666" s="9">
        <f t="shared" si="92"/>
        <v>100.94</v>
      </c>
      <c r="N666" s="9">
        <f t="shared" si="93"/>
        <v>39.06</v>
      </c>
      <c r="O666" s="24">
        <f>ROUND(SUM(M658:M665)/I666,2)</f>
        <v>7.21</v>
      </c>
      <c r="P666" s="24">
        <f>ROUND(SUM(N658:N665)/I666,2)</f>
        <v>2.79</v>
      </c>
      <c r="Q666" s="9"/>
      <c r="S666" s="25"/>
    </row>
    <row r="667" spans="1:19" ht="20.25" customHeight="1" x14ac:dyDescent="0.25">
      <c r="A667" s="27" t="s">
        <v>62</v>
      </c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</row>
    <row r="668" spans="1:19" ht="16.5" customHeight="1" x14ac:dyDescent="0.25">
      <c r="A668" s="9"/>
      <c r="B668" s="51" t="s">
        <v>63</v>
      </c>
      <c r="C668" s="52"/>
      <c r="D668" s="52"/>
      <c r="E668" s="52"/>
      <c r="F668" s="52"/>
      <c r="G668" s="53"/>
      <c r="H668" s="20"/>
      <c r="I668" s="9">
        <v>4</v>
      </c>
      <c r="J668" s="9"/>
      <c r="K668" s="9"/>
      <c r="L668" s="9"/>
      <c r="M668" s="9">
        <f t="shared" ref="M668:M676" si="94">I668*O668</f>
        <v>25.6</v>
      </c>
      <c r="N668" s="9">
        <f t="shared" ref="N668:N676" si="95">I668*P668</f>
        <v>8</v>
      </c>
      <c r="O668" s="9">
        <v>6.4</v>
      </c>
      <c r="P668" s="9">
        <v>2</v>
      </c>
      <c r="Q668" s="9" t="s">
        <v>3</v>
      </c>
      <c r="R668" s="1">
        <v>0</v>
      </c>
      <c r="S668" s="26"/>
    </row>
    <row r="669" spans="1:19" ht="16.5" customHeight="1" x14ac:dyDescent="0.25">
      <c r="A669" s="9"/>
      <c r="B669" s="51" t="s">
        <v>64</v>
      </c>
      <c r="C669" s="52"/>
      <c r="D669" s="52"/>
      <c r="E669" s="52"/>
      <c r="F669" s="52"/>
      <c r="G669" s="53"/>
      <c r="H669" s="20"/>
      <c r="I669" s="9">
        <v>4</v>
      </c>
      <c r="J669" s="9"/>
      <c r="K669" s="9"/>
      <c r="L669" s="9"/>
      <c r="M669" s="9">
        <f t="shared" si="94"/>
        <v>30.8</v>
      </c>
      <c r="N669" s="9">
        <f t="shared" si="95"/>
        <v>12</v>
      </c>
      <c r="O669" s="9">
        <v>7.7</v>
      </c>
      <c r="P669" s="9">
        <v>3</v>
      </c>
      <c r="Q669" s="9" t="s">
        <v>6</v>
      </c>
      <c r="R669" s="1">
        <v>0</v>
      </c>
      <c r="S669" s="26"/>
    </row>
    <row r="670" spans="1:19" ht="16.5" customHeight="1" x14ac:dyDescent="0.25">
      <c r="A670" s="9"/>
      <c r="B670" s="51" t="s">
        <v>65</v>
      </c>
      <c r="C670" s="52"/>
      <c r="D670" s="52"/>
      <c r="E670" s="52"/>
      <c r="F670" s="52"/>
      <c r="G670" s="53"/>
      <c r="H670" s="20"/>
      <c r="I670" s="9">
        <v>4</v>
      </c>
      <c r="J670" s="9"/>
      <c r="K670" s="9"/>
      <c r="L670" s="9"/>
      <c r="M670" s="9">
        <f t="shared" si="94"/>
        <v>24.8</v>
      </c>
      <c r="N670" s="9">
        <f t="shared" si="95"/>
        <v>8</v>
      </c>
      <c r="O670" s="9">
        <v>6.2</v>
      </c>
      <c r="P670" s="9">
        <v>2</v>
      </c>
      <c r="Q670" s="9" t="s">
        <v>3</v>
      </c>
      <c r="R670" s="1">
        <v>0</v>
      </c>
      <c r="S670" s="26"/>
    </row>
    <row r="671" spans="1:19" ht="16.5" customHeight="1" x14ac:dyDescent="0.25">
      <c r="A671" s="9"/>
      <c r="B671" s="51" t="s">
        <v>66</v>
      </c>
      <c r="C671" s="52"/>
      <c r="D671" s="52"/>
      <c r="E671" s="52"/>
      <c r="F671" s="52"/>
      <c r="G671" s="53"/>
      <c r="H671" s="20"/>
      <c r="I671" s="9">
        <v>1</v>
      </c>
      <c r="J671" s="9"/>
      <c r="K671" s="9"/>
      <c r="L671" s="9"/>
      <c r="M671" s="9">
        <f t="shared" si="94"/>
        <v>7.3</v>
      </c>
      <c r="N671" s="9">
        <f t="shared" si="95"/>
        <v>3</v>
      </c>
      <c r="O671" s="9">
        <v>7.3</v>
      </c>
      <c r="P671" s="9">
        <v>3</v>
      </c>
      <c r="Q671" s="9" t="s">
        <v>6</v>
      </c>
      <c r="R671" s="1">
        <v>0</v>
      </c>
      <c r="S671" s="26"/>
    </row>
    <row r="672" spans="1:19" ht="16.5" customHeight="1" x14ac:dyDescent="0.25">
      <c r="A672" s="9"/>
      <c r="B672" s="51" t="s">
        <v>67</v>
      </c>
      <c r="C672" s="52"/>
      <c r="D672" s="52"/>
      <c r="E672" s="52"/>
      <c r="F672" s="52"/>
      <c r="G672" s="53"/>
      <c r="H672" s="20"/>
      <c r="I672" s="9">
        <v>1</v>
      </c>
      <c r="J672" s="9"/>
      <c r="K672" s="9"/>
      <c r="L672" s="9"/>
      <c r="M672" s="9">
        <f t="shared" si="94"/>
        <v>6.8</v>
      </c>
      <c r="N672" s="9">
        <f t="shared" si="95"/>
        <v>2.5</v>
      </c>
      <c r="O672" s="9">
        <v>6.8</v>
      </c>
      <c r="P672" s="9">
        <v>2.5</v>
      </c>
      <c r="Q672" s="9" t="s">
        <v>5</v>
      </c>
      <c r="R672" s="1">
        <v>0</v>
      </c>
      <c r="S672" s="26"/>
    </row>
    <row r="673" spans="1:19" ht="16.5" customHeight="1" x14ac:dyDescent="0.25">
      <c r="A673" s="9"/>
      <c r="B673" s="51" t="s">
        <v>68</v>
      </c>
      <c r="C673" s="52"/>
      <c r="D673" s="52"/>
      <c r="E673" s="52"/>
      <c r="F673" s="52"/>
      <c r="G673" s="53"/>
      <c r="H673" s="20"/>
      <c r="I673" s="9">
        <v>1</v>
      </c>
      <c r="J673" s="9"/>
      <c r="K673" s="9"/>
      <c r="L673" s="9"/>
      <c r="M673" s="9">
        <f t="shared" si="94"/>
        <v>7.1</v>
      </c>
      <c r="N673" s="9">
        <f t="shared" si="95"/>
        <v>3</v>
      </c>
      <c r="O673" s="9">
        <v>7.1</v>
      </c>
      <c r="P673" s="9">
        <v>3</v>
      </c>
      <c r="Q673" s="9" t="s">
        <v>6</v>
      </c>
      <c r="R673" s="1">
        <v>0</v>
      </c>
      <c r="S673" s="26"/>
    </row>
    <row r="674" spans="1:19" ht="16.5" customHeight="1" x14ac:dyDescent="0.25">
      <c r="A674" s="9"/>
      <c r="B674" s="51" t="s">
        <v>69</v>
      </c>
      <c r="C674" s="52"/>
      <c r="D674" s="52"/>
      <c r="E674" s="52"/>
      <c r="F674" s="52"/>
      <c r="G674" s="53"/>
      <c r="H674" s="20"/>
      <c r="I674" s="9">
        <v>1</v>
      </c>
      <c r="J674" s="9"/>
      <c r="K674" s="9"/>
      <c r="L674" s="9"/>
      <c r="M674" s="9">
        <f t="shared" si="94"/>
        <v>8</v>
      </c>
      <c r="N674" s="9">
        <f t="shared" si="95"/>
        <v>3.5</v>
      </c>
      <c r="O674" s="9">
        <v>8</v>
      </c>
      <c r="P674" s="9">
        <v>3.5</v>
      </c>
      <c r="Q674" s="9" t="s">
        <v>9</v>
      </c>
      <c r="R674" s="1">
        <v>0</v>
      </c>
      <c r="S674" s="26"/>
    </row>
    <row r="675" spans="1:19" ht="16.5" hidden="1" customHeight="1" x14ac:dyDescent="0.25">
      <c r="A675" s="21"/>
      <c r="H675" s="21"/>
      <c r="I675" s="21"/>
      <c r="J675" s="21"/>
      <c r="K675" s="21"/>
      <c r="L675" s="21"/>
      <c r="M675" s="9">
        <f t="shared" si="94"/>
        <v>0</v>
      </c>
      <c r="N675" s="9">
        <f t="shared" si="95"/>
        <v>0</v>
      </c>
      <c r="O675" s="21"/>
      <c r="P675" s="21"/>
      <c r="Q675" s="21"/>
      <c r="S675" s="25"/>
    </row>
    <row r="676" spans="1:19" ht="16.5" customHeight="1" x14ac:dyDescent="0.25">
      <c r="A676" s="9"/>
      <c r="B676" s="39" t="s">
        <v>42</v>
      </c>
      <c r="C676" s="40"/>
      <c r="D676" s="40"/>
      <c r="E676" s="40"/>
      <c r="F676" s="40"/>
      <c r="G676" s="41"/>
      <c r="H676" s="23"/>
      <c r="I676" s="24">
        <f>SUM(I668:I675)</f>
        <v>16</v>
      </c>
      <c r="J676" s="9"/>
      <c r="K676" s="9"/>
      <c r="L676" s="9"/>
      <c r="M676" s="9">
        <f t="shared" si="94"/>
        <v>110.4</v>
      </c>
      <c r="N676" s="9">
        <f t="shared" si="95"/>
        <v>40</v>
      </c>
      <c r="O676" s="24">
        <f>ROUND(SUM(M668:M675)/I676,2)</f>
        <v>6.9</v>
      </c>
      <c r="P676" s="24">
        <f>ROUND(SUM(N668:N675)/I676,2)</f>
        <v>2.5</v>
      </c>
      <c r="Q676" s="9"/>
      <c r="S676" s="25"/>
    </row>
    <row r="677" spans="1:19" ht="20.25" customHeight="1" x14ac:dyDescent="0.25">
      <c r="A677" s="27" t="s">
        <v>70</v>
      </c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</row>
    <row r="678" spans="1:19" ht="16.5" customHeight="1" x14ac:dyDescent="0.25">
      <c r="A678" s="9"/>
      <c r="B678" s="51" t="s">
        <v>71</v>
      </c>
      <c r="C678" s="52"/>
      <c r="D678" s="52"/>
      <c r="E678" s="52"/>
      <c r="F678" s="52"/>
      <c r="G678" s="53"/>
      <c r="H678" s="20"/>
      <c r="I678" s="9">
        <v>4</v>
      </c>
      <c r="J678" s="9"/>
      <c r="K678" s="9"/>
      <c r="L678" s="9"/>
      <c r="M678" s="9">
        <f t="shared" ref="M678:M687" si="96">I678*O678</f>
        <v>29.2</v>
      </c>
      <c r="N678" s="9">
        <f t="shared" ref="N678:N687" si="97">I678*P678</f>
        <v>12</v>
      </c>
      <c r="O678" s="9">
        <v>7.3</v>
      </c>
      <c r="P678" s="9">
        <v>3</v>
      </c>
      <c r="Q678" s="9" t="s">
        <v>6</v>
      </c>
      <c r="R678" s="1">
        <v>0</v>
      </c>
      <c r="S678" s="26"/>
    </row>
    <row r="679" spans="1:19" ht="16.5" customHeight="1" x14ac:dyDescent="0.25">
      <c r="A679" s="9"/>
      <c r="B679" s="51" t="s">
        <v>72</v>
      </c>
      <c r="C679" s="52"/>
      <c r="D679" s="52"/>
      <c r="E679" s="52"/>
      <c r="F679" s="52"/>
      <c r="G679" s="53"/>
      <c r="H679" s="20"/>
      <c r="I679" s="9">
        <v>4</v>
      </c>
      <c r="J679" s="9"/>
      <c r="K679" s="9"/>
      <c r="L679" s="9"/>
      <c r="M679" s="9">
        <f t="shared" si="96"/>
        <v>27.2</v>
      </c>
      <c r="N679" s="9">
        <f t="shared" si="97"/>
        <v>10</v>
      </c>
      <c r="O679" s="9">
        <v>6.8</v>
      </c>
      <c r="P679" s="9">
        <v>2.5</v>
      </c>
      <c r="Q679" s="9" t="s">
        <v>5</v>
      </c>
      <c r="R679" s="1">
        <v>0</v>
      </c>
      <c r="S679" s="26"/>
    </row>
    <row r="680" spans="1:19" ht="16.5" customHeight="1" x14ac:dyDescent="0.25">
      <c r="A680" s="9"/>
      <c r="B680" s="51" t="s">
        <v>73</v>
      </c>
      <c r="C680" s="52"/>
      <c r="D680" s="52"/>
      <c r="E680" s="52"/>
      <c r="F680" s="52"/>
      <c r="G680" s="53"/>
      <c r="H680" s="20"/>
      <c r="I680" s="9">
        <v>1</v>
      </c>
      <c r="J680" s="9"/>
      <c r="K680" s="9"/>
      <c r="L680" s="9"/>
      <c r="M680" s="9">
        <f t="shared" si="96"/>
        <v>7.1</v>
      </c>
      <c r="N680" s="9">
        <f t="shared" si="97"/>
        <v>3</v>
      </c>
      <c r="O680" s="9">
        <v>7.1</v>
      </c>
      <c r="P680" s="9">
        <v>3</v>
      </c>
      <c r="Q680" s="9" t="s">
        <v>6</v>
      </c>
      <c r="R680" s="1">
        <v>0</v>
      </c>
      <c r="S680" s="26"/>
    </row>
    <row r="681" spans="1:19" ht="16.5" customHeight="1" x14ac:dyDescent="0.25">
      <c r="A681" s="9"/>
      <c r="B681" s="51" t="s">
        <v>74</v>
      </c>
      <c r="C681" s="52"/>
      <c r="D681" s="52"/>
      <c r="E681" s="52"/>
      <c r="F681" s="52"/>
      <c r="G681" s="53"/>
      <c r="H681" s="20"/>
      <c r="I681" s="9">
        <v>2</v>
      </c>
      <c r="J681" s="9"/>
      <c r="K681" s="9"/>
      <c r="L681" s="9"/>
      <c r="M681" s="9">
        <f t="shared" si="96"/>
        <v>15.2</v>
      </c>
      <c r="N681" s="9">
        <f t="shared" si="97"/>
        <v>6</v>
      </c>
      <c r="O681" s="9">
        <v>7.6</v>
      </c>
      <c r="P681" s="9">
        <v>3</v>
      </c>
      <c r="Q681" s="9" t="s">
        <v>6</v>
      </c>
      <c r="R681" s="1">
        <v>0</v>
      </c>
      <c r="S681" s="26"/>
    </row>
    <row r="682" spans="1:19" ht="16.5" customHeight="1" x14ac:dyDescent="0.25">
      <c r="A682" s="9"/>
      <c r="B682" s="51" t="s">
        <v>75</v>
      </c>
      <c r="C682" s="52"/>
      <c r="D682" s="52"/>
      <c r="E682" s="52"/>
      <c r="F682" s="52"/>
      <c r="G682" s="53"/>
      <c r="H682" s="20"/>
      <c r="I682" s="9">
        <v>1</v>
      </c>
      <c r="J682" s="9"/>
      <c r="K682" s="9"/>
      <c r="L682" s="9"/>
      <c r="M682" s="9">
        <f t="shared" si="96"/>
        <v>6.4</v>
      </c>
      <c r="N682" s="9">
        <f t="shared" si="97"/>
        <v>2</v>
      </c>
      <c r="O682" s="9">
        <v>6.4</v>
      </c>
      <c r="P682" s="9">
        <v>2</v>
      </c>
      <c r="Q682" s="9" t="s">
        <v>3</v>
      </c>
      <c r="R682" s="1">
        <v>0</v>
      </c>
      <c r="S682" s="26"/>
    </row>
    <row r="683" spans="1:19" ht="16.5" customHeight="1" x14ac:dyDescent="0.25">
      <c r="A683" s="9"/>
      <c r="B683" s="51" t="s">
        <v>76</v>
      </c>
      <c r="C683" s="52"/>
      <c r="D683" s="52"/>
      <c r="E683" s="52"/>
      <c r="F683" s="52"/>
      <c r="G683" s="53"/>
      <c r="H683" s="20"/>
      <c r="I683" s="9">
        <v>4</v>
      </c>
      <c r="J683" s="9"/>
      <c r="K683" s="9"/>
      <c r="L683" s="9"/>
      <c r="M683" s="9">
        <f t="shared" si="96"/>
        <v>24.4</v>
      </c>
      <c r="N683" s="9">
        <f t="shared" si="97"/>
        <v>8</v>
      </c>
      <c r="O683" s="9">
        <v>6.1</v>
      </c>
      <c r="P683" s="9">
        <v>2</v>
      </c>
      <c r="Q683" s="9" t="s">
        <v>3</v>
      </c>
      <c r="R683" s="1">
        <v>0</v>
      </c>
      <c r="S683" s="26"/>
    </row>
    <row r="684" spans="1:19" ht="16.5" customHeight="1" x14ac:dyDescent="0.25">
      <c r="A684" s="9"/>
      <c r="B684" s="51" t="s">
        <v>77</v>
      </c>
      <c r="C684" s="52"/>
      <c r="D684" s="52"/>
      <c r="E684" s="52"/>
      <c r="F684" s="52"/>
      <c r="G684" s="53"/>
      <c r="H684" s="20"/>
      <c r="I684" s="9">
        <v>3</v>
      </c>
      <c r="J684" s="9"/>
      <c r="K684" s="9"/>
      <c r="L684" s="9"/>
      <c r="M684" s="9">
        <f t="shared" si="96"/>
        <v>16.5</v>
      </c>
      <c r="N684" s="9">
        <f t="shared" si="97"/>
        <v>6</v>
      </c>
      <c r="O684" s="9">
        <v>5.5</v>
      </c>
      <c r="P684" s="9">
        <v>2</v>
      </c>
      <c r="Q684" s="9" t="s">
        <v>3</v>
      </c>
      <c r="R684" s="1">
        <v>0</v>
      </c>
      <c r="S684" s="26"/>
    </row>
    <row r="685" spans="1:19" ht="16.5" customHeight="1" x14ac:dyDescent="0.25">
      <c r="A685" s="9"/>
      <c r="B685" s="51" t="s">
        <v>78</v>
      </c>
      <c r="C685" s="52"/>
      <c r="D685" s="52"/>
      <c r="E685" s="52"/>
      <c r="F685" s="52"/>
      <c r="G685" s="53"/>
      <c r="H685" s="20"/>
      <c r="I685" s="9">
        <v>4</v>
      </c>
      <c r="J685" s="9"/>
      <c r="K685" s="9"/>
      <c r="L685" s="9"/>
      <c r="M685" s="9">
        <f t="shared" si="96"/>
        <v>12</v>
      </c>
      <c r="N685" s="9">
        <f t="shared" si="97"/>
        <v>0</v>
      </c>
      <c r="O685" s="9">
        <v>3</v>
      </c>
      <c r="P685" s="9">
        <v>0</v>
      </c>
      <c r="Q685" s="9" t="s">
        <v>7</v>
      </c>
      <c r="R685" s="1">
        <v>0</v>
      </c>
      <c r="S685" s="26"/>
    </row>
    <row r="686" spans="1:19" ht="16.5" hidden="1" customHeight="1" x14ac:dyDescent="0.25">
      <c r="A686" s="21"/>
      <c r="H686" s="21"/>
      <c r="I686" s="21"/>
      <c r="J686" s="21"/>
      <c r="K686" s="21"/>
      <c r="L686" s="21"/>
      <c r="M686" s="9">
        <f t="shared" si="96"/>
        <v>0</v>
      </c>
      <c r="N686" s="9">
        <f t="shared" si="97"/>
        <v>0</v>
      </c>
      <c r="O686" s="21"/>
      <c r="P686" s="21"/>
      <c r="Q686" s="21"/>
      <c r="S686" s="25"/>
    </row>
    <row r="687" spans="1:19" ht="16.5" customHeight="1" x14ac:dyDescent="0.25">
      <c r="A687" s="9"/>
      <c r="B687" s="39" t="s">
        <v>42</v>
      </c>
      <c r="C687" s="40"/>
      <c r="D687" s="40"/>
      <c r="E687" s="40"/>
      <c r="F687" s="40"/>
      <c r="G687" s="41"/>
      <c r="H687" s="23"/>
      <c r="I687" s="24">
        <f>SUM(I678:I686)</f>
        <v>23</v>
      </c>
      <c r="J687" s="9"/>
      <c r="K687" s="9"/>
      <c r="L687" s="9"/>
      <c r="M687" s="9">
        <f t="shared" si="96"/>
        <v>138</v>
      </c>
      <c r="N687" s="9">
        <f t="shared" si="97"/>
        <v>46.92</v>
      </c>
      <c r="O687" s="24">
        <f>ROUND(SUM(M678:M686)/I687,2)</f>
        <v>6</v>
      </c>
      <c r="P687" s="24">
        <f>ROUND(SUM(N678:N686)/I687,2)</f>
        <v>2.04</v>
      </c>
      <c r="Q687" s="9"/>
      <c r="S687" s="25"/>
    </row>
    <row r="688" spans="1:19" ht="20.25" customHeight="1" x14ac:dyDescent="0.25">
      <c r="A688" s="27" t="s">
        <v>162</v>
      </c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</row>
    <row r="689" spans="1:19" ht="16.5" customHeight="1" x14ac:dyDescent="0.25">
      <c r="A689" s="9"/>
      <c r="B689" s="51" t="s">
        <v>78</v>
      </c>
      <c r="C689" s="52"/>
      <c r="D689" s="52"/>
      <c r="E689" s="52"/>
      <c r="F689" s="52"/>
      <c r="G689" s="53"/>
      <c r="H689" s="20"/>
      <c r="I689" s="9">
        <v>4</v>
      </c>
      <c r="J689" s="9"/>
      <c r="K689" s="9"/>
      <c r="L689" s="9"/>
      <c r="M689" s="9">
        <f>I689*O689</f>
        <v>26</v>
      </c>
      <c r="N689" s="9">
        <f>I689*P689</f>
        <v>10</v>
      </c>
      <c r="O689" s="9">
        <v>6.5</v>
      </c>
      <c r="P689" s="9">
        <v>2.5</v>
      </c>
      <c r="Q689" s="9" t="s">
        <v>5</v>
      </c>
      <c r="R689" s="1">
        <v>6</v>
      </c>
      <c r="S689" s="26" t="s">
        <v>134</v>
      </c>
    </row>
    <row r="690" spans="1:19" ht="16.5" hidden="1" customHeight="1" x14ac:dyDescent="0.25">
      <c r="A690" s="21"/>
      <c r="H690" s="21"/>
      <c r="I690" s="21"/>
      <c r="J690" s="21"/>
      <c r="K690" s="21"/>
      <c r="L690" s="21"/>
      <c r="M690" s="9">
        <f>I690*O690</f>
        <v>0</v>
      </c>
      <c r="N690" s="9">
        <f>I690*P690</f>
        <v>0</v>
      </c>
      <c r="O690" s="21"/>
      <c r="P690" s="21"/>
      <c r="Q690" s="21"/>
      <c r="S690" s="25"/>
    </row>
    <row r="691" spans="1:19" ht="16.5" customHeight="1" x14ac:dyDescent="0.25">
      <c r="A691" s="9"/>
      <c r="B691" s="39" t="s">
        <v>42</v>
      </c>
      <c r="C691" s="40"/>
      <c r="D691" s="40"/>
      <c r="E691" s="40"/>
      <c r="F691" s="40"/>
      <c r="G691" s="41"/>
      <c r="H691" s="23"/>
      <c r="I691" s="24">
        <f>SUM(I689:I690)</f>
        <v>4</v>
      </c>
      <c r="J691" s="9"/>
      <c r="K691" s="9"/>
      <c r="L691" s="9"/>
      <c r="M691" s="9">
        <f>I691*O691</f>
        <v>26</v>
      </c>
      <c r="N691" s="9">
        <f>I691*P691</f>
        <v>10</v>
      </c>
      <c r="O691" s="24">
        <f>ROUND(SUM(M689:M690)/I691,2)</f>
        <v>6.5</v>
      </c>
      <c r="P691" s="24">
        <f>ROUND(SUM(N689:N690)/I691,2)</f>
        <v>2.5</v>
      </c>
      <c r="Q691" s="9"/>
      <c r="S691" s="25"/>
    </row>
    <row r="692" spans="1:19" ht="20.25" customHeight="1" x14ac:dyDescent="0.25">
      <c r="A692" s="27" t="s">
        <v>79</v>
      </c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</row>
    <row r="693" spans="1:19" ht="16.5" customHeight="1" x14ac:dyDescent="0.25">
      <c r="A693" s="9"/>
      <c r="B693" s="51" t="s">
        <v>80</v>
      </c>
      <c r="C693" s="52"/>
      <c r="D693" s="52"/>
      <c r="E693" s="52"/>
      <c r="F693" s="52"/>
      <c r="G693" s="53"/>
      <c r="H693" s="20"/>
      <c r="I693" s="9">
        <v>3</v>
      </c>
      <c r="J693" s="9"/>
      <c r="K693" s="9"/>
      <c r="L693" s="9"/>
      <c r="M693" s="9">
        <f>I693*O693</f>
        <v>16.200000000000003</v>
      </c>
      <c r="N693" s="9">
        <f>I693*P693</f>
        <v>4.5</v>
      </c>
      <c r="O693" s="9">
        <v>5.4</v>
      </c>
      <c r="P693" s="9">
        <v>1.5</v>
      </c>
      <c r="Q693" s="9" t="s">
        <v>4</v>
      </c>
      <c r="R693" s="1">
        <v>0</v>
      </c>
      <c r="S693" s="26"/>
    </row>
    <row r="694" spans="1:19" ht="16.5" customHeight="1" x14ac:dyDescent="0.25">
      <c r="A694" s="9"/>
      <c r="B694" s="51" t="s">
        <v>81</v>
      </c>
      <c r="C694" s="52"/>
      <c r="D694" s="52"/>
      <c r="E694" s="52"/>
      <c r="F694" s="52"/>
      <c r="G694" s="53"/>
      <c r="H694" s="20"/>
      <c r="I694" s="9">
        <v>1</v>
      </c>
      <c r="J694" s="9"/>
      <c r="K694" s="9"/>
      <c r="L694" s="9"/>
      <c r="M694" s="9">
        <f>I694*O694</f>
        <v>7.6</v>
      </c>
      <c r="N694" s="9">
        <f>I694*P694</f>
        <v>3</v>
      </c>
      <c r="O694" s="9">
        <v>7.6</v>
      </c>
      <c r="P694" s="9">
        <v>3</v>
      </c>
      <c r="Q694" s="9" t="s">
        <v>6</v>
      </c>
      <c r="R694" s="1">
        <v>0</v>
      </c>
      <c r="S694" s="26"/>
    </row>
    <row r="695" spans="1:19" ht="15" customHeight="1" x14ac:dyDescent="0.25">
      <c r="A695" s="36" t="s">
        <v>0</v>
      </c>
      <c r="B695" s="29" t="s">
        <v>1</v>
      </c>
      <c r="C695" s="30"/>
      <c r="D695" s="30"/>
      <c r="E695" s="30"/>
      <c r="F695" s="30"/>
      <c r="G695" s="31"/>
      <c r="H695" s="36" t="s">
        <v>32</v>
      </c>
      <c r="I695" s="36" t="s">
        <v>39</v>
      </c>
      <c r="J695" s="55" t="s">
        <v>2</v>
      </c>
      <c r="K695" s="56"/>
      <c r="L695" s="56"/>
      <c r="M695" s="56"/>
      <c r="N695" s="56"/>
      <c r="O695" s="56"/>
      <c r="P695" s="56"/>
      <c r="Q695" s="57"/>
      <c r="S695" s="36" t="s">
        <v>38</v>
      </c>
    </row>
    <row r="696" spans="1:19" ht="24" customHeight="1" x14ac:dyDescent="0.25">
      <c r="A696" s="37"/>
      <c r="B696" s="32"/>
      <c r="C696" s="33"/>
      <c r="D696" s="33"/>
      <c r="E696" s="33"/>
      <c r="F696" s="33"/>
      <c r="G696" s="34"/>
      <c r="H696" s="37"/>
      <c r="I696" s="37"/>
      <c r="J696" s="7" t="s">
        <v>28</v>
      </c>
      <c r="K696" s="7" t="s">
        <v>29</v>
      </c>
      <c r="L696" s="7" t="s">
        <v>30</v>
      </c>
      <c r="M696" s="7"/>
      <c r="N696" s="7"/>
      <c r="O696" s="6" t="s">
        <v>35</v>
      </c>
      <c r="P696" s="6" t="s">
        <v>36</v>
      </c>
      <c r="Q696" s="6" t="s">
        <v>37</v>
      </c>
      <c r="S696" s="37"/>
    </row>
    <row r="697" spans="1:19" ht="16.5" customHeight="1" x14ac:dyDescent="0.25">
      <c r="A697" s="9"/>
      <c r="B697" s="51" t="s">
        <v>82</v>
      </c>
      <c r="C697" s="52"/>
      <c r="D697" s="52"/>
      <c r="E697" s="52"/>
      <c r="F697" s="52"/>
      <c r="G697" s="53"/>
      <c r="H697" s="20"/>
      <c r="I697" s="9">
        <v>3</v>
      </c>
      <c r="J697" s="9"/>
      <c r="K697" s="9"/>
      <c r="L697" s="9"/>
      <c r="M697" s="9">
        <f t="shared" ref="M697:M707" si="98">I697*O697</f>
        <v>21</v>
      </c>
      <c r="N697" s="9">
        <f t="shared" ref="N697:N707" si="99">I697*P697</f>
        <v>9</v>
      </c>
      <c r="O697" s="9">
        <v>7</v>
      </c>
      <c r="P697" s="9">
        <v>3</v>
      </c>
      <c r="Q697" s="9" t="s">
        <v>6</v>
      </c>
      <c r="R697" s="1">
        <v>0</v>
      </c>
      <c r="S697" s="26"/>
    </row>
    <row r="698" spans="1:19" ht="16.5" customHeight="1" x14ac:dyDescent="0.25">
      <c r="A698" s="9"/>
      <c r="B698" s="51" t="s">
        <v>83</v>
      </c>
      <c r="C698" s="52"/>
      <c r="D698" s="52"/>
      <c r="E698" s="52"/>
      <c r="F698" s="52"/>
      <c r="G698" s="53"/>
      <c r="H698" s="20"/>
      <c r="I698" s="9">
        <v>2</v>
      </c>
      <c r="J698" s="9"/>
      <c r="K698" s="9"/>
      <c r="L698" s="9"/>
      <c r="M698" s="9">
        <f t="shared" si="98"/>
        <v>13.2</v>
      </c>
      <c r="N698" s="9">
        <f t="shared" si="99"/>
        <v>5</v>
      </c>
      <c r="O698" s="9">
        <v>6.6</v>
      </c>
      <c r="P698" s="9">
        <v>2.5</v>
      </c>
      <c r="Q698" s="9" t="s">
        <v>5</v>
      </c>
      <c r="R698" s="1">
        <v>0</v>
      </c>
      <c r="S698" s="26"/>
    </row>
    <row r="699" spans="1:19" ht="16.5" customHeight="1" x14ac:dyDescent="0.25">
      <c r="A699" s="9"/>
      <c r="B699" s="51" t="s">
        <v>84</v>
      </c>
      <c r="C699" s="52"/>
      <c r="D699" s="52"/>
      <c r="E699" s="52"/>
      <c r="F699" s="52"/>
      <c r="G699" s="53"/>
      <c r="H699" s="20"/>
      <c r="I699" s="9">
        <v>2</v>
      </c>
      <c r="J699" s="9"/>
      <c r="K699" s="9"/>
      <c r="L699" s="9"/>
      <c r="M699" s="9">
        <f t="shared" si="98"/>
        <v>12.4</v>
      </c>
      <c r="N699" s="9">
        <f t="shared" si="99"/>
        <v>4</v>
      </c>
      <c r="O699" s="9">
        <v>6.2</v>
      </c>
      <c r="P699" s="9">
        <v>2</v>
      </c>
      <c r="Q699" s="9" t="s">
        <v>3</v>
      </c>
      <c r="R699" s="1">
        <v>0</v>
      </c>
      <c r="S699" s="26"/>
    </row>
    <row r="700" spans="1:19" ht="16.5" customHeight="1" x14ac:dyDescent="0.25">
      <c r="A700" s="9"/>
      <c r="B700" s="51" t="s">
        <v>85</v>
      </c>
      <c r="C700" s="52"/>
      <c r="D700" s="52"/>
      <c r="E700" s="52"/>
      <c r="F700" s="52"/>
      <c r="G700" s="53"/>
      <c r="H700" s="20"/>
      <c r="I700" s="9">
        <v>1</v>
      </c>
      <c r="J700" s="9"/>
      <c r="K700" s="9"/>
      <c r="L700" s="9"/>
      <c r="M700" s="9">
        <f t="shared" si="98"/>
        <v>7.5</v>
      </c>
      <c r="N700" s="9">
        <f t="shared" si="99"/>
        <v>3</v>
      </c>
      <c r="O700" s="9">
        <v>7.5</v>
      </c>
      <c r="P700" s="9">
        <v>3</v>
      </c>
      <c r="Q700" s="9" t="s">
        <v>6</v>
      </c>
      <c r="R700" s="1">
        <v>0</v>
      </c>
      <c r="S700" s="26"/>
    </row>
    <row r="701" spans="1:19" ht="16.5" customHeight="1" x14ac:dyDescent="0.25">
      <c r="A701" s="9"/>
      <c r="B701" s="51" t="s">
        <v>86</v>
      </c>
      <c r="C701" s="52"/>
      <c r="D701" s="52"/>
      <c r="E701" s="52"/>
      <c r="F701" s="52"/>
      <c r="G701" s="53"/>
      <c r="H701" s="20"/>
      <c r="I701" s="9">
        <v>2</v>
      </c>
      <c r="J701" s="9"/>
      <c r="K701" s="9"/>
      <c r="L701" s="9"/>
      <c r="M701" s="9">
        <f t="shared" si="98"/>
        <v>13</v>
      </c>
      <c r="N701" s="9">
        <f t="shared" si="99"/>
        <v>5</v>
      </c>
      <c r="O701" s="9">
        <v>6.5</v>
      </c>
      <c r="P701" s="9">
        <v>2.5</v>
      </c>
      <c r="Q701" s="9" t="s">
        <v>5</v>
      </c>
      <c r="R701" s="1">
        <v>0</v>
      </c>
      <c r="S701" s="26"/>
    </row>
    <row r="702" spans="1:19" ht="16.5" customHeight="1" x14ac:dyDescent="0.25">
      <c r="A702" s="9"/>
      <c r="B702" s="51" t="s">
        <v>90</v>
      </c>
      <c r="C702" s="52"/>
      <c r="D702" s="52"/>
      <c r="E702" s="52"/>
      <c r="F702" s="52"/>
      <c r="G702" s="53"/>
      <c r="H702" s="20"/>
      <c r="I702" s="9">
        <v>2</v>
      </c>
      <c r="J702" s="9"/>
      <c r="K702" s="9"/>
      <c r="L702" s="9"/>
      <c r="M702" s="9">
        <f t="shared" si="98"/>
        <v>14</v>
      </c>
      <c r="N702" s="9">
        <f t="shared" si="99"/>
        <v>6</v>
      </c>
      <c r="O702" s="9">
        <v>7</v>
      </c>
      <c r="P702" s="9">
        <v>3</v>
      </c>
      <c r="Q702" s="9" t="s">
        <v>6</v>
      </c>
      <c r="R702" s="1">
        <v>0</v>
      </c>
      <c r="S702" s="26"/>
    </row>
    <row r="703" spans="1:19" ht="16.5" customHeight="1" x14ac:dyDescent="0.25">
      <c r="A703" s="9"/>
      <c r="B703" s="51" t="s">
        <v>88</v>
      </c>
      <c r="C703" s="52"/>
      <c r="D703" s="52"/>
      <c r="E703" s="52"/>
      <c r="F703" s="52"/>
      <c r="G703" s="53"/>
      <c r="H703" s="20"/>
      <c r="I703" s="9">
        <v>4</v>
      </c>
      <c r="J703" s="9"/>
      <c r="K703" s="9"/>
      <c r="L703" s="9"/>
      <c r="M703" s="9">
        <f t="shared" si="98"/>
        <v>20.8</v>
      </c>
      <c r="N703" s="9">
        <f t="shared" si="99"/>
        <v>6</v>
      </c>
      <c r="O703" s="9">
        <v>5.2</v>
      </c>
      <c r="P703" s="9">
        <v>1.5</v>
      </c>
      <c r="Q703" s="9" t="s">
        <v>4</v>
      </c>
      <c r="R703" s="1">
        <v>0</v>
      </c>
      <c r="S703" s="26"/>
    </row>
    <row r="704" spans="1:19" ht="16.5" customHeight="1" x14ac:dyDescent="0.25">
      <c r="A704" s="9"/>
      <c r="B704" s="51" t="s">
        <v>89</v>
      </c>
      <c r="C704" s="52"/>
      <c r="D704" s="52"/>
      <c r="E704" s="52"/>
      <c r="F704" s="52"/>
      <c r="G704" s="53"/>
      <c r="H704" s="20"/>
      <c r="I704" s="9">
        <v>3</v>
      </c>
      <c r="J704" s="9"/>
      <c r="K704" s="9"/>
      <c r="L704" s="9"/>
      <c r="M704" s="9">
        <f t="shared" si="98"/>
        <v>23.1</v>
      </c>
      <c r="N704" s="9">
        <f t="shared" si="99"/>
        <v>9</v>
      </c>
      <c r="O704" s="9">
        <v>7.7</v>
      </c>
      <c r="P704" s="9">
        <v>3</v>
      </c>
      <c r="Q704" s="9" t="s">
        <v>6</v>
      </c>
      <c r="R704" s="1">
        <v>0</v>
      </c>
      <c r="S704" s="26"/>
    </row>
    <row r="705" spans="1:19" ht="16.5" customHeight="1" x14ac:dyDescent="0.25">
      <c r="A705" s="9"/>
      <c r="B705" s="51" t="s">
        <v>87</v>
      </c>
      <c r="C705" s="52"/>
      <c r="D705" s="52"/>
      <c r="E705" s="52"/>
      <c r="F705" s="52"/>
      <c r="G705" s="53"/>
      <c r="H705" s="20"/>
      <c r="I705" s="9">
        <v>3</v>
      </c>
      <c r="J705" s="9"/>
      <c r="K705" s="9"/>
      <c r="L705" s="9"/>
      <c r="M705" s="9">
        <f t="shared" si="98"/>
        <v>21.9</v>
      </c>
      <c r="N705" s="9">
        <f t="shared" si="99"/>
        <v>9</v>
      </c>
      <c r="O705" s="9">
        <v>7.3</v>
      </c>
      <c r="P705" s="9">
        <v>3</v>
      </c>
      <c r="Q705" s="9" t="s">
        <v>6</v>
      </c>
      <c r="R705" s="1">
        <v>0</v>
      </c>
      <c r="S705" s="26"/>
    </row>
    <row r="706" spans="1:19" ht="16.5" hidden="1" customHeight="1" x14ac:dyDescent="0.25">
      <c r="A706" s="21"/>
      <c r="H706" s="21"/>
      <c r="I706" s="21"/>
      <c r="J706" s="21"/>
      <c r="K706" s="21"/>
      <c r="L706" s="21"/>
      <c r="M706" s="9">
        <f t="shared" si="98"/>
        <v>0</v>
      </c>
      <c r="N706" s="9">
        <f t="shared" si="99"/>
        <v>0</v>
      </c>
      <c r="O706" s="21"/>
      <c r="P706" s="21"/>
      <c r="Q706" s="21"/>
      <c r="S706" s="25"/>
    </row>
    <row r="707" spans="1:19" ht="16.5" customHeight="1" x14ac:dyDescent="0.25">
      <c r="A707" s="9"/>
      <c r="B707" s="39" t="s">
        <v>42</v>
      </c>
      <c r="C707" s="40"/>
      <c r="D707" s="40"/>
      <c r="E707" s="40"/>
      <c r="F707" s="40"/>
      <c r="G707" s="41"/>
      <c r="H707" s="23"/>
      <c r="I707" s="24">
        <f>SUM(I693:I706)</f>
        <v>26</v>
      </c>
      <c r="J707" s="9"/>
      <c r="K707" s="9"/>
      <c r="L707" s="9"/>
      <c r="M707" s="9">
        <f t="shared" si="98"/>
        <v>170.82</v>
      </c>
      <c r="N707" s="9">
        <f t="shared" si="99"/>
        <v>63.44</v>
      </c>
      <c r="O707" s="24">
        <f>ROUND(SUM(M693:M706)/I707,2)</f>
        <v>6.57</v>
      </c>
      <c r="P707" s="24">
        <f>ROUND(SUM(N693:N706)/I707,2)</f>
        <v>2.44</v>
      </c>
      <c r="Q707" s="9"/>
      <c r="S707" s="25"/>
    </row>
    <row r="708" spans="1:19" ht="20.25" customHeight="1" x14ac:dyDescent="0.25">
      <c r="A708" s="27" t="s">
        <v>91</v>
      </c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</row>
    <row r="709" spans="1:19" ht="16.5" customHeight="1" x14ac:dyDescent="0.25">
      <c r="A709" s="9"/>
      <c r="B709" s="51" t="s">
        <v>92</v>
      </c>
      <c r="C709" s="52"/>
      <c r="D709" s="52"/>
      <c r="E709" s="52"/>
      <c r="F709" s="52"/>
      <c r="G709" s="53"/>
      <c r="H709" s="20"/>
      <c r="I709" s="9">
        <v>1</v>
      </c>
      <c r="J709" s="9"/>
      <c r="K709" s="9"/>
      <c r="L709" s="9"/>
      <c r="M709" s="9">
        <f t="shared" ref="M709:M720" si="100">I709*O709</f>
        <v>7.2</v>
      </c>
      <c r="N709" s="9">
        <f t="shared" ref="N709:N720" si="101">I709*P709</f>
        <v>3</v>
      </c>
      <c r="O709" s="9">
        <v>7.2</v>
      </c>
      <c r="P709" s="9">
        <v>3</v>
      </c>
      <c r="Q709" s="9" t="s">
        <v>6</v>
      </c>
      <c r="R709" s="1">
        <v>0</v>
      </c>
      <c r="S709" s="26"/>
    </row>
    <row r="710" spans="1:19" ht="16.5" customHeight="1" x14ac:dyDescent="0.25">
      <c r="A710" s="9"/>
      <c r="B710" s="51" t="s">
        <v>99</v>
      </c>
      <c r="C710" s="52"/>
      <c r="D710" s="52"/>
      <c r="E710" s="52"/>
      <c r="F710" s="52"/>
      <c r="G710" s="53"/>
      <c r="H710" s="20"/>
      <c r="I710" s="9">
        <v>2</v>
      </c>
      <c r="J710" s="9"/>
      <c r="K710" s="9"/>
      <c r="L710" s="9"/>
      <c r="M710" s="9">
        <f t="shared" si="100"/>
        <v>15.2</v>
      </c>
      <c r="N710" s="9">
        <f t="shared" si="101"/>
        <v>6</v>
      </c>
      <c r="O710" s="9">
        <v>7.6</v>
      </c>
      <c r="P710" s="9">
        <v>3</v>
      </c>
      <c r="Q710" s="9" t="s">
        <v>6</v>
      </c>
      <c r="R710" s="1">
        <v>0</v>
      </c>
      <c r="S710" s="26"/>
    </row>
    <row r="711" spans="1:19" ht="16.5" customHeight="1" x14ac:dyDescent="0.25">
      <c r="A711" s="9"/>
      <c r="B711" s="51" t="s">
        <v>94</v>
      </c>
      <c r="C711" s="52"/>
      <c r="D711" s="52"/>
      <c r="E711" s="52"/>
      <c r="F711" s="52"/>
      <c r="G711" s="53"/>
      <c r="H711" s="20"/>
      <c r="I711" s="9">
        <v>3</v>
      </c>
      <c r="J711" s="9"/>
      <c r="K711" s="9"/>
      <c r="L711" s="9"/>
      <c r="M711" s="9">
        <f t="shared" si="100"/>
        <v>18.299999999999997</v>
      </c>
      <c r="N711" s="9">
        <f t="shared" si="101"/>
        <v>6</v>
      </c>
      <c r="O711" s="9">
        <v>6.1</v>
      </c>
      <c r="P711" s="9">
        <v>2</v>
      </c>
      <c r="Q711" s="9" t="s">
        <v>3</v>
      </c>
      <c r="R711" s="1">
        <v>0</v>
      </c>
      <c r="S711" s="26"/>
    </row>
    <row r="712" spans="1:19" ht="16.5" customHeight="1" x14ac:dyDescent="0.25">
      <c r="A712" s="9"/>
      <c r="B712" s="51" t="s">
        <v>95</v>
      </c>
      <c r="C712" s="52"/>
      <c r="D712" s="52"/>
      <c r="E712" s="52"/>
      <c r="F712" s="52"/>
      <c r="G712" s="53"/>
      <c r="H712" s="20"/>
      <c r="I712" s="9">
        <v>1</v>
      </c>
      <c r="J712" s="9"/>
      <c r="K712" s="9"/>
      <c r="L712" s="9"/>
      <c r="M712" s="9">
        <f t="shared" si="100"/>
        <v>8.1</v>
      </c>
      <c r="N712" s="9">
        <f t="shared" si="101"/>
        <v>3.5</v>
      </c>
      <c r="O712" s="9">
        <v>8.1</v>
      </c>
      <c r="P712" s="9">
        <v>3.5</v>
      </c>
      <c r="Q712" s="9" t="s">
        <v>9</v>
      </c>
      <c r="R712" s="1">
        <v>0</v>
      </c>
      <c r="S712" s="26"/>
    </row>
    <row r="713" spans="1:19" ht="16.5" customHeight="1" x14ac:dyDescent="0.25">
      <c r="A713" s="9"/>
      <c r="B713" s="51" t="s">
        <v>96</v>
      </c>
      <c r="C713" s="52"/>
      <c r="D713" s="52"/>
      <c r="E713" s="52"/>
      <c r="F713" s="52"/>
      <c r="G713" s="53"/>
      <c r="H713" s="20"/>
      <c r="I713" s="9">
        <v>1</v>
      </c>
      <c r="J713" s="9"/>
      <c r="K713" s="9"/>
      <c r="L713" s="9"/>
      <c r="M713" s="9">
        <f t="shared" si="100"/>
        <v>8</v>
      </c>
      <c r="N713" s="9">
        <f t="shared" si="101"/>
        <v>3.5</v>
      </c>
      <c r="O713" s="9">
        <v>8</v>
      </c>
      <c r="P713" s="9">
        <v>3.5</v>
      </c>
      <c r="Q713" s="9" t="s">
        <v>9</v>
      </c>
      <c r="R713" s="1">
        <v>0</v>
      </c>
      <c r="S713" s="26"/>
    </row>
    <row r="714" spans="1:19" ht="16.5" customHeight="1" x14ac:dyDescent="0.25">
      <c r="A714" s="9"/>
      <c r="B714" s="51" t="s">
        <v>97</v>
      </c>
      <c r="C714" s="52"/>
      <c r="D714" s="52"/>
      <c r="E714" s="52"/>
      <c r="F714" s="52"/>
      <c r="G714" s="53"/>
      <c r="H714" s="20"/>
      <c r="I714" s="9">
        <v>2</v>
      </c>
      <c r="J714" s="9"/>
      <c r="K714" s="9"/>
      <c r="L714" s="9"/>
      <c r="M714" s="9">
        <f t="shared" si="100"/>
        <v>13.2</v>
      </c>
      <c r="N714" s="9">
        <f t="shared" si="101"/>
        <v>5</v>
      </c>
      <c r="O714" s="9">
        <v>6.6</v>
      </c>
      <c r="P714" s="9">
        <v>2.5</v>
      </c>
      <c r="Q714" s="9" t="s">
        <v>5</v>
      </c>
      <c r="R714" s="1">
        <v>0</v>
      </c>
      <c r="S714" s="26"/>
    </row>
    <row r="715" spans="1:19" ht="16.5" customHeight="1" x14ac:dyDescent="0.25">
      <c r="A715" s="9"/>
      <c r="B715" s="51" t="s">
        <v>98</v>
      </c>
      <c r="C715" s="52"/>
      <c r="D715" s="52"/>
      <c r="E715" s="52"/>
      <c r="F715" s="52"/>
      <c r="G715" s="53"/>
      <c r="H715" s="20"/>
      <c r="I715" s="9">
        <v>2</v>
      </c>
      <c r="J715" s="9"/>
      <c r="K715" s="9"/>
      <c r="L715" s="9"/>
      <c r="M715" s="9">
        <f t="shared" si="100"/>
        <v>12.8</v>
      </c>
      <c r="N715" s="9">
        <f t="shared" si="101"/>
        <v>4</v>
      </c>
      <c r="O715" s="9">
        <v>6.4</v>
      </c>
      <c r="P715" s="9">
        <v>2</v>
      </c>
      <c r="Q715" s="9" t="s">
        <v>3</v>
      </c>
      <c r="R715" s="1">
        <v>0</v>
      </c>
      <c r="S715" s="26"/>
    </row>
    <row r="716" spans="1:19" ht="16.5" customHeight="1" x14ac:dyDescent="0.25">
      <c r="A716" s="9"/>
      <c r="B716" s="51" t="s">
        <v>93</v>
      </c>
      <c r="C716" s="52"/>
      <c r="D716" s="52"/>
      <c r="E716" s="52"/>
      <c r="F716" s="52"/>
      <c r="G716" s="53"/>
      <c r="H716" s="20"/>
      <c r="I716" s="9">
        <v>3</v>
      </c>
      <c r="J716" s="9"/>
      <c r="K716" s="9"/>
      <c r="L716" s="9"/>
      <c r="M716" s="9">
        <f t="shared" si="100"/>
        <v>19.200000000000003</v>
      </c>
      <c r="N716" s="9">
        <f t="shared" si="101"/>
        <v>6</v>
      </c>
      <c r="O716" s="9">
        <v>6.4</v>
      </c>
      <c r="P716" s="9">
        <v>2</v>
      </c>
      <c r="Q716" s="9" t="s">
        <v>3</v>
      </c>
      <c r="R716" s="1">
        <v>0</v>
      </c>
      <c r="S716" s="26"/>
    </row>
    <row r="717" spans="1:19" ht="16.5" customHeight="1" x14ac:dyDescent="0.25">
      <c r="A717" s="9"/>
      <c r="B717" s="51" t="s">
        <v>100</v>
      </c>
      <c r="C717" s="52"/>
      <c r="D717" s="52"/>
      <c r="E717" s="52"/>
      <c r="F717" s="52"/>
      <c r="G717" s="53"/>
      <c r="H717" s="20"/>
      <c r="I717" s="9">
        <v>2</v>
      </c>
      <c r="J717" s="9"/>
      <c r="K717" s="9"/>
      <c r="L717" s="9"/>
      <c r="M717" s="9">
        <f t="shared" si="100"/>
        <v>15.4</v>
      </c>
      <c r="N717" s="9">
        <f t="shared" si="101"/>
        <v>6</v>
      </c>
      <c r="O717" s="9">
        <v>7.7</v>
      </c>
      <c r="P717" s="9">
        <v>3</v>
      </c>
      <c r="Q717" s="9" t="s">
        <v>6</v>
      </c>
      <c r="R717" s="1">
        <v>0</v>
      </c>
      <c r="S717" s="26"/>
    </row>
    <row r="718" spans="1:19" ht="16.5" customHeight="1" x14ac:dyDescent="0.25">
      <c r="A718" s="9"/>
      <c r="B718" s="51" t="s">
        <v>101</v>
      </c>
      <c r="C718" s="52"/>
      <c r="D718" s="52"/>
      <c r="E718" s="52"/>
      <c r="F718" s="52"/>
      <c r="G718" s="53"/>
      <c r="H718" s="20"/>
      <c r="I718" s="9">
        <v>4</v>
      </c>
      <c r="J718" s="9"/>
      <c r="K718" s="9"/>
      <c r="L718" s="9"/>
      <c r="M718" s="9">
        <f t="shared" si="100"/>
        <v>25.6</v>
      </c>
      <c r="N718" s="9">
        <f t="shared" si="101"/>
        <v>8</v>
      </c>
      <c r="O718" s="9">
        <v>6.4</v>
      </c>
      <c r="P718" s="9">
        <v>2</v>
      </c>
      <c r="Q718" s="9" t="s">
        <v>3</v>
      </c>
      <c r="R718" s="1">
        <v>0</v>
      </c>
      <c r="S718" s="26"/>
    </row>
    <row r="719" spans="1:19" ht="16.5" hidden="1" customHeight="1" x14ac:dyDescent="0.25">
      <c r="A719" s="21"/>
      <c r="H719" s="21"/>
      <c r="I719" s="21"/>
      <c r="J719" s="21"/>
      <c r="K719" s="21"/>
      <c r="L719" s="21"/>
      <c r="M719" s="9">
        <f t="shared" si="100"/>
        <v>0</v>
      </c>
      <c r="N719" s="9">
        <f t="shared" si="101"/>
        <v>0</v>
      </c>
      <c r="O719" s="21"/>
      <c r="P719" s="21"/>
      <c r="Q719" s="21"/>
      <c r="S719" s="25"/>
    </row>
    <row r="720" spans="1:19" ht="16.5" customHeight="1" x14ac:dyDescent="0.25">
      <c r="A720" s="9"/>
      <c r="B720" s="39" t="s">
        <v>42</v>
      </c>
      <c r="C720" s="40"/>
      <c r="D720" s="40"/>
      <c r="E720" s="40"/>
      <c r="F720" s="40"/>
      <c r="G720" s="41"/>
      <c r="H720" s="23"/>
      <c r="I720" s="24">
        <f>SUM(I709:I719)</f>
        <v>21</v>
      </c>
      <c r="J720" s="9"/>
      <c r="K720" s="9"/>
      <c r="L720" s="9"/>
      <c r="M720" s="9">
        <f t="shared" si="100"/>
        <v>143.01</v>
      </c>
      <c r="N720" s="9">
        <f t="shared" si="101"/>
        <v>51.03</v>
      </c>
      <c r="O720" s="24">
        <f>ROUND(SUM(M709:M719)/I720,2)</f>
        <v>6.81</v>
      </c>
      <c r="P720" s="24">
        <f>ROUND(SUM(N709:N719)/I720,2)</f>
        <v>2.4300000000000002</v>
      </c>
      <c r="Q720" s="9"/>
      <c r="S720" s="25"/>
    </row>
    <row r="721" spans="1:19" ht="20.25" customHeight="1" x14ac:dyDescent="0.25">
      <c r="A721" s="27" t="s">
        <v>102</v>
      </c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</row>
    <row r="722" spans="1:19" ht="16.5" customHeight="1" x14ac:dyDescent="0.25">
      <c r="A722" s="9"/>
      <c r="B722" s="51" t="s">
        <v>103</v>
      </c>
      <c r="C722" s="52"/>
      <c r="D722" s="52"/>
      <c r="E722" s="52"/>
      <c r="F722" s="52"/>
      <c r="G722" s="53"/>
      <c r="H722" s="20"/>
      <c r="I722" s="9">
        <v>1</v>
      </c>
      <c r="J722" s="9"/>
      <c r="K722" s="9"/>
      <c r="L722" s="9"/>
      <c r="M722" s="9">
        <f t="shared" ref="M722:M733" si="102">I722*O722</f>
        <v>7</v>
      </c>
      <c r="N722" s="9">
        <f t="shared" ref="N722:N733" si="103">I722*P722</f>
        <v>3</v>
      </c>
      <c r="O722" s="9">
        <v>7</v>
      </c>
      <c r="P722" s="9">
        <v>3</v>
      </c>
      <c r="Q722" s="9" t="s">
        <v>6</v>
      </c>
      <c r="R722" s="1">
        <v>0</v>
      </c>
      <c r="S722" s="26"/>
    </row>
    <row r="723" spans="1:19" ht="16.5" customHeight="1" x14ac:dyDescent="0.25">
      <c r="A723" s="9"/>
      <c r="B723" s="51" t="s">
        <v>104</v>
      </c>
      <c r="C723" s="52"/>
      <c r="D723" s="52"/>
      <c r="E723" s="52"/>
      <c r="F723" s="52"/>
      <c r="G723" s="53"/>
      <c r="H723" s="20"/>
      <c r="I723" s="9">
        <v>3</v>
      </c>
      <c r="J723" s="9"/>
      <c r="K723" s="9"/>
      <c r="L723" s="9"/>
      <c r="M723" s="9">
        <f t="shared" si="102"/>
        <v>19.5</v>
      </c>
      <c r="N723" s="9">
        <f t="shared" si="103"/>
        <v>7.5</v>
      </c>
      <c r="O723" s="9">
        <v>6.5</v>
      </c>
      <c r="P723" s="9">
        <v>2.5</v>
      </c>
      <c r="Q723" s="9" t="s">
        <v>5</v>
      </c>
      <c r="R723" s="1">
        <v>0</v>
      </c>
      <c r="S723" s="26"/>
    </row>
    <row r="724" spans="1:19" ht="16.5" customHeight="1" x14ac:dyDescent="0.25">
      <c r="A724" s="9"/>
      <c r="B724" s="51" t="s">
        <v>105</v>
      </c>
      <c r="C724" s="52"/>
      <c r="D724" s="52"/>
      <c r="E724" s="52"/>
      <c r="F724" s="52"/>
      <c r="G724" s="53"/>
      <c r="H724" s="20"/>
      <c r="I724" s="9">
        <v>3</v>
      </c>
      <c r="J724" s="9"/>
      <c r="K724" s="9"/>
      <c r="L724" s="9"/>
      <c r="M724" s="9">
        <f t="shared" si="102"/>
        <v>19.799999999999997</v>
      </c>
      <c r="N724" s="9">
        <f t="shared" si="103"/>
        <v>7.5</v>
      </c>
      <c r="O724" s="9">
        <v>6.6</v>
      </c>
      <c r="P724" s="9">
        <v>2.5</v>
      </c>
      <c r="Q724" s="9" t="s">
        <v>5</v>
      </c>
      <c r="R724" s="1">
        <v>0</v>
      </c>
      <c r="S724" s="26"/>
    </row>
    <row r="725" spans="1:19" ht="16.5" customHeight="1" x14ac:dyDescent="0.25">
      <c r="A725" s="9"/>
      <c r="B725" s="51" t="s">
        <v>106</v>
      </c>
      <c r="C725" s="52"/>
      <c r="D725" s="52"/>
      <c r="E725" s="52"/>
      <c r="F725" s="52"/>
      <c r="G725" s="53"/>
      <c r="H725" s="20"/>
      <c r="I725" s="9">
        <v>3</v>
      </c>
      <c r="J725" s="9"/>
      <c r="K725" s="9"/>
      <c r="L725" s="9"/>
      <c r="M725" s="9">
        <f t="shared" si="102"/>
        <v>24.900000000000002</v>
      </c>
      <c r="N725" s="9">
        <f t="shared" si="103"/>
        <v>10.5</v>
      </c>
      <c r="O725" s="9">
        <v>8.3000000000000007</v>
      </c>
      <c r="P725" s="9">
        <v>3.5</v>
      </c>
      <c r="Q725" s="9" t="s">
        <v>9</v>
      </c>
      <c r="R725" s="1">
        <v>0</v>
      </c>
      <c r="S725" s="26"/>
    </row>
    <row r="726" spans="1:19" ht="16.5" customHeight="1" x14ac:dyDescent="0.25">
      <c r="A726" s="9"/>
      <c r="B726" s="51" t="s">
        <v>107</v>
      </c>
      <c r="C726" s="52"/>
      <c r="D726" s="52"/>
      <c r="E726" s="52"/>
      <c r="F726" s="52"/>
      <c r="G726" s="53"/>
      <c r="H726" s="20"/>
      <c r="I726" s="9">
        <v>2</v>
      </c>
      <c r="J726" s="9"/>
      <c r="K726" s="9"/>
      <c r="L726" s="9"/>
      <c r="M726" s="9">
        <f t="shared" si="102"/>
        <v>14</v>
      </c>
      <c r="N726" s="9">
        <f t="shared" si="103"/>
        <v>6</v>
      </c>
      <c r="O726" s="9">
        <v>7</v>
      </c>
      <c r="P726" s="9">
        <v>3</v>
      </c>
      <c r="Q726" s="9" t="s">
        <v>6</v>
      </c>
      <c r="R726" s="1">
        <v>0</v>
      </c>
      <c r="S726" s="26"/>
    </row>
    <row r="727" spans="1:19" ht="16.5" customHeight="1" x14ac:dyDescent="0.25">
      <c r="A727" s="9"/>
      <c r="B727" s="51" t="s">
        <v>108</v>
      </c>
      <c r="C727" s="52"/>
      <c r="D727" s="52"/>
      <c r="E727" s="52"/>
      <c r="F727" s="52"/>
      <c r="G727" s="53"/>
      <c r="H727" s="20"/>
      <c r="I727" s="9">
        <v>2</v>
      </c>
      <c r="J727" s="9"/>
      <c r="K727" s="9"/>
      <c r="L727" s="9"/>
      <c r="M727" s="9">
        <f t="shared" si="102"/>
        <v>13.2</v>
      </c>
      <c r="N727" s="9">
        <f t="shared" si="103"/>
        <v>5</v>
      </c>
      <c r="O727" s="9">
        <v>6.6</v>
      </c>
      <c r="P727" s="9">
        <v>2.5</v>
      </c>
      <c r="Q727" s="9" t="s">
        <v>5</v>
      </c>
      <c r="R727" s="1">
        <v>0</v>
      </c>
      <c r="S727" s="26"/>
    </row>
    <row r="728" spans="1:19" ht="16.5" customHeight="1" x14ac:dyDescent="0.25">
      <c r="A728" s="9"/>
      <c r="B728" s="51" t="s">
        <v>109</v>
      </c>
      <c r="C728" s="52"/>
      <c r="D728" s="52"/>
      <c r="E728" s="52"/>
      <c r="F728" s="52"/>
      <c r="G728" s="53"/>
      <c r="H728" s="20"/>
      <c r="I728" s="9">
        <v>2</v>
      </c>
      <c r="J728" s="9"/>
      <c r="K728" s="9"/>
      <c r="L728" s="9"/>
      <c r="M728" s="9">
        <f t="shared" si="102"/>
        <v>13.6</v>
      </c>
      <c r="N728" s="9">
        <f t="shared" si="103"/>
        <v>5</v>
      </c>
      <c r="O728" s="9">
        <v>6.8</v>
      </c>
      <c r="P728" s="9">
        <v>2.5</v>
      </c>
      <c r="Q728" s="9" t="s">
        <v>5</v>
      </c>
      <c r="R728" s="1">
        <v>0</v>
      </c>
      <c r="S728" s="26"/>
    </row>
    <row r="729" spans="1:19" ht="16.5" customHeight="1" x14ac:dyDescent="0.25">
      <c r="A729" s="9"/>
      <c r="B729" s="51" t="s">
        <v>110</v>
      </c>
      <c r="C729" s="52"/>
      <c r="D729" s="52"/>
      <c r="E729" s="52"/>
      <c r="F729" s="52"/>
      <c r="G729" s="53"/>
      <c r="H729" s="20"/>
      <c r="I729" s="9">
        <v>4</v>
      </c>
      <c r="J729" s="9"/>
      <c r="K729" s="9"/>
      <c r="L729" s="9"/>
      <c r="M729" s="9">
        <f t="shared" si="102"/>
        <v>24</v>
      </c>
      <c r="N729" s="9">
        <f t="shared" si="103"/>
        <v>8</v>
      </c>
      <c r="O729" s="9">
        <v>6</v>
      </c>
      <c r="P729" s="9">
        <v>2</v>
      </c>
      <c r="Q729" s="9" t="s">
        <v>3</v>
      </c>
      <c r="R729" s="1">
        <v>0</v>
      </c>
      <c r="S729" s="26"/>
    </row>
    <row r="730" spans="1:19" ht="16.5" customHeight="1" x14ac:dyDescent="0.25">
      <c r="A730" s="9"/>
      <c r="B730" s="51" t="s">
        <v>111</v>
      </c>
      <c r="C730" s="52"/>
      <c r="D730" s="52"/>
      <c r="E730" s="52"/>
      <c r="F730" s="52"/>
      <c r="G730" s="53"/>
      <c r="H730" s="20"/>
      <c r="I730" s="9">
        <v>2</v>
      </c>
      <c r="J730" s="9"/>
      <c r="K730" s="9"/>
      <c r="L730" s="9"/>
      <c r="M730" s="9">
        <f t="shared" si="102"/>
        <v>15.2</v>
      </c>
      <c r="N730" s="9">
        <f t="shared" si="103"/>
        <v>6</v>
      </c>
      <c r="O730" s="9">
        <v>7.6</v>
      </c>
      <c r="P730" s="9">
        <v>3</v>
      </c>
      <c r="Q730" s="9" t="s">
        <v>6</v>
      </c>
      <c r="R730" s="1">
        <v>0</v>
      </c>
      <c r="S730" s="26"/>
    </row>
    <row r="731" spans="1:19" ht="16.5" customHeight="1" x14ac:dyDescent="0.25">
      <c r="A731" s="9"/>
      <c r="B731" s="51" t="s">
        <v>112</v>
      </c>
      <c r="C731" s="52"/>
      <c r="D731" s="52"/>
      <c r="E731" s="52"/>
      <c r="F731" s="52"/>
      <c r="G731" s="53"/>
      <c r="H731" s="20"/>
      <c r="I731" s="9">
        <v>3</v>
      </c>
      <c r="J731" s="9"/>
      <c r="K731" s="9"/>
      <c r="L731" s="9"/>
      <c r="M731" s="9">
        <f t="shared" si="102"/>
        <v>25.799999999999997</v>
      </c>
      <c r="N731" s="9">
        <f t="shared" si="103"/>
        <v>11.100000000000001</v>
      </c>
      <c r="O731" s="9">
        <v>8.6</v>
      </c>
      <c r="P731" s="9">
        <v>3.7</v>
      </c>
      <c r="Q731" s="9" t="s">
        <v>10</v>
      </c>
      <c r="R731" s="1">
        <v>0</v>
      </c>
      <c r="S731" s="26"/>
    </row>
    <row r="732" spans="1:19" ht="16.5" hidden="1" customHeight="1" x14ac:dyDescent="0.25">
      <c r="A732" s="21"/>
      <c r="H732" s="21"/>
      <c r="I732" s="21"/>
      <c r="J732" s="21"/>
      <c r="K732" s="21"/>
      <c r="L732" s="21"/>
      <c r="M732" s="9">
        <f t="shared" si="102"/>
        <v>0</v>
      </c>
      <c r="N732" s="9">
        <f t="shared" si="103"/>
        <v>0</v>
      </c>
      <c r="O732" s="21"/>
      <c r="P732" s="21"/>
      <c r="Q732" s="21"/>
      <c r="S732" s="25"/>
    </row>
    <row r="733" spans="1:19" ht="16.5" customHeight="1" x14ac:dyDescent="0.25">
      <c r="A733" s="9"/>
      <c r="B733" s="39" t="s">
        <v>42</v>
      </c>
      <c r="C733" s="40"/>
      <c r="D733" s="40"/>
      <c r="E733" s="40"/>
      <c r="F733" s="40"/>
      <c r="G733" s="41"/>
      <c r="H733" s="23"/>
      <c r="I733" s="24">
        <f>SUM(I722:I732)</f>
        <v>25</v>
      </c>
      <c r="J733" s="9"/>
      <c r="K733" s="9"/>
      <c r="L733" s="9"/>
      <c r="M733" s="9">
        <f t="shared" si="102"/>
        <v>177</v>
      </c>
      <c r="N733" s="9">
        <f t="shared" si="103"/>
        <v>69.5</v>
      </c>
      <c r="O733" s="24">
        <f>ROUND(SUM(M722:M732)/I733,2)</f>
        <v>7.08</v>
      </c>
      <c r="P733" s="24">
        <f>ROUND(SUM(N722:N732)/I733,2)</f>
        <v>2.78</v>
      </c>
      <c r="Q733" s="9"/>
      <c r="S733" s="25"/>
    </row>
    <row r="734" spans="1:19" ht="20.25" customHeight="1" x14ac:dyDescent="0.25">
      <c r="A734" s="27" t="s">
        <v>113</v>
      </c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</row>
    <row r="735" spans="1:19" ht="16.5" customHeight="1" x14ac:dyDescent="0.25">
      <c r="A735" s="9"/>
      <c r="B735" s="51" t="s">
        <v>114</v>
      </c>
      <c r="C735" s="52"/>
      <c r="D735" s="52"/>
      <c r="E735" s="52"/>
      <c r="F735" s="52"/>
      <c r="G735" s="53"/>
      <c r="H735" s="20"/>
      <c r="I735" s="9">
        <v>3</v>
      </c>
      <c r="J735" s="9"/>
      <c r="K735" s="9"/>
      <c r="L735" s="9"/>
      <c r="M735" s="9">
        <f t="shared" ref="M735:M743" si="104">I735*O735</f>
        <v>0</v>
      </c>
      <c r="N735" s="9">
        <f t="shared" ref="N735:N743" si="105">I735*P735</f>
        <v>0</v>
      </c>
      <c r="O735" s="9"/>
      <c r="P735" s="9"/>
      <c r="Q735" s="9"/>
      <c r="R735" s="1">
        <v>0</v>
      </c>
      <c r="S735" s="26"/>
    </row>
    <row r="736" spans="1:19" ht="16.5" customHeight="1" x14ac:dyDescent="0.25">
      <c r="A736" s="9"/>
      <c r="B736" s="51" t="s">
        <v>115</v>
      </c>
      <c r="C736" s="52"/>
      <c r="D736" s="52"/>
      <c r="E736" s="52"/>
      <c r="F736" s="52"/>
      <c r="G736" s="53"/>
      <c r="H736" s="20"/>
      <c r="I736" s="9">
        <v>3</v>
      </c>
      <c r="J736" s="9"/>
      <c r="K736" s="9"/>
      <c r="L736" s="9"/>
      <c r="M736" s="9">
        <f t="shared" si="104"/>
        <v>0</v>
      </c>
      <c r="N736" s="9">
        <f t="shared" si="105"/>
        <v>0</v>
      </c>
      <c r="O736" s="9"/>
      <c r="P736" s="9"/>
      <c r="Q736" s="9"/>
      <c r="R736" s="1">
        <v>0</v>
      </c>
      <c r="S736" s="26"/>
    </row>
    <row r="737" spans="1:19" ht="16.5" customHeight="1" x14ac:dyDescent="0.25">
      <c r="A737" s="9"/>
      <c r="B737" s="51" t="s">
        <v>116</v>
      </c>
      <c r="C737" s="52"/>
      <c r="D737" s="52"/>
      <c r="E737" s="52"/>
      <c r="F737" s="52"/>
      <c r="G737" s="53"/>
      <c r="H737" s="20"/>
      <c r="I737" s="9">
        <v>3</v>
      </c>
      <c r="J737" s="9"/>
      <c r="K737" s="9"/>
      <c r="L737" s="9"/>
      <c r="M737" s="9">
        <f t="shared" si="104"/>
        <v>0</v>
      </c>
      <c r="N737" s="9">
        <f t="shared" si="105"/>
        <v>0</v>
      </c>
      <c r="O737" s="9"/>
      <c r="P737" s="9"/>
      <c r="Q737" s="9"/>
      <c r="R737" s="1">
        <v>0</v>
      </c>
      <c r="S737" s="26"/>
    </row>
    <row r="738" spans="1:19" ht="16.5" customHeight="1" x14ac:dyDescent="0.25">
      <c r="A738" s="9"/>
      <c r="B738" s="51" t="s">
        <v>120</v>
      </c>
      <c r="C738" s="52"/>
      <c r="D738" s="52"/>
      <c r="E738" s="52"/>
      <c r="F738" s="52"/>
      <c r="G738" s="53"/>
      <c r="H738" s="20"/>
      <c r="I738" s="9">
        <v>2</v>
      </c>
      <c r="J738" s="9"/>
      <c r="K738" s="9"/>
      <c r="L738" s="9"/>
      <c r="M738" s="9">
        <f t="shared" si="104"/>
        <v>13</v>
      </c>
      <c r="N738" s="9">
        <f t="shared" si="105"/>
        <v>5</v>
      </c>
      <c r="O738" s="9">
        <v>6.5</v>
      </c>
      <c r="P738" s="9">
        <v>2.5</v>
      </c>
      <c r="Q738" s="9" t="s">
        <v>5</v>
      </c>
      <c r="R738" s="1">
        <v>0</v>
      </c>
      <c r="S738" s="26"/>
    </row>
    <row r="739" spans="1:19" ht="16.5" customHeight="1" x14ac:dyDescent="0.25">
      <c r="A739" s="9"/>
      <c r="B739" s="51" t="s">
        <v>118</v>
      </c>
      <c r="C739" s="52"/>
      <c r="D739" s="52"/>
      <c r="E739" s="52"/>
      <c r="F739" s="52"/>
      <c r="G739" s="53"/>
      <c r="H739" s="20"/>
      <c r="I739" s="9">
        <v>3</v>
      </c>
      <c r="J739" s="9"/>
      <c r="K739" s="9"/>
      <c r="L739" s="9"/>
      <c r="M739" s="9">
        <f t="shared" si="104"/>
        <v>0</v>
      </c>
      <c r="N739" s="9">
        <f t="shared" si="105"/>
        <v>0</v>
      </c>
      <c r="O739" s="9"/>
      <c r="P739" s="9"/>
      <c r="Q739" s="9"/>
      <c r="R739" s="1">
        <v>0</v>
      </c>
      <c r="S739" s="26"/>
    </row>
    <row r="740" spans="1:19" ht="16.5" customHeight="1" x14ac:dyDescent="0.25">
      <c r="A740" s="9"/>
      <c r="B740" s="51" t="s">
        <v>119</v>
      </c>
      <c r="C740" s="52"/>
      <c r="D740" s="52"/>
      <c r="E740" s="52"/>
      <c r="F740" s="52"/>
      <c r="G740" s="53"/>
      <c r="H740" s="20"/>
      <c r="I740" s="9">
        <v>3</v>
      </c>
      <c r="J740" s="9"/>
      <c r="K740" s="9"/>
      <c r="L740" s="9"/>
      <c r="M740" s="9">
        <f t="shared" si="104"/>
        <v>0</v>
      </c>
      <c r="N740" s="9">
        <f t="shared" si="105"/>
        <v>0</v>
      </c>
      <c r="O740" s="9"/>
      <c r="P740" s="9"/>
      <c r="Q740" s="9"/>
      <c r="R740" s="1">
        <v>0</v>
      </c>
      <c r="S740" s="26"/>
    </row>
    <row r="741" spans="1:19" ht="16.5" customHeight="1" x14ac:dyDescent="0.25">
      <c r="A741" s="9"/>
      <c r="B741" s="51" t="s">
        <v>117</v>
      </c>
      <c r="C741" s="52"/>
      <c r="D741" s="52"/>
      <c r="E741" s="52"/>
      <c r="F741" s="52"/>
      <c r="G741" s="53"/>
      <c r="H741" s="20"/>
      <c r="I741" s="9">
        <v>1</v>
      </c>
      <c r="J741" s="9"/>
      <c r="K741" s="9"/>
      <c r="L741" s="9"/>
      <c r="M741" s="9">
        <f t="shared" si="104"/>
        <v>7.3</v>
      </c>
      <c r="N741" s="9">
        <f t="shared" si="105"/>
        <v>3</v>
      </c>
      <c r="O741" s="9">
        <v>7.3</v>
      </c>
      <c r="P741" s="9">
        <v>3</v>
      </c>
      <c r="Q741" s="9" t="s">
        <v>6</v>
      </c>
      <c r="R741" s="1">
        <v>0</v>
      </c>
      <c r="S741" s="26"/>
    </row>
    <row r="742" spans="1:19" ht="16.5" hidden="1" customHeight="1" x14ac:dyDescent="0.25">
      <c r="A742" s="21"/>
      <c r="H742" s="21"/>
      <c r="I742" s="21"/>
      <c r="J742" s="21"/>
      <c r="K742" s="21"/>
      <c r="L742" s="21"/>
      <c r="M742" s="9">
        <f t="shared" si="104"/>
        <v>0</v>
      </c>
      <c r="N742" s="9">
        <f t="shared" si="105"/>
        <v>0</v>
      </c>
      <c r="O742" s="21"/>
      <c r="P742" s="21"/>
      <c r="Q742" s="21"/>
      <c r="S742" s="25"/>
    </row>
    <row r="743" spans="1:19" ht="16.5" customHeight="1" x14ac:dyDescent="0.25">
      <c r="A743" s="9"/>
      <c r="B743" s="39" t="s">
        <v>42</v>
      </c>
      <c r="C743" s="40"/>
      <c r="D743" s="40"/>
      <c r="E743" s="40"/>
      <c r="F743" s="40"/>
      <c r="G743" s="41"/>
      <c r="H743" s="23"/>
      <c r="I743" s="24">
        <f>SUM(I735:I742)</f>
        <v>18</v>
      </c>
      <c r="J743" s="9"/>
      <c r="K743" s="9"/>
      <c r="L743" s="9"/>
      <c r="M743" s="9">
        <f t="shared" si="104"/>
        <v>20.339999999999996</v>
      </c>
      <c r="N743" s="9">
        <f t="shared" si="105"/>
        <v>7.92</v>
      </c>
      <c r="O743" s="24">
        <f>ROUND(SUM(M735:M742)/I743,2)</f>
        <v>1.1299999999999999</v>
      </c>
      <c r="P743" s="24">
        <f>ROUND(SUM(N735:N742)/I743,2)</f>
        <v>0.44</v>
      </c>
      <c r="Q743" s="9"/>
      <c r="S743" s="25"/>
    </row>
    <row r="744" spans="1:19" ht="16.5" customHeight="1" x14ac:dyDescent="0.25">
      <c r="A744" s="21"/>
      <c r="B744" s="22"/>
      <c r="C744" s="22"/>
      <c r="D744" s="22"/>
      <c r="E744" s="22"/>
      <c r="F744" s="22"/>
      <c r="G744" s="22"/>
      <c r="H744" s="21"/>
      <c r="I744" s="21"/>
      <c r="J744" s="21"/>
      <c r="K744" s="21"/>
      <c r="L744" s="21"/>
      <c r="M744" s="21"/>
      <c r="N744" s="21"/>
      <c r="O744" s="21"/>
      <c r="P744" s="21"/>
      <c r="Q744" s="21"/>
    </row>
    <row r="746" spans="1:19" ht="18" x14ac:dyDescent="0.25">
      <c r="A746" s="35" t="s">
        <v>159</v>
      </c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</row>
    <row r="747" spans="1:19" ht="18" x14ac:dyDescent="0.25">
      <c r="A747" s="35" t="s">
        <v>160</v>
      </c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</row>
    <row r="748" spans="1:19" ht="18" x14ac:dyDescent="0.25">
      <c r="A748" s="35" t="s">
        <v>161</v>
      </c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</row>
    <row r="749" spans="1:19" ht="18" x14ac:dyDescent="0.25">
      <c r="A749" s="45" t="s">
        <v>148</v>
      </c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</row>
    <row r="750" spans="1:19" ht="19.5" customHeight="1" x14ac:dyDescent="0.25">
      <c r="A750" s="17"/>
      <c r="B750" s="17"/>
      <c r="C750" s="8"/>
      <c r="D750" s="18"/>
      <c r="E750" s="10"/>
      <c r="F750" s="11"/>
      <c r="G750" s="46" t="s">
        <v>49</v>
      </c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</row>
    <row r="751" spans="1:19" ht="31.5" customHeight="1" x14ac:dyDescent="0.3">
      <c r="A751" s="8"/>
      <c r="B751" s="8"/>
      <c r="C751" s="8"/>
      <c r="D751" s="8"/>
      <c r="E751" s="8"/>
      <c r="F751" s="8"/>
      <c r="G751" s="8"/>
      <c r="H751" s="12"/>
      <c r="I751" s="42" t="s">
        <v>40</v>
      </c>
      <c r="J751" s="43"/>
      <c r="K751" s="43"/>
      <c r="L751" s="43"/>
      <c r="M751" s="43"/>
      <c r="N751" s="43"/>
      <c r="O751" s="43"/>
      <c r="P751" s="43"/>
      <c r="Q751" s="43"/>
      <c r="R751" s="43"/>
      <c r="S751" s="43"/>
    </row>
    <row r="752" spans="1:19" ht="16.8" x14ac:dyDescent="0.3">
      <c r="A752" s="8"/>
      <c r="B752" s="8"/>
      <c r="C752" s="8"/>
      <c r="D752" s="8"/>
      <c r="E752" s="8"/>
      <c r="F752" s="8"/>
      <c r="G752" s="8"/>
      <c r="H752" s="12"/>
      <c r="I752" s="12"/>
      <c r="J752" s="12"/>
      <c r="K752" s="12"/>
      <c r="L752" s="8"/>
      <c r="M752" s="8"/>
      <c r="N752" s="8"/>
      <c r="O752" s="8"/>
      <c r="P752" s="8"/>
      <c r="Q752" s="8"/>
    </row>
    <row r="753" spans="1:20" ht="33" customHeight="1" x14ac:dyDescent="0.3">
      <c r="A753" s="8"/>
      <c r="B753" s="8"/>
      <c r="C753" s="8"/>
      <c r="D753" s="8"/>
      <c r="E753" s="8"/>
      <c r="F753" s="8"/>
      <c r="G753" s="8"/>
      <c r="H753" s="12"/>
      <c r="I753" s="12"/>
      <c r="J753" s="12"/>
      <c r="K753" s="12"/>
      <c r="L753" s="8"/>
      <c r="M753" s="8"/>
      <c r="N753" s="8"/>
      <c r="O753" s="8"/>
      <c r="P753" s="8"/>
      <c r="Q753" s="8"/>
    </row>
    <row r="754" spans="1:20" ht="11.25" customHeight="1" x14ac:dyDescent="0.3">
      <c r="A754" s="8"/>
      <c r="B754" s="8"/>
      <c r="C754" s="8"/>
      <c r="D754" s="8"/>
      <c r="E754" s="8"/>
      <c r="F754" s="8"/>
      <c r="G754" s="8"/>
      <c r="H754" s="12"/>
      <c r="I754" s="12"/>
      <c r="J754" s="12"/>
      <c r="K754" s="12"/>
      <c r="L754" s="8"/>
      <c r="M754" s="8"/>
      <c r="N754" s="8"/>
      <c r="O754" s="8"/>
      <c r="P754" s="8"/>
      <c r="Q754" s="8"/>
    </row>
    <row r="755" spans="1:20" ht="17.399999999999999" x14ac:dyDescent="0.3">
      <c r="A755" s="8"/>
      <c r="B755" s="8"/>
      <c r="C755" s="8"/>
      <c r="D755" s="8"/>
      <c r="E755" s="8"/>
      <c r="F755" s="8"/>
      <c r="G755" s="47" t="s">
        <v>41</v>
      </c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</row>
    <row r="756" spans="1:20" ht="54" customHeight="1" x14ac:dyDescent="0.25">
      <c r="A756" s="48" t="s">
        <v>33</v>
      </c>
      <c r="B756" s="48"/>
      <c r="C756" s="48"/>
      <c r="D756" s="48"/>
      <c r="E756" s="48"/>
      <c r="F756" s="42" t="s">
        <v>24</v>
      </c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</row>
    <row r="757" spans="1:20" ht="17.399999999999999" x14ac:dyDescent="0.25">
      <c r="A757" s="49" t="s">
        <v>34</v>
      </c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</row>
    <row r="758" spans="1:20" ht="4.5" customHeight="1" x14ac:dyDescent="0.25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</row>
    <row r="759" spans="1:20" ht="5.25" customHeight="1" x14ac:dyDescent="0.25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</row>
    <row r="760" spans="1:20" ht="16.5" customHeight="1" x14ac:dyDescent="0.25">
      <c r="A760" s="54" t="s">
        <v>163</v>
      </c>
      <c r="B760" s="54"/>
      <c r="C760" s="54"/>
      <c r="D760" s="54"/>
      <c r="E760" s="54"/>
      <c r="F760" s="54"/>
      <c r="G760" s="58" t="s">
        <v>164</v>
      </c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</row>
    <row r="761" spans="1:20" ht="16.5" customHeight="1" x14ac:dyDescent="0.25">
      <c r="A761" s="54" t="s">
        <v>165</v>
      </c>
      <c r="B761" s="54"/>
      <c r="C761" s="54"/>
      <c r="D761" s="54"/>
      <c r="E761" s="54"/>
      <c r="F761" s="54"/>
      <c r="G761" s="8" t="s">
        <v>46</v>
      </c>
      <c r="H761" s="8"/>
      <c r="I761" s="8"/>
      <c r="J761" s="8"/>
      <c r="K761" s="8"/>
      <c r="L761" s="8"/>
      <c r="M761" s="8"/>
      <c r="N761" s="8"/>
      <c r="O761" s="8"/>
      <c r="P761" s="8"/>
      <c r="Q761" s="8"/>
      <c r="T761" s="2"/>
    </row>
    <row r="762" spans="1:20" ht="16.5" customHeight="1" x14ac:dyDescent="0.25">
      <c r="A762" s="54" t="s">
        <v>47</v>
      </c>
      <c r="B762" s="54"/>
      <c r="C762" s="54"/>
      <c r="D762" s="54"/>
      <c r="E762" s="54"/>
      <c r="F762" s="54"/>
      <c r="G762" s="58" t="s">
        <v>48</v>
      </c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</row>
    <row r="763" spans="1:20" ht="5.2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19"/>
      <c r="K763" s="19"/>
      <c r="L763" s="19"/>
      <c r="M763" s="19"/>
      <c r="N763" s="19"/>
      <c r="O763" s="19"/>
      <c r="P763" s="19"/>
      <c r="Q763" s="19"/>
    </row>
    <row r="764" spans="1:20" ht="15" customHeight="1" x14ac:dyDescent="0.25">
      <c r="A764" s="36" t="s">
        <v>0</v>
      </c>
      <c r="B764" s="29" t="s">
        <v>1</v>
      </c>
      <c r="C764" s="30"/>
      <c r="D764" s="30"/>
      <c r="E764" s="30"/>
      <c r="F764" s="30"/>
      <c r="G764" s="31"/>
      <c r="H764" s="36" t="s">
        <v>32</v>
      </c>
      <c r="I764" s="36" t="s">
        <v>39</v>
      </c>
      <c r="J764" s="55" t="s">
        <v>2</v>
      </c>
      <c r="K764" s="56"/>
      <c r="L764" s="56"/>
      <c r="M764" s="56"/>
      <c r="N764" s="56"/>
      <c r="O764" s="56"/>
      <c r="P764" s="56"/>
      <c r="Q764" s="57"/>
      <c r="S764" s="36" t="s">
        <v>38</v>
      </c>
    </row>
    <row r="765" spans="1:20" ht="24" customHeight="1" x14ac:dyDescent="0.25">
      <c r="A765" s="37"/>
      <c r="B765" s="32"/>
      <c r="C765" s="33"/>
      <c r="D765" s="33"/>
      <c r="E765" s="33"/>
      <c r="F765" s="33"/>
      <c r="G765" s="34"/>
      <c r="H765" s="37"/>
      <c r="I765" s="37"/>
      <c r="J765" s="7" t="s">
        <v>28</v>
      </c>
      <c r="K765" s="7" t="s">
        <v>29</v>
      </c>
      <c r="L765" s="7" t="s">
        <v>30</v>
      </c>
      <c r="M765" s="7"/>
      <c r="N765" s="7"/>
      <c r="O765" s="6" t="s">
        <v>35</v>
      </c>
      <c r="P765" s="6" t="s">
        <v>36</v>
      </c>
      <c r="Q765" s="6" t="s">
        <v>37</v>
      </c>
      <c r="S765" s="37"/>
    </row>
    <row r="766" spans="1:20" ht="20.25" customHeight="1" x14ac:dyDescent="0.25">
      <c r="A766" s="27" t="s">
        <v>54</v>
      </c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</row>
    <row r="767" spans="1:20" ht="16.5" customHeight="1" x14ac:dyDescent="0.25">
      <c r="A767" s="9"/>
      <c r="B767" s="51" t="s">
        <v>55</v>
      </c>
      <c r="C767" s="52"/>
      <c r="D767" s="52"/>
      <c r="E767" s="52"/>
      <c r="F767" s="52"/>
      <c r="G767" s="53"/>
      <c r="H767" s="20"/>
      <c r="I767" s="9">
        <v>1</v>
      </c>
      <c r="J767" s="9"/>
      <c r="K767" s="9"/>
      <c r="L767" s="9"/>
      <c r="M767" s="9">
        <f t="shared" ref="M767:M775" si="106">I767*O767</f>
        <v>6.9</v>
      </c>
      <c r="N767" s="9">
        <f t="shared" ref="N767:N775" si="107">I767*P767</f>
        <v>2.5</v>
      </c>
      <c r="O767" s="9">
        <v>6.9</v>
      </c>
      <c r="P767" s="9">
        <v>2.5</v>
      </c>
      <c r="Q767" s="9" t="s">
        <v>5</v>
      </c>
      <c r="R767" s="1">
        <v>0</v>
      </c>
      <c r="S767" s="26"/>
    </row>
    <row r="768" spans="1:20" ht="16.5" customHeight="1" x14ac:dyDescent="0.25">
      <c r="A768" s="9"/>
      <c r="B768" s="51" t="s">
        <v>56</v>
      </c>
      <c r="C768" s="52"/>
      <c r="D768" s="52"/>
      <c r="E768" s="52"/>
      <c r="F768" s="52"/>
      <c r="G768" s="53"/>
      <c r="H768" s="20"/>
      <c r="I768" s="9">
        <v>3</v>
      </c>
      <c r="J768" s="9"/>
      <c r="K768" s="9"/>
      <c r="L768" s="9"/>
      <c r="M768" s="9">
        <f t="shared" si="106"/>
        <v>18.299999999999997</v>
      </c>
      <c r="N768" s="9">
        <f t="shared" si="107"/>
        <v>6</v>
      </c>
      <c r="O768" s="9">
        <v>6.1</v>
      </c>
      <c r="P768" s="9">
        <v>2</v>
      </c>
      <c r="Q768" s="9" t="s">
        <v>3</v>
      </c>
      <c r="R768" s="1">
        <v>0</v>
      </c>
      <c r="S768" s="26"/>
    </row>
    <row r="769" spans="1:19" ht="31.2" customHeight="1" x14ac:dyDescent="0.25">
      <c r="A769" s="9"/>
      <c r="B769" s="51" t="s">
        <v>57</v>
      </c>
      <c r="C769" s="52"/>
      <c r="D769" s="52"/>
      <c r="E769" s="52"/>
      <c r="F769" s="52"/>
      <c r="G769" s="53"/>
      <c r="H769" s="20"/>
      <c r="I769" s="9">
        <v>3</v>
      </c>
      <c r="J769" s="9"/>
      <c r="K769" s="9"/>
      <c r="L769" s="9"/>
      <c r="M769" s="9">
        <f t="shared" si="106"/>
        <v>22.799999999999997</v>
      </c>
      <c r="N769" s="9">
        <f t="shared" si="107"/>
        <v>9</v>
      </c>
      <c r="O769" s="9">
        <v>7.6</v>
      </c>
      <c r="P769" s="9">
        <v>3</v>
      </c>
      <c r="Q769" s="9" t="s">
        <v>6</v>
      </c>
      <c r="R769" s="1">
        <v>0</v>
      </c>
      <c r="S769" s="26"/>
    </row>
    <row r="770" spans="1:19" ht="16.5" customHeight="1" x14ac:dyDescent="0.25">
      <c r="A770" s="9"/>
      <c r="B770" s="51" t="s">
        <v>58</v>
      </c>
      <c r="C770" s="52"/>
      <c r="D770" s="52"/>
      <c r="E770" s="52"/>
      <c r="F770" s="52"/>
      <c r="G770" s="53"/>
      <c r="H770" s="20"/>
      <c r="I770" s="9">
        <v>1</v>
      </c>
      <c r="J770" s="9"/>
      <c r="K770" s="9"/>
      <c r="L770" s="9"/>
      <c r="M770" s="9">
        <f t="shared" si="106"/>
        <v>6.8</v>
      </c>
      <c r="N770" s="9">
        <f t="shared" si="107"/>
        <v>2.5</v>
      </c>
      <c r="O770" s="9">
        <v>6.8</v>
      </c>
      <c r="P770" s="9">
        <v>2.5</v>
      </c>
      <c r="Q770" s="9" t="s">
        <v>5</v>
      </c>
      <c r="R770" s="1">
        <v>0</v>
      </c>
      <c r="S770" s="26"/>
    </row>
    <row r="771" spans="1:19" ht="16.5" customHeight="1" x14ac:dyDescent="0.25">
      <c r="A771" s="9"/>
      <c r="B771" s="51" t="s">
        <v>59</v>
      </c>
      <c r="C771" s="52"/>
      <c r="D771" s="52"/>
      <c r="E771" s="52"/>
      <c r="F771" s="52"/>
      <c r="G771" s="53"/>
      <c r="H771" s="20"/>
      <c r="I771" s="9">
        <v>1</v>
      </c>
      <c r="J771" s="9"/>
      <c r="K771" s="9"/>
      <c r="L771" s="9"/>
      <c r="M771" s="9">
        <f t="shared" si="106"/>
        <v>7.9</v>
      </c>
      <c r="N771" s="9">
        <f t="shared" si="107"/>
        <v>3</v>
      </c>
      <c r="O771" s="9">
        <v>7.9</v>
      </c>
      <c r="P771" s="9">
        <v>3</v>
      </c>
      <c r="Q771" s="9" t="s">
        <v>6</v>
      </c>
      <c r="R771" s="1">
        <v>0</v>
      </c>
      <c r="S771" s="26"/>
    </row>
    <row r="772" spans="1:19" ht="16.5" customHeight="1" x14ac:dyDescent="0.25">
      <c r="A772" s="9"/>
      <c r="B772" s="51" t="s">
        <v>60</v>
      </c>
      <c r="C772" s="52"/>
      <c r="D772" s="52"/>
      <c r="E772" s="52"/>
      <c r="F772" s="52"/>
      <c r="G772" s="53"/>
      <c r="H772" s="20"/>
      <c r="I772" s="9">
        <v>3</v>
      </c>
      <c r="J772" s="9"/>
      <c r="K772" s="9"/>
      <c r="L772" s="9"/>
      <c r="M772" s="9">
        <f t="shared" si="106"/>
        <v>25.200000000000003</v>
      </c>
      <c r="N772" s="9">
        <f t="shared" si="107"/>
        <v>10.5</v>
      </c>
      <c r="O772" s="9">
        <v>8.4</v>
      </c>
      <c r="P772" s="9">
        <v>3.5</v>
      </c>
      <c r="Q772" s="9" t="s">
        <v>9</v>
      </c>
      <c r="R772" s="1">
        <v>0</v>
      </c>
      <c r="S772" s="26"/>
    </row>
    <row r="773" spans="1:19" ht="16.5" customHeight="1" x14ac:dyDescent="0.25">
      <c r="A773" s="9"/>
      <c r="B773" s="51" t="s">
        <v>61</v>
      </c>
      <c r="C773" s="52"/>
      <c r="D773" s="52"/>
      <c r="E773" s="52"/>
      <c r="F773" s="52"/>
      <c r="G773" s="53"/>
      <c r="H773" s="20"/>
      <c r="I773" s="9">
        <v>2</v>
      </c>
      <c r="J773" s="9"/>
      <c r="K773" s="9"/>
      <c r="L773" s="9"/>
      <c r="M773" s="9">
        <f t="shared" si="106"/>
        <v>14.6</v>
      </c>
      <c r="N773" s="9">
        <f t="shared" si="107"/>
        <v>6</v>
      </c>
      <c r="O773" s="9">
        <v>7.3</v>
      </c>
      <c r="P773" s="9">
        <v>3</v>
      </c>
      <c r="Q773" s="9" t="s">
        <v>6</v>
      </c>
      <c r="R773" s="1">
        <v>0</v>
      </c>
      <c r="S773" s="26"/>
    </row>
    <row r="774" spans="1:19" ht="16.5" hidden="1" customHeight="1" x14ac:dyDescent="0.25">
      <c r="A774" s="21"/>
      <c r="H774" s="21"/>
      <c r="I774" s="21"/>
      <c r="J774" s="21"/>
      <c r="K774" s="21"/>
      <c r="L774" s="21"/>
      <c r="M774" s="9">
        <f t="shared" si="106"/>
        <v>0</v>
      </c>
      <c r="N774" s="9">
        <f t="shared" si="107"/>
        <v>0</v>
      </c>
      <c r="O774" s="21"/>
      <c r="P774" s="21"/>
      <c r="Q774" s="21"/>
      <c r="S774" s="25"/>
    </row>
    <row r="775" spans="1:19" ht="16.5" customHeight="1" x14ac:dyDescent="0.25">
      <c r="A775" s="9"/>
      <c r="B775" s="39" t="s">
        <v>42</v>
      </c>
      <c r="C775" s="40"/>
      <c r="D775" s="40"/>
      <c r="E775" s="40"/>
      <c r="F775" s="40"/>
      <c r="G775" s="41"/>
      <c r="H775" s="23"/>
      <c r="I775" s="24">
        <f>SUM(I767:I774)</f>
        <v>14</v>
      </c>
      <c r="J775" s="9"/>
      <c r="K775" s="9"/>
      <c r="L775" s="9"/>
      <c r="M775" s="9">
        <f t="shared" si="106"/>
        <v>102.48</v>
      </c>
      <c r="N775" s="9">
        <f t="shared" si="107"/>
        <v>39.479999999999997</v>
      </c>
      <c r="O775" s="24">
        <f>ROUND(SUM(M767:M774)/I775,2)</f>
        <v>7.32</v>
      </c>
      <c r="P775" s="24">
        <f>ROUND(SUM(N767:N774)/I775,2)</f>
        <v>2.82</v>
      </c>
      <c r="Q775" s="9"/>
      <c r="S775" s="25"/>
    </row>
    <row r="776" spans="1:19" ht="20.25" customHeight="1" x14ac:dyDescent="0.25">
      <c r="A776" s="27" t="s">
        <v>62</v>
      </c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</row>
    <row r="777" spans="1:19" ht="16.5" customHeight="1" x14ac:dyDescent="0.25">
      <c r="A777" s="9"/>
      <c r="B777" s="51" t="s">
        <v>63</v>
      </c>
      <c r="C777" s="52"/>
      <c r="D777" s="52"/>
      <c r="E777" s="52"/>
      <c r="F777" s="52"/>
      <c r="G777" s="53"/>
      <c r="H777" s="20"/>
      <c r="I777" s="9">
        <v>4</v>
      </c>
      <c r="J777" s="9"/>
      <c r="K777" s="9"/>
      <c r="L777" s="9"/>
      <c r="M777" s="9">
        <f t="shared" ref="M777:M785" si="108">I777*O777</f>
        <v>25.2</v>
      </c>
      <c r="N777" s="9">
        <f t="shared" ref="N777:N785" si="109">I777*P777</f>
        <v>8</v>
      </c>
      <c r="O777" s="9">
        <v>6.3</v>
      </c>
      <c r="P777" s="9">
        <v>2</v>
      </c>
      <c r="Q777" s="9" t="s">
        <v>3</v>
      </c>
      <c r="R777" s="1">
        <v>0</v>
      </c>
      <c r="S777" s="26"/>
    </row>
    <row r="778" spans="1:19" ht="16.5" customHeight="1" x14ac:dyDescent="0.25">
      <c r="A778" s="9"/>
      <c r="B778" s="51" t="s">
        <v>64</v>
      </c>
      <c r="C778" s="52"/>
      <c r="D778" s="52"/>
      <c r="E778" s="52"/>
      <c r="F778" s="52"/>
      <c r="G778" s="53"/>
      <c r="H778" s="20"/>
      <c r="I778" s="9">
        <v>4</v>
      </c>
      <c r="J778" s="9"/>
      <c r="K778" s="9"/>
      <c r="L778" s="9"/>
      <c r="M778" s="9">
        <f t="shared" si="108"/>
        <v>27.6</v>
      </c>
      <c r="N778" s="9">
        <f t="shared" si="109"/>
        <v>10</v>
      </c>
      <c r="O778" s="9">
        <v>6.9</v>
      </c>
      <c r="P778" s="9">
        <v>2.5</v>
      </c>
      <c r="Q778" s="9" t="s">
        <v>5</v>
      </c>
      <c r="R778" s="1">
        <v>0</v>
      </c>
      <c r="S778" s="26"/>
    </row>
    <row r="779" spans="1:19" ht="16.5" customHeight="1" x14ac:dyDescent="0.25">
      <c r="A779" s="9"/>
      <c r="B779" s="51" t="s">
        <v>65</v>
      </c>
      <c r="C779" s="52"/>
      <c r="D779" s="52"/>
      <c r="E779" s="52"/>
      <c r="F779" s="52"/>
      <c r="G779" s="53"/>
      <c r="H779" s="20"/>
      <c r="I779" s="9">
        <v>4</v>
      </c>
      <c r="J779" s="9"/>
      <c r="K779" s="9"/>
      <c r="L779" s="9"/>
      <c r="M779" s="9">
        <f t="shared" si="108"/>
        <v>28</v>
      </c>
      <c r="N779" s="9">
        <f t="shared" si="109"/>
        <v>12</v>
      </c>
      <c r="O779" s="9">
        <v>7</v>
      </c>
      <c r="P779" s="9">
        <v>3</v>
      </c>
      <c r="Q779" s="9" t="s">
        <v>6</v>
      </c>
      <c r="R779" s="1">
        <v>0</v>
      </c>
      <c r="S779" s="26"/>
    </row>
    <row r="780" spans="1:19" ht="16.5" customHeight="1" x14ac:dyDescent="0.25">
      <c r="A780" s="9"/>
      <c r="B780" s="51" t="s">
        <v>66</v>
      </c>
      <c r="C780" s="52"/>
      <c r="D780" s="52"/>
      <c r="E780" s="52"/>
      <c r="F780" s="52"/>
      <c r="G780" s="53"/>
      <c r="H780" s="20"/>
      <c r="I780" s="9">
        <v>1</v>
      </c>
      <c r="J780" s="9"/>
      <c r="K780" s="9"/>
      <c r="L780" s="9"/>
      <c r="M780" s="9">
        <f t="shared" si="108"/>
        <v>8</v>
      </c>
      <c r="N780" s="9">
        <f t="shared" si="109"/>
        <v>3.5</v>
      </c>
      <c r="O780" s="9">
        <v>8</v>
      </c>
      <c r="P780" s="9">
        <v>3.5</v>
      </c>
      <c r="Q780" s="9" t="s">
        <v>9</v>
      </c>
      <c r="R780" s="1">
        <v>0</v>
      </c>
      <c r="S780" s="26"/>
    </row>
    <row r="781" spans="1:19" ht="16.5" customHeight="1" x14ac:dyDescent="0.25">
      <c r="A781" s="9"/>
      <c r="B781" s="51" t="s">
        <v>67</v>
      </c>
      <c r="C781" s="52"/>
      <c r="D781" s="52"/>
      <c r="E781" s="52"/>
      <c r="F781" s="52"/>
      <c r="G781" s="53"/>
      <c r="H781" s="20"/>
      <c r="I781" s="9">
        <v>1</v>
      </c>
      <c r="J781" s="9"/>
      <c r="K781" s="9"/>
      <c r="L781" s="9"/>
      <c r="M781" s="9">
        <f t="shared" si="108"/>
        <v>7.6</v>
      </c>
      <c r="N781" s="9">
        <f t="shared" si="109"/>
        <v>3</v>
      </c>
      <c r="O781" s="9">
        <v>7.6</v>
      </c>
      <c r="P781" s="9">
        <v>3</v>
      </c>
      <c r="Q781" s="9" t="s">
        <v>6</v>
      </c>
      <c r="R781" s="1">
        <v>0</v>
      </c>
      <c r="S781" s="26"/>
    </row>
    <row r="782" spans="1:19" ht="16.5" customHeight="1" x14ac:dyDescent="0.25">
      <c r="A782" s="9"/>
      <c r="B782" s="51" t="s">
        <v>68</v>
      </c>
      <c r="C782" s="52"/>
      <c r="D782" s="52"/>
      <c r="E782" s="52"/>
      <c r="F782" s="52"/>
      <c r="G782" s="53"/>
      <c r="H782" s="20"/>
      <c r="I782" s="9">
        <v>1</v>
      </c>
      <c r="J782" s="9"/>
      <c r="K782" s="9"/>
      <c r="L782" s="9"/>
      <c r="M782" s="9">
        <f t="shared" si="108"/>
        <v>8.1</v>
      </c>
      <c r="N782" s="9">
        <f t="shared" si="109"/>
        <v>3.5</v>
      </c>
      <c r="O782" s="9">
        <v>8.1</v>
      </c>
      <c r="P782" s="9">
        <v>3.5</v>
      </c>
      <c r="Q782" s="9" t="s">
        <v>9</v>
      </c>
      <c r="R782" s="1">
        <v>0</v>
      </c>
      <c r="S782" s="26"/>
    </row>
    <row r="783" spans="1:19" ht="16.5" customHeight="1" x14ac:dyDescent="0.25">
      <c r="A783" s="9"/>
      <c r="B783" s="51" t="s">
        <v>69</v>
      </c>
      <c r="C783" s="52"/>
      <c r="D783" s="52"/>
      <c r="E783" s="52"/>
      <c r="F783" s="52"/>
      <c r="G783" s="53"/>
      <c r="H783" s="20"/>
      <c r="I783" s="9">
        <v>1</v>
      </c>
      <c r="J783" s="9"/>
      <c r="K783" s="9"/>
      <c r="L783" s="9"/>
      <c r="M783" s="9">
        <f t="shared" si="108"/>
        <v>7.6</v>
      </c>
      <c r="N783" s="9">
        <f t="shared" si="109"/>
        <v>3</v>
      </c>
      <c r="O783" s="9">
        <v>7.6</v>
      </c>
      <c r="P783" s="9">
        <v>3</v>
      </c>
      <c r="Q783" s="9" t="s">
        <v>6</v>
      </c>
      <c r="R783" s="1">
        <v>0</v>
      </c>
      <c r="S783" s="26"/>
    </row>
    <row r="784" spans="1:19" ht="16.5" hidden="1" customHeight="1" x14ac:dyDescent="0.25">
      <c r="A784" s="21"/>
      <c r="H784" s="21"/>
      <c r="I784" s="21"/>
      <c r="J784" s="21"/>
      <c r="K784" s="21"/>
      <c r="L784" s="21"/>
      <c r="M784" s="9">
        <f t="shared" si="108"/>
        <v>0</v>
      </c>
      <c r="N784" s="9">
        <f t="shared" si="109"/>
        <v>0</v>
      </c>
      <c r="O784" s="21"/>
      <c r="P784" s="21"/>
      <c r="Q784" s="21"/>
      <c r="S784" s="25"/>
    </row>
    <row r="785" spans="1:19" ht="16.5" customHeight="1" x14ac:dyDescent="0.25">
      <c r="A785" s="9"/>
      <c r="B785" s="39" t="s">
        <v>42</v>
      </c>
      <c r="C785" s="40"/>
      <c r="D785" s="40"/>
      <c r="E785" s="40"/>
      <c r="F785" s="40"/>
      <c r="G785" s="41"/>
      <c r="H785" s="23"/>
      <c r="I785" s="24">
        <f>SUM(I777:I784)</f>
        <v>16</v>
      </c>
      <c r="J785" s="9"/>
      <c r="K785" s="9"/>
      <c r="L785" s="9"/>
      <c r="M785" s="9">
        <f t="shared" si="108"/>
        <v>112.16</v>
      </c>
      <c r="N785" s="9">
        <f t="shared" si="109"/>
        <v>43.04</v>
      </c>
      <c r="O785" s="24">
        <f>ROUND(SUM(M777:M784)/I785,2)</f>
        <v>7.01</v>
      </c>
      <c r="P785" s="24">
        <f>ROUND(SUM(N777:N784)/I785,2)</f>
        <v>2.69</v>
      </c>
      <c r="Q785" s="9"/>
      <c r="S785" s="25"/>
    </row>
    <row r="786" spans="1:19" ht="20.25" customHeight="1" x14ac:dyDescent="0.25">
      <c r="A786" s="27" t="s">
        <v>70</v>
      </c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</row>
    <row r="787" spans="1:19" ht="16.5" customHeight="1" x14ac:dyDescent="0.25">
      <c r="A787" s="9"/>
      <c r="B787" s="51" t="s">
        <v>71</v>
      </c>
      <c r="C787" s="52"/>
      <c r="D787" s="52"/>
      <c r="E787" s="52"/>
      <c r="F787" s="52"/>
      <c r="G787" s="53"/>
      <c r="H787" s="20"/>
      <c r="I787" s="9">
        <v>4</v>
      </c>
      <c r="J787" s="9"/>
      <c r="K787" s="9"/>
      <c r="L787" s="9"/>
      <c r="M787" s="9">
        <f t="shared" ref="M787:M796" si="110">I787*O787</f>
        <v>32</v>
      </c>
      <c r="N787" s="9">
        <f t="shared" ref="N787:N796" si="111">I787*P787</f>
        <v>14</v>
      </c>
      <c r="O787" s="9">
        <v>8</v>
      </c>
      <c r="P787" s="9">
        <v>3.5</v>
      </c>
      <c r="Q787" s="9" t="s">
        <v>9</v>
      </c>
      <c r="R787" s="1">
        <v>0</v>
      </c>
      <c r="S787" s="26"/>
    </row>
    <row r="788" spans="1:19" ht="16.5" customHeight="1" x14ac:dyDescent="0.25">
      <c r="A788" s="9"/>
      <c r="B788" s="51" t="s">
        <v>72</v>
      </c>
      <c r="C788" s="52"/>
      <c r="D788" s="52"/>
      <c r="E788" s="52"/>
      <c r="F788" s="52"/>
      <c r="G788" s="53"/>
      <c r="H788" s="20"/>
      <c r="I788" s="9">
        <v>4</v>
      </c>
      <c r="J788" s="9"/>
      <c r="K788" s="9"/>
      <c r="L788" s="9"/>
      <c r="M788" s="9">
        <f t="shared" si="110"/>
        <v>26.4</v>
      </c>
      <c r="N788" s="9">
        <f t="shared" si="111"/>
        <v>10</v>
      </c>
      <c r="O788" s="9">
        <v>6.6</v>
      </c>
      <c r="P788" s="9">
        <v>2.5</v>
      </c>
      <c r="Q788" s="9" t="s">
        <v>5</v>
      </c>
      <c r="R788" s="1">
        <v>0</v>
      </c>
      <c r="S788" s="26"/>
    </row>
    <row r="789" spans="1:19" ht="16.5" customHeight="1" x14ac:dyDescent="0.25">
      <c r="A789" s="9"/>
      <c r="B789" s="51" t="s">
        <v>73</v>
      </c>
      <c r="C789" s="52"/>
      <c r="D789" s="52"/>
      <c r="E789" s="52"/>
      <c r="F789" s="52"/>
      <c r="G789" s="53"/>
      <c r="H789" s="20"/>
      <c r="I789" s="9">
        <v>1</v>
      </c>
      <c r="J789" s="9"/>
      <c r="K789" s="9"/>
      <c r="L789" s="9"/>
      <c r="M789" s="9">
        <f t="shared" si="110"/>
        <v>6.5</v>
      </c>
      <c r="N789" s="9">
        <f t="shared" si="111"/>
        <v>2.5</v>
      </c>
      <c r="O789" s="9">
        <v>6.5</v>
      </c>
      <c r="P789" s="9">
        <v>2.5</v>
      </c>
      <c r="Q789" s="9" t="s">
        <v>5</v>
      </c>
      <c r="R789" s="1">
        <v>0</v>
      </c>
      <c r="S789" s="26"/>
    </row>
    <row r="790" spans="1:19" ht="16.5" customHeight="1" x14ac:dyDescent="0.25">
      <c r="A790" s="9"/>
      <c r="B790" s="51" t="s">
        <v>74</v>
      </c>
      <c r="C790" s="52"/>
      <c r="D790" s="52"/>
      <c r="E790" s="52"/>
      <c r="F790" s="52"/>
      <c r="G790" s="53"/>
      <c r="H790" s="20"/>
      <c r="I790" s="9">
        <v>2</v>
      </c>
      <c r="J790" s="9"/>
      <c r="K790" s="9"/>
      <c r="L790" s="9"/>
      <c r="M790" s="9">
        <f t="shared" si="110"/>
        <v>16.2</v>
      </c>
      <c r="N790" s="9">
        <f t="shared" si="111"/>
        <v>7</v>
      </c>
      <c r="O790" s="9">
        <v>8.1</v>
      </c>
      <c r="P790" s="9">
        <v>3.5</v>
      </c>
      <c r="Q790" s="9" t="s">
        <v>9</v>
      </c>
      <c r="R790" s="1">
        <v>0</v>
      </c>
      <c r="S790" s="26"/>
    </row>
    <row r="791" spans="1:19" ht="16.5" customHeight="1" x14ac:dyDescent="0.25">
      <c r="A791" s="9"/>
      <c r="B791" s="51" t="s">
        <v>75</v>
      </c>
      <c r="C791" s="52"/>
      <c r="D791" s="52"/>
      <c r="E791" s="52"/>
      <c r="F791" s="52"/>
      <c r="G791" s="53"/>
      <c r="H791" s="20"/>
      <c r="I791" s="9">
        <v>1</v>
      </c>
      <c r="J791" s="9"/>
      <c r="K791" s="9"/>
      <c r="L791" s="9"/>
      <c r="M791" s="9">
        <f t="shared" si="110"/>
        <v>0</v>
      </c>
      <c r="N791" s="9">
        <f t="shared" si="111"/>
        <v>0</v>
      </c>
      <c r="O791" s="9"/>
      <c r="P791" s="9"/>
      <c r="Q791" s="9"/>
      <c r="R791" s="1">
        <v>0</v>
      </c>
      <c r="S791" s="26"/>
    </row>
    <row r="792" spans="1:19" ht="16.5" customHeight="1" x14ac:dyDescent="0.25">
      <c r="A792" s="9"/>
      <c r="B792" s="51" t="s">
        <v>76</v>
      </c>
      <c r="C792" s="52"/>
      <c r="D792" s="52"/>
      <c r="E792" s="52"/>
      <c r="F792" s="52"/>
      <c r="G792" s="53"/>
      <c r="H792" s="20"/>
      <c r="I792" s="9">
        <v>4</v>
      </c>
      <c r="J792" s="9"/>
      <c r="K792" s="9"/>
      <c r="L792" s="9"/>
      <c r="M792" s="9">
        <f t="shared" si="110"/>
        <v>28.4</v>
      </c>
      <c r="N792" s="9">
        <f t="shared" si="111"/>
        <v>12</v>
      </c>
      <c r="O792" s="9">
        <v>7.1</v>
      </c>
      <c r="P792" s="9">
        <v>3</v>
      </c>
      <c r="Q792" s="9" t="s">
        <v>6</v>
      </c>
      <c r="R792" s="1">
        <v>0</v>
      </c>
      <c r="S792" s="26"/>
    </row>
    <row r="793" spans="1:19" ht="16.5" customHeight="1" x14ac:dyDescent="0.25">
      <c r="A793" s="9"/>
      <c r="B793" s="51" t="s">
        <v>77</v>
      </c>
      <c r="C793" s="52"/>
      <c r="D793" s="52"/>
      <c r="E793" s="52"/>
      <c r="F793" s="52"/>
      <c r="G793" s="53"/>
      <c r="H793" s="20"/>
      <c r="I793" s="9">
        <v>3</v>
      </c>
      <c r="J793" s="9"/>
      <c r="K793" s="9"/>
      <c r="L793" s="9"/>
      <c r="M793" s="9">
        <f t="shared" si="110"/>
        <v>17.399999999999999</v>
      </c>
      <c r="N793" s="9">
        <f t="shared" si="111"/>
        <v>6</v>
      </c>
      <c r="O793" s="9">
        <v>5.8</v>
      </c>
      <c r="P793" s="9">
        <v>2</v>
      </c>
      <c r="Q793" s="9" t="s">
        <v>3</v>
      </c>
      <c r="R793" s="1">
        <v>0</v>
      </c>
      <c r="S793" s="26"/>
    </row>
    <row r="794" spans="1:19" ht="16.5" customHeight="1" x14ac:dyDescent="0.25">
      <c r="A794" s="9"/>
      <c r="B794" s="51" t="s">
        <v>78</v>
      </c>
      <c r="C794" s="52"/>
      <c r="D794" s="52"/>
      <c r="E794" s="52"/>
      <c r="F794" s="52"/>
      <c r="G794" s="53"/>
      <c r="H794" s="20"/>
      <c r="I794" s="9">
        <v>4</v>
      </c>
      <c r="J794" s="9"/>
      <c r="K794" s="9"/>
      <c r="L794" s="9"/>
      <c r="M794" s="9">
        <f t="shared" si="110"/>
        <v>27.6</v>
      </c>
      <c r="N794" s="9">
        <f t="shared" si="111"/>
        <v>10</v>
      </c>
      <c r="O794" s="9">
        <v>6.9</v>
      </c>
      <c r="P794" s="9">
        <v>2.5</v>
      </c>
      <c r="Q794" s="9" t="s">
        <v>5</v>
      </c>
      <c r="R794" s="1">
        <v>0</v>
      </c>
      <c r="S794" s="26"/>
    </row>
    <row r="795" spans="1:19" ht="16.5" hidden="1" customHeight="1" x14ac:dyDescent="0.25">
      <c r="A795" s="21"/>
      <c r="H795" s="21"/>
      <c r="I795" s="21"/>
      <c r="J795" s="21"/>
      <c r="K795" s="21"/>
      <c r="L795" s="21"/>
      <c r="M795" s="9">
        <f t="shared" si="110"/>
        <v>0</v>
      </c>
      <c r="N795" s="9">
        <f t="shared" si="111"/>
        <v>0</v>
      </c>
      <c r="O795" s="21"/>
      <c r="P795" s="21"/>
      <c r="Q795" s="21"/>
      <c r="S795" s="25"/>
    </row>
    <row r="796" spans="1:19" ht="16.5" customHeight="1" x14ac:dyDescent="0.25">
      <c r="A796" s="9"/>
      <c r="B796" s="39" t="s">
        <v>42</v>
      </c>
      <c r="C796" s="40"/>
      <c r="D796" s="40"/>
      <c r="E796" s="40"/>
      <c r="F796" s="40"/>
      <c r="G796" s="41"/>
      <c r="H796" s="23"/>
      <c r="I796" s="24">
        <f>SUM(I787:I795)</f>
        <v>23</v>
      </c>
      <c r="J796" s="9"/>
      <c r="K796" s="9"/>
      <c r="L796" s="9"/>
      <c r="M796" s="9">
        <f t="shared" si="110"/>
        <v>154.56</v>
      </c>
      <c r="N796" s="9">
        <f t="shared" si="111"/>
        <v>61.41</v>
      </c>
      <c r="O796" s="24">
        <f>ROUND(SUM(M787:M795)/I796,2)</f>
        <v>6.72</v>
      </c>
      <c r="P796" s="24">
        <f>ROUND(SUM(N787:N795)/I796,2)</f>
        <v>2.67</v>
      </c>
      <c r="Q796" s="9"/>
      <c r="S796" s="25"/>
    </row>
    <row r="797" spans="1:19" ht="20.25" customHeight="1" x14ac:dyDescent="0.25">
      <c r="A797" s="27" t="s">
        <v>162</v>
      </c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</row>
    <row r="798" spans="1:19" ht="16.5" customHeight="1" x14ac:dyDescent="0.25">
      <c r="A798" s="9"/>
      <c r="B798" s="51" t="s">
        <v>75</v>
      </c>
      <c r="C798" s="52"/>
      <c r="D798" s="52"/>
      <c r="E798" s="52"/>
      <c r="F798" s="52"/>
      <c r="G798" s="53"/>
      <c r="H798" s="20"/>
      <c r="I798" s="9">
        <v>1</v>
      </c>
      <c r="J798" s="9"/>
      <c r="K798" s="9"/>
      <c r="L798" s="9"/>
      <c r="M798" s="9">
        <f>I798*O798</f>
        <v>5.8</v>
      </c>
      <c r="N798" s="9">
        <f>I798*P798</f>
        <v>2</v>
      </c>
      <c r="O798" s="9">
        <v>5.8</v>
      </c>
      <c r="P798" s="9">
        <v>2</v>
      </c>
      <c r="Q798" s="9" t="s">
        <v>3</v>
      </c>
      <c r="R798" s="1">
        <v>0</v>
      </c>
      <c r="S798" s="26"/>
    </row>
    <row r="799" spans="1:19" ht="16.5" hidden="1" customHeight="1" x14ac:dyDescent="0.25">
      <c r="A799" s="21"/>
      <c r="H799" s="21"/>
      <c r="I799" s="21"/>
      <c r="J799" s="21"/>
      <c r="K799" s="21"/>
      <c r="L799" s="21"/>
      <c r="M799" s="9">
        <f>I799*O799</f>
        <v>0</v>
      </c>
      <c r="N799" s="9">
        <f>I799*P799</f>
        <v>0</v>
      </c>
      <c r="O799" s="21"/>
      <c r="P799" s="21"/>
      <c r="Q799" s="21"/>
      <c r="S799" s="25"/>
    </row>
    <row r="800" spans="1:19" ht="16.5" customHeight="1" x14ac:dyDescent="0.25">
      <c r="A800" s="9"/>
      <c r="B800" s="39" t="s">
        <v>42</v>
      </c>
      <c r="C800" s="40"/>
      <c r="D800" s="40"/>
      <c r="E800" s="40"/>
      <c r="F800" s="40"/>
      <c r="G800" s="41"/>
      <c r="H800" s="23"/>
      <c r="I800" s="24">
        <f>SUM(I798:I799)</f>
        <v>1</v>
      </c>
      <c r="J800" s="9"/>
      <c r="K800" s="9"/>
      <c r="L800" s="9"/>
      <c r="M800" s="9">
        <f>I800*O800</f>
        <v>5.8</v>
      </c>
      <c r="N800" s="9">
        <f>I800*P800</f>
        <v>2</v>
      </c>
      <c r="O800" s="24">
        <f>ROUND(SUM(M798:M799)/I800,2)</f>
        <v>5.8</v>
      </c>
      <c r="P800" s="24">
        <f>ROUND(SUM(N798:N799)/I800,2)</f>
        <v>2</v>
      </c>
      <c r="Q800" s="9"/>
      <c r="S800" s="25"/>
    </row>
    <row r="801" spans="1:19" ht="20.25" customHeight="1" x14ac:dyDescent="0.25">
      <c r="A801" s="27" t="s">
        <v>79</v>
      </c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</row>
    <row r="802" spans="1:19" ht="16.5" customHeight="1" x14ac:dyDescent="0.25">
      <c r="A802" s="9"/>
      <c r="B802" s="51" t="s">
        <v>81</v>
      </c>
      <c r="C802" s="52"/>
      <c r="D802" s="52"/>
      <c r="E802" s="52"/>
      <c r="F802" s="52"/>
      <c r="G802" s="53"/>
      <c r="H802" s="20"/>
      <c r="I802" s="9">
        <v>1</v>
      </c>
      <c r="J802" s="9"/>
      <c r="K802" s="9"/>
      <c r="L802" s="9"/>
      <c r="M802" s="9">
        <f>I802*O802</f>
        <v>7.3</v>
      </c>
      <c r="N802" s="9">
        <f>I802*P802</f>
        <v>3</v>
      </c>
      <c r="O802" s="9">
        <v>7.3</v>
      </c>
      <c r="P802" s="9">
        <v>3</v>
      </c>
      <c r="Q802" s="9" t="s">
        <v>6</v>
      </c>
      <c r="S802" s="26" t="s">
        <v>166</v>
      </c>
    </row>
    <row r="803" spans="1:19" ht="16.5" customHeight="1" x14ac:dyDescent="0.25">
      <c r="A803" s="9"/>
      <c r="B803" s="51" t="s">
        <v>80</v>
      </c>
      <c r="C803" s="52"/>
      <c r="D803" s="52"/>
      <c r="E803" s="52"/>
      <c r="F803" s="52"/>
      <c r="G803" s="53"/>
      <c r="H803" s="20"/>
      <c r="I803" s="9">
        <v>3</v>
      </c>
      <c r="J803" s="9"/>
      <c r="K803" s="9"/>
      <c r="L803" s="9"/>
      <c r="M803" s="9">
        <f>I803*O803</f>
        <v>17.100000000000001</v>
      </c>
      <c r="N803" s="9">
        <f>I803*P803</f>
        <v>6</v>
      </c>
      <c r="O803" s="9">
        <v>5.7</v>
      </c>
      <c r="P803" s="9">
        <v>2</v>
      </c>
      <c r="Q803" s="9" t="s">
        <v>3</v>
      </c>
      <c r="S803" s="26" t="s">
        <v>166</v>
      </c>
    </row>
    <row r="804" spans="1:19" ht="15" customHeight="1" x14ac:dyDescent="0.25">
      <c r="A804" s="36" t="s">
        <v>0</v>
      </c>
      <c r="B804" s="29" t="s">
        <v>1</v>
      </c>
      <c r="C804" s="30"/>
      <c r="D804" s="30"/>
      <c r="E804" s="30"/>
      <c r="F804" s="30"/>
      <c r="G804" s="31"/>
      <c r="H804" s="36" t="s">
        <v>32</v>
      </c>
      <c r="I804" s="36" t="s">
        <v>39</v>
      </c>
      <c r="J804" s="55" t="s">
        <v>2</v>
      </c>
      <c r="K804" s="56"/>
      <c r="L804" s="56"/>
      <c r="M804" s="56"/>
      <c r="N804" s="56"/>
      <c r="O804" s="56"/>
      <c r="P804" s="56"/>
      <c r="Q804" s="57"/>
      <c r="S804" s="36" t="s">
        <v>38</v>
      </c>
    </row>
    <row r="805" spans="1:19" ht="24" customHeight="1" x14ac:dyDescent="0.25">
      <c r="A805" s="37"/>
      <c r="B805" s="32"/>
      <c r="C805" s="33"/>
      <c r="D805" s="33"/>
      <c r="E805" s="33"/>
      <c r="F805" s="33"/>
      <c r="G805" s="34"/>
      <c r="H805" s="37"/>
      <c r="I805" s="37"/>
      <c r="J805" s="7" t="s">
        <v>28</v>
      </c>
      <c r="K805" s="7" t="s">
        <v>29</v>
      </c>
      <c r="L805" s="7" t="s">
        <v>30</v>
      </c>
      <c r="M805" s="7"/>
      <c r="N805" s="7"/>
      <c r="O805" s="6" t="s">
        <v>35</v>
      </c>
      <c r="P805" s="6" t="s">
        <v>36</v>
      </c>
      <c r="Q805" s="6" t="s">
        <v>37</v>
      </c>
      <c r="S805" s="37"/>
    </row>
    <row r="806" spans="1:19" ht="16.5" customHeight="1" x14ac:dyDescent="0.25">
      <c r="A806" s="9"/>
      <c r="B806" s="51" t="s">
        <v>83</v>
      </c>
      <c r="C806" s="52"/>
      <c r="D806" s="52"/>
      <c r="E806" s="52"/>
      <c r="F806" s="52"/>
      <c r="G806" s="53"/>
      <c r="H806" s="20"/>
      <c r="I806" s="9">
        <v>2</v>
      </c>
      <c r="J806" s="9"/>
      <c r="K806" s="9"/>
      <c r="L806" s="9"/>
      <c r="M806" s="9">
        <f t="shared" ref="M806:M816" si="112">I806*O806</f>
        <v>15</v>
      </c>
      <c r="N806" s="9">
        <f t="shared" ref="N806:N816" si="113">I806*P806</f>
        <v>6</v>
      </c>
      <c r="O806" s="9">
        <v>7.5</v>
      </c>
      <c r="P806" s="9">
        <v>3</v>
      </c>
      <c r="Q806" s="9" t="s">
        <v>6</v>
      </c>
      <c r="S806" s="26" t="s">
        <v>166</v>
      </c>
    </row>
    <row r="807" spans="1:19" ht="16.5" customHeight="1" x14ac:dyDescent="0.25">
      <c r="A807" s="9"/>
      <c r="B807" s="51" t="s">
        <v>82</v>
      </c>
      <c r="C807" s="52"/>
      <c r="D807" s="52"/>
      <c r="E807" s="52"/>
      <c r="F807" s="52"/>
      <c r="G807" s="53"/>
      <c r="H807" s="20"/>
      <c r="I807" s="9">
        <v>3</v>
      </c>
      <c r="J807" s="9"/>
      <c r="K807" s="9"/>
      <c r="L807" s="9"/>
      <c r="M807" s="9">
        <f t="shared" si="112"/>
        <v>23.700000000000003</v>
      </c>
      <c r="N807" s="9">
        <f t="shared" si="113"/>
        <v>9</v>
      </c>
      <c r="O807" s="9">
        <v>7.9</v>
      </c>
      <c r="P807" s="9">
        <v>3</v>
      </c>
      <c r="Q807" s="9" t="s">
        <v>6</v>
      </c>
      <c r="S807" s="26" t="s">
        <v>166</v>
      </c>
    </row>
    <row r="808" spans="1:19" ht="16.5" customHeight="1" x14ac:dyDescent="0.25">
      <c r="A808" s="9"/>
      <c r="B808" s="51" t="s">
        <v>85</v>
      </c>
      <c r="C808" s="52"/>
      <c r="D808" s="52"/>
      <c r="E808" s="52"/>
      <c r="F808" s="52"/>
      <c r="G808" s="53"/>
      <c r="H808" s="20"/>
      <c r="I808" s="9">
        <v>1</v>
      </c>
      <c r="J808" s="9"/>
      <c r="K808" s="9"/>
      <c r="L808" s="9"/>
      <c r="M808" s="9">
        <f t="shared" si="112"/>
        <v>7.5</v>
      </c>
      <c r="N808" s="9">
        <f t="shared" si="113"/>
        <v>3</v>
      </c>
      <c r="O808" s="9">
        <v>7.5</v>
      </c>
      <c r="P808" s="9">
        <v>3</v>
      </c>
      <c r="Q808" s="9" t="s">
        <v>6</v>
      </c>
      <c r="S808" s="26" t="s">
        <v>166</v>
      </c>
    </row>
    <row r="809" spans="1:19" ht="16.5" customHeight="1" x14ac:dyDescent="0.25">
      <c r="A809" s="9"/>
      <c r="B809" s="51" t="s">
        <v>84</v>
      </c>
      <c r="C809" s="52"/>
      <c r="D809" s="52"/>
      <c r="E809" s="52"/>
      <c r="F809" s="52"/>
      <c r="G809" s="53"/>
      <c r="H809" s="20"/>
      <c r="I809" s="9">
        <v>2</v>
      </c>
      <c r="J809" s="9"/>
      <c r="K809" s="9"/>
      <c r="L809" s="9"/>
      <c r="M809" s="9">
        <f t="shared" si="112"/>
        <v>15.2</v>
      </c>
      <c r="N809" s="9">
        <f t="shared" si="113"/>
        <v>6</v>
      </c>
      <c r="O809" s="9">
        <v>7.6</v>
      </c>
      <c r="P809" s="9">
        <v>3</v>
      </c>
      <c r="Q809" s="9" t="s">
        <v>6</v>
      </c>
      <c r="S809" s="26" t="s">
        <v>166</v>
      </c>
    </row>
    <row r="810" spans="1:19" ht="16.5" customHeight="1" x14ac:dyDescent="0.25">
      <c r="A810" s="9"/>
      <c r="B810" s="51" t="s">
        <v>90</v>
      </c>
      <c r="C810" s="52"/>
      <c r="D810" s="52"/>
      <c r="E810" s="52"/>
      <c r="F810" s="52"/>
      <c r="G810" s="53"/>
      <c r="H810" s="20"/>
      <c r="I810" s="9">
        <v>2</v>
      </c>
      <c r="J810" s="9"/>
      <c r="K810" s="9"/>
      <c r="L810" s="9"/>
      <c r="M810" s="9">
        <f t="shared" si="112"/>
        <v>13.6</v>
      </c>
      <c r="N810" s="9">
        <f t="shared" si="113"/>
        <v>5</v>
      </c>
      <c r="O810" s="9">
        <v>6.8</v>
      </c>
      <c r="P810" s="9">
        <v>2.5</v>
      </c>
      <c r="Q810" s="9" t="s">
        <v>5</v>
      </c>
      <c r="S810" s="26" t="s">
        <v>166</v>
      </c>
    </row>
    <row r="811" spans="1:19" ht="16.5" customHeight="1" x14ac:dyDescent="0.25">
      <c r="A811" s="9"/>
      <c r="B811" s="51" t="s">
        <v>86</v>
      </c>
      <c r="C811" s="52"/>
      <c r="D811" s="52"/>
      <c r="E811" s="52"/>
      <c r="F811" s="52"/>
      <c r="G811" s="53"/>
      <c r="H811" s="20"/>
      <c r="I811" s="9">
        <v>2</v>
      </c>
      <c r="J811" s="9"/>
      <c r="K811" s="9"/>
      <c r="L811" s="9"/>
      <c r="M811" s="9">
        <f t="shared" si="112"/>
        <v>14.4</v>
      </c>
      <c r="N811" s="9">
        <f t="shared" si="113"/>
        <v>6</v>
      </c>
      <c r="O811" s="9">
        <v>7.2</v>
      </c>
      <c r="P811" s="9">
        <v>3</v>
      </c>
      <c r="Q811" s="9" t="s">
        <v>6</v>
      </c>
      <c r="S811" s="26" t="s">
        <v>166</v>
      </c>
    </row>
    <row r="812" spans="1:19" ht="16.5" customHeight="1" x14ac:dyDescent="0.25">
      <c r="A812" s="9"/>
      <c r="B812" s="51" t="s">
        <v>89</v>
      </c>
      <c r="C812" s="52"/>
      <c r="D812" s="52"/>
      <c r="E812" s="52"/>
      <c r="F812" s="52"/>
      <c r="G812" s="53"/>
      <c r="H812" s="20"/>
      <c r="I812" s="9">
        <v>3</v>
      </c>
      <c r="J812" s="9"/>
      <c r="K812" s="9"/>
      <c r="L812" s="9"/>
      <c r="M812" s="9">
        <f t="shared" si="112"/>
        <v>18</v>
      </c>
      <c r="N812" s="9">
        <f t="shared" si="113"/>
        <v>6</v>
      </c>
      <c r="O812" s="9">
        <v>6</v>
      </c>
      <c r="P812" s="9">
        <v>2</v>
      </c>
      <c r="Q812" s="9" t="s">
        <v>3</v>
      </c>
      <c r="S812" s="26" t="s">
        <v>166</v>
      </c>
    </row>
    <row r="813" spans="1:19" ht="16.5" customHeight="1" x14ac:dyDescent="0.25">
      <c r="A813" s="9"/>
      <c r="B813" s="51" t="s">
        <v>88</v>
      </c>
      <c r="C813" s="52"/>
      <c r="D813" s="52"/>
      <c r="E813" s="52"/>
      <c r="F813" s="52"/>
      <c r="G813" s="53"/>
      <c r="H813" s="20"/>
      <c r="I813" s="9">
        <v>4</v>
      </c>
      <c r="J813" s="9"/>
      <c r="K813" s="9"/>
      <c r="L813" s="9"/>
      <c r="M813" s="9">
        <f t="shared" si="112"/>
        <v>30</v>
      </c>
      <c r="N813" s="9">
        <f t="shared" si="113"/>
        <v>12</v>
      </c>
      <c r="O813" s="9">
        <v>7.5</v>
      </c>
      <c r="P813" s="9">
        <v>3</v>
      </c>
      <c r="Q813" s="9" t="s">
        <v>6</v>
      </c>
      <c r="S813" s="26" t="s">
        <v>166</v>
      </c>
    </row>
    <row r="814" spans="1:19" ht="16.5" customHeight="1" x14ac:dyDescent="0.25">
      <c r="A814" s="9"/>
      <c r="B814" s="51" t="s">
        <v>87</v>
      </c>
      <c r="C814" s="52"/>
      <c r="D814" s="52"/>
      <c r="E814" s="52"/>
      <c r="F814" s="52"/>
      <c r="G814" s="53"/>
      <c r="H814" s="20"/>
      <c r="I814" s="9">
        <v>3</v>
      </c>
      <c r="J814" s="9"/>
      <c r="K814" s="9"/>
      <c r="L814" s="9"/>
      <c r="M814" s="9">
        <f t="shared" si="112"/>
        <v>23.1</v>
      </c>
      <c r="N814" s="9">
        <f t="shared" si="113"/>
        <v>9</v>
      </c>
      <c r="O814" s="9">
        <v>7.7</v>
      </c>
      <c r="P814" s="9">
        <v>3</v>
      </c>
      <c r="Q814" s="9" t="s">
        <v>6</v>
      </c>
      <c r="S814" s="26" t="s">
        <v>166</v>
      </c>
    </row>
    <row r="815" spans="1:19" ht="16.5" hidden="1" customHeight="1" x14ac:dyDescent="0.25">
      <c r="A815" s="21"/>
      <c r="H815" s="21"/>
      <c r="I815" s="21"/>
      <c r="J815" s="21"/>
      <c r="K815" s="21"/>
      <c r="L815" s="21"/>
      <c r="M815" s="9">
        <f t="shared" si="112"/>
        <v>0</v>
      </c>
      <c r="N815" s="9">
        <f t="shared" si="113"/>
        <v>0</v>
      </c>
      <c r="O815" s="21"/>
      <c r="P815" s="21"/>
      <c r="Q815" s="21"/>
      <c r="S815" s="25"/>
    </row>
    <row r="816" spans="1:19" ht="16.5" customHeight="1" x14ac:dyDescent="0.25">
      <c r="A816" s="9"/>
      <c r="B816" s="39" t="s">
        <v>42</v>
      </c>
      <c r="C816" s="40"/>
      <c r="D816" s="40"/>
      <c r="E816" s="40"/>
      <c r="F816" s="40"/>
      <c r="G816" s="41"/>
      <c r="H816" s="23"/>
      <c r="I816" s="24">
        <f>SUM(I802:I815)</f>
        <v>26</v>
      </c>
      <c r="J816" s="9"/>
      <c r="K816" s="9"/>
      <c r="L816" s="9"/>
      <c r="M816" s="9">
        <f t="shared" si="112"/>
        <v>184.86</v>
      </c>
      <c r="N816" s="9">
        <f t="shared" si="113"/>
        <v>70.98</v>
      </c>
      <c r="O816" s="24">
        <f>ROUND(SUM(M802:M815)/I816,2)</f>
        <v>7.11</v>
      </c>
      <c r="P816" s="24">
        <f>ROUND(SUM(N802:N815)/I816,2)</f>
        <v>2.73</v>
      </c>
      <c r="Q816" s="9"/>
      <c r="S816" s="25"/>
    </row>
    <row r="817" spans="1:19" ht="20.25" customHeight="1" x14ac:dyDescent="0.25">
      <c r="A817" s="27" t="s">
        <v>91</v>
      </c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</row>
    <row r="818" spans="1:19" ht="16.5" customHeight="1" x14ac:dyDescent="0.25">
      <c r="A818" s="9"/>
      <c r="B818" s="51" t="s">
        <v>92</v>
      </c>
      <c r="C818" s="52"/>
      <c r="D818" s="52"/>
      <c r="E818" s="52"/>
      <c r="F818" s="52"/>
      <c r="G818" s="53"/>
      <c r="H818" s="20"/>
      <c r="I818" s="9">
        <v>1</v>
      </c>
      <c r="J818" s="9"/>
      <c r="K818" s="9"/>
      <c r="L818" s="9"/>
      <c r="M818" s="9">
        <f t="shared" ref="M818:M829" si="114">I818*O818</f>
        <v>8.1</v>
      </c>
      <c r="N818" s="9">
        <f t="shared" ref="N818:N829" si="115">I818*P818</f>
        <v>3.5</v>
      </c>
      <c r="O818" s="9">
        <v>8.1</v>
      </c>
      <c r="P818" s="9">
        <v>3.5</v>
      </c>
      <c r="Q818" s="9" t="s">
        <v>9</v>
      </c>
      <c r="S818" s="26" t="s">
        <v>166</v>
      </c>
    </row>
    <row r="819" spans="1:19" ht="16.5" customHeight="1" x14ac:dyDescent="0.25">
      <c r="A819" s="9"/>
      <c r="B819" s="51" t="s">
        <v>93</v>
      </c>
      <c r="C819" s="52"/>
      <c r="D819" s="52"/>
      <c r="E819" s="52"/>
      <c r="F819" s="52"/>
      <c r="G819" s="53"/>
      <c r="H819" s="20"/>
      <c r="I819" s="9">
        <v>3</v>
      </c>
      <c r="J819" s="9"/>
      <c r="K819" s="9"/>
      <c r="L819" s="9"/>
      <c r="M819" s="9">
        <f t="shared" si="114"/>
        <v>21.9</v>
      </c>
      <c r="N819" s="9">
        <f t="shared" si="115"/>
        <v>9</v>
      </c>
      <c r="O819" s="9">
        <v>7.3</v>
      </c>
      <c r="P819" s="9">
        <v>3</v>
      </c>
      <c r="Q819" s="9" t="s">
        <v>6</v>
      </c>
      <c r="S819" s="26" t="s">
        <v>166</v>
      </c>
    </row>
    <row r="820" spans="1:19" ht="16.5" customHeight="1" x14ac:dyDescent="0.25">
      <c r="A820" s="9"/>
      <c r="B820" s="51" t="s">
        <v>94</v>
      </c>
      <c r="C820" s="52"/>
      <c r="D820" s="52"/>
      <c r="E820" s="52"/>
      <c r="F820" s="52"/>
      <c r="G820" s="53"/>
      <c r="H820" s="20"/>
      <c r="I820" s="9">
        <v>3</v>
      </c>
      <c r="J820" s="9"/>
      <c r="K820" s="9"/>
      <c r="L820" s="9"/>
      <c r="M820" s="9">
        <f t="shared" si="114"/>
        <v>26.700000000000003</v>
      </c>
      <c r="N820" s="9">
        <f t="shared" si="115"/>
        <v>11.100000000000001</v>
      </c>
      <c r="O820" s="9">
        <v>8.9</v>
      </c>
      <c r="P820" s="9">
        <v>3.7</v>
      </c>
      <c r="Q820" s="9" t="s">
        <v>10</v>
      </c>
      <c r="S820" s="26" t="s">
        <v>166</v>
      </c>
    </row>
    <row r="821" spans="1:19" ht="16.5" customHeight="1" x14ac:dyDescent="0.25">
      <c r="A821" s="9"/>
      <c r="B821" s="51" t="s">
        <v>95</v>
      </c>
      <c r="C821" s="52"/>
      <c r="D821" s="52"/>
      <c r="E821" s="52"/>
      <c r="F821" s="52"/>
      <c r="G821" s="53"/>
      <c r="H821" s="20"/>
      <c r="I821" s="9">
        <v>1</v>
      </c>
      <c r="J821" s="9"/>
      <c r="K821" s="9"/>
      <c r="L821" s="9"/>
      <c r="M821" s="9">
        <f t="shared" si="114"/>
        <v>8.4</v>
      </c>
      <c r="N821" s="9">
        <f t="shared" si="115"/>
        <v>3.5</v>
      </c>
      <c r="O821" s="9">
        <v>8.4</v>
      </c>
      <c r="P821" s="9">
        <v>3.5</v>
      </c>
      <c r="Q821" s="9" t="s">
        <v>9</v>
      </c>
      <c r="S821" s="26" t="s">
        <v>166</v>
      </c>
    </row>
    <row r="822" spans="1:19" ht="16.5" customHeight="1" x14ac:dyDescent="0.25">
      <c r="A822" s="9"/>
      <c r="B822" s="51" t="s">
        <v>96</v>
      </c>
      <c r="C822" s="52"/>
      <c r="D822" s="52"/>
      <c r="E822" s="52"/>
      <c r="F822" s="52"/>
      <c r="G822" s="53"/>
      <c r="H822" s="20"/>
      <c r="I822" s="9">
        <v>1</v>
      </c>
      <c r="J822" s="9"/>
      <c r="K822" s="9"/>
      <c r="L822" s="9"/>
      <c r="M822" s="9">
        <f t="shared" si="114"/>
        <v>8.6</v>
      </c>
      <c r="N822" s="9">
        <f t="shared" si="115"/>
        <v>3.7</v>
      </c>
      <c r="O822" s="9">
        <v>8.6</v>
      </c>
      <c r="P822" s="9">
        <v>3.7</v>
      </c>
      <c r="Q822" s="9" t="s">
        <v>10</v>
      </c>
      <c r="S822" s="26" t="s">
        <v>166</v>
      </c>
    </row>
    <row r="823" spans="1:19" ht="16.5" customHeight="1" x14ac:dyDescent="0.25">
      <c r="A823" s="9"/>
      <c r="B823" s="51" t="s">
        <v>97</v>
      </c>
      <c r="C823" s="52"/>
      <c r="D823" s="52"/>
      <c r="E823" s="52"/>
      <c r="F823" s="52"/>
      <c r="G823" s="53"/>
      <c r="H823" s="20"/>
      <c r="I823" s="9">
        <v>2</v>
      </c>
      <c r="J823" s="9"/>
      <c r="K823" s="9"/>
      <c r="L823" s="9"/>
      <c r="M823" s="9">
        <f t="shared" si="114"/>
        <v>15.4</v>
      </c>
      <c r="N823" s="9">
        <f t="shared" si="115"/>
        <v>6</v>
      </c>
      <c r="O823" s="9">
        <v>7.7</v>
      </c>
      <c r="P823" s="9">
        <v>3</v>
      </c>
      <c r="Q823" s="9" t="s">
        <v>6</v>
      </c>
      <c r="S823" s="26" t="s">
        <v>166</v>
      </c>
    </row>
    <row r="824" spans="1:19" ht="16.5" customHeight="1" x14ac:dyDescent="0.25">
      <c r="A824" s="9"/>
      <c r="B824" s="51" t="s">
        <v>98</v>
      </c>
      <c r="C824" s="52"/>
      <c r="D824" s="52"/>
      <c r="E824" s="52"/>
      <c r="F824" s="52"/>
      <c r="G824" s="53"/>
      <c r="H824" s="20"/>
      <c r="I824" s="9">
        <v>2</v>
      </c>
      <c r="J824" s="9"/>
      <c r="K824" s="9"/>
      <c r="L824" s="9"/>
      <c r="M824" s="9">
        <f t="shared" si="114"/>
        <v>15.2</v>
      </c>
      <c r="N824" s="9">
        <f t="shared" si="115"/>
        <v>6</v>
      </c>
      <c r="O824" s="9">
        <v>7.6</v>
      </c>
      <c r="P824" s="9">
        <v>3</v>
      </c>
      <c r="Q824" s="9" t="s">
        <v>6</v>
      </c>
      <c r="S824" s="26" t="s">
        <v>166</v>
      </c>
    </row>
    <row r="825" spans="1:19" ht="16.5" customHeight="1" x14ac:dyDescent="0.25">
      <c r="A825" s="9"/>
      <c r="B825" s="51" t="s">
        <v>99</v>
      </c>
      <c r="C825" s="52"/>
      <c r="D825" s="52"/>
      <c r="E825" s="52"/>
      <c r="F825" s="52"/>
      <c r="G825" s="53"/>
      <c r="H825" s="20"/>
      <c r="I825" s="9">
        <v>2</v>
      </c>
      <c r="J825" s="9"/>
      <c r="K825" s="9"/>
      <c r="L825" s="9"/>
      <c r="M825" s="9">
        <f t="shared" si="114"/>
        <v>18.399999999999999</v>
      </c>
      <c r="N825" s="9">
        <f t="shared" si="115"/>
        <v>8</v>
      </c>
      <c r="O825" s="9">
        <v>9.1999999999999993</v>
      </c>
      <c r="P825" s="9">
        <v>4</v>
      </c>
      <c r="Q825" s="9" t="s">
        <v>12</v>
      </c>
      <c r="S825" s="26" t="s">
        <v>166</v>
      </c>
    </row>
    <row r="826" spans="1:19" ht="16.5" customHeight="1" x14ac:dyDescent="0.25">
      <c r="A826" s="9"/>
      <c r="B826" s="51" t="s">
        <v>100</v>
      </c>
      <c r="C826" s="52"/>
      <c r="D826" s="52"/>
      <c r="E826" s="52"/>
      <c r="F826" s="52"/>
      <c r="G826" s="53"/>
      <c r="H826" s="20"/>
      <c r="I826" s="9">
        <v>2</v>
      </c>
      <c r="J826" s="9"/>
      <c r="K826" s="9"/>
      <c r="L826" s="9"/>
      <c r="M826" s="9">
        <f t="shared" si="114"/>
        <v>13.6</v>
      </c>
      <c r="N826" s="9">
        <f t="shared" si="115"/>
        <v>5</v>
      </c>
      <c r="O826" s="9">
        <v>6.8</v>
      </c>
      <c r="P826" s="9">
        <v>2.5</v>
      </c>
      <c r="Q826" s="9" t="s">
        <v>5</v>
      </c>
      <c r="S826" s="26" t="s">
        <v>166</v>
      </c>
    </row>
    <row r="827" spans="1:19" ht="16.5" customHeight="1" x14ac:dyDescent="0.25">
      <c r="A827" s="9"/>
      <c r="B827" s="51" t="s">
        <v>101</v>
      </c>
      <c r="C827" s="52"/>
      <c r="D827" s="52"/>
      <c r="E827" s="52"/>
      <c r="F827" s="52"/>
      <c r="G827" s="53"/>
      <c r="H827" s="20"/>
      <c r="I827" s="9">
        <v>4</v>
      </c>
      <c r="J827" s="9"/>
      <c r="K827" s="9"/>
      <c r="L827" s="9"/>
      <c r="M827" s="9">
        <f t="shared" si="114"/>
        <v>34</v>
      </c>
      <c r="N827" s="9">
        <f t="shared" si="115"/>
        <v>14.8</v>
      </c>
      <c r="O827" s="9">
        <v>8.5</v>
      </c>
      <c r="P827" s="9">
        <v>3.7</v>
      </c>
      <c r="Q827" s="9" t="s">
        <v>10</v>
      </c>
      <c r="S827" s="26" t="s">
        <v>166</v>
      </c>
    </row>
    <row r="828" spans="1:19" ht="16.5" hidden="1" customHeight="1" x14ac:dyDescent="0.25">
      <c r="A828" s="21"/>
      <c r="H828" s="21"/>
      <c r="I828" s="21"/>
      <c r="J828" s="21"/>
      <c r="K828" s="21"/>
      <c r="L828" s="21"/>
      <c r="M828" s="9">
        <f t="shared" si="114"/>
        <v>0</v>
      </c>
      <c r="N828" s="9">
        <f t="shared" si="115"/>
        <v>0</v>
      </c>
      <c r="O828" s="21"/>
      <c r="P828" s="21"/>
      <c r="Q828" s="21"/>
      <c r="S828" s="25"/>
    </row>
    <row r="829" spans="1:19" ht="16.5" customHeight="1" x14ac:dyDescent="0.25">
      <c r="A829" s="9"/>
      <c r="B829" s="39" t="s">
        <v>42</v>
      </c>
      <c r="C829" s="40"/>
      <c r="D829" s="40"/>
      <c r="E829" s="40"/>
      <c r="F829" s="40"/>
      <c r="G829" s="41"/>
      <c r="H829" s="23"/>
      <c r="I829" s="24">
        <f>SUM(I818:I828)</f>
        <v>21</v>
      </c>
      <c r="J829" s="9"/>
      <c r="K829" s="9"/>
      <c r="L829" s="9"/>
      <c r="M829" s="9">
        <f t="shared" si="114"/>
        <v>170.31</v>
      </c>
      <c r="N829" s="9">
        <f t="shared" si="115"/>
        <v>70.56</v>
      </c>
      <c r="O829" s="24">
        <f>ROUND(SUM(M818:M828)/I829,2)</f>
        <v>8.11</v>
      </c>
      <c r="P829" s="24">
        <f>ROUND(SUM(N818:N828)/I829,2)</f>
        <v>3.36</v>
      </c>
      <c r="Q829" s="9"/>
      <c r="S829" s="25"/>
    </row>
    <row r="830" spans="1:19" ht="20.25" customHeight="1" x14ac:dyDescent="0.25">
      <c r="A830" s="27" t="s">
        <v>102</v>
      </c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</row>
    <row r="831" spans="1:19" ht="16.5" customHeight="1" x14ac:dyDescent="0.25">
      <c r="A831" s="9"/>
      <c r="B831" s="51" t="s">
        <v>103</v>
      </c>
      <c r="C831" s="52"/>
      <c r="D831" s="52"/>
      <c r="E831" s="52"/>
      <c r="F831" s="52"/>
      <c r="G831" s="53"/>
      <c r="H831" s="20"/>
      <c r="I831" s="9">
        <v>1</v>
      </c>
      <c r="J831" s="9"/>
      <c r="K831" s="9"/>
      <c r="L831" s="9"/>
      <c r="M831" s="9">
        <f t="shared" ref="M831:M842" si="116">I831*O831</f>
        <v>6.8</v>
      </c>
      <c r="N831" s="9">
        <f t="shared" ref="N831:N842" si="117">I831*P831</f>
        <v>2.5</v>
      </c>
      <c r="O831" s="9">
        <v>6.8</v>
      </c>
      <c r="P831" s="9">
        <v>2.5</v>
      </c>
      <c r="Q831" s="9" t="s">
        <v>5</v>
      </c>
      <c r="S831" s="26" t="s">
        <v>166</v>
      </c>
    </row>
    <row r="832" spans="1:19" ht="16.5" customHeight="1" x14ac:dyDescent="0.25">
      <c r="A832" s="9"/>
      <c r="B832" s="51" t="s">
        <v>104</v>
      </c>
      <c r="C832" s="52"/>
      <c r="D832" s="52"/>
      <c r="E832" s="52"/>
      <c r="F832" s="52"/>
      <c r="G832" s="53"/>
      <c r="H832" s="20"/>
      <c r="I832" s="9">
        <v>3</v>
      </c>
      <c r="J832" s="9"/>
      <c r="K832" s="9"/>
      <c r="L832" s="9"/>
      <c r="M832" s="9">
        <f t="shared" si="116"/>
        <v>17.700000000000003</v>
      </c>
      <c r="N832" s="9">
        <f t="shared" si="117"/>
        <v>6</v>
      </c>
      <c r="O832" s="9">
        <v>5.9</v>
      </c>
      <c r="P832" s="9">
        <v>2</v>
      </c>
      <c r="Q832" s="9" t="s">
        <v>3</v>
      </c>
      <c r="S832" s="26" t="s">
        <v>166</v>
      </c>
    </row>
    <row r="833" spans="1:19" ht="16.5" customHeight="1" x14ac:dyDescent="0.25">
      <c r="A833" s="9"/>
      <c r="B833" s="51" t="s">
        <v>105</v>
      </c>
      <c r="C833" s="52"/>
      <c r="D833" s="52"/>
      <c r="E833" s="52"/>
      <c r="F833" s="52"/>
      <c r="G833" s="53"/>
      <c r="H833" s="20"/>
      <c r="I833" s="9">
        <v>3</v>
      </c>
      <c r="J833" s="9"/>
      <c r="K833" s="9"/>
      <c r="L833" s="9"/>
      <c r="M833" s="9">
        <f t="shared" si="116"/>
        <v>25.200000000000003</v>
      </c>
      <c r="N833" s="9">
        <f t="shared" si="117"/>
        <v>10.5</v>
      </c>
      <c r="O833" s="9">
        <v>8.4</v>
      </c>
      <c r="P833" s="9">
        <v>3.5</v>
      </c>
      <c r="Q833" s="9" t="s">
        <v>9</v>
      </c>
      <c r="S833" s="26" t="s">
        <v>166</v>
      </c>
    </row>
    <row r="834" spans="1:19" ht="16.5" customHeight="1" x14ac:dyDescent="0.25">
      <c r="A834" s="9"/>
      <c r="B834" s="51" t="s">
        <v>106</v>
      </c>
      <c r="C834" s="52"/>
      <c r="D834" s="52"/>
      <c r="E834" s="52"/>
      <c r="F834" s="52"/>
      <c r="G834" s="53"/>
      <c r="H834" s="20"/>
      <c r="I834" s="9">
        <v>3</v>
      </c>
      <c r="J834" s="9"/>
      <c r="K834" s="9"/>
      <c r="L834" s="9"/>
      <c r="M834" s="9">
        <f t="shared" si="116"/>
        <v>23.1</v>
      </c>
      <c r="N834" s="9">
        <f t="shared" si="117"/>
        <v>9</v>
      </c>
      <c r="O834" s="9">
        <v>7.7</v>
      </c>
      <c r="P834" s="9">
        <v>3</v>
      </c>
      <c r="Q834" s="9" t="s">
        <v>6</v>
      </c>
      <c r="S834" s="26" t="s">
        <v>166</v>
      </c>
    </row>
    <row r="835" spans="1:19" ht="16.5" customHeight="1" x14ac:dyDescent="0.25">
      <c r="A835" s="9"/>
      <c r="B835" s="51" t="s">
        <v>107</v>
      </c>
      <c r="C835" s="52"/>
      <c r="D835" s="52"/>
      <c r="E835" s="52"/>
      <c r="F835" s="52"/>
      <c r="G835" s="53"/>
      <c r="H835" s="20"/>
      <c r="I835" s="9">
        <v>2</v>
      </c>
      <c r="J835" s="9"/>
      <c r="K835" s="9"/>
      <c r="L835" s="9"/>
      <c r="M835" s="9">
        <f t="shared" si="116"/>
        <v>14.4</v>
      </c>
      <c r="N835" s="9">
        <f t="shared" si="117"/>
        <v>6</v>
      </c>
      <c r="O835" s="9">
        <v>7.2</v>
      </c>
      <c r="P835" s="9">
        <v>3</v>
      </c>
      <c r="Q835" s="9" t="s">
        <v>6</v>
      </c>
      <c r="S835" s="26" t="s">
        <v>166</v>
      </c>
    </row>
    <row r="836" spans="1:19" ht="16.5" customHeight="1" x14ac:dyDescent="0.25">
      <c r="A836" s="9"/>
      <c r="B836" s="51" t="s">
        <v>108</v>
      </c>
      <c r="C836" s="52"/>
      <c r="D836" s="52"/>
      <c r="E836" s="52"/>
      <c r="F836" s="52"/>
      <c r="G836" s="53"/>
      <c r="H836" s="20"/>
      <c r="I836" s="9">
        <v>2</v>
      </c>
      <c r="J836" s="9"/>
      <c r="K836" s="9"/>
      <c r="L836" s="9"/>
      <c r="M836" s="9">
        <f t="shared" si="116"/>
        <v>14.6</v>
      </c>
      <c r="N836" s="9">
        <f t="shared" si="117"/>
        <v>6</v>
      </c>
      <c r="O836" s="9">
        <v>7.3</v>
      </c>
      <c r="P836" s="9">
        <v>3</v>
      </c>
      <c r="Q836" s="9" t="s">
        <v>6</v>
      </c>
      <c r="S836" s="26" t="s">
        <v>166</v>
      </c>
    </row>
    <row r="837" spans="1:19" ht="16.5" customHeight="1" x14ac:dyDescent="0.25">
      <c r="A837" s="9"/>
      <c r="B837" s="51" t="s">
        <v>109</v>
      </c>
      <c r="C837" s="52"/>
      <c r="D837" s="52"/>
      <c r="E837" s="52"/>
      <c r="F837" s="52"/>
      <c r="G837" s="53"/>
      <c r="H837" s="20"/>
      <c r="I837" s="9">
        <v>2</v>
      </c>
      <c r="J837" s="9"/>
      <c r="K837" s="9"/>
      <c r="L837" s="9"/>
      <c r="M837" s="9">
        <f t="shared" si="116"/>
        <v>12.6</v>
      </c>
      <c r="N837" s="9">
        <f t="shared" si="117"/>
        <v>4</v>
      </c>
      <c r="O837" s="9">
        <v>6.3</v>
      </c>
      <c r="P837" s="9">
        <v>2</v>
      </c>
      <c r="Q837" s="9" t="s">
        <v>3</v>
      </c>
      <c r="S837" s="26" t="s">
        <v>166</v>
      </c>
    </row>
    <row r="838" spans="1:19" ht="16.5" customHeight="1" x14ac:dyDescent="0.25">
      <c r="A838" s="9"/>
      <c r="B838" s="51" t="s">
        <v>110</v>
      </c>
      <c r="C838" s="52"/>
      <c r="D838" s="52"/>
      <c r="E838" s="52"/>
      <c r="F838" s="52"/>
      <c r="G838" s="53"/>
      <c r="H838" s="20"/>
      <c r="I838" s="9">
        <v>4</v>
      </c>
      <c r="J838" s="9"/>
      <c r="K838" s="9"/>
      <c r="L838" s="9"/>
      <c r="M838" s="9">
        <f t="shared" si="116"/>
        <v>27.2</v>
      </c>
      <c r="N838" s="9">
        <f t="shared" si="117"/>
        <v>10</v>
      </c>
      <c r="O838" s="9">
        <v>6.8</v>
      </c>
      <c r="P838" s="9">
        <v>2.5</v>
      </c>
      <c r="Q838" s="9" t="s">
        <v>5</v>
      </c>
      <c r="S838" s="26" t="s">
        <v>166</v>
      </c>
    </row>
    <row r="839" spans="1:19" ht="16.5" customHeight="1" x14ac:dyDescent="0.25">
      <c r="A839" s="9"/>
      <c r="B839" s="51" t="s">
        <v>111</v>
      </c>
      <c r="C839" s="52"/>
      <c r="D839" s="52"/>
      <c r="E839" s="52"/>
      <c r="F839" s="52"/>
      <c r="G839" s="53"/>
      <c r="H839" s="20"/>
      <c r="I839" s="9">
        <v>2</v>
      </c>
      <c r="J839" s="9"/>
      <c r="K839" s="9"/>
      <c r="L839" s="9"/>
      <c r="M839" s="9">
        <f t="shared" si="116"/>
        <v>15.2</v>
      </c>
      <c r="N839" s="9">
        <f t="shared" si="117"/>
        <v>6</v>
      </c>
      <c r="O839" s="9">
        <v>7.6</v>
      </c>
      <c r="P839" s="9">
        <v>3</v>
      </c>
      <c r="Q839" s="9" t="s">
        <v>6</v>
      </c>
      <c r="S839" s="26" t="s">
        <v>166</v>
      </c>
    </row>
    <row r="840" spans="1:19" ht="16.5" customHeight="1" x14ac:dyDescent="0.25">
      <c r="A840" s="9"/>
      <c r="B840" s="51" t="s">
        <v>112</v>
      </c>
      <c r="C840" s="52"/>
      <c r="D840" s="52"/>
      <c r="E840" s="52"/>
      <c r="F840" s="52"/>
      <c r="G840" s="53"/>
      <c r="H840" s="20"/>
      <c r="I840" s="9">
        <v>3</v>
      </c>
      <c r="J840" s="9"/>
      <c r="K840" s="9"/>
      <c r="L840" s="9"/>
      <c r="M840" s="9">
        <f t="shared" si="116"/>
        <v>24.299999999999997</v>
      </c>
      <c r="N840" s="9">
        <f t="shared" si="117"/>
        <v>10.5</v>
      </c>
      <c r="O840" s="9">
        <v>8.1</v>
      </c>
      <c r="P840" s="9">
        <v>3.5</v>
      </c>
      <c r="Q840" s="9" t="s">
        <v>9</v>
      </c>
      <c r="S840" s="26" t="s">
        <v>166</v>
      </c>
    </row>
    <row r="841" spans="1:19" ht="16.5" hidden="1" customHeight="1" x14ac:dyDescent="0.25">
      <c r="A841" s="21"/>
      <c r="H841" s="21"/>
      <c r="I841" s="21"/>
      <c r="J841" s="21"/>
      <c r="K841" s="21"/>
      <c r="L841" s="21"/>
      <c r="M841" s="9">
        <f t="shared" si="116"/>
        <v>0</v>
      </c>
      <c r="N841" s="9">
        <f t="shared" si="117"/>
        <v>0</v>
      </c>
      <c r="O841" s="21"/>
      <c r="P841" s="21"/>
      <c r="Q841" s="21"/>
      <c r="S841" s="25"/>
    </row>
    <row r="842" spans="1:19" ht="16.5" customHeight="1" x14ac:dyDescent="0.25">
      <c r="A842" s="9"/>
      <c r="B842" s="39" t="s">
        <v>42</v>
      </c>
      <c r="C842" s="40"/>
      <c r="D842" s="40"/>
      <c r="E842" s="40"/>
      <c r="F842" s="40"/>
      <c r="G842" s="41"/>
      <c r="H842" s="23"/>
      <c r="I842" s="24">
        <f>SUM(I831:I841)</f>
        <v>25</v>
      </c>
      <c r="J842" s="9"/>
      <c r="K842" s="9"/>
      <c r="L842" s="9"/>
      <c r="M842" s="9">
        <f t="shared" si="116"/>
        <v>181</v>
      </c>
      <c r="N842" s="9">
        <f t="shared" si="117"/>
        <v>70.5</v>
      </c>
      <c r="O842" s="24">
        <f>ROUND(SUM(M831:M841)/I842,2)</f>
        <v>7.24</v>
      </c>
      <c r="P842" s="24">
        <f>ROUND(SUM(N831:N841)/I842,2)</f>
        <v>2.82</v>
      </c>
      <c r="Q842" s="9"/>
      <c r="S842" s="25"/>
    </row>
    <row r="843" spans="1:19" ht="20.25" customHeight="1" x14ac:dyDescent="0.25">
      <c r="A843" s="27" t="s">
        <v>113</v>
      </c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</row>
    <row r="844" spans="1:19" ht="16.5" customHeight="1" x14ac:dyDescent="0.25">
      <c r="A844" s="9"/>
      <c r="B844" s="51" t="s">
        <v>114</v>
      </c>
      <c r="C844" s="52"/>
      <c r="D844" s="52"/>
      <c r="E844" s="52"/>
      <c r="F844" s="52"/>
      <c r="G844" s="53"/>
      <c r="H844" s="20"/>
      <c r="I844" s="9">
        <v>3</v>
      </c>
      <c r="J844" s="9"/>
      <c r="K844" s="9"/>
      <c r="L844" s="9"/>
      <c r="M844" s="9">
        <f t="shared" ref="M844:M852" si="118">I844*O844</f>
        <v>0</v>
      </c>
      <c r="N844" s="9">
        <f t="shared" ref="N844:N852" si="119">I844*P844</f>
        <v>0</v>
      </c>
      <c r="O844" s="9"/>
      <c r="P844" s="9"/>
      <c r="Q844" s="9"/>
      <c r="S844" s="26" t="s">
        <v>166</v>
      </c>
    </row>
    <row r="845" spans="1:19" ht="16.5" customHeight="1" x14ac:dyDescent="0.25">
      <c r="A845" s="9"/>
      <c r="B845" s="51" t="s">
        <v>115</v>
      </c>
      <c r="C845" s="52"/>
      <c r="D845" s="52"/>
      <c r="E845" s="52"/>
      <c r="F845" s="52"/>
      <c r="G845" s="53"/>
      <c r="H845" s="20"/>
      <c r="I845" s="9">
        <v>3</v>
      </c>
      <c r="J845" s="9"/>
      <c r="K845" s="9"/>
      <c r="L845" s="9"/>
      <c r="M845" s="9">
        <f t="shared" si="118"/>
        <v>0</v>
      </c>
      <c r="N845" s="9">
        <f t="shared" si="119"/>
        <v>0</v>
      </c>
      <c r="O845" s="9"/>
      <c r="P845" s="9"/>
      <c r="Q845" s="9"/>
      <c r="S845" s="26" t="s">
        <v>166</v>
      </c>
    </row>
    <row r="846" spans="1:19" ht="16.5" customHeight="1" x14ac:dyDescent="0.25">
      <c r="A846" s="9"/>
      <c r="B846" s="51" t="s">
        <v>116</v>
      </c>
      <c r="C846" s="52"/>
      <c r="D846" s="52"/>
      <c r="E846" s="52"/>
      <c r="F846" s="52"/>
      <c r="G846" s="53"/>
      <c r="H846" s="20"/>
      <c r="I846" s="9">
        <v>3</v>
      </c>
      <c r="J846" s="9"/>
      <c r="K846" s="9"/>
      <c r="L846" s="9"/>
      <c r="M846" s="9">
        <f t="shared" si="118"/>
        <v>0</v>
      </c>
      <c r="N846" s="9">
        <f t="shared" si="119"/>
        <v>0</v>
      </c>
      <c r="O846" s="9"/>
      <c r="P846" s="9"/>
      <c r="Q846" s="9"/>
      <c r="S846" s="26" t="s">
        <v>166</v>
      </c>
    </row>
    <row r="847" spans="1:19" ht="16.5" customHeight="1" x14ac:dyDescent="0.25">
      <c r="A847" s="9"/>
      <c r="B847" s="51" t="s">
        <v>117</v>
      </c>
      <c r="C847" s="52"/>
      <c r="D847" s="52"/>
      <c r="E847" s="52"/>
      <c r="F847" s="52"/>
      <c r="G847" s="53"/>
      <c r="H847" s="20"/>
      <c r="I847" s="9">
        <v>1</v>
      </c>
      <c r="J847" s="9"/>
      <c r="K847" s="9"/>
      <c r="L847" s="9"/>
      <c r="M847" s="9">
        <f t="shared" si="118"/>
        <v>7.4</v>
      </c>
      <c r="N847" s="9">
        <f t="shared" si="119"/>
        <v>3</v>
      </c>
      <c r="O847" s="9">
        <v>7.4</v>
      </c>
      <c r="P847" s="9">
        <v>3</v>
      </c>
      <c r="Q847" s="9" t="s">
        <v>6</v>
      </c>
      <c r="S847" s="26" t="s">
        <v>166</v>
      </c>
    </row>
    <row r="848" spans="1:19" ht="16.5" customHeight="1" x14ac:dyDescent="0.25">
      <c r="A848" s="9"/>
      <c r="B848" s="51" t="s">
        <v>118</v>
      </c>
      <c r="C848" s="52"/>
      <c r="D848" s="52"/>
      <c r="E848" s="52"/>
      <c r="F848" s="52"/>
      <c r="G848" s="53"/>
      <c r="H848" s="20"/>
      <c r="I848" s="9">
        <v>3</v>
      </c>
      <c r="J848" s="9"/>
      <c r="K848" s="9"/>
      <c r="L848" s="9"/>
      <c r="M848" s="9">
        <f t="shared" si="118"/>
        <v>0</v>
      </c>
      <c r="N848" s="9">
        <f t="shared" si="119"/>
        <v>0</v>
      </c>
      <c r="O848" s="9"/>
      <c r="P848" s="9"/>
      <c r="Q848" s="9"/>
      <c r="S848" s="26" t="s">
        <v>166</v>
      </c>
    </row>
    <row r="849" spans="1:19" ht="16.5" customHeight="1" x14ac:dyDescent="0.25">
      <c r="A849" s="9"/>
      <c r="B849" s="51" t="s">
        <v>119</v>
      </c>
      <c r="C849" s="52"/>
      <c r="D849" s="52"/>
      <c r="E849" s="52"/>
      <c r="F849" s="52"/>
      <c r="G849" s="53"/>
      <c r="H849" s="20"/>
      <c r="I849" s="9">
        <v>3</v>
      </c>
      <c r="J849" s="9"/>
      <c r="K849" s="9"/>
      <c r="L849" s="9"/>
      <c r="M849" s="9">
        <f t="shared" si="118"/>
        <v>0</v>
      </c>
      <c r="N849" s="9">
        <f t="shared" si="119"/>
        <v>0</v>
      </c>
      <c r="O849" s="9"/>
      <c r="P849" s="9"/>
      <c r="Q849" s="9"/>
      <c r="S849" s="26" t="s">
        <v>166</v>
      </c>
    </row>
    <row r="850" spans="1:19" ht="16.5" customHeight="1" x14ac:dyDescent="0.25">
      <c r="A850" s="9"/>
      <c r="B850" s="51" t="s">
        <v>120</v>
      </c>
      <c r="C850" s="52"/>
      <c r="D850" s="52"/>
      <c r="E850" s="52"/>
      <c r="F850" s="52"/>
      <c r="G850" s="53"/>
      <c r="H850" s="20"/>
      <c r="I850" s="9">
        <v>2</v>
      </c>
      <c r="J850" s="9"/>
      <c r="K850" s="9"/>
      <c r="L850" s="9"/>
      <c r="M850" s="9">
        <f t="shared" si="118"/>
        <v>13</v>
      </c>
      <c r="N850" s="9">
        <f t="shared" si="119"/>
        <v>5</v>
      </c>
      <c r="O850" s="9">
        <v>6.5</v>
      </c>
      <c r="P850" s="9">
        <v>2.5</v>
      </c>
      <c r="Q850" s="9" t="s">
        <v>5</v>
      </c>
      <c r="S850" s="26" t="s">
        <v>166</v>
      </c>
    </row>
    <row r="851" spans="1:19" ht="16.5" hidden="1" customHeight="1" x14ac:dyDescent="0.25">
      <c r="A851" s="21"/>
      <c r="H851" s="21"/>
      <c r="I851" s="21"/>
      <c r="J851" s="21"/>
      <c r="K851" s="21"/>
      <c r="L851" s="21"/>
      <c r="M851" s="9">
        <f t="shared" si="118"/>
        <v>0</v>
      </c>
      <c r="N851" s="9">
        <f t="shared" si="119"/>
        <v>0</v>
      </c>
      <c r="O851" s="21"/>
      <c r="P851" s="21"/>
      <c r="Q851" s="21"/>
      <c r="S851" s="25"/>
    </row>
    <row r="852" spans="1:19" ht="16.5" customHeight="1" x14ac:dyDescent="0.25">
      <c r="A852" s="9"/>
      <c r="B852" s="39" t="s">
        <v>42</v>
      </c>
      <c r="C852" s="40"/>
      <c r="D852" s="40"/>
      <c r="E852" s="40"/>
      <c r="F852" s="40"/>
      <c r="G852" s="41"/>
      <c r="H852" s="23"/>
      <c r="I852" s="24">
        <f>SUM(I844:I851)</f>
        <v>18</v>
      </c>
      <c r="J852" s="9"/>
      <c r="K852" s="9"/>
      <c r="L852" s="9"/>
      <c r="M852" s="9">
        <f t="shared" si="118"/>
        <v>20.339999999999996</v>
      </c>
      <c r="N852" s="9">
        <f t="shared" si="119"/>
        <v>7.92</v>
      </c>
      <c r="O852" s="24">
        <f>ROUND(SUM(M844:M851)/I852,2)</f>
        <v>1.1299999999999999</v>
      </c>
      <c r="P852" s="24">
        <f>ROUND(SUM(N844:N851)/I852,2)</f>
        <v>0.44</v>
      </c>
      <c r="Q852" s="9"/>
      <c r="S852" s="25"/>
    </row>
    <row r="853" spans="1:19" ht="16.5" customHeight="1" x14ac:dyDescent="0.25">
      <c r="A853" s="21"/>
      <c r="B853" s="22"/>
      <c r="C853" s="22"/>
      <c r="D853" s="22"/>
      <c r="E853" s="22"/>
      <c r="F853" s="22"/>
      <c r="G853" s="22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5" spans="1:19" ht="19.5" customHeight="1" x14ac:dyDescent="0.25">
      <c r="A855" s="17"/>
      <c r="B855" s="17"/>
      <c r="C855" s="8"/>
      <c r="D855" s="18"/>
      <c r="E855" s="10"/>
      <c r="F855" s="11"/>
      <c r="G855" s="46" t="s">
        <v>49</v>
      </c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</row>
    <row r="856" spans="1:19" ht="31.5" customHeight="1" x14ac:dyDescent="0.3">
      <c r="A856" s="8"/>
      <c r="B856" s="8"/>
      <c r="C856" s="8"/>
      <c r="D856" s="8"/>
      <c r="E856" s="8"/>
      <c r="F856" s="8"/>
      <c r="G856" s="8"/>
      <c r="H856" s="12"/>
      <c r="I856" s="42" t="s">
        <v>40</v>
      </c>
      <c r="J856" s="43"/>
      <c r="K856" s="43"/>
      <c r="L856" s="43"/>
      <c r="M856" s="43"/>
      <c r="N856" s="43"/>
      <c r="O856" s="43"/>
      <c r="P856" s="43"/>
      <c r="Q856" s="43"/>
      <c r="R856" s="43"/>
      <c r="S856" s="43"/>
    </row>
    <row r="857" spans="1:19" ht="16.8" x14ac:dyDescent="0.3">
      <c r="A857" s="8"/>
      <c r="B857" s="8"/>
      <c r="C857" s="8"/>
      <c r="D857" s="8"/>
      <c r="E857" s="8"/>
      <c r="F857" s="8"/>
      <c r="G857" s="8"/>
      <c r="H857" s="12"/>
      <c r="I857" s="12"/>
      <c r="J857" s="12"/>
      <c r="K857" s="12"/>
      <c r="L857" s="8"/>
      <c r="M857" s="8"/>
      <c r="N857" s="8"/>
      <c r="O857" s="8"/>
      <c r="P857" s="8"/>
      <c r="Q857" s="8"/>
    </row>
    <row r="858" spans="1:19" ht="33" customHeight="1" x14ac:dyDescent="0.3">
      <c r="A858" s="8"/>
      <c r="B858" s="8"/>
      <c r="C858" s="8"/>
      <c r="D858" s="8"/>
      <c r="E858" s="8"/>
      <c r="F858" s="8"/>
      <c r="G858" s="8"/>
      <c r="H858" s="12"/>
      <c r="I858" s="12"/>
      <c r="J858" s="12"/>
      <c r="K858" s="12"/>
      <c r="L858" s="8"/>
      <c r="M858" s="8"/>
      <c r="N858" s="8"/>
      <c r="O858" s="8"/>
      <c r="P858" s="8"/>
      <c r="Q858" s="8"/>
    </row>
    <row r="859" spans="1:19" ht="11.25" customHeight="1" x14ac:dyDescent="0.3">
      <c r="A859" s="8"/>
      <c r="B859" s="8"/>
      <c r="C859" s="8"/>
      <c r="D859" s="8"/>
      <c r="E859" s="8"/>
      <c r="F859" s="8"/>
      <c r="G859" s="8"/>
      <c r="H859" s="12"/>
      <c r="I859" s="12"/>
      <c r="J859" s="12"/>
      <c r="K859" s="12"/>
      <c r="L859" s="8"/>
      <c r="M859" s="8"/>
      <c r="N859" s="8"/>
      <c r="O859" s="8"/>
      <c r="P859" s="8"/>
      <c r="Q859" s="8"/>
    </row>
    <row r="860" spans="1:19" ht="17.399999999999999" x14ac:dyDescent="0.3">
      <c r="A860" s="8"/>
      <c r="B860" s="8"/>
      <c r="C860" s="8"/>
      <c r="D860" s="8"/>
      <c r="E860" s="8"/>
      <c r="F860" s="8"/>
      <c r="G860" s="47" t="s">
        <v>41</v>
      </c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</row>
    <row r="861" spans="1:19" ht="54" customHeight="1" x14ac:dyDescent="0.25">
      <c r="A861" s="48" t="s">
        <v>33</v>
      </c>
      <c r="B861" s="48"/>
      <c r="C861" s="48"/>
      <c r="D861" s="48"/>
      <c r="E861" s="48"/>
      <c r="F861" s="42" t="s">
        <v>24</v>
      </c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</row>
    <row r="862" spans="1:19" ht="17.399999999999999" x14ac:dyDescent="0.25">
      <c r="A862" s="49" t="s">
        <v>34</v>
      </c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</row>
    <row r="863" spans="1:19" ht="4.5" customHeight="1" x14ac:dyDescent="0.25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</row>
    <row r="864" spans="1:19" ht="5.25" customHeight="1" x14ac:dyDescent="0.25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</row>
    <row r="865" spans="1:20" ht="16.5" customHeight="1" x14ac:dyDescent="0.25">
      <c r="A865" s="54" t="s">
        <v>167</v>
      </c>
      <c r="B865" s="54"/>
      <c r="C865" s="54"/>
      <c r="D865" s="54"/>
      <c r="E865" s="54"/>
      <c r="F865" s="54"/>
      <c r="G865" s="58" t="s">
        <v>168</v>
      </c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</row>
    <row r="866" spans="1:20" ht="16.5" customHeight="1" x14ac:dyDescent="0.25">
      <c r="A866" s="54" t="s">
        <v>169</v>
      </c>
      <c r="B866" s="54"/>
      <c r="C866" s="54"/>
      <c r="D866" s="54"/>
      <c r="E866" s="54"/>
      <c r="F866" s="54"/>
      <c r="G866" s="8" t="s">
        <v>46</v>
      </c>
      <c r="H866" s="8"/>
      <c r="I866" s="8"/>
      <c r="J866" s="8"/>
      <c r="K866" s="8"/>
      <c r="L866" s="8"/>
      <c r="M866" s="8"/>
      <c r="N866" s="8"/>
      <c r="O866" s="8"/>
      <c r="P866" s="8"/>
      <c r="Q866" s="8"/>
      <c r="T866" s="2"/>
    </row>
    <row r="867" spans="1:20" ht="16.5" customHeight="1" x14ac:dyDescent="0.25">
      <c r="A867" s="54" t="s">
        <v>47</v>
      </c>
      <c r="B867" s="54"/>
      <c r="C867" s="54"/>
      <c r="D867" s="54"/>
      <c r="E867" s="54"/>
      <c r="F867" s="54"/>
      <c r="G867" s="58" t="s">
        <v>48</v>
      </c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</row>
    <row r="868" spans="1:20" ht="5.2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19"/>
      <c r="K868" s="19"/>
      <c r="L868" s="19"/>
      <c r="M868" s="19"/>
      <c r="N868" s="19"/>
      <c r="O868" s="19"/>
      <c r="P868" s="19"/>
      <c r="Q868" s="19"/>
    </row>
    <row r="869" spans="1:20" ht="15" customHeight="1" x14ac:dyDescent="0.25">
      <c r="A869" s="36" t="s">
        <v>0</v>
      </c>
      <c r="B869" s="29" t="s">
        <v>1</v>
      </c>
      <c r="C869" s="30"/>
      <c r="D869" s="30"/>
      <c r="E869" s="30"/>
      <c r="F869" s="30"/>
      <c r="G869" s="31"/>
      <c r="H869" s="36" t="s">
        <v>32</v>
      </c>
      <c r="I869" s="36" t="s">
        <v>39</v>
      </c>
      <c r="J869" s="55" t="s">
        <v>2</v>
      </c>
      <c r="K869" s="56"/>
      <c r="L869" s="56"/>
      <c r="M869" s="56"/>
      <c r="N869" s="56"/>
      <c r="O869" s="56"/>
      <c r="P869" s="56"/>
      <c r="Q869" s="57"/>
      <c r="S869" s="36" t="s">
        <v>38</v>
      </c>
    </row>
    <row r="870" spans="1:20" ht="24" customHeight="1" x14ac:dyDescent="0.25">
      <c r="A870" s="37"/>
      <c r="B870" s="32"/>
      <c r="C870" s="33"/>
      <c r="D870" s="33"/>
      <c r="E870" s="33"/>
      <c r="F870" s="33"/>
      <c r="G870" s="34"/>
      <c r="H870" s="37"/>
      <c r="I870" s="37"/>
      <c r="J870" s="7" t="s">
        <v>28</v>
      </c>
      <c r="K870" s="7" t="s">
        <v>29</v>
      </c>
      <c r="L870" s="7" t="s">
        <v>30</v>
      </c>
      <c r="M870" s="7"/>
      <c r="N870" s="7"/>
      <c r="O870" s="6" t="s">
        <v>35</v>
      </c>
      <c r="P870" s="6" t="s">
        <v>36</v>
      </c>
      <c r="Q870" s="6" t="s">
        <v>37</v>
      </c>
      <c r="S870" s="37"/>
    </row>
    <row r="871" spans="1:20" ht="20.25" customHeight="1" x14ac:dyDescent="0.25">
      <c r="A871" s="27" t="s">
        <v>54</v>
      </c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</row>
    <row r="872" spans="1:20" ht="16.5" customHeight="1" x14ac:dyDescent="0.25">
      <c r="A872" s="9"/>
      <c r="B872" s="51" t="s">
        <v>55</v>
      </c>
      <c r="C872" s="52"/>
      <c r="D872" s="52"/>
      <c r="E872" s="52"/>
      <c r="F872" s="52"/>
      <c r="G872" s="53"/>
      <c r="H872" s="20"/>
      <c r="I872" s="9">
        <v>1</v>
      </c>
      <c r="J872" s="9"/>
      <c r="K872" s="9"/>
      <c r="L872" s="9"/>
      <c r="M872" s="9">
        <f t="shared" ref="M872:M880" si="120">I872*O872</f>
        <v>6</v>
      </c>
      <c r="N872" s="9">
        <f t="shared" ref="N872:N880" si="121">I872*P872</f>
        <v>2</v>
      </c>
      <c r="O872" s="9">
        <v>6</v>
      </c>
      <c r="P872" s="9">
        <v>2</v>
      </c>
      <c r="Q872" s="9" t="s">
        <v>3</v>
      </c>
      <c r="R872" s="1">
        <v>0</v>
      </c>
      <c r="S872" s="26"/>
    </row>
    <row r="873" spans="1:20" ht="16.5" customHeight="1" x14ac:dyDescent="0.25">
      <c r="A873" s="9"/>
      <c r="B873" s="51" t="s">
        <v>56</v>
      </c>
      <c r="C873" s="52"/>
      <c r="D873" s="52"/>
      <c r="E873" s="52"/>
      <c r="F873" s="52"/>
      <c r="G873" s="53"/>
      <c r="H873" s="20"/>
      <c r="I873" s="9">
        <v>3</v>
      </c>
      <c r="J873" s="9"/>
      <c r="K873" s="9"/>
      <c r="L873" s="9"/>
      <c r="M873" s="9">
        <f t="shared" si="120"/>
        <v>24.599999999999998</v>
      </c>
      <c r="N873" s="9">
        <f t="shared" si="121"/>
        <v>10.5</v>
      </c>
      <c r="O873" s="9">
        <v>8.1999999999999993</v>
      </c>
      <c r="P873" s="9">
        <v>3.5</v>
      </c>
      <c r="Q873" s="9" t="s">
        <v>9</v>
      </c>
      <c r="R873" s="1">
        <v>0</v>
      </c>
      <c r="S873" s="26"/>
    </row>
    <row r="874" spans="1:20" ht="31.2" customHeight="1" x14ac:dyDescent="0.25">
      <c r="A874" s="9"/>
      <c r="B874" s="51" t="s">
        <v>57</v>
      </c>
      <c r="C874" s="52"/>
      <c r="D874" s="52"/>
      <c r="E874" s="52"/>
      <c r="F874" s="52"/>
      <c r="G874" s="53"/>
      <c r="H874" s="20"/>
      <c r="I874" s="9">
        <v>3</v>
      </c>
      <c r="J874" s="9"/>
      <c r="K874" s="9"/>
      <c r="L874" s="9"/>
      <c r="M874" s="9">
        <f t="shared" si="120"/>
        <v>21</v>
      </c>
      <c r="N874" s="9">
        <f t="shared" si="121"/>
        <v>9</v>
      </c>
      <c r="O874" s="9">
        <v>7</v>
      </c>
      <c r="P874" s="9">
        <v>3</v>
      </c>
      <c r="Q874" s="9" t="s">
        <v>6</v>
      </c>
      <c r="R874" s="1">
        <v>0</v>
      </c>
      <c r="S874" s="26"/>
    </row>
    <row r="875" spans="1:20" ht="16.5" customHeight="1" x14ac:dyDescent="0.25">
      <c r="A875" s="9"/>
      <c r="B875" s="51" t="s">
        <v>58</v>
      </c>
      <c r="C875" s="52"/>
      <c r="D875" s="52"/>
      <c r="E875" s="52"/>
      <c r="F875" s="52"/>
      <c r="G875" s="53"/>
      <c r="H875" s="20"/>
      <c r="I875" s="9">
        <v>1</v>
      </c>
      <c r="J875" s="9"/>
      <c r="K875" s="9"/>
      <c r="L875" s="9"/>
      <c r="M875" s="9">
        <f t="shared" si="120"/>
        <v>7.7</v>
      </c>
      <c r="N875" s="9">
        <f t="shared" si="121"/>
        <v>3</v>
      </c>
      <c r="O875" s="9">
        <v>7.7</v>
      </c>
      <c r="P875" s="9">
        <v>3</v>
      </c>
      <c r="Q875" s="9" t="s">
        <v>6</v>
      </c>
      <c r="R875" s="1">
        <v>0</v>
      </c>
      <c r="S875" s="26"/>
    </row>
    <row r="876" spans="1:20" ht="16.5" customHeight="1" x14ac:dyDescent="0.25">
      <c r="A876" s="9"/>
      <c r="B876" s="51" t="s">
        <v>59</v>
      </c>
      <c r="C876" s="52"/>
      <c r="D876" s="52"/>
      <c r="E876" s="52"/>
      <c r="F876" s="52"/>
      <c r="G876" s="53"/>
      <c r="H876" s="20"/>
      <c r="I876" s="9">
        <v>1</v>
      </c>
      <c r="J876" s="9"/>
      <c r="K876" s="9"/>
      <c r="L876" s="9"/>
      <c r="M876" s="9">
        <f t="shared" si="120"/>
        <v>7.4</v>
      </c>
      <c r="N876" s="9">
        <f t="shared" si="121"/>
        <v>3</v>
      </c>
      <c r="O876" s="9">
        <v>7.4</v>
      </c>
      <c r="P876" s="9">
        <v>3</v>
      </c>
      <c r="Q876" s="9" t="s">
        <v>6</v>
      </c>
      <c r="R876" s="1">
        <v>0</v>
      </c>
      <c r="S876" s="26"/>
    </row>
    <row r="877" spans="1:20" ht="16.5" customHeight="1" x14ac:dyDescent="0.25">
      <c r="A877" s="9"/>
      <c r="B877" s="51" t="s">
        <v>60</v>
      </c>
      <c r="C877" s="52"/>
      <c r="D877" s="52"/>
      <c r="E877" s="52"/>
      <c r="F877" s="52"/>
      <c r="G877" s="53"/>
      <c r="H877" s="20"/>
      <c r="I877" s="9">
        <v>3</v>
      </c>
      <c r="J877" s="9"/>
      <c r="K877" s="9"/>
      <c r="L877" s="9"/>
      <c r="M877" s="9">
        <f t="shared" si="120"/>
        <v>24.599999999999998</v>
      </c>
      <c r="N877" s="9">
        <f t="shared" si="121"/>
        <v>10.5</v>
      </c>
      <c r="O877" s="9">
        <v>8.1999999999999993</v>
      </c>
      <c r="P877" s="9">
        <v>3.5</v>
      </c>
      <c r="Q877" s="9" t="s">
        <v>9</v>
      </c>
      <c r="R877" s="1">
        <v>0</v>
      </c>
      <c r="S877" s="26"/>
    </row>
    <row r="878" spans="1:20" ht="16.5" customHeight="1" x14ac:dyDescent="0.25">
      <c r="A878" s="9"/>
      <c r="B878" s="51" t="s">
        <v>61</v>
      </c>
      <c r="C878" s="52"/>
      <c r="D878" s="52"/>
      <c r="E878" s="52"/>
      <c r="F878" s="52"/>
      <c r="G878" s="53"/>
      <c r="H878" s="20"/>
      <c r="I878" s="9">
        <v>2</v>
      </c>
      <c r="J878" s="9"/>
      <c r="K878" s="9"/>
      <c r="L878" s="9"/>
      <c r="M878" s="9">
        <f t="shared" si="120"/>
        <v>14.2</v>
      </c>
      <c r="N878" s="9">
        <f t="shared" si="121"/>
        <v>6</v>
      </c>
      <c r="O878" s="9">
        <v>7.1</v>
      </c>
      <c r="P878" s="9">
        <v>3</v>
      </c>
      <c r="Q878" s="9" t="s">
        <v>6</v>
      </c>
      <c r="R878" s="1">
        <v>0</v>
      </c>
      <c r="S878" s="26"/>
    </row>
    <row r="879" spans="1:20" ht="16.5" hidden="1" customHeight="1" x14ac:dyDescent="0.25">
      <c r="A879" s="21"/>
      <c r="H879" s="21"/>
      <c r="I879" s="21"/>
      <c r="J879" s="21"/>
      <c r="K879" s="21"/>
      <c r="L879" s="21"/>
      <c r="M879" s="9">
        <f t="shared" si="120"/>
        <v>0</v>
      </c>
      <c r="N879" s="9">
        <f t="shared" si="121"/>
        <v>0</v>
      </c>
      <c r="O879" s="21"/>
      <c r="P879" s="21"/>
      <c r="Q879" s="21"/>
      <c r="S879" s="25"/>
    </row>
    <row r="880" spans="1:20" ht="16.5" customHeight="1" x14ac:dyDescent="0.25">
      <c r="A880" s="9"/>
      <c r="B880" s="39" t="s">
        <v>42</v>
      </c>
      <c r="C880" s="40"/>
      <c r="D880" s="40"/>
      <c r="E880" s="40"/>
      <c r="F880" s="40"/>
      <c r="G880" s="41"/>
      <c r="H880" s="23"/>
      <c r="I880" s="24">
        <f>SUM(I872:I879)</f>
        <v>14</v>
      </c>
      <c r="J880" s="9"/>
      <c r="K880" s="9"/>
      <c r="L880" s="9"/>
      <c r="M880" s="9">
        <f t="shared" si="120"/>
        <v>105.56</v>
      </c>
      <c r="N880" s="9">
        <f t="shared" si="121"/>
        <v>43.96</v>
      </c>
      <c r="O880" s="24">
        <f>ROUND(SUM(M872:M879)/I880,2)</f>
        <v>7.54</v>
      </c>
      <c r="P880" s="24">
        <f>ROUND(SUM(N872:N879)/I880,2)</f>
        <v>3.14</v>
      </c>
      <c r="Q880" s="9"/>
      <c r="S880" s="25"/>
    </row>
    <row r="881" spans="1:19" ht="20.25" customHeight="1" x14ac:dyDescent="0.25">
      <c r="A881" s="27" t="s">
        <v>62</v>
      </c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</row>
    <row r="882" spans="1:19" ht="16.5" customHeight="1" x14ac:dyDescent="0.25">
      <c r="A882" s="9"/>
      <c r="B882" s="51" t="s">
        <v>63</v>
      </c>
      <c r="C882" s="52"/>
      <c r="D882" s="52"/>
      <c r="E882" s="52"/>
      <c r="F882" s="52"/>
      <c r="G882" s="53"/>
      <c r="H882" s="20"/>
      <c r="I882" s="9">
        <v>4</v>
      </c>
      <c r="J882" s="9"/>
      <c r="K882" s="9"/>
      <c r="L882" s="9"/>
      <c r="M882" s="9">
        <f t="shared" ref="M882:M890" si="122">I882*O882</f>
        <v>30.4</v>
      </c>
      <c r="N882" s="9">
        <f t="shared" ref="N882:N890" si="123">I882*P882</f>
        <v>12</v>
      </c>
      <c r="O882" s="9">
        <v>7.6</v>
      </c>
      <c r="P882" s="9">
        <v>3</v>
      </c>
      <c r="Q882" s="9" t="s">
        <v>6</v>
      </c>
      <c r="R882" s="1">
        <v>0</v>
      </c>
      <c r="S882" s="26"/>
    </row>
    <row r="883" spans="1:19" ht="16.5" customHeight="1" x14ac:dyDescent="0.25">
      <c r="A883" s="9"/>
      <c r="B883" s="51" t="s">
        <v>64</v>
      </c>
      <c r="C883" s="52"/>
      <c r="D883" s="52"/>
      <c r="E883" s="52"/>
      <c r="F883" s="52"/>
      <c r="G883" s="53"/>
      <c r="H883" s="20"/>
      <c r="I883" s="9">
        <v>4</v>
      </c>
      <c r="J883" s="9"/>
      <c r="K883" s="9"/>
      <c r="L883" s="9"/>
      <c r="M883" s="9">
        <f t="shared" si="122"/>
        <v>18.8</v>
      </c>
      <c r="N883" s="9">
        <f t="shared" si="123"/>
        <v>4</v>
      </c>
      <c r="O883" s="9">
        <v>4.7</v>
      </c>
      <c r="P883" s="9">
        <v>1</v>
      </c>
      <c r="Q883" s="9" t="s">
        <v>8</v>
      </c>
      <c r="R883" s="1">
        <v>0</v>
      </c>
      <c r="S883" s="26"/>
    </row>
    <row r="884" spans="1:19" ht="16.5" customHeight="1" x14ac:dyDescent="0.25">
      <c r="A884" s="9"/>
      <c r="B884" s="51" t="s">
        <v>65</v>
      </c>
      <c r="C884" s="52"/>
      <c r="D884" s="52"/>
      <c r="E884" s="52"/>
      <c r="F884" s="52"/>
      <c r="G884" s="53"/>
      <c r="H884" s="20"/>
      <c r="I884" s="9">
        <v>4</v>
      </c>
      <c r="J884" s="9"/>
      <c r="K884" s="9"/>
      <c r="L884" s="9"/>
      <c r="M884" s="9">
        <f t="shared" si="122"/>
        <v>27.2</v>
      </c>
      <c r="N884" s="9">
        <f t="shared" si="123"/>
        <v>10</v>
      </c>
      <c r="O884" s="9">
        <v>6.8</v>
      </c>
      <c r="P884" s="9">
        <v>2.5</v>
      </c>
      <c r="Q884" s="9" t="s">
        <v>5</v>
      </c>
      <c r="R884" s="1">
        <v>0</v>
      </c>
      <c r="S884" s="26"/>
    </row>
    <row r="885" spans="1:19" ht="16.5" customHeight="1" x14ac:dyDescent="0.25">
      <c r="A885" s="9"/>
      <c r="B885" s="51" t="s">
        <v>66</v>
      </c>
      <c r="C885" s="52"/>
      <c r="D885" s="52"/>
      <c r="E885" s="52"/>
      <c r="F885" s="52"/>
      <c r="G885" s="53"/>
      <c r="H885" s="20"/>
      <c r="I885" s="9">
        <v>1</v>
      </c>
      <c r="J885" s="9"/>
      <c r="K885" s="9"/>
      <c r="L885" s="9"/>
      <c r="M885" s="9">
        <f t="shared" si="122"/>
        <v>7.9</v>
      </c>
      <c r="N885" s="9">
        <f t="shared" si="123"/>
        <v>3</v>
      </c>
      <c r="O885" s="9">
        <v>7.9</v>
      </c>
      <c r="P885" s="9">
        <v>3</v>
      </c>
      <c r="Q885" s="9" t="s">
        <v>6</v>
      </c>
      <c r="R885" s="1">
        <v>0</v>
      </c>
      <c r="S885" s="26"/>
    </row>
    <row r="886" spans="1:19" ht="16.5" customHeight="1" x14ac:dyDescent="0.25">
      <c r="A886" s="9"/>
      <c r="B886" s="51" t="s">
        <v>67</v>
      </c>
      <c r="C886" s="52"/>
      <c r="D886" s="52"/>
      <c r="E886" s="52"/>
      <c r="F886" s="52"/>
      <c r="G886" s="53"/>
      <c r="H886" s="20"/>
      <c r="I886" s="9">
        <v>1</v>
      </c>
      <c r="J886" s="9"/>
      <c r="K886" s="9"/>
      <c r="L886" s="9"/>
      <c r="M886" s="9">
        <f t="shared" si="122"/>
        <v>7.4</v>
      </c>
      <c r="N886" s="9">
        <f t="shared" si="123"/>
        <v>3</v>
      </c>
      <c r="O886" s="9">
        <v>7.4</v>
      </c>
      <c r="P886" s="9">
        <v>3</v>
      </c>
      <c r="Q886" s="9" t="s">
        <v>6</v>
      </c>
      <c r="R886" s="1">
        <v>0</v>
      </c>
      <c r="S886" s="26"/>
    </row>
    <row r="887" spans="1:19" ht="16.5" customHeight="1" x14ac:dyDescent="0.25">
      <c r="A887" s="9"/>
      <c r="B887" s="51" t="s">
        <v>68</v>
      </c>
      <c r="C887" s="52"/>
      <c r="D887" s="52"/>
      <c r="E887" s="52"/>
      <c r="F887" s="52"/>
      <c r="G887" s="53"/>
      <c r="H887" s="20"/>
      <c r="I887" s="9">
        <v>1</v>
      </c>
      <c r="J887" s="9"/>
      <c r="K887" s="9"/>
      <c r="L887" s="9"/>
      <c r="M887" s="9">
        <f t="shared" si="122"/>
        <v>7.4</v>
      </c>
      <c r="N887" s="9">
        <f t="shared" si="123"/>
        <v>3</v>
      </c>
      <c r="O887" s="9">
        <v>7.4</v>
      </c>
      <c r="P887" s="9">
        <v>3</v>
      </c>
      <c r="Q887" s="9" t="s">
        <v>6</v>
      </c>
      <c r="R887" s="1">
        <v>0</v>
      </c>
      <c r="S887" s="26"/>
    </row>
    <row r="888" spans="1:19" ht="16.5" customHeight="1" x14ac:dyDescent="0.25">
      <c r="A888" s="9"/>
      <c r="B888" s="51" t="s">
        <v>69</v>
      </c>
      <c r="C888" s="52"/>
      <c r="D888" s="52"/>
      <c r="E888" s="52"/>
      <c r="F888" s="52"/>
      <c r="G888" s="53"/>
      <c r="H888" s="20"/>
      <c r="I888" s="9">
        <v>1</v>
      </c>
      <c r="J888" s="9"/>
      <c r="K888" s="9"/>
      <c r="L888" s="9"/>
      <c r="M888" s="9">
        <f t="shared" si="122"/>
        <v>8</v>
      </c>
      <c r="N888" s="9">
        <f t="shared" si="123"/>
        <v>3.5</v>
      </c>
      <c r="O888" s="9">
        <v>8</v>
      </c>
      <c r="P888" s="9">
        <v>3.5</v>
      </c>
      <c r="Q888" s="9" t="s">
        <v>9</v>
      </c>
      <c r="R888" s="1">
        <v>0</v>
      </c>
      <c r="S888" s="26"/>
    </row>
    <row r="889" spans="1:19" ht="16.5" hidden="1" customHeight="1" x14ac:dyDescent="0.25">
      <c r="A889" s="21"/>
      <c r="H889" s="21"/>
      <c r="I889" s="21"/>
      <c r="J889" s="21"/>
      <c r="K889" s="21"/>
      <c r="L889" s="21"/>
      <c r="M889" s="9">
        <f t="shared" si="122"/>
        <v>0</v>
      </c>
      <c r="N889" s="9">
        <f t="shared" si="123"/>
        <v>0</v>
      </c>
      <c r="O889" s="21"/>
      <c r="P889" s="21"/>
      <c r="Q889" s="21"/>
      <c r="S889" s="25"/>
    </row>
    <row r="890" spans="1:19" ht="16.5" customHeight="1" x14ac:dyDescent="0.25">
      <c r="A890" s="9"/>
      <c r="B890" s="39" t="s">
        <v>42</v>
      </c>
      <c r="C890" s="40"/>
      <c r="D890" s="40"/>
      <c r="E890" s="40"/>
      <c r="F890" s="40"/>
      <c r="G890" s="41"/>
      <c r="H890" s="23"/>
      <c r="I890" s="24">
        <f>SUM(I882:I889)</f>
        <v>16</v>
      </c>
      <c r="J890" s="9"/>
      <c r="K890" s="9"/>
      <c r="L890" s="9"/>
      <c r="M890" s="9">
        <f t="shared" si="122"/>
        <v>107.04</v>
      </c>
      <c r="N890" s="9">
        <f t="shared" si="123"/>
        <v>38.56</v>
      </c>
      <c r="O890" s="24">
        <f>ROUND(SUM(M882:M889)/I890,2)</f>
        <v>6.69</v>
      </c>
      <c r="P890" s="24">
        <f>ROUND(SUM(N882:N889)/I890,2)</f>
        <v>2.41</v>
      </c>
      <c r="Q890" s="9"/>
      <c r="S890" s="25"/>
    </row>
    <row r="891" spans="1:19" ht="20.25" customHeight="1" x14ac:dyDescent="0.25">
      <c r="A891" s="27" t="s">
        <v>70</v>
      </c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</row>
    <row r="892" spans="1:19" ht="16.5" customHeight="1" x14ac:dyDescent="0.25">
      <c r="A892" s="9"/>
      <c r="B892" s="51" t="s">
        <v>71</v>
      </c>
      <c r="C892" s="52"/>
      <c r="D892" s="52"/>
      <c r="E892" s="52"/>
      <c r="F892" s="52"/>
      <c r="G892" s="53"/>
      <c r="H892" s="20"/>
      <c r="I892" s="9">
        <v>4</v>
      </c>
      <c r="J892" s="9"/>
      <c r="K892" s="9"/>
      <c r="L892" s="9"/>
      <c r="M892" s="9">
        <f t="shared" ref="M892:M901" si="124">I892*O892</f>
        <v>34.799999999999997</v>
      </c>
      <c r="N892" s="9">
        <f t="shared" ref="N892:N901" si="125">I892*P892</f>
        <v>14.8</v>
      </c>
      <c r="O892" s="9">
        <v>8.6999999999999993</v>
      </c>
      <c r="P892" s="9">
        <v>3.7</v>
      </c>
      <c r="Q892" s="9" t="s">
        <v>10</v>
      </c>
      <c r="R892" s="1">
        <v>0</v>
      </c>
      <c r="S892" s="26"/>
    </row>
    <row r="893" spans="1:19" ht="16.5" customHeight="1" x14ac:dyDescent="0.25">
      <c r="A893" s="9"/>
      <c r="B893" s="51" t="s">
        <v>72</v>
      </c>
      <c r="C893" s="52"/>
      <c r="D893" s="52"/>
      <c r="E893" s="52"/>
      <c r="F893" s="52"/>
      <c r="G893" s="53"/>
      <c r="H893" s="20"/>
      <c r="I893" s="9">
        <v>4</v>
      </c>
      <c r="J893" s="9"/>
      <c r="K893" s="9"/>
      <c r="L893" s="9"/>
      <c r="M893" s="9">
        <f t="shared" si="124"/>
        <v>22.8</v>
      </c>
      <c r="N893" s="9">
        <f t="shared" si="125"/>
        <v>8</v>
      </c>
      <c r="O893" s="9">
        <v>5.7</v>
      </c>
      <c r="P893" s="9">
        <v>2</v>
      </c>
      <c r="Q893" s="9" t="s">
        <v>3</v>
      </c>
      <c r="R893" s="1">
        <v>0</v>
      </c>
      <c r="S893" s="26"/>
    </row>
    <row r="894" spans="1:19" ht="16.5" customHeight="1" x14ac:dyDescent="0.25">
      <c r="A894" s="9"/>
      <c r="B894" s="51" t="s">
        <v>73</v>
      </c>
      <c r="C894" s="52"/>
      <c r="D894" s="52"/>
      <c r="E894" s="52"/>
      <c r="F894" s="52"/>
      <c r="G894" s="53"/>
      <c r="H894" s="20"/>
      <c r="I894" s="9">
        <v>1</v>
      </c>
      <c r="J894" s="9"/>
      <c r="K894" s="9"/>
      <c r="L894" s="9"/>
      <c r="M894" s="9">
        <f t="shared" si="124"/>
        <v>7.1</v>
      </c>
      <c r="N894" s="9">
        <f t="shared" si="125"/>
        <v>3</v>
      </c>
      <c r="O894" s="9">
        <v>7.1</v>
      </c>
      <c r="P894" s="9">
        <v>3</v>
      </c>
      <c r="Q894" s="9" t="s">
        <v>6</v>
      </c>
      <c r="R894" s="1">
        <v>0</v>
      </c>
      <c r="S894" s="26"/>
    </row>
    <row r="895" spans="1:19" ht="16.5" customHeight="1" x14ac:dyDescent="0.25">
      <c r="A895" s="9"/>
      <c r="B895" s="51" t="s">
        <v>74</v>
      </c>
      <c r="C895" s="52"/>
      <c r="D895" s="52"/>
      <c r="E895" s="52"/>
      <c r="F895" s="52"/>
      <c r="G895" s="53"/>
      <c r="H895" s="20"/>
      <c r="I895" s="9">
        <v>2</v>
      </c>
      <c r="J895" s="9"/>
      <c r="K895" s="9"/>
      <c r="L895" s="9"/>
      <c r="M895" s="9">
        <f t="shared" si="124"/>
        <v>17.600000000000001</v>
      </c>
      <c r="N895" s="9">
        <f t="shared" si="125"/>
        <v>7.4</v>
      </c>
      <c r="O895" s="9">
        <v>8.8000000000000007</v>
      </c>
      <c r="P895" s="9">
        <v>3.7</v>
      </c>
      <c r="Q895" s="9" t="s">
        <v>10</v>
      </c>
      <c r="R895" s="1">
        <v>0</v>
      </c>
      <c r="S895" s="26"/>
    </row>
    <row r="896" spans="1:19" ht="16.5" customHeight="1" x14ac:dyDescent="0.25">
      <c r="A896" s="9"/>
      <c r="B896" s="51" t="s">
        <v>75</v>
      </c>
      <c r="C896" s="52"/>
      <c r="D896" s="52"/>
      <c r="E896" s="52"/>
      <c r="F896" s="52"/>
      <c r="G896" s="53"/>
      <c r="H896" s="20"/>
      <c r="I896" s="9">
        <v>1</v>
      </c>
      <c r="J896" s="9"/>
      <c r="K896" s="9"/>
      <c r="L896" s="9"/>
      <c r="M896" s="9">
        <f t="shared" si="124"/>
        <v>4.5999999999999996</v>
      </c>
      <c r="N896" s="9">
        <f t="shared" si="125"/>
        <v>1</v>
      </c>
      <c r="O896" s="9">
        <v>4.5999999999999996</v>
      </c>
      <c r="P896" s="9">
        <v>1</v>
      </c>
      <c r="Q896" s="9" t="s">
        <v>8</v>
      </c>
      <c r="R896" s="1">
        <v>0</v>
      </c>
      <c r="S896" s="26"/>
    </row>
    <row r="897" spans="1:19" ht="16.5" customHeight="1" x14ac:dyDescent="0.25">
      <c r="A897" s="9"/>
      <c r="B897" s="51" t="s">
        <v>76</v>
      </c>
      <c r="C897" s="52"/>
      <c r="D897" s="52"/>
      <c r="E897" s="52"/>
      <c r="F897" s="52"/>
      <c r="G897" s="53"/>
      <c r="H897" s="20"/>
      <c r="I897" s="9">
        <v>4</v>
      </c>
      <c r="J897" s="9"/>
      <c r="K897" s="9"/>
      <c r="L897" s="9"/>
      <c r="M897" s="9">
        <f t="shared" si="124"/>
        <v>28</v>
      </c>
      <c r="N897" s="9">
        <f t="shared" si="125"/>
        <v>12</v>
      </c>
      <c r="O897" s="9">
        <v>7</v>
      </c>
      <c r="P897" s="9">
        <v>3</v>
      </c>
      <c r="Q897" s="9" t="s">
        <v>6</v>
      </c>
      <c r="R897" s="1">
        <v>0</v>
      </c>
      <c r="S897" s="26"/>
    </row>
    <row r="898" spans="1:19" ht="16.5" customHeight="1" x14ac:dyDescent="0.25">
      <c r="A898" s="9"/>
      <c r="B898" s="51" t="s">
        <v>77</v>
      </c>
      <c r="C898" s="52"/>
      <c r="D898" s="52"/>
      <c r="E898" s="52"/>
      <c r="F898" s="52"/>
      <c r="G898" s="53"/>
      <c r="H898" s="20"/>
      <c r="I898" s="9">
        <v>3</v>
      </c>
      <c r="J898" s="9"/>
      <c r="K898" s="9"/>
      <c r="L898" s="9"/>
      <c r="M898" s="9">
        <f t="shared" si="124"/>
        <v>21</v>
      </c>
      <c r="N898" s="9">
        <f t="shared" si="125"/>
        <v>9</v>
      </c>
      <c r="O898" s="9">
        <v>7</v>
      </c>
      <c r="P898" s="9">
        <v>3</v>
      </c>
      <c r="Q898" s="9" t="s">
        <v>6</v>
      </c>
      <c r="R898" s="1">
        <v>0</v>
      </c>
      <c r="S898" s="26"/>
    </row>
    <row r="899" spans="1:19" ht="16.5" customHeight="1" x14ac:dyDescent="0.25">
      <c r="A899" s="9"/>
      <c r="B899" s="51" t="s">
        <v>78</v>
      </c>
      <c r="C899" s="52"/>
      <c r="D899" s="52"/>
      <c r="E899" s="52"/>
      <c r="F899" s="52"/>
      <c r="G899" s="53"/>
      <c r="H899" s="20"/>
      <c r="I899" s="9">
        <v>4</v>
      </c>
      <c r="J899" s="9"/>
      <c r="K899" s="9"/>
      <c r="L899" s="9"/>
      <c r="M899" s="9">
        <f t="shared" si="124"/>
        <v>30.8</v>
      </c>
      <c r="N899" s="9">
        <f t="shared" si="125"/>
        <v>12</v>
      </c>
      <c r="O899" s="9">
        <v>7.7</v>
      </c>
      <c r="P899" s="9">
        <v>3</v>
      </c>
      <c r="Q899" s="9" t="s">
        <v>6</v>
      </c>
      <c r="R899" s="1">
        <v>0</v>
      </c>
      <c r="S899" s="26"/>
    </row>
    <row r="900" spans="1:19" ht="16.5" hidden="1" customHeight="1" x14ac:dyDescent="0.25">
      <c r="A900" s="21"/>
      <c r="H900" s="21"/>
      <c r="I900" s="21"/>
      <c r="J900" s="21"/>
      <c r="K900" s="21"/>
      <c r="L900" s="21"/>
      <c r="M900" s="9">
        <f t="shared" si="124"/>
        <v>0</v>
      </c>
      <c r="N900" s="9">
        <f t="shared" si="125"/>
        <v>0</v>
      </c>
      <c r="O900" s="21"/>
      <c r="P900" s="21"/>
      <c r="Q900" s="21"/>
      <c r="S900" s="25"/>
    </row>
    <row r="901" spans="1:19" ht="16.5" customHeight="1" x14ac:dyDescent="0.25">
      <c r="A901" s="9"/>
      <c r="B901" s="39" t="s">
        <v>42</v>
      </c>
      <c r="C901" s="40"/>
      <c r="D901" s="40"/>
      <c r="E901" s="40"/>
      <c r="F901" s="40"/>
      <c r="G901" s="41"/>
      <c r="H901" s="23"/>
      <c r="I901" s="24">
        <f>SUM(I892:I900)</f>
        <v>23</v>
      </c>
      <c r="J901" s="9"/>
      <c r="K901" s="9"/>
      <c r="L901" s="9"/>
      <c r="M901" s="9">
        <f t="shared" si="124"/>
        <v>166.75</v>
      </c>
      <c r="N901" s="9">
        <f t="shared" si="125"/>
        <v>67.16</v>
      </c>
      <c r="O901" s="24">
        <f>ROUND(SUM(M892:M900)/I901,2)</f>
        <v>7.25</v>
      </c>
      <c r="P901" s="24">
        <f>ROUND(SUM(N892:N900)/I901,2)</f>
        <v>2.92</v>
      </c>
      <c r="Q901" s="9"/>
      <c r="S901" s="25"/>
    </row>
    <row r="902" spans="1:19" ht="20.25" customHeight="1" x14ac:dyDescent="0.25">
      <c r="A902" s="27" t="s">
        <v>79</v>
      </c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</row>
    <row r="903" spans="1:19" ht="16.5" customHeight="1" x14ac:dyDescent="0.25">
      <c r="A903" s="9"/>
      <c r="B903" s="51" t="s">
        <v>80</v>
      </c>
      <c r="C903" s="52"/>
      <c r="D903" s="52"/>
      <c r="E903" s="52"/>
      <c r="F903" s="52"/>
      <c r="G903" s="53"/>
      <c r="H903" s="20"/>
      <c r="I903" s="9">
        <v>3</v>
      </c>
      <c r="J903" s="9"/>
      <c r="K903" s="9"/>
      <c r="L903" s="9"/>
      <c r="M903" s="9">
        <f t="shared" ref="M903:M908" si="126">I903*O903</f>
        <v>6</v>
      </c>
      <c r="N903" s="9">
        <f t="shared" ref="N903:N908" si="127">I903*P903</f>
        <v>0</v>
      </c>
      <c r="O903" s="9">
        <v>2</v>
      </c>
      <c r="P903" s="9">
        <v>0</v>
      </c>
      <c r="Q903" s="9" t="s">
        <v>7</v>
      </c>
      <c r="R903" s="1">
        <v>0</v>
      </c>
      <c r="S903" s="26"/>
    </row>
    <row r="904" spans="1:19" ht="16.5" customHeight="1" x14ac:dyDescent="0.25">
      <c r="A904" s="9"/>
      <c r="B904" s="51" t="s">
        <v>81</v>
      </c>
      <c r="C904" s="52"/>
      <c r="D904" s="52"/>
      <c r="E904" s="52"/>
      <c r="F904" s="52"/>
      <c r="G904" s="53"/>
      <c r="H904" s="20"/>
      <c r="I904" s="9">
        <v>1</v>
      </c>
      <c r="J904" s="9"/>
      <c r="K904" s="9"/>
      <c r="L904" s="9"/>
      <c r="M904" s="9">
        <f t="shared" si="126"/>
        <v>7</v>
      </c>
      <c r="N904" s="9">
        <f t="shared" si="127"/>
        <v>3</v>
      </c>
      <c r="O904" s="9">
        <v>7</v>
      </c>
      <c r="P904" s="9">
        <v>3</v>
      </c>
      <c r="Q904" s="9" t="s">
        <v>6</v>
      </c>
      <c r="R904" s="1">
        <v>0</v>
      </c>
      <c r="S904" s="26"/>
    </row>
    <row r="905" spans="1:19" ht="16.5" customHeight="1" x14ac:dyDescent="0.25">
      <c r="A905" s="9"/>
      <c r="B905" s="51" t="s">
        <v>82</v>
      </c>
      <c r="C905" s="52"/>
      <c r="D905" s="52"/>
      <c r="E905" s="52"/>
      <c r="F905" s="52"/>
      <c r="G905" s="53"/>
      <c r="H905" s="20"/>
      <c r="I905" s="9">
        <v>3</v>
      </c>
      <c r="J905" s="9"/>
      <c r="K905" s="9"/>
      <c r="L905" s="9"/>
      <c r="M905" s="9">
        <f t="shared" si="126"/>
        <v>22.200000000000003</v>
      </c>
      <c r="N905" s="9">
        <f t="shared" si="127"/>
        <v>9</v>
      </c>
      <c r="O905" s="9">
        <v>7.4</v>
      </c>
      <c r="P905" s="9">
        <v>3</v>
      </c>
      <c r="Q905" s="9" t="s">
        <v>6</v>
      </c>
      <c r="R905" s="1">
        <v>0</v>
      </c>
      <c r="S905" s="26"/>
    </row>
    <row r="906" spans="1:19" ht="16.5" customHeight="1" x14ac:dyDescent="0.25">
      <c r="A906" s="9"/>
      <c r="B906" s="51" t="s">
        <v>83</v>
      </c>
      <c r="C906" s="52"/>
      <c r="D906" s="52"/>
      <c r="E906" s="52"/>
      <c r="F906" s="52"/>
      <c r="G906" s="53"/>
      <c r="H906" s="20"/>
      <c r="I906" s="9">
        <v>2</v>
      </c>
      <c r="J906" s="9"/>
      <c r="K906" s="9"/>
      <c r="L906" s="9"/>
      <c r="M906" s="9">
        <f t="shared" si="126"/>
        <v>13.8</v>
      </c>
      <c r="N906" s="9">
        <f t="shared" si="127"/>
        <v>5</v>
      </c>
      <c r="O906" s="9">
        <v>6.9</v>
      </c>
      <c r="P906" s="9">
        <v>2.5</v>
      </c>
      <c r="Q906" s="9" t="s">
        <v>5</v>
      </c>
      <c r="R906" s="1">
        <v>0</v>
      </c>
      <c r="S906" s="26"/>
    </row>
    <row r="907" spans="1:19" ht="16.5" customHeight="1" x14ac:dyDescent="0.25">
      <c r="A907" s="9"/>
      <c r="B907" s="51" t="s">
        <v>84</v>
      </c>
      <c r="C907" s="52"/>
      <c r="D907" s="52"/>
      <c r="E907" s="52"/>
      <c r="F907" s="52"/>
      <c r="G907" s="53"/>
      <c r="H907" s="20"/>
      <c r="I907" s="9">
        <v>2</v>
      </c>
      <c r="J907" s="9"/>
      <c r="K907" s="9"/>
      <c r="L907" s="9"/>
      <c r="M907" s="9">
        <f t="shared" si="126"/>
        <v>14.8</v>
      </c>
      <c r="N907" s="9">
        <f t="shared" si="127"/>
        <v>6</v>
      </c>
      <c r="O907" s="9">
        <v>7.4</v>
      </c>
      <c r="P907" s="9">
        <v>3</v>
      </c>
      <c r="Q907" s="9" t="s">
        <v>6</v>
      </c>
      <c r="R907" s="1">
        <v>0</v>
      </c>
      <c r="S907" s="26"/>
    </row>
    <row r="908" spans="1:19" ht="16.5" customHeight="1" x14ac:dyDescent="0.25">
      <c r="A908" s="9"/>
      <c r="B908" s="51" t="s">
        <v>85</v>
      </c>
      <c r="C908" s="52"/>
      <c r="D908" s="52"/>
      <c r="E908" s="52"/>
      <c r="F908" s="52"/>
      <c r="G908" s="53"/>
      <c r="H908" s="20"/>
      <c r="I908" s="9">
        <v>1</v>
      </c>
      <c r="J908" s="9"/>
      <c r="K908" s="9"/>
      <c r="L908" s="9"/>
      <c r="M908" s="9">
        <f t="shared" si="126"/>
        <v>7.5</v>
      </c>
      <c r="N908" s="9">
        <f t="shared" si="127"/>
        <v>3</v>
      </c>
      <c r="O908" s="9">
        <v>7.5</v>
      </c>
      <c r="P908" s="9">
        <v>3</v>
      </c>
      <c r="Q908" s="9" t="s">
        <v>6</v>
      </c>
      <c r="R908" s="1">
        <v>0</v>
      </c>
      <c r="S908" s="26"/>
    </row>
    <row r="909" spans="1:19" ht="15" customHeight="1" x14ac:dyDescent="0.25">
      <c r="A909" s="36" t="s">
        <v>0</v>
      </c>
      <c r="B909" s="29" t="s">
        <v>1</v>
      </c>
      <c r="C909" s="30"/>
      <c r="D909" s="30"/>
      <c r="E909" s="30"/>
      <c r="F909" s="30"/>
      <c r="G909" s="31"/>
      <c r="H909" s="36" t="s">
        <v>32</v>
      </c>
      <c r="I909" s="36" t="s">
        <v>39</v>
      </c>
      <c r="J909" s="55" t="s">
        <v>2</v>
      </c>
      <c r="K909" s="56"/>
      <c r="L909" s="56"/>
      <c r="M909" s="56"/>
      <c r="N909" s="56"/>
      <c r="O909" s="56"/>
      <c r="P909" s="56"/>
      <c r="Q909" s="57"/>
      <c r="S909" s="36" t="s">
        <v>38</v>
      </c>
    </row>
    <row r="910" spans="1:19" ht="24" customHeight="1" x14ac:dyDescent="0.25">
      <c r="A910" s="37"/>
      <c r="B910" s="32"/>
      <c r="C910" s="33"/>
      <c r="D910" s="33"/>
      <c r="E910" s="33"/>
      <c r="F910" s="33"/>
      <c r="G910" s="34"/>
      <c r="H910" s="37"/>
      <c r="I910" s="37"/>
      <c r="J910" s="7" t="s">
        <v>28</v>
      </c>
      <c r="K910" s="7" t="s">
        <v>29</v>
      </c>
      <c r="L910" s="7" t="s">
        <v>30</v>
      </c>
      <c r="M910" s="7"/>
      <c r="N910" s="7"/>
      <c r="O910" s="6" t="s">
        <v>35</v>
      </c>
      <c r="P910" s="6" t="s">
        <v>36</v>
      </c>
      <c r="Q910" s="6" t="s">
        <v>37</v>
      </c>
      <c r="S910" s="37"/>
    </row>
    <row r="911" spans="1:19" ht="16.5" customHeight="1" x14ac:dyDescent="0.25">
      <c r="A911" s="9"/>
      <c r="B911" s="51" t="s">
        <v>86</v>
      </c>
      <c r="C911" s="52"/>
      <c r="D911" s="52"/>
      <c r="E911" s="52"/>
      <c r="F911" s="52"/>
      <c r="G911" s="53"/>
      <c r="H911" s="20"/>
      <c r="I911" s="9">
        <v>2</v>
      </c>
      <c r="J911" s="9"/>
      <c r="K911" s="9"/>
      <c r="L911" s="9"/>
      <c r="M911" s="9">
        <f t="shared" ref="M911:M917" si="128">I911*O911</f>
        <v>13.2</v>
      </c>
      <c r="N911" s="9">
        <f t="shared" ref="N911:N917" si="129">I911*P911</f>
        <v>5</v>
      </c>
      <c r="O911" s="9">
        <v>6.6</v>
      </c>
      <c r="P911" s="9">
        <v>2.5</v>
      </c>
      <c r="Q911" s="9" t="s">
        <v>5</v>
      </c>
      <c r="R911" s="1">
        <v>0</v>
      </c>
      <c r="S911" s="26"/>
    </row>
    <row r="912" spans="1:19" ht="16.5" customHeight="1" x14ac:dyDescent="0.25">
      <c r="A912" s="9"/>
      <c r="B912" s="51" t="s">
        <v>87</v>
      </c>
      <c r="C912" s="52"/>
      <c r="D912" s="52"/>
      <c r="E912" s="52"/>
      <c r="F912" s="52"/>
      <c r="G912" s="53"/>
      <c r="H912" s="20"/>
      <c r="I912" s="9">
        <v>3</v>
      </c>
      <c r="J912" s="9"/>
      <c r="K912" s="9"/>
      <c r="L912" s="9"/>
      <c r="M912" s="9">
        <f t="shared" si="128"/>
        <v>23.1</v>
      </c>
      <c r="N912" s="9">
        <f t="shared" si="129"/>
        <v>9</v>
      </c>
      <c r="O912" s="9">
        <v>7.7</v>
      </c>
      <c r="P912" s="9">
        <v>3</v>
      </c>
      <c r="Q912" s="9" t="s">
        <v>6</v>
      </c>
      <c r="R912" s="1">
        <v>0</v>
      </c>
      <c r="S912" s="26"/>
    </row>
    <row r="913" spans="1:19" ht="16.5" customHeight="1" x14ac:dyDescent="0.25">
      <c r="A913" s="9"/>
      <c r="B913" s="51" t="s">
        <v>88</v>
      </c>
      <c r="C913" s="52"/>
      <c r="D913" s="52"/>
      <c r="E913" s="52"/>
      <c r="F913" s="52"/>
      <c r="G913" s="53"/>
      <c r="H913" s="20"/>
      <c r="I913" s="9">
        <v>4</v>
      </c>
      <c r="J913" s="9"/>
      <c r="K913" s="9"/>
      <c r="L913" s="9"/>
      <c r="M913" s="9">
        <f t="shared" si="128"/>
        <v>32</v>
      </c>
      <c r="N913" s="9">
        <f t="shared" si="129"/>
        <v>14</v>
      </c>
      <c r="O913" s="9">
        <v>8</v>
      </c>
      <c r="P913" s="9">
        <v>3.5</v>
      </c>
      <c r="Q913" s="9" t="s">
        <v>9</v>
      </c>
      <c r="R913" s="1">
        <v>0</v>
      </c>
      <c r="S913" s="26"/>
    </row>
    <row r="914" spans="1:19" ht="16.5" customHeight="1" x14ac:dyDescent="0.25">
      <c r="A914" s="9"/>
      <c r="B914" s="51" t="s">
        <v>89</v>
      </c>
      <c r="C914" s="52"/>
      <c r="D914" s="52"/>
      <c r="E914" s="52"/>
      <c r="F914" s="52"/>
      <c r="G914" s="53"/>
      <c r="H914" s="20"/>
      <c r="I914" s="9">
        <v>3</v>
      </c>
      <c r="J914" s="9"/>
      <c r="K914" s="9"/>
      <c r="L914" s="9"/>
      <c r="M914" s="9">
        <f t="shared" si="128"/>
        <v>27</v>
      </c>
      <c r="N914" s="9">
        <f t="shared" si="129"/>
        <v>12</v>
      </c>
      <c r="O914" s="9">
        <v>9</v>
      </c>
      <c r="P914" s="9">
        <v>4</v>
      </c>
      <c r="Q914" s="9" t="s">
        <v>12</v>
      </c>
      <c r="R914" s="1">
        <v>0</v>
      </c>
      <c r="S914" s="26"/>
    </row>
    <row r="915" spans="1:19" ht="16.5" customHeight="1" x14ac:dyDescent="0.25">
      <c r="A915" s="9"/>
      <c r="B915" s="51" t="s">
        <v>90</v>
      </c>
      <c r="C915" s="52"/>
      <c r="D915" s="52"/>
      <c r="E915" s="52"/>
      <c r="F915" s="52"/>
      <c r="G915" s="53"/>
      <c r="H915" s="20"/>
      <c r="I915" s="9">
        <v>2</v>
      </c>
      <c r="J915" s="9"/>
      <c r="K915" s="9"/>
      <c r="L915" s="9"/>
      <c r="M915" s="9">
        <f t="shared" si="128"/>
        <v>14.4</v>
      </c>
      <c r="N915" s="9">
        <f t="shared" si="129"/>
        <v>6</v>
      </c>
      <c r="O915" s="9">
        <v>7.2</v>
      </c>
      <c r="P915" s="9">
        <v>3</v>
      </c>
      <c r="Q915" s="9" t="s">
        <v>6</v>
      </c>
      <c r="R915" s="1">
        <v>0</v>
      </c>
      <c r="S915" s="26"/>
    </row>
    <row r="916" spans="1:19" ht="16.5" hidden="1" customHeight="1" x14ac:dyDescent="0.25">
      <c r="A916" s="21"/>
      <c r="H916" s="21"/>
      <c r="I916" s="21"/>
      <c r="J916" s="21"/>
      <c r="K916" s="21"/>
      <c r="L916" s="21"/>
      <c r="M916" s="9">
        <f t="shared" si="128"/>
        <v>0</v>
      </c>
      <c r="N916" s="9">
        <f t="shared" si="129"/>
        <v>0</v>
      </c>
      <c r="O916" s="21"/>
      <c r="P916" s="21"/>
      <c r="Q916" s="21"/>
      <c r="S916" s="25"/>
    </row>
    <row r="917" spans="1:19" ht="16.5" customHeight="1" x14ac:dyDescent="0.25">
      <c r="A917" s="9"/>
      <c r="B917" s="39" t="s">
        <v>42</v>
      </c>
      <c r="C917" s="40"/>
      <c r="D917" s="40"/>
      <c r="E917" s="40"/>
      <c r="F917" s="40"/>
      <c r="G917" s="41"/>
      <c r="H917" s="23"/>
      <c r="I917" s="24">
        <f>SUM(I903:I916)</f>
        <v>26</v>
      </c>
      <c r="J917" s="9"/>
      <c r="K917" s="9"/>
      <c r="L917" s="9"/>
      <c r="M917" s="9">
        <f t="shared" si="128"/>
        <v>180.96</v>
      </c>
      <c r="N917" s="9">
        <f t="shared" si="129"/>
        <v>72.02</v>
      </c>
      <c r="O917" s="24">
        <f>ROUND(SUM(M903:M916)/I917,2)</f>
        <v>6.96</v>
      </c>
      <c r="P917" s="24">
        <f>ROUND(SUM(N903:N916)/I917,2)</f>
        <v>2.77</v>
      </c>
      <c r="Q917" s="9"/>
      <c r="S917" s="25"/>
    </row>
    <row r="918" spans="1:19" ht="20.25" customHeight="1" x14ac:dyDescent="0.25">
      <c r="A918" s="27" t="s">
        <v>173</v>
      </c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</row>
    <row r="919" spans="1:19" ht="16.5" customHeight="1" x14ac:dyDescent="0.25">
      <c r="A919" s="9"/>
      <c r="B919" s="51" t="s">
        <v>80</v>
      </c>
      <c r="C919" s="52"/>
      <c r="D919" s="52"/>
      <c r="E919" s="52"/>
      <c r="F919" s="52"/>
      <c r="G919" s="53"/>
      <c r="H919" s="20"/>
      <c r="I919" s="9">
        <v>3</v>
      </c>
      <c r="J919" s="9"/>
      <c r="K919" s="9"/>
      <c r="L919" s="9"/>
      <c r="M919" s="9">
        <f>I919*O919</f>
        <v>17.100000000000001</v>
      </c>
      <c r="N919" s="9">
        <f>I919*P919</f>
        <v>6</v>
      </c>
      <c r="O919" s="9">
        <v>5.7</v>
      </c>
      <c r="P919" s="9">
        <v>2</v>
      </c>
      <c r="Q919" s="9" t="s">
        <v>3</v>
      </c>
      <c r="R919" s="1">
        <v>6</v>
      </c>
      <c r="S919" s="26" t="s">
        <v>134</v>
      </c>
    </row>
    <row r="920" spans="1:19" ht="16.5" hidden="1" customHeight="1" x14ac:dyDescent="0.25">
      <c r="A920" s="21"/>
      <c r="H920" s="21"/>
      <c r="I920" s="21"/>
      <c r="J920" s="21"/>
      <c r="K920" s="21"/>
      <c r="L920" s="21"/>
      <c r="M920" s="9">
        <f>I920*O920</f>
        <v>0</v>
      </c>
      <c r="N920" s="9">
        <f>I920*P920</f>
        <v>0</v>
      </c>
      <c r="O920" s="21"/>
      <c r="P920" s="21"/>
      <c r="Q920" s="21"/>
      <c r="S920" s="25"/>
    </row>
    <row r="921" spans="1:19" ht="16.5" customHeight="1" x14ac:dyDescent="0.25">
      <c r="A921" s="9"/>
      <c r="B921" s="39" t="s">
        <v>42</v>
      </c>
      <c r="C921" s="40"/>
      <c r="D921" s="40"/>
      <c r="E921" s="40"/>
      <c r="F921" s="40"/>
      <c r="G921" s="41"/>
      <c r="H921" s="23"/>
      <c r="I921" s="24">
        <f>SUM(I919:I920)</f>
        <v>3</v>
      </c>
      <c r="J921" s="9"/>
      <c r="K921" s="9"/>
      <c r="L921" s="9"/>
      <c r="M921" s="9">
        <f>I921*O921</f>
        <v>17.100000000000001</v>
      </c>
      <c r="N921" s="9">
        <f>I921*P921</f>
        <v>6</v>
      </c>
      <c r="O921" s="24">
        <f>ROUND(SUM(M919:M920)/I921,2)</f>
        <v>5.7</v>
      </c>
      <c r="P921" s="24">
        <f>ROUND(SUM(N919:N920)/I921,2)</f>
        <v>2</v>
      </c>
      <c r="Q921" s="9"/>
      <c r="S921" s="25"/>
    </row>
    <row r="922" spans="1:19" ht="20.25" customHeight="1" x14ac:dyDescent="0.25">
      <c r="A922" s="27" t="s">
        <v>91</v>
      </c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</row>
    <row r="923" spans="1:19" ht="16.5" customHeight="1" x14ac:dyDescent="0.25">
      <c r="A923" s="9"/>
      <c r="B923" s="51" t="s">
        <v>99</v>
      </c>
      <c r="C923" s="52"/>
      <c r="D923" s="52"/>
      <c r="E923" s="52"/>
      <c r="F923" s="52"/>
      <c r="G923" s="53"/>
      <c r="H923" s="20"/>
      <c r="I923" s="9">
        <v>2</v>
      </c>
      <c r="J923" s="9"/>
      <c r="K923" s="9"/>
      <c r="L923" s="9"/>
      <c r="M923" s="9">
        <f t="shared" ref="M923:M934" si="130">I923*O923</f>
        <v>16.399999999999999</v>
      </c>
      <c r="N923" s="9">
        <f t="shared" ref="N923:N934" si="131">I923*P923</f>
        <v>7</v>
      </c>
      <c r="O923" s="9">
        <v>8.1999999999999993</v>
      </c>
      <c r="P923" s="9">
        <v>3.5</v>
      </c>
      <c r="Q923" s="9" t="s">
        <v>9</v>
      </c>
      <c r="R923" s="1">
        <v>0</v>
      </c>
      <c r="S923" s="26"/>
    </row>
    <row r="924" spans="1:19" ht="16.5" customHeight="1" x14ac:dyDescent="0.25">
      <c r="A924" s="9"/>
      <c r="B924" s="51" t="s">
        <v>94</v>
      </c>
      <c r="C924" s="52"/>
      <c r="D924" s="52"/>
      <c r="E924" s="52"/>
      <c r="F924" s="52"/>
      <c r="G924" s="53"/>
      <c r="H924" s="20"/>
      <c r="I924" s="9">
        <v>3</v>
      </c>
      <c r="J924" s="9"/>
      <c r="K924" s="9"/>
      <c r="L924" s="9"/>
      <c r="M924" s="9">
        <f t="shared" si="130"/>
        <v>19.799999999999997</v>
      </c>
      <c r="N924" s="9">
        <f t="shared" si="131"/>
        <v>7.5</v>
      </c>
      <c r="O924" s="9">
        <v>6.6</v>
      </c>
      <c r="P924" s="9">
        <v>2.5</v>
      </c>
      <c r="Q924" s="9" t="s">
        <v>5</v>
      </c>
      <c r="R924" s="1">
        <v>0</v>
      </c>
      <c r="S924" s="26"/>
    </row>
    <row r="925" spans="1:19" ht="16.5" customHeight="1" x14ac:dyDescent="0.25">
      <c r="A925" s="9"/>
      <c r="B925" s="51" t="s">
        <v>95</v>
      </c>
      <c r="C925" s="52"/>
      <c r="D925" s="52"/>
      <c r="E925" s="52"/>
      <c r="F925" s="52"/>
      <c r="G925" s="53"/>
      <c r="H925" s="20"/>
      <c r="I925" s="9">
        <v>1</v>
      </c>
      <c r="J925" s="9"/>
      <c r="K925" s="9"/>
      <c r="L925" s="9"/>
      <c r="M925" s="9">
        <f t="shared" si="130"/>
        <v>8.4</v>
      </c>
      <c r="N925" s="9">
        <f t="shared" si="131"/>
        <v>3.5</v>
      </c>
      <c r="O925" s="9">
        <v>8.4</v>
      </c>
      <c r="P925" s="9">
        <v>3.5</v>
      </c>
      <c r="Q925" s="9" t="s">
        <v>9</v>
      </c>
      <c r="R925" s="1">
        <v>0</v>
      </c>
      <c r="S925" s="26"/>
    </row>
    <row r="926" spans="1:19" ht="16.5" customHeight="1" x14ac:dyDescent="0.25">
      <c r="A926" s="9"/>
      <c r="B926" s="51" t="s">
        <v>92</v>
      </c>
      <c r="C926" s="52"/>
      <c r="D926" s="52"/>
      <c r="E926" s="52"/>
      <c r="F926" s="52"/>
      <c r="G926" s="53"/>
      <c r="H926" s="20"/>
      <c r="I926" s="9">
        <v>1</v>
      </c>
      <c r="J926" s="9"/>
      <c r="K926" s="9"/>
      <c r="L926" s="9"/>
      <c r="M926" s="9">
        <f t="shared" si="130"/>
        <v>7.9</v>
      </c>
      <c r="N926" s="9">
        <f t="shared" si="131"/>
        <v>3</v>
      </c>
      <c r="O926" s="9">
        <v>7.9</v>
      </c>
      <c r="P926" s="9">
        <v>3</v>
      </c>
      <c r="Q926" s="9" t="s">
        <v>6</v>
      </c>
      <c r="R926" s="1">
        <v>0</v>
      </c>
      <c r="S926" s="26"/>
    </row>
    <row r="927" spans="1:19" ht="16.5" customHeight="1" x14ac:dyDescent="0.25">
      <c r="A927" s="9"/>
      <c r="B927" s="51" t="s">
        <v>101</v>
      </c>
      <c r="C927" s="52"/>
      <c r="D927" s="52"/>
      <c r="E927" s="52"/>
      <c r="F927" s="52"/>
      <c r="G927" s="53"/>
      <c r="H927" s="20"/>
      <c r="I927" s="9">
        <v>4</v>
      </c>
      <c r="J927" s="9"/>
      <c r="K927" s="9"/>
      <c r="L927" s="9"/>
      <c r="M927" s="9">
        <f t="shared" si="130"/>
        <v>29.2</v>
      </c>
      <c r="N927" s="9">
        <f t="shared" si="131"/>
        <v>12</v>
      </c>
      <c r="O927" s="9">
        <v>7.3</v>
      </c>
      <c r="P927" s="9">
        <v>3</v>
      </c>
      <c r="Q927" s="9" t="s">
        <v>6</v>
      </c>
      <c r="R927" s="1">
        <v>0</v>
      </c>
      <c r="S927" s="26"/>
    </row>
    <row r="928" spans="1:19" ht="16.5" customHeight="1" x14ac:dyDescent="0.25">
      <c r="A928" s="9"/>
      <c r="B928" s="51" t="s">
        <v>96</v>
      </c>
      <c r="C928" s="52"/>
      <c r="D928" s="52"/>
      <c r="E928" s="52"/>
      <c r="F928" s="52"/>
      <c r="G928" s="53"/>
      <c r="H928" s="20"/>
      <c r="I928" s="9">
        <v>1</v>
      </c>
      <c r="J928" s="9"/>
      <c r="K928" s="9"/>
      <c r="L928" s="9"/>
      <c r="M928" s="9">
        <f t="shared" si="130"/>
        <v>8.6</v>
      </c>
      <c r="N928" s="9">
        <f t="shared" si="131"/>
        <v>3.7</v>
      </c>
      <c r="O928" s="9">
        <v>8.6</v>
      </c>
      <c r="P928" s="9">
        <v>3.7</v>
      </c>
      <c r="Q928" s="9" t="s">
        <v>10</v>
      </c>
      <c r="R928" s="1">
        <v>0</v>
      </c>
      <c r="S928" s="26"/>
    </row>
    <row r="929" spans="1:19" ht="16.5" customHeight="1" x14ac:dyDescent="0.25">
      <c r="A929" s="9"/>
      <c r="B929" s="51" t="s">
        <v>98</v>
      </c>
      <c r="C929" s="52"/>
      <c r="D929" s="52"/>
      <c r="E929" s="52"/>
      <c r="F929" s="52"/>
      <c r="G929" s="53"/>
      <c r="H929" s="20"/>
      <c r="I929" s="9">
        <v>2</v>
      </c>
      <c r="J929" s="9"/>
      <c r="K929" s="9"/>
      <c r="L929" s="9"/>
      <c r="M929" s="9">
        <f t="shared" si="130"/>
        <v>16.8</v>
      </c>
      <c r="N929" s="9">
        <f t="shared" si="131"/>
        <v>7</v>
      </c>
      <c r="O929" s="9">
        <v>8.4</v>
      </c>
      <c r="P929" s="9">
        <v>3.5</v>
      </c>
      <c r="Q929" s="9" t="s">
        <v>9</v>
      </c>
      <c r="R929" s="1">
        <v>0</v>
      </c>
      <c r="S929" s="26"/>
    </row>
    <row r="930" spans="1:19" ht="16.5" customHeight="1" x14ac:dyDescent="0.25">
      <c r="A930" s="9"/>
      <c r="B930" s="51" t="s">
        <v>93</v>
      </c>
      <c r="C930" s="52"/>
      <c r="D930" s="52"/>
      <c r="E930" s="52"/>
      <c r="F930" s="52"/>
      <c r="G930" s="53"/>
      <c r="H930" s="20"/>
      <c r="I930" s="9">
        <v>3</v>
      </c>
      <c r="J930" s="9"/>
      <c r="K930" s="9"/>
      <c r="L930" s="9"/>
      <c r="M930" s="9">
        <f t="shared" si="130"/>
        <v>22.5</v>
      </c>
      <c r="N930" s="9">
        <f t="shared" si="131"/>
        <v>9</v>
      </c>
      <c r="O930" s="9">
        <v>7.5</v>
      </c>
      <c r="P930" s="9">
        <v>3</v>
      </c>
      <c r="Q930" s="9" t="s">
        <v>6</v>
      </c>
      <c r="R930" s="1">
        <v>0</v>
      </c>
      <c r="S930" s="26"/>
    </row>
    <row r="931" spans="1:19" ht="16.5" customHeight="1" x14ac:dyDescent="0.25">
      <c r="A931" s="9"/>
      <c r="B931" s="51" t="s">
        <v>100</v>
      </c>
      <c r="C931" s="52"/>
      <c r="D931" s="52"/>
      <c r="E931" s="52"/>
      <c r="F931" s="52"/>
      <c r="G931" s="53"/>
      <c r="H931" s="20"/>
      <c r="I931" s="9">
        <v>2</v>
      </c>
      <c r="J931" s="9"/>
      <c r="K931" s="9"/>
      <c r="L931" s="9"/>
      <c r="M931" s="9">
        <f t="shared" si="130"/>
        <v>14.8</v>
      </c>
      <c r="N931" s="9">
        <f t="shared" si="131"/>
        <v>6</v>
      </c>
      <c r="O931" s="9">
        <v>7.4</v>
      </c>
      <c r="P931" s="9">
        <v>3</v>
      </c>
      <c r="Q931" s="9" t="s">
        <v>6</v>
      </c>
      <c r="R931" s="1">
        <v>0</v>
      </c>
      <c r="S931" s="26"/>
    </row>
    <row r="932" spans="1:19" ht="16.5" customHeight="1" x14ac:dyDescent="0.25">
      <c r="A932" s="9"/>
      <c r="B932" s="51" t="s">
        <v>97</v>
      </c>
      <c r="C932" s="52"/>
      <c r="D932" s="52"/>
      <c r="E932" s="52"/>
      <c r="F932" s="52"/>
      <c r="G932" s="53"/>
      <c r="H932" s="20"/>
      <c r="I932" s="9">
        <v>2</v>
      </c>
      <c r="J932" s="9"/>
      <c r="K932" s="9"/>
      <c r="L932" s="9"/>
      <c r="M932" s="9">
        <f t="shared" si="130"/>
        <v>14.4</v>
      </c>
      <c r="N932" s="9">
        <f t="shared" si="131"/>
        <v>6</v>
      </c>
      <c r="O932" s="9">
        <v>7.2</v>
      </c>
      <c r="P932" s="9">
        <v>3</v>
      </c>
      <c r="Q932" s="9" t="s">
        <v>6</v>
      </c>
      <c r="R932" s="1">
        <v>0</v>
      </c>
      <c r="S932" s="26"/>
    </row>
    <row r="933" spans="1:19" ht="16.5" hidden="1" customHeight="1" x14ac:dyDescent="0.25">
      <c r="A933" s="21"/>
      <c r="H933" s="21"/>
      <c r="I933" s="21"/>
      <c r="J933" s="21"/>
      <c r="K933" s="21"/>
      <c r="L933" s="21"/>
      <c r="M933" s="9">
        <f t="shared" si="130"/>
        <v>0</v>
      </c>
      <c r="N933" s="9">
        <f t="shared" si="131"/>
        <v>0</v>
      </c>
      <c r="O933" s="21"/>
      <c r="P933" s="21"/>
      <c r="Q933" s="21"/>
      <c r="S933" s="25"/>
    </row>
    <row r="934" spans="1:19" ht="16.5" customHeight="1" x14ac:dyDescent="0.25">
      <c r="A934" s="9"/>
      <c r="B934" s="39" t="s">
        <v>42</v>
      </c>
      <c r="C934" s="40"/>
      <c r="D934" s="40"/>
      <c r="E934" s="40"/>
      <c r="F934" s="40"/>
      <c r="G934" s="41"/>
      <c r="H934" s="23"/>
      <c r="I934" s="24">
        <f>SUM(I923:I933)</f>
        <v>21</v>
      </c>
      <c r="J934" s="9"/>
      <c r="K934" s="9"/>
      <c r="L934" s="9"/>
      <c r="M934" s="9">
        <f t="shared" si="130"/>
        <v>158.76</v>
      </c>
      <c r="N934" s="9">
        <f t="shared" si="131"/>
        <v>64.680000000000007</v>
      </c>
      <c r="O934" s="24">
        <f>ROUND(SUM(M923:M933)/I934,2)</f>
        <v>7.56</v>
      </c>
      <c r="P934" s="24">
        <f>ROUND(SUM(N923:N933)/I934,2)</f>
        <v>3.08</v>
      </c>
      <c r="Q934" s="9"/>
      <c r="S934" s="25"/>
    </row>
    <row r="935" spans="1:19" ht="20.25" customHeight="1" x14ac:dyDescent="0.25">
      <c r="A935" s="27" t="s">
        <v>102</v>
      </c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</row>
    <row r="936" spans="1:19" ht="16.5" customHeight="1" x14ac:dyDescent="0.25">
      <c r="A936" s="9"/>
      <c r="B936" s="51" t="s">
        <v>103</v>
      </c>
      <c r="C936" s="52"/>
      <c r="D936" s="52"/>
      <c r="E936" s="52"/>
      <c r="F936" s="52"/>
      <c r="G936" s="53"/>
      <c r="H936" s="20"/>
      <c r="I936" s="9">
        <v>1</v>
      </c>
      <c r="J936" s="9"/>
      <c r="K936" s="9"/>
      <c r="L936" s="9"/>
      <c r="M936" s="9">
        <f t="shared" ref="M936:M947" si="132">I936*O936</f>
        <v>7.9</v>
      </c>
      <c r="N936" s="9">
        <f t="shared" ref="N936:N947" si="133">I936*P936</f>
        <v>3</v>
      </c>
      <c r="O936" s="9">
        <v>7.9</v>
      </c>
      <c r="P936" s="9">
        <v>3</v>
      </c>
      <c r="Q936" s="9" t="s">
        <v>6</v>
      </c>
      <c r="R936" s="1">
        <v>0</v>
      </c>
      <c r="S936" s="26"/>
    </row>
    <row r="937" spans="1:19" ht="16.5" customHeight="1" x14ac:dyDescent="0.25">
      <c r="A937" s="9"/>
      <c r="B937" s="51" t="s">
        <v>104</v>
      </c>
      <c r="C937" s="52"/>
      <c r="D937" s="52"/>
      <c r="E937" s="52"/>
      <c r="F937" s="52"/>
      <c r="G937" s="53"/>
      <c r="H937" s="20"/>
      <c r="I937" s="9">
        <v>3</v>
      </c>
      <c r="J937" s="9"/>
      <c r="K937" s="9"/>
      <c r="L937" s="9"/>
      <c r="M937" s="9">
        <f t="shared" si="132"/>
        <v>16.5</v>
      </c>
      <c r="N937" s="9">
        <f t="shared" si="133"/>
        <v>6</v>
      </c>
      <c r="O937" s="9">
        <v>5.5</v>
      </c>
      <c r="P937" s="9">
        <v>2</v>
      </c>
      <c r="Q937" s="9" t="s">
        <v>3</v>
      </c>
      <c r="R937" s="1">
        <v>0</v>
      </c>
      <c r="S937" s="26"/>
    </row>
    <row r="938" spans="1:19" ht="16.5" customHeight="1" x14ac:dyDescent="0.25">
      <c r="A938" s="9"/>
      <c r="B938" s="51" t="s">
        <v>105</v>
      </c>
      <c r="C938" s="52"/>
      <c r="D938" s="52"/>
      <c r="E938" s="52"/>
      <c r="F938" s="52"/>
      <c r="G938" s="53"/>
      <c r="H938" s="20"/>
      <c r="I938" s="9">
        <v>3</v>
      </c>
      <c r="J938" s="9"/>
      <c r="K938" s="9"/>
      <c r="L938" s="9"/>
      <c r="M938" s="9">
        <f t="shared" si="132"/>
        <v>24.299999999999997</v>
      </c>
      <c r="N938" s="9">
        <f t="shared" si="133"/>
        <v>10.5</v>
      </c>
      <c r="O938" s="9">
        <v>8.1</v>
      </c>
      <c r="P938" s="9">
        <v>3.5</v>
      </c>
      <c r="Q938" s="9" t="s">
        <v>9</v>
      </c>
      <c r="R938" s="1">
        <v>0</v>
      </c>
      <c r="S938" s="26"/>
    </row>
    <row r="939" spans="1:19" ht="16.5" customHeight="1" x14ac:dyDescent="0.25">
      <c r="A939" s="9"/>
      <c r="B939" s="51" t="s">
        <v>106</v>
      </c>
      <c r="C939" s="52"/>
      <c r="D939" s="52"/>
      <c r="E939" s="52"/>
      <c r="F939" s="52"/>
      <c r="G939" s="53"/>
      <c r="H939" s="20"/>
      <c r="I939" s="9">
        <v>3</v>
      </c>
      <c r="J939" s="9"/>
      <c r="K939" s="9"/>
      <c r="L939" s="9"/>
      <c r="M939" s="9">
        <f t="shared" si="132"/>
        <v>22.799999999999997</v>
      </c>
      <c r="N939" s="9">
        <f t="shared" si="133"/>
        <v>9</v>
      </c>
      <c r="O939" s="9">
        <v>7.6</v>
      </c>
      <c r="P939" s="9">
        <v>3</v>
      </c>
      <c r="Q939" s="9" t="s">
        <v>6</v>
      </c>
      <c r="R939" s="1">
        <v>0</v>
      </c>
      <c r="S939" s="26"/>
    </row>
    <row r="940" spans="1:19" ht="16.5" customHeight="1" x14ac:dyDescent="0.25">
      <c r="A940" s="9"/>
      <c r="B940" s="51" t="s">
        <v>107</v>
      </c>
      <c r="C940" s="52"/>
      <c r="D940" s="52"/>
      <c r="E940" s="52"/>
      <c r="F940" s="52"/>
      <c r="G940" s="53"/>
      <c r="H940" s="20"/>
      <c r="I940" s="9">
        <v>2</v>
      </c>
      <c r="J940" s="9"/>
      <c r="K940" s="9"/>
      <c r="L940" s="9"/>
      <c r="M940" s="9">
        <f t="shared" si="132"/>
        <v>15.2</v>
      </c>
      <c r="N940" s="9">
        <f t="shared" si="133"/>
        <v>6</v>
      </c>
      <c r="O940" s="9">
        <v>7.6</v>
      </c>
      <c r="P940" s="9">
        <v>3</v>
      </c>
      <c r="Q940" s="9" t="s">
        <v>6</v>
      </c>
      <c r="R940" s="1">
        <v>0</v>
      </c>
      <c r="S940" s="26"/>
    </row>
    <row r="941" spans="1:19" ht="16.5" customHeight="1" x14ac:dyDescent="0.25">
      <c r="A941" s="9"/>
      <c r="B941" s="51" t="s">
        <v>108</v>
      </c>
      <c r="C941" s="52"/>
      <c r="D941" s="52"/>
      <c r="E941" s="52"/>
      <c r="F941" s="52"/>
      <c r="G941" s="53"/>
      <c r="H941" s="20"/>
      <c r="I941" s="9">
        <v>2</v>
      </c>
      <c r="J941" s="9"/>
      <c r="K941" s="9"/>
      <c r="L941" s="9"/>
      <c r="M941" s="9">
        <f t="shared" si="132"/>
        <v>15.8</v>
      </c>
      <c r="N941" s="9">
        <f t="shared" si="133"/>
        <v>6</v>
      </c>
      <c r="O941" s="9">
        <v>7.9</v>
      </c>
      <c r="P941" s="9">
        <v>3</v>
      </c>
      <c r="Q941" s="9" t="s">
        <v>6</v>
      </c>
      <c r="R941" s="1">
        <v>0</v>
      </c>
      <c r="S941" s="26"/>
    </row>
    <row r="942" spans="1:19" ht="16.5" customHeight="1" x14ac:dyDescent="0.25">
      <c r="A942" s="9"/>
      <c r="B942" s="51" t="s">
        <v>109</v>
      </c>
      <c r="C942" s="52"/>
      <c r="D942" s="52"/>
      <c r="E942" s="52"/>
      <c r="F942" s="52"/>
      <c r="G942" s="53"/>
      <c r="H942" s="20"/>
      <c r="I942" s="9">
        <v>2</v>
      </c>
      <c r="J942" s="9"/>
      <c r="K942" s="9"/>
      <c r="L942" s="9"/>
      <c r="M942" s="9">
        <f t="shared" si="132"/>
        <v>13.6</v>
      </c>
      <c r="N942" s="9">
        <f t="shared" si="133"/>
        <v>5</v>
      </c>
      <c r="O942" s="9">
        <v>6.8</v>
      </c>
      <c r="P942" s="9">
        <v>2.5</v>
      </c>
      <c r="Q942" s="9" t="s">
        <v>5</v>
      </c>
      <c r="R942" s="1">
        <v>0</v>
      </c>
      <c r="S942" s="26"/>
    </row>
    <row r="943" spans="1:19" ht="16.5" customHeight="1" x14ac:dyDescent="0.25">
      <c r="A943" s="9"/>
      <c r="B943" s="51" t="s">
        <v>110</v>
      </c>
      <c r="C943" s="52"/>
      <c r="D943" s="52"/>
      <c r="E943" s="52"/>
      <c r="F943" s="52"/>
      <c r="G943" s="53"/>
      <c r="H943" s="20"/>
      <c r="I943" s="9">
        <v>4</v>
      </c>
      <c r="J943" s="9"/>
      <c r="K943" s="9"/>
      <c r="L943" s="9"/>
      <c r="M943" s="9">
        <f t="shared" si="132"/>
        <v>26.4</v>
      </c>
      <c r="N943" s="9">
        <f t="shared" si="133"/>
        <v>10</v>
      </c>
      <c r="O943" s="9">
        <v>6.6</v>
      </c>
      <c r="P943" s="9">
        <v>2.5</v>
      </c>
      <c r="Q943" s="9" t="s">
        <v>5</v>
      </c>
      <c r="R943" s="1">
        <v>0</v>
      </c>
      <c r="S943" s="26"/>
    </row>
    <row r="944" spans="1:19" ht="16.5" customHeight="1" x14ac:dyDescent="0.25">
      <c r="A944" s="9"/>
      <c r="B944" s="51" t="s">
        <v>111</v>
      </c>
      <c r="C944" s="52"/>
      <c r="D944" s="52"/>
      <c r="E944" s="52"/>
      <c r="F944" s="52"/>
      <c r="G944" s="53"/>
      <c r="H944" s="20"/>
      <c r="I944" s="9">
        <v>2</v>
      </c>
      <c r="J944" s="9"/>
      <c r="K944" s="9"/>
      <c r="L944" s="9"/>
      <c r="M944" s="9">
        <f t="shared" si="132"/>
        <v>17.2</v>
      </c>
      <c r="N944" s="9">
        <f t="shared" si="133"/>
        <v>7.4</v>
      </c>
      <c r="O944" s="9">
        <v>8.6</v>
      </c>
      <c r="P944" s="9">
        <v>3.7</v>
      </c>
      <c r="Q944" s="9" t="s">
        <v>10</v>
      </c>
      <c r="R944" s="1">
        <v>0</v>
      </c>
      <c r="S944" s="26"/>
    </row>
    <row r="945" spans="1:19" ht="16.5" customHeight="1" x14ac:dyDescent="0.25">
      <c r="A945" s="9"/>
      <c r="B945" s="51" t="s">
        <v>112</v>
      </c>
      <c r="C945" s="52"/>
      <c r="D945" s="52"/>
      <c r="E945" s="52"/>
      <c r="F945" s="52"/>
      <c r="G945" s="53"/>
      <c r="H945" s="20"/>
      <c r="I945" s="9">
        <v>3</v>
      </c>
      <c r="J945" s="9"/>
      <c r="K945" s="9"/>
      <c r="L945" s="9"/>
      <c r="M945" s="9">
        <f t="shared" si="132"/>
        <v>24.299999999999997</v>
      </c>
      <c r="N945" s="9">
        <f t="shared" si="133"/>
        <v>10.5</v>
      </c>
      <c r="O945" s="9">
        <v>8.1</v>
      </c>
      <c r="P945" s="9">
        <v>3.5</v>
      </c>
      <c r="Q945" s="9" t="s">
        <v>9</v>
      </c>
      <c r="R945" s="1">
        <v>0</v>
      </c>
      <c r="S945" s="26"/>
    </row>
    <row r="946" spans="1:19" ht="16.5" hidden="1" customHeight="1" x14ac:dyDescent="0.25">
      <c r="A946" s="21"/>
      <c r="H946" s="21"/>
      <c r="I946" s="21"/>
      <c r="J946" s="21"/>
      <c r="K946" s="21"/>
      <c r="L946" s="21"/>
      <c r="M946" s="9">
        <f t="shared" si="132"/>
        <v>0</v>
      </c>
      <c r="N946" s="9">
        <f t="shared" si="133"/>
        <v>0</v>
      </c>
      <c r="O946" s="21"/>
      <c r="P946" s="21"/>
      <c r="Q946" s="21"/>
      <c r="S946" s="25"/>
    </row>
    <row r="947" spans="1:19" ht="16.5" customHeight="1" x14ac:dyDescent="0.25">
      <c r="A947" s="9"/>
      <c r="B947" s="39" t="s">
        <v>42</v>
      </c>
      <c r="C947" s="40"/>
      <c r="D947" s="40"/>
      <c r="E947" s="40"/>
      <c r="F947" s="40"/>
      <c r="G947" s="41"/>
      <c r="H947" s="23"/>
      <c r="I947" s="24">
        <f>SUM(I936:I946)</f>
        <v>25</v>
      </c>
      <c r="J947" s="9"/>
      <c r="K947" s="9"/>
      <c r="L947" s="9"/>
      <c r="M947" s="9">
        <f t="shared" si="132"/>
        <v>184</v>
      </c>
      <c r="N947" s="9">
        <f t="shared" si="133"/>
        <v>73.5</v>
      </c>
      <c r="O947" s="24">
        <f>ROUND(SUM(M936:M946)/I947,2)</f>
        <v>7.36</v>
      </c>
      <c r="P947" s="24">
        <f>ROUND(SUM(N936:N946)/I947,2)</f>
        <v>2.94</v>
      </c>
      <c r="Q947" s="9"/>
      <c r="S947" s="25"/>
    </row>
    <row r="948" spans="1:19" ht="20.25" customHeight="1" x14ac:dyDescent="0.25">
      <c r="A948" s="27" t="s">
        <v>113</v>
      </c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</row>
    <row r="949" spans="1:19" ht="16.5" customHeight="1" x14ac:dyDescent="0.25">
      <c r="A949" s="9"/>
      <c r="B949" s="51" t="s">
        <v>114</v>
      </c>
      <c r="C949" s="52"/>
      <c r="D949" s="52"/>
      <c r="E949" s="52"/>
      <c r="F949" s="52"/>
      <c r="G949" s="53"/>
      <c r="H949" s="20"/>
      <c r="I949" s="9">
        <v>3</v>
      </c>
      <c r="J949" s="9"/>
      <c r="K949" s="9"/>
      <c r="L949" s="9"/>
      <c r="M949" s="9">
        <f t="shared" ref="M949:M957" si="134">I949*O949</f>
        <v>0</v>
      </c>
      <c r="N949" s="9">
        <f t="shared" ref="N949:N957" si="135">I949*P949</f>
        <v>0</v>
      </c>
      <c r="O949" s="9"/>
      <c r="P949" s="9"/>
      <c r="Q949" s="9"/>
      <c r="R949" s="1">
        <v>0</v>
      </c>
      <c r="S949" s="26"/>
    </row>
    <row r="950" spans="1:19" ht="16.5" customHeight="1" x14ac:dyDescent="0.25">
      <c r="A950" s="9"/>
      <c r="B950" s="51" t="s">
        <v>115</v>
      </c>
      <c r="C950" s="52"/>
      <c r="D950" s="52"/>
      <c r="E950" s="52"/>
      <c r="F950" s="52"/>
      <c r="G950" s="53"/>
      <c r="H950" s="20"/>
      <c r="I950" s="9">
        <v>3</v>
      </c>
      <c r="J950" s="9"/>
      <c r="K950" s="9"/>
      <c r="L950" s="9"/>
      <c r="M950" s="9">
        <f t="shared" si="134"/>
        <v>0</v>
      </c>
      <c r="N950" s="9">
        <f t="shared" si="135"/>
        <v>0</v>
      </c>
      <c r="O950" s="9"/>
      <c r="P950" s="9"/>
      <c r="Q950" s="9"/>
      <c r="R950" s="1">
        <v>0</v>
      </c>
      <c r="S950" s="26"/>
    </row>
    <row r="951" spans="1:19" ht="16.5" customHeight="1" x14ac:dyDescent="0.25">
      <c r="A951" s="9"/>
      <c r="B951" s="51" t="s">
        <v>116</v>
      </c>
      <c r="C951" s="52"/>
      <c r="D951" s="52"/>
      <c r="E951" s="52"/>
      <c r="F951" s="52"/>
      <c r="G951" s="53"/>
      <c r="H951" s="20"/>
      <c r="I951" s="9">
        <v>3</v>
      </c>
      <c r="J951" s="9"/>
      <c r="K951" s="9"/>
      <c r="L951" s="9"/>
      <c r="M951" s="9">
        <f t="shared" si="134"/>
        <v>0</v>
      </c>
      <c r="N951" s="9">
        <f t="shared" si="135"/>
        <v>0</v>
      </c>
      <c r="O951" s="9"/>
      <c r="P951" s="9"/>
      <c r="Q951" s="9"/>
      <c r="R951" s="1">
        <v>0</v>
      </c>
      <c r="S951" s="26"/>
    </row>
    <row r="952" spans="1:19" ht="16.5" customHeight="1" x14ac:dyDescent="0.25">
      <c r="A952" s="9"/>
      <c r="B952" s="51" t="s">
        <v>117</v>
      </c>
      <c r="C952" s="52"/>
      <c r="D952" s="52"/>
      <c r="E952" s="52"/>
      <c r="F952" s="52"/>
      <c r="G952" s="53"/>
      <c r="H952" s="20"/>
      <c r="I952" s="9">
        <v>1</v>
      </c>
      <c r="J952" s="9"/>
      <c r="K952" s="9"/>
      <c r="L952" s="9"/>
      <c r="M952" s="9">
        <f t="shared" si="134"/>
        <v>7.1</v>
      </c>
      <c r="N952" s="9">
        <f t="shared" si="135"/>
        <v>3</v>
      </c>
      <c r="O952" s="9">
        <v>7.1</v>
      </c>
      <c r="P952" s="9">
        <v>3</v>
      </c>
      <c r="Q952" s="9" t="s">
        <v>6</v>
      </c>
      <c r="R952" s="1">
        <v>0</v>
      </c>
      <c r="S952" s="26"/>
    </row>
    <row r="953" spans="1:19" ht="16.5" customHeight="1" x14ac:dyDescent="0.25">
      <c r="A953" s="9"/>
      <c r="B953" s="51" t="s">
        <v>118</v>
      </c>
      <c r="C953" s="52"/>
      <c r="D953" s="52"/>
      <c r="E953" s="52"/>
      <c r="F953" s="52"/>
      <c r="G953" s="53"/>
      <c r="H953" s="20"/>
      <c r="I953" s="9">
        <v>3</v>
      </c>
      <c r="J953" s="9"/>
      <c r="K953" s="9"/>
      <c r="L953" s="9"/>
      <c r="M953" s="9">
        <f t="shared" si="134"/>
        <v>0</v>
      </c>
      <c r="N953" s="9">
        <f t="shared" si="135"/>
        <v>0</v>
      </c>
      <c r="O953" s="9"/>
      <c r="P953" s="9"/>
      <c r="Q953" s="9"/>
      <c r="R953" s="1">
        <v>0</v>
      </c>
      <c r="S953" s="26"/>
    </row>
    <row r="954" spans="1:19" ht="16.5" customHeight="1" x14ac:dyDescent="0.25">
      <c r="A954" s="9"/>
      <c r="B954" s="51" t="s">
        <v>119</v>
      </c>
      <c r="C954" s="52"/>
      <c r="D954" s="52"/>
      <c r="E954" s="52"/>
      <c r="F954" s="52"/>
      <c r="G954" s="53"/>
      <c r="H954" s="20"/>
      <c r="I954" s="9">
        <v>3</v>
      </c>
      <c r="J954" s="9"/>
      <c r="K954" s="9"/>
      <c r="L954" s="9"/>
      <c r="M954" s="9">
        <f t="shared" si="134"/>
        <v>0</v>
      </c>
      <c r="N954" s="9">
        <f t="shared" si="135"/>
        <v>0</v>
      </c>
      <c r="O954" s="9"/>
      <c r="P954" s="9"/>
      <c r="Q954" s="9"/>
      <c r="R954" s="1">
        <v>0</v>
      </c>
      <c r="S954" s="26"/>
    </row>
    <row r="955" spans="1:19" ht="16.5" customHeight="1" x14ac:dyDescent="0.25">
      <c r="A955" s="9"/>
      <c r="B955" s="51" t="s">
        <v>120</v>
      </c>
      <c r="C955" s="52"/>
      <c r="D955" s="52"/>
      <c r="E955" s="52"/>
      <c r="F955" s="52"/>
      <c r="G955" s="53"/>
      <c r="H955" s="20"/>
      <c r="I955" s="9">
        <v>2</v>
      </c>
      <c r="J955" s="9"/>
      <c r="K955" s="9"/>
      <c r="L955" s="9"/>
      <c r="M955" s="9">
        <f t="shared" si="134"/>
        <v>8</v>
      </c>
      <c r="N955" s="9">
        <f t="shared" si="135"/>
        <v>2</v>
      </c>
      <c r="O955" s="9">
        <v>4</v>
      </c>
      <c r="P955" s="9">
        <v>1</v>
      </c>
      <c r="Q955" s="9" t="s">
        <v>8</v>
      </c>
      <c r="R955" s="1">
        <v>0</v>
      </c>
      <c r="S955" s="26"/>
    </row>
    <row r="956" spans="1:19" ht="16.5" hidden="1" customHeight="1" x14ac:dyDescent="0.25">
      <c r="A956" s="21"/>
      <c r="H956" s="21"/>
      <c r="I956" s="21"/>
      <c r="J956" s="21"/>
      <c r="K956" s="21"/>
      <c r="L956" s="21"/>
      <c r="M956" s="9">
        <f t="shared" si="134"/>
        <v>0</v>
      </c>
      <c r="N956" s="9">
        <f t="shared" si="135"/>
        <v>0</v>
      </c>
      <c r="O956" s="21"/>
      <c r="P956" s="21"/>
      <c r="Q956" s="21"/>
      <c r="S956" s="25"/>
    </row>
    <row r="957" spans="1:19" ht="16.5" customHeight="1" x14ac:dyDescent="0.25">
      <c r="A957" s="9"/>
      <c r="B957" s="39" t="s">
        <v>42</v>
      </c>
      <c r="C957" s="40"/>
      <c r="D957" s="40"/>
      <c r="E957" s="40"/>
      <c r="F957" s="40"/>
      <c r="G957" s="41"/>
      <c r="H957" s="23"/>
      <c r="I957" s="24">
        <f>SUM(I949:I956)</f>
        <v>18</v>
      </c>
      <c r="J957" s="9"/>
      <c r="K957" s="9"/>
      <c r="L957" s="9"/>
      <c r="M957" s="9">
        <f t="shared" si="134"/>
        <v>15.12</v>
      </c>
      <c r="N957" s="9">
        <f t="shared" si="135"/>
        <v>5.0400000000000009</v>
      </c>
      <c r="O957" s="24">
        <f>ROUND(SUM(M949:M956)/I957,2)</f>
        <v>0.84</v>
      </c>
      <c r="P957" s="24">
        <f>ROUND(SUM(N949:N956)/I957,2)</f>
        <v>0.28000000000000003</v>
      </c>
      <c r="Q957" s="9"/>
      <c r="S957" s="25"/>
    </row>
    <row r="958" spans="1:19" ht="16.5" customHeight="1" x14ac:dyDescent="0.25">
      <c r="A958" s="21"/>
      <c r="B958" s="22"/>
      <c r="C958" s="22"/>
      <c r="D958" s="22"/>
      <c r="E958" s="22"/>
      <c r="F958" s="22"/>
      <c r="G958" s="22"/>
      <c r="H958" s="21"/>
      <c r="I958" s="21"/>
      <c r="J958" s="21"/>
      <c r="K958" s="21"/>
      <c r="L958" s="21"/>
      <c r="M958" s="21"/>
      <c r="N958" s="21"/>
      <c r="O958" s="21"/>
      <c r="P958" s="21"/>
      <c r="Q958" s="21"/>
    </row>
    <row r="960" spans="1:19" ht="18" x14ac:dyDescent="0.25">
      <c r="A960" s="35" t="s">
        <v>170</v>
      </c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</row>
    <row r="961" spans="1:20" ht="18" x14ac:dyDescent="0.25">
      <c r="A961" s="35" t="s">
        <v>171</v>
      </c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</row>
    <row r="962" spans="1:20" ht="18" x14ac:dyDescent="0.25">
      <c r="A962" s="35" t="s">
        <v>172</v>
      </c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</row>
    <row r="963" spans="1:20" ht="18" x14ac:dyDescent="0.25">
      <c r="A963" s="45" t="s">
        <v>148</v>
      </c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</row>
    <row r="964" spans="1:20" ht="19.5" customHeight="1" x14ac:dyDescent="0.25">
      <c r="A964" s="17"/>
      <c r="B964" s="17"/>
      <c r="C964" s="8"/>
      <c r="D964" s="18"/>
      <c r="E964" s="10"/>
      <c r="F964" s="11"/>
      <c r="G964" s="46" t="s">
        <v>49</v>
      </c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</row>
    <row r="965" spans="1:20" ht="31.5" customHeight="1" x14ac:dyDescent="0.3">
      <c r="A965" s="8"/>
      <c r="B965" s="8"/>
      <c r="C965" s="8"/>
      <c r="D965" s="8"/>
      <c r="E965" s="8"/>
      <c r="F965" s="8"/>
      <c r="G965" s="8"/>
      <c r="H965" s="12"/>
      <c r="I965" s="42" t="s">
        <v>40</v>
      </c>
      <c r="J965" s="43"/>
      <c r="K965" s="43"/>
      <c r="L965" s="43"/>
      <c r="M965" s="43"/>
      <c r="N965" s="43"/>
      <c r="O965" s="43"/>
      <c r="P965" s="43"/>
      <c r="Q965" s="43"/>
      <c r="R965" s="43"/>
      <c r="S965" s="43"/>
    </row>
    <row r="966" spans="1:20" ht="16.8" x14ac:dyDescent="0.3">
      <c r="A966" s="8"/>
      <c r="B966" s="8"/>
      <c r="C966" s="8"/>
      <c r="D966" s="8"/>
      <c r="E966" s="8"/>
      <c r="F966" s="8"/>
      <c r="G966" s="8"/>
      <c r="H966" s="12"/>
      <c r="I966" s="12"/>
      <c r="J966" s="12"/>
      <c r="K966" s="12"/>
      <c r="L966" s="8"/>
      <c r="M966" s="8"/>
      <c r="N966" s="8"/>
      <c r="O966" s="8"/>
      <c r="P966" s="8"/>
      <c r="Q966" s="8"/>
    </row>
    <row r="967" spans="1:20" ht="33" customHeight="1" x14ac:dyDescent="0.3">
      <c r="A967" s="8"/>
      <c r="B967" s="8"/>
      <c r="C967" s="8"/>
      <c r="D967" s="8"/>
      <c r="E967" s="8"/>
      <c r="F967" s="8"/>
      <c r="G967" s="8"/>
      <c r="H967" s="12"/>
      <c r="I967" s="12"/>
      <c r="J967" s="12"/>
      <c r="K967" s="12"/>
      <c r="L967" s="8"/>
      <c r="M967" s="8"/>
      <c r="N967" s="8"/>
      <c r="O967" s="8"/>
      <c r="P967" s="8"/>
      <c r="Q967" s="8"/>
    </row>
    <row r="968" spans="1:20" ht="11.25" customHeight="1" x14ac:dyDescent="0.3">
      <c r="A968" s="8"/>
      <c r="B968" s="8"/>
      <c r="C968" s="8"/>
      <c r="D968" s="8"/>
      <c r="E968" s="8"/>
      <c r="F968" s="8"/>
      <c r="G968" s="8"/>
      <c r="H968" s="12"/>
      <c r="I968" s="12"/>
      <c r="J968" s="12"/>
      <c r="K968" s="12"/>
      <c r="L968" s="8"/>
      <c r="M968" s="8"/>
      <c r="N968" s="8"/>
      <c r="O968" s="8"/>
      <c r="P968" s="8"/>
      <c r="Q968" s="8"/>
    </row>
    <row r="969" spans="1:20" ht="17.399999999999999" x14ac:dyDescent="0.3">
      <c r="A969" s="8"/>
      <c r="B969" s="8"/>
      <c r="C969" s="8"/>
      <c r="D969" s="8"/>
      <c r="E969" s="8"/>
      <c r="F969" s="8"/>
      <c r="G969" s="47" t="s">
        <v>41</v>
      </c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</row>
    <row r="970" spans="1:20" ht="54" customHeight="1" x14ac:dyDescent="0.25">
      <c r="A970" s="48" t="s">
        <v>33</v>
      </c>
      <c r="B970" s="48"/>
      <c r="C970" s="48"/>
      <c r="D970" s="48"/>
      <c r="E970" s="48"/>
      <c r="F970" s="42" t="s">
        <v>24</v>
      </c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</row>
    <row r="971" spans="1:20" ht="17.399999999999999" x14ac:dyDescent="0.25">
      <c r="A971" s="49" t="s">
        <v>34</v>
      </c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</row>
    <row r="972" spans="1:20" ht="4.5" customHeight="1" x14ac:dyDescent="0.25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</row>
    <row r="973" spans="1:20" ht="5.25" customHeight="1" x14ac:dyDescent="0.25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</row>
    <row r="974" spans="1:20" ht="16.5" customHeight="1" x14ac:dyDescent="0.25">
      <c r="A974" s="54" t="s">
        <v>174</v>
      </c>
      <c r="B974" s="54"/>
      <c r="C974" s="54"/>
      <c r="D974" s="54"/>
      <c r="E974" s="54"/>
      <c r="F974" s="54"/>
      <c r="G974" s="58" t="s">
        <v>175</v>
      </c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</row>
    <row r="975" spans="1:20" ht="16.5" customHeight="1" x14ac:dyDescent="0.25">
      <c r="A975" s="54" t="s">
        <v>176</v>
      </c>
      <c r="B975" s="54"/>
      <c r="C975" s="54"/>
      <c r="D975" s="54"/>
      <c r="E975" s="54"/>
      <c r="F975" s="54"/>
      <c r="G975" s="8" t="s">
        <v>46</v>
      </c>
      <c r="H975" s="8"/>
      <c r="I975" s="8"/>
      <c r="J975" s="8"/>
      <c r="K975" s="8"/>
      <c r="L975" s="8"/>
      <c r="M975" s="8"/>
      <c r="N975" s="8"/>
      <c r="O975" s="8"/>
      <c r="P975" s="8"/>
      <c r="Q975" s="8"/>
      <c r="T975" s="2"/>
    </row>
    <row r="976" spans="1:20" ht="16.5" customHeight="1" x14ac:dyDescent="0.25">
      <c r="A976" s="54" t="s">
        <v>47</v>
      </c>
      <c r="B976" s="54"/>
      <c r="C976" s="54"/>
      <c r="D976" s="54"/>
      <c r="E976" s="54"/>
      <c r="F976" s="54"/>
      <c r="G976" s="58" t="s">
        <v>48</v>
      </c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</row>
    <row r="977" spans="1:19" ht="5.2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19"/>
      <c r="K977" s="19"/>
      <c r="L977" s="19"/>
      <c r="M977" s="19"/>
      <c r="N977" s="19"/>
      <c r="O977" s="19"/>
      <c r="P977" s="19"/>
      <c r="Q977" s="19"/>
    </row>
    <row r="978" spans="1:19" ht="15" customHeight="1" x14ac:dyDescent="0.25">
      <c r="A978" s="36" t="s">
        <v>0</v>
      </c>
      <c r="B978" s="29" t="s">
        <v>1</v>
      </c>
      <c r="C978" s="30"/>
      <c r="D978" s="30"/>
      <c r="E978" s="30"/>
      <c r="F978" s="30"/>
      <c r="G978" s="31"/>
      <c r="H978" s="36" t="s">
        <v>32</v>
      </c>
      <c r="I978" s="36" t="s">
        <v>39</v>
      </c>
      <c r="J978" s="55" t="s">
        <v>2</v>
      </c>
      <c r="K978" s="56"/>
      <c r="L978" s="56"/>
      <c r="M978" s="56"/>
      <c r="N978" s="56"/>
      <c r="O978" s="56"/>
      <c r="P978" s="56"/>
      <c r="Q978" s="57"/>
      <c r="S978" s="36" t="s">
        <v>38</v>
      </c>
    </row>
    <row r="979" spans="1:19" ht="24" customHeight="1" x14ac:dyDescent="0.25">
      <c r="A979" s="37"/>
      <c r="B979" s="32"/>
      <c r="C979" s="33"/>
      <c r="D979" s="33"/>
      <c r="E979" s="33"/>
      <c r="F979" s="33"/>
      <c r="G979" s="34"/>
      <c r="H979" s="37"/>
      <c r="I979" s="37"/>
      <c r="J979" s="7" t="s">
        <v>28</v>
      </c>
      <c r="K979" s="7" t="s">
        <v>29</v>
      </c>
      <c r="L979" s="7" t="s">
        <v>30</v>
      </c>
      <c r="M979" s="7"/>
      <c r="N979" s="7"/>
      <c r="O979" s="6" t="s">
        <v>35</v>
      </c>
      <c r="P979" s="6" t="s">
        <v>36</v>
      </c>
      <c r="Q979" s="6" t="s">
        <v>37</v>
      </c>
      <c r="S979" s="37"/>
    </row>
    <row r="980" spans="1:19" ht="20.25" customHeight="1" x14ac:dyDescent="0.25">
      <c r="A980" s="27" t="s">
        <v>54</v>
      </c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</row>
    <row r="981" spans="1:19" ht="16.5" customHeight="1" x14ac:dyDescent="0.25">
      <c r="A981" s="9"/>
      <c r="B981" s="51" t="s">
        <v>55</v>
      </c>
      <c r="C981" s="52"/>
      <c r="D981" s="52"/>
      <c r="E981" s="52"/>
      <c r="F981" s="52"/>
      <c r="G981" s="53"/>
      <c r="H981" s="20"/>
      <c r="I981" s="9">
        <v>1</v>
      </c>
      <c r="J981" s="9"/>
      <c r="K981" s="9"/>
      <c r="L981" s="9"/>
      <c r="M981" s="9">
        <f t="shared" ref="M981:M989" si="136">I981*O981</f>
        <v>6</v>
      </c>
      <c r="N981" s="9">
        <f t="shared" ref="N981:N989" si="137">I981*P981</f>
        <v>2</v>
      </c>
      <c r="O981" s="9">
        <v>6</v>
      </c>
      <c r="P981" s="9">
        <v>2</v>
      </c>
      <c r="Q981" s="9" t="s">
        <v>3</v>
      </c>
      <c r="R981" s="1">
        <v>0</v>
      </c>
      <c r="S981" s="26"/>
    </row>
    <row r="982" spans="1:19" ht="16.5" customHeight="1" x14ac:dyDescent="0.25">
      <c r="A982" s="9"/>
      <c r="B982" s="51" t="s">
        <v>56</v>
      </c>
      <c r="C982" s="52"/>
      <c r="D982" s="52"/>
      <c r="E982" s="52"/>
      <c r="F982" s="52"/>
      <c r="G982" s="53"/>
      <c r="H982" s="20"/>
      <c r="I982" s="9">
        <v>3</v>
      </c>
      <c r="J982" s="9"/>
      <c r="K982" s="9"/>
      <c r="L982" s="9"/>
      <c r="M982" s="9">
        <f t="shared" si="136"/>
        <v>28.5</v>
      </c>
      <c r="N982" s="9">
        <f t="shared" si="137"/>
        <v>12</v>
      </c>
      <c r="O982" s="9">
        <v>9.5</v>
      </c>
      <c r="P982" s="9">
        <v>4</v>
      </c>
      <c r="Q982" s="9" t="s">
        <v>12</v>
      </c>
      <c r="R982" s="1">
        <v>0</v>
      </c>
      <c r="S982" s="26"/>
    </row>
    <row r="983" spans="1:19" ht="31.2" customHeight="1" x14ac:dyDescent="0.25">
      <c r="A983" s="9"/>
      <c r="B983" s="51" t="s">
        <v>57</v>
      </c>
      <c r="C983" s="52"/>
      <c r="D983" s="52"/>
      <c r="E983" s="52"/>
      <c r="F983" s="52"/>
      <c r="G983" s="53"/>
      <c r="H983" s="20"/>
      <c r="I983" s="9">
        <v>3</v>
      </c>
      <c r="J983" s="9"/>
      <c r="K983" s="9"/>
      <c r="L983" s="9"/>
      <c r="M983" s="9">
        <f t="shared" si="136"/>
        <v>22.799999999999997</v>
      </c>
      <c r="N983" s="9">
        <f t="shared" si="137"/>
        <v>9</v>
      </c>
      <c r="O983" s="9">
        <v>7.6</v>
      </c>
      <c r="P983" s="9">
        <v>3</v>
      </c>
      <c r="Q983" s="9" t="s">
        <v>6</v>
      </c>
      <c r="R983" s="1">
        <v>0</v>
      </c>
      <c r="S983" s="26"/>
    </row>
    <row r="984" spans="1:19" ht="16.5" customHeight="1" x14ac:dyDescent="0.25">
      <c r="A984" s="9"/>
      <c r="B984" s="51" t="s">
        <v>58</v>
      </c>
      <c r="C984" s="52"/>
      <c r="D984" s="52"/>
      <c r="E984" s="52"/>
      <c r="F984" s="52"/>
      <c r="G984" s="53"/>
      <c r="H984" s="20"/>
      <c r="I984" s="9">
        <v>1</v>
      </c>
      <c r="J984" s="9"/>
      <c r="K984" s="9"/>
      <c r="L984" s="9"/>
      <c r="M984" s="9">
        <f t="shared" si="136"/>
        <v>7.9</v>
      </c>
      <c r="N984" s="9">
        <f t="shared" si="137"/>
        <v>3</v>
      </c>
      <c r="O984" s="9">
        <v>7.9</v>
      </c>
      <c r="P984" s="9">
        <v>3</v>
      </c>
      <c r="Q984" s="9" t="s">
        <v>6</v>
      </c>
      <c r="R984" s="1">
        <v>0</v>
      </c>
      <c r="S984" s="26"/>
    </row>
    <row r="985" spans="1:19" ht="16.5" customHeight="1" x14ac:dyDescent="0.25">
      <c r="A985" s="9"/>
      <c r="B985" s="51" t="s">
        <v>59</v>
      </c>
      <c r="C985" s="52"/>
      <c r="D985" s="52"/>
      <c r="E985" s="52"/>
      <c r="F985" s="52"/>
      <c r="G985" s="53"/>
      <c r="H985" s="20"/>
      <c r="I985" s="9">
        <v>1</v>
      </c>
      <c r="J985" s="9"/>
      <c r="K985" s="9"/>
      <c r="L985" s="9"/>
      <c r="M985" s="9">
        <f t="shared" si="136"/>
        <v>7.7</v>
      </c>
      <c r="N985" s="9">
        <f t="shared" si="137"/>
        <v>3</v>
      </c>
      <c r="O985" s="9">
        <v>7.7</v>
      </c>
      <c r="P985" s="9">
        <v>3</v>
      </c>
      <c r="Q985" s="9" t="s">
        <v>6</v>
      </c>
      <c r="R985" s="1">
        <v>0</v>
      </c>
      <c r="S985" s="26"/>
    </row>
    <row r="986" spans="1:19" ht="16.5" customHeight="1" x14ac:dyDescent="0.25">
      <c r="A986" s="9"/>
      <c r="B986" s="51" t="s">
        <v>60</v>
      </c>
      <c r="C986" s="52"/>
      <c r="D986" s="52"/>
      <c r="E986" s="52"/>
      <c r="F986" s="52"/>
      <c r="G986" s="53"/>
      <c r="H986" s="20"/>
      <c r="I986" s="9">
        <v>3</v>
      </c>
      <c r="J986" s="9"/>
      <c r="K986" s="9"/>
      <c r="L986" s="9"/>
      <c r="M986" s="9">
        <f t="shared" si="136"/>
        <v>22.799999999999997</v>
      </c>
      <c r="N986" s="9">
        <f t="shared" si="137"/>
        <v>9</v>
      </c>
      <c r="O986" s="9">
        <v>7.6</v>
      </c>
      <c r="P986" s="9">
        <v>3</v>
      </c>
      <c r="Q986" s="9" t="s">
        <v>6</v>
      </c>
      <c r="R986" s="1">
        <v>0</v>
      </c>
      <c r="S986" s="26"/>
    </row>
    <row r="987" spans="1:19" ht="16.5" customHeight="1" x14ac:dyDescent="0.25">
      <c r="A987" s="9"/>
      <c r="B987" s="51" t="s">
        <v>61</v>
      </c>
      <c r="C987" s="52"/>
      <c r="D987" s="52"/>
      <c r="E987" s="52"/>
      <c r="F987" s="52"/>
      <c r="G987" s="53"/>
      <c r="H987" s="20"/>
      <c r="I987" s="9">
        <v>2</v>
      </c>
      <c r="J987" s="9"/>
      <c r="K987" s="9"/>
      <c r="L987" s="9"/>
      <c r="M987" s="9">
        <f t="shared" si="136"/>
        <v>13.6</v>
      </c>
      <c r="N987" s="9">
        <f t="shared" si="137"/>
        <v>5</v>
      </c>
      <c r="O987" s="9">
        <v>6.8</v>
      </c>
      <c r="P987" s="9">
        <v>2.5</v>
      </c>
      <c r="Q987" s="9" t="s">
        <v>5</v>
      </c>
      <c r="R987" s="1">
        <v>0</v>
      </c>
      <c r="S987" s="26"/>
    </row>
    <row r="988" spans="1:19" ht="16.5" hidden="1" customHeight="1" x14ac:dyDescent="0.25">
      <c r="A988" s="21"/>
      <c r="H988" s="21"/>
      <c r="I988" s="21"/>
      <c r="J988" s="21"/>
      <c r="K988" s="21"/>
      <c r="L988" s="21"/>
      <c r="M988" s="9">
        <f t="shared" si="136"/>
        <v>0</v>
      </c>
      <c r="N988" s="9">
        <f t="shared" si="137"/>
        <v>0</v>
      </c>
      <c r="O988" s="21"/>
      <c r="P988" s="21"/>
      <c r="Q988" s="21"/>
      <c r="S988" s="25"/>
    </row>
    <row r="989" spans="1:19" ht="16.5" customHeight="1" x14ac:dyDescent="0.25">
      <c r="A989" s="9"/>
      <c r="B989" s="39" t="s">
        <v>42</v>
      </c>
      <c r="C989" s="40"/>
      <c r="D989" s="40"/>
      <c r="E989" s="40"/>
      <c r="F989" s="40"/>
      <c r="G989" s="41"/>
      <c r="H989" s="23"/>
      <c r="I989" s="24">
        <f>SUM(I981:I988)</f>
        <v>14</v>
      </c>
      <c r="J989" s="9"/>
      <c r="K989" s="9"/>
      <c r="L989" s="9"/>
      <c r="M989" s="9">
        <f t="shared" si="136"/>
        <v>109.33999999999999</v>
      </c>
      <c r="N989" s="9">
        <f t="shared" si="137"/>
        <v>42.98</v>
      </c>
      <c r="O989" s="24">
        <f>ROUND(SUM(M981:M988)/I989,2)</f>
        <v>7.81</v>
      </c>
      <c r="P989" s="24">
        <f>ROUND(SUM(N981:N988)/I989,2)</f>
        <v>3.07</v>
      </c>
      <c r="Q989" s="9"/>
      <c r="S989" s="25"/>
    </row>
    <row r="990" spans="1:19" ht="20.25" customHeight="1" x14ac:dyDescent="0.25">
      <c r="A990" s="27" t="s">
        <v>62</v>
      </c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</row>
    <row r="991" spans="1:19" ht="16.5" customHeight="1" x14ac:dyDescent="0.25">
      <c r="A991" s="9"/>
      <c r="B991" s="51" t="s">
        <v>63</v>
      </c>
      <c r="C991" s="52"/>
      <c r="D991" s="52"/>
      <c r="E991" s="52"/>
      <c r="F991" s="52"/>
      <c r="G991" s="53"/>
      <c r="H991" s="20"/>
      <c r="I991" s="9">
        <v>4</v>
      </c>
      <c r="J991" s="9"/>
      <c r="K991" s="9"/>
      <c r="L991" s="9"/>
      <c r="M991" s="9">
        <f t="shared" ref="M991:M999" si="138">I991*O991</f>
        <v>33.6</v>
      </c>
      <c r="N991" s="9">
        <f t="shared" ref="N991:N999" si="139">I991*P991</f>
        <v>14</v>
      </c>
      <c r="O991" s="9">
        <v>8.4</v>
      </c>
      <c r="P991" s="9">
        <v>3.5</v>
      </c>
      <c r="Q991" s="9" t="s">
        <v>9</v>
      </c>
      <c r="R991" s="1">
        <v>0</v>
      </c>
      <c r="S991" s="26"/>
    </row>
    <row r="992" spans="1:19" ht="16.5" customHeight="1" x14ac:dyDescent="0.25">
      <c r="A992" s="9"/>
      <c r="B992" s="51" t="s">
        <v>64</v>
      </c>
      <c r="C992" s="52"/>
      <c r="D992" s="52"/>
      <c r="E992" s="52"/>
      <c r="F992" s="52"/>
      <c r="G992" s="53"/>
      <c r="H992" s="20"/>
      <c r="I992" s="9">
        <v>4</v>
      </c>
      <c r="J992" s="9"/>
      <c r="K992" s="9"/>
      <c r="L992" s="9"/>
      <c r="M992" s="9">
        <f t="shared" si="138"/>
        <v>32</v>
      </c>
      <c r="N992" s="9">
        <f t="shared" si="139"/>
        <v>14</v>
      </c>
      <c r="O992" s="9">
        <v>8</v>
      </c>
      <c r="P992" s="9">
        <v>3.5</v>
      </c>
      <c r="Q992" s="9" t="s">
        <v>9</v>
      </c>
      <c r="R992" s="1">
        <v>0</v>
      </c>
      <c r="S992" s="26"/>
    </row>
    <row r="993" spans="1:19" ht="16.5" customHeight="1" x14ac:dyDescent="0.25">
      <c r="A993" s="9"/>
      <c r="B993" s="51" t="s">
        <v>65</v>
      </c>
      <c r="C993" s="52"/>
      <c r="D993" s="52"/>
      <c r="E993" s="52"/>
      <c r="F993" s="52"/>
      <c r="G993" s="53"/>
      <c r="H993" s="20"/>
      <c r="I993" s="9">
        <v>4</v>
      </c>
      <c r="J993" s="9"/>
      <c r="K993" s="9"/>
      <c r="L993" s="9"/>
      <c r="M993" s="9">
        <f t="shared" si="138"/>
        <v>29.2</v>
      </c>
      <c r="N993" s="9">
        <f t="shared" si="139"/>
        <v>12</v>
      </c>
      <c r="O993" s="9">
        <v>7.3</v>
      </c>
      <c r="P993" s="9">
        <v>3</v>
      </c>
      <c r="Q993" s="9" t="s">
        <v>6</v>
      </c>
      <c r="R993" s="1">
        <v>0</v>
      </c>
      <c r="S993" s="26"/>
    </row>
    <row r="994" spans="1:19" ht="16.5" customHeight="1" x14ac:dyDescent="0.25">
      <c r="A994" s="9"/>
      <c r="B994" s="51" t="s">
        <v>66</v>
      </c>
      <c r="C994" s="52"/>
      <c r="D994" s="52"/>
      <c r="E994" s="52"/>
      <c r="F994" s="52"/>
      <c r="G994" s="53"/>
      <c r="H994" s="20"/>
      <c r="I994" s="9">
        <v>1</v>
      </c>
      <c r="J994" s="9"/>
      <c r="K994" s="9"/>
      <c r="L994" s="9"/>
      <c r="M994" s="9">
        <f t="shared" si="138"/>
        <v>8</v>
      </c>
      <c r="N994" s="9">
        <f t="shared" si="139"/>
        <v>3.5</v>
      </c>
      <c r="O994" s="9">
        <v>8</v>
      </c>
      <c r="P994" s="9">
        <v>3.5</v>
      </c>
      <c r="Q994" s="9" t="s">
        <v>9</v>
      </c>
      <c r="R994" s="1">
        <v>0</v>
      </c>
      <c r="S994" s="26"/>
    </row>
    <row r="995" spans="1:19" ht="16.5" customHeight="1" x14ac:dyDescent="0.25">
      <c r="A995" s="9"/>
      <c r="B995" s="51" t="s">
        <v>67</v>
      </c>
      <c r="C995" s="52"/>
      <c r="D995" s="52"/>
      <c r="E995" s="52"/>
      <c r="F995" s="52"/>
      <c r="G995" s="53"/>
      <c r="H995" s="20"/>
      <c r="I995" s="9">
        <v>1</v>
      </c>
      <c r="J995" s="9"/>
      <c r="K995" s="9"/>
      <c r="L995" s="9"/>
      <c r="M995" s="9">
        <f t="shared" si="138"/>
        <v>6.5</v>
      </c>
      <c r="N995" s="9">
        <f t="shared" si="139"/>
        <v>2.5</v>
      </c>
      <c r="O995" s="9">
        <v>6.5</v>
      </c>
      <c r="P995" s="9">
        <v>2.5</v>
      </c>
      <c r="Q995" s="9" t="s">
        <v>5</v>
      </c>
      <c r="R995" s="1">
        <v>0</v>
      </c>
      <c r="S995" s="26"/>
    </row>
    <row r="996" spans="1:19" ht="16.5" customHeight="1" x14ac:dyDescent="0.25">
      <c r="A996" s="9"/>
      <c r="B996" s="51" t="s">
        <v>69</v>
      </c>
      <c r="C996" s="52"/>
      <c r="D996" s="52"/>
      <c r="E996" s="52"/>
      <c r="F996" s="52"/>
      <c r="G996" s="53"/>
      <c r="H996" s="20"/>
      <c r="I996" s="9">
        <v>1</v>
      </c>
      <c r="J996" s="9"/>
      <c r="K996" s="9"/>
      <c r="L996" s="9"/>
      <c r="M996" s="9">
        <f t="shared" si="138"/>
        <v>7.9</v>
      </c>
      <c r="N996" s="9">
        <f t="shared" si="139"/>
        <v>3</v>
      </c>
      <c r="O996" s="9">
        <v>7.9</v>
      </c>
      <c r="P996" s="9">
        <v>3</v>
      </c>
      <c r="Q996" s="9" t="s">
        <v>6</v>
      </c>
      <c r="R996" s="1">
        <v>0</v>
      </c>
      <c r="S996" s="26"/>
    </row>
    <row r="997" spans="1:19" ht="16.5" customHeight="1" x14ac:dyDescent="0.25">
      <c r="A997" s="9"/>
      <c r="B997" s="51" t="s">
        <v>68</v>
      </c>
      <c r="C997" s="52"/>
      <c r="D997" s="52"/>
      <c r="E997" s="52"/>
      <c r="F997" s="52"/>
      <c r="G997" s="53"/>
      <c r="H997" s="20"/>
      <c r="I997" s="9">
        <v>1</v>
      </c>
      <c r="J997" s="9"/>
      <c r="K997" s="9"/>
      <c r="L997" s="9"/>
      <c r="M997" s="9">
        <f t="shared" si="138"/>
        <v>7.3</v>
      </c>
      <c r="N997" s="9">
        <f t="shared" si="139"/>
        <v>3</v>
      </c>
      <c r="O997" s="9">
        <v>7.3</v>
      </c>
      <c r="P997" s="9">
        <v>3</v>
      </c>
      <c r="Q997" s="9" t="s">
        <v>6</v>
      </c>
      <c r="R997" s="1">
        <v>0</v>
      </c>
      <c r="S997" s="26"/>
    </row>
    <row r="998" spans="1:19" ht="16.5" hidden="1" customHeight="1" x14ac:dyDescent="0.25">
      <c r="A998" s="21"/>
      <c r="H998" s="21"/>
      <c r="I998" s="21"/>
      <c r="J998" s="21"/>
      <c r="K998" s="21"/>
      <c r="L998" s="21"/>
      <c r="M998" s="9">
        <f t="shared" si="138"/>
        <v>0</v>
      </c>
      <c r="N998" s="9">
        <f t="shared" si="139"/>
        <v>0</v>
      </c>
      <c r="O998" s="21"/>
      <c r="P998" s="21"/>
      <c r="Q998" s="21"/>
      <c r="S998" s="25"/>
    </row>
    <row r="999" spans="1:19" ht="16.5" customHeight="1" x14ac:dyDescent="0.25">
      <c r="A999" s="9"/>
      <c r="B999" s="39" t="s">
        <v>42</v>
      </c>
      <c r="C999" s="40"/>
      <c r="D999" s="40"/>
      <c r="E999" s="40"/>
      <c r="F999" s="40"/>
      <c r="G999" s="41"/>
      <c r="H999" s="23"/>
      <c r="I999" s="24">
        <f>SUM(I991:I998)</f>
        <v>16</v>
      </c>
      <c r="J999" s="9"/>
      <c r="K999" s="9"/>
      <c r="L999" s="9"/>
      <c r="M999" s="9">
        <f t="shared" si="138"/>
        <v>124.48</v>
      </c>
      <c r="N999" s="9">
        <f t="shared" si="139"/>
        <v>52</v>
      </c>
      <c r="O999" s="24">
        <f>ROUND(SUM(M991:M998)/I999,2)</f>
        <v>7.78</v>
      </c>
      <c r="P999" s="24">
        <f>ROUND(SUM(N991:N998)/I999,2)</f>
        <v>3.25</v>
      </c>
      <c r="Q999" s="9"/>
      <c r="S999" s="25"/>
    </row>
    <row r="1000" spans="1:19" ht="20.25" customHeight="1" x14ac:dyDescent="0.25">
      <c r="A1000" s="27" t="s">
        <v>70</v>
      </c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</row>
    <row r="1001" spans="1:19" ht="16.5" customHeight="1" x14ac:dyDescent="0.25">
      <c r="A1001" s="9"/>
      <c r="B1001" s="51" t="s">
        <v>71</v>
      </c>
      <c r="C1001" s="52"/>
      <c r="D1001" s="52"/>
      <c r="E1001" s="52"/>
      <c r="F1001" s="52"/>
      <c r="G1001" s="53"/>
      <c r="H1001" s="20"/>
      <c r="I1001" s="9">
        <v>4</v>
      </c>
      <c r="J1001" s="9"/>
      <c r="K1001" s="9"/>
      <c r="L1001" s="9"/>
      <c r="M1001" s="9">
        <f t="shared" ref="M1001:M1010" si="140">I1001*O1001</f>
        <v>37.200000000000003</v>
      </c>
      <c r="N1001" s="9">
        <f t="shared" ref="N1001:N1010" si="141">I1001*P1001</f>
        <v>16</v>
      </c>
      <c r="O1001" s="9">
        <v>9.3000000000000007</v>
      </c>
      <c r="P1001" s="9">
        <v>4</v>
      </c>
      <c r="Q1001" s="9" t="s">
        <v>12</v>
      </c>
      <c r="R1001" s="1">
        <v>0</v>
      </c>
      <c r="S1001" s="26"/>
    </row>
    <row r="1002" spans="1:19" ht="16.5" customHeight="1" x14ac:dyDescent="0.25">
      <c r="A1002" s="9"/>
      <c r="B1002" s="51" t="s">
        <v>72</v>
      </c>
      <c r="C1002" s="52"/>
      <c r="D1002" s="52"/>
      <c r="E1002" s="52"/>
      <c r="F1002" s="52"/>
      <c r="G1002" s="53"/>
      <c r="H1002" s="20"/>
      <c r="I1002" s="9">
        <v>4</v>
      </c>
      <c r="J1002" s="9"/>
      <c r="K1002" s="9"/>
      <c r="L1002" s="9"/>
      <c r="M1002" s="9">
        <f t="shared" si="140"/>
        <v>32.799999999999997</v>
      </c>
      <c r="N1002" s="9">
        <f t="shared" si="141"/>
        <v>14</v>
      </c>
      <c r="O1002" s="9">
        <v>8.1999999999999993</v>
      </c>
      <c r="P1002" s="9">
        <v>3.5</v>
      </c>
      <c r="Q1002" s="9" t="s">
        <v>9</v>
      </c>
      <c r="R1002" s="1">
        <v>0</v>
      </c>
      <c r="S1002" s="26"/>
    </row>
    <row r="1003" spans="1:19" ht="16.5" customHeight="1" x14ac:dyDescent="0.25">
      <c r="A1003" s="9"/>
      <c r="B1003" s="51" t="s">
        <v>73</v>
      </c>
      <c r="C1003" s="52"/>
      <c r="D1003" s="52"/>
      <c r="E1003" s="52"/>
      <c r="F1003" s="52"/>
      <c r="G1003" s="53"/>
      <c r="H1003" s="20"/>
      <c r="I1003" s="9">
        <v>1</v>
      </c>
      <c r="J1003" s="9"/>
      <c r="K1003" s="9"/>
      <c r="L1003" s="9"/>
      <c r="M1003" s="9">
        <f t="shared" si="140"/>
        <v>8</v>
      </c>
      <c r="N1003" s="9">
        <f t="shared" si="141"/>
        <v>3.5</v>
      </c>
      <c r="O1003" s="9">
        <v>8</v>
      </c>
      <c r="P1003" s="9">
        <v>3.5</v>
      </c>
      <c r="Q1003" s="9" t="s">
        <v>9</v>
      </c>
      <c r="R1003" s="1">
        <v>0</v>
      </c>
      <c r="S1003" s="26"/>
    </row>
    <row r="1004" spans="1:19" ht="16.5" customHeight="1" x14ac:dyDescent="0.25">
      <c r="A1004" s="9"/>
      <c r="B1004" s="51" t="s">
        <v>74</v>
      </c>
      <c r="C1004" s="52"/>
      <c r="D1004" s="52"/>
      <c r="E1004" s="52"/>
      <c r="F1004" s="52"/>
      <c r="G1004" s="53"/>
      <c r="H1004" s="20"/>
      <c r="I1004" s="9">
        <v>2</v>
      </c>
      <c r="J1004" s="9"/>
      <c r="K1004" s="9"/>
      <c r="L1004" s="9"/>
      <c r="M1004" s="9">
        <f t="shared" si="140"/>
        <v>16.600000000000001</v>
      </c>
      <c r="N1004" s="9">
        <f t="shared" si="141"/>
        <v>7</v>
      </c>
      <c r="O1004" s="9">
        <v>8.3000000000000007</v>
      </c>
      <c r="P1004" s="9">
        <v>3.5</v>
      </c>
      <c r="Q1004" s="9" t="s">
        <v>9</v>
      </c>
      <c r="R1004" s="1">
        <v>0</v>
      </c>
      <c r="S1004" s="26"/>
    </row>
    <row r="1005" spans="1:19" ht="16.5" customHeight="1" x14ac:dyDescent="0.25">
      <c r="A1005" s="9"/>
      <c r="B1005" s="51" t="s">
        <v>75</v>
      </c>
      <c r="C1005" s="52"/>
      <c r="D1005" s="52"/>
      <c r="E1005" s="52"/>
      <c r="F1005" s="52"/>
      <c r="G1005" s="53"/>
      <c r="H1005" s="20"/>
      <c r="I1005" s="9">
        <v>1</v>
      </c>
      <c r="J1005" s="9"/>
      <c r="K1005" s="9"/>
      <c r="L1005" s="9"/>
      <c r="M1005" s="9">
        <f t="shared" si="140"/>
        <v>5.5</v>
      </c>
      <c r="N1005" s="9">
        <f t="shared" si="141"/>
        <v>2</v>
      </c>
      <c r="O1005" s="9">
        <v>5.5</v>
      </c>
      <c r="P1005" s="9">
        <v>2</v>
      </c>
      <c r="Q1005" s="9" t="s">
        <v>3</v>
      </c>
      <c r="R1005" s="1">
        <v>0</v>
      </c>
      <c r="S1005" s="26"/>
    </row>
    <row r="1006" spans="1:19" ht="16.5" customHeight="1" x14ac:dyDescent="0.25">
      <c r="A1006" s="9"/>
      <c r="B1006" s="51" t="s">
        <v>76</v>
      </c>
      <c r="C1006" s="52"/>
      <c r="D1006" s="52"/>
      <c r="E1006" s="52"/>
      <c r="F1006" s="52"/>
      <c r="G1006" s="53"/>
      <c r="H1006" s="20"/>
      <c r="I1006" s="9">
        <v>4</v>
      </c>
      <c r="J1006" s="9"/>
      <c r="K1006" s="9"/>
      <c r="L1006" s="9"/>
      <c r="M1006" s="9">
        <f t="shared" si="140"/>
        <v>36</v>
      </c>
      <c r="N1006" s="9">
        <f t="shared" si="141"/>
        <v>16</v>
      </c>
      <c r="O1006" s="9">
        <v>9</v>
      </c>
      <c r="P1006" s="9">
        <v>4</v>
      </c>
      <c r="Q1006" s="9" t="s">
        <v>12</v>
      </c>
      <c r="R1006" s="1">
        <v>0</v>
      </c>
      <c r="S1006" s="26"/>
    </row>
    <row r="1007" spans="1:19" ht="16.5" customHeight="1" x14ac:dyDescent="0.25">
      <c r="A1007" s="9"/>
      <c r="B1007" s="51" t="s">
        <v>77</v>
      </c>
      <c r="C1007" s="52"/>
      <c r="D1007" s="52"/>
      <c r="E1007" s="52"/>
      <c r="F1007" s="52"/>
      <c r="G1007" s="53"/>
      <c r="H1007" s="20"/>
      <c r="I1007" s="9">
        <v>3</v>
      </c>
      <c r="J1007" s="9"/>
      <c r="K1007" s="9"/>
      <c r="L1007" s="9"/>
      <c r="M1007" s="9">
        <f t="shared" si="140"/>
        <v>20.100000000000001</v>
      </c>
      <c r="N1007" s="9">
        <f t="shared" si="141"/>
        <v>7.5</v>
      </c>
      <c r="O1007" s="9">
        <v>6.7</v>
      </c>
      <c r="P1007" s="9">
        <v>2.5</v>
      </c>
      <c r="Q1007" s="9" t="s">
        <v>5</v>
      </c>
      <c r="R1007" s="1">
        <v>0</v>
      </c>
      <c r="S1007" s="26"/>
    </row>
    <row r="1008" spans="1:19" ht="16.5" customHeight="1" x14ac:dyDescent="0.25">
      <c r="A1008" s="9"/>
      <c r="B1008" s="51" t="s">
        <v>78</v>
      </c>
      <c r="C1008" s="52"/>
      <c r="D1008" s="52"/>
      <c r="E1008" s="52"/>
      <c r="F1008" s="52"/>
      <c r="G1008" s="53"/>
      <c r="H1008" s="20"/>
      <c r="I1008" s="9">
        <v>4</v>
      </c>
      <c r="J1008" s="9"/>
      <c r="K1008" s="9"/>
      <c r="L1008" s="9"/>
      <c r="M1008" s="9">
        <f t="shared" si="140"/>
        <v>32.799999999999997</v>
      </c>
      <c r="N1008" s="9">
        <f t="shared" si="141"/>
        <v>14</v>
      </c>
      <c r="O1008" s="9">
        <v>8.1999999999999993</v>
      </c>
      <c r="P1008" s="9">
        <v>3.5</v>
      </c>
      <c r="Q1008" s="9" t="s">
        <v>9</v>
      </c>
      <c r="R1008" s="1">
        <v>0</v>
      </c>
      <c r="S1008" s="26"/>
    </row>
    <row r="1009" spans="1:19" ht="16.5" hidden="1" customHeight="1" x14ac:dyDescent="0.25">
      <c r="A1009" s="21"/>
      <c r="H1009" s="21"/>
      <c r="I1009" s="21"/>
      <c r="J1009" s="21"/>
      <c r="K1009" s="21"/>
      <c r="L1009" s="21"/>
      <c r="M1009" s="9">
        <f t="shared" si="140"/>
        <v>0</v>
      </c>
      <c r="N1009" s="9">
        <f t="shared" si="141"/>
        <v>0</v>
      </c>
      <c r="O1009" s="21"/>
      <c r="P1009" s="21"/>
      <c r="Q1009" s="21"/>
      <c r="S1009" s="25"/>
    </row>
    <row r="1010" spans="1:19" ht="16.5" customHeight="1" x14ac:dyDescent="0.25">
      <c r="A1010" s="9"/>
      <c r="B1010" s="39" t="s">
        <v>42</v>
      </c>
      <c r="C1010" s="40"/>
      <c r="D1010" s="40"/>
      <c r="E1010" s="40"/>
      <c r="F1010" s="40"/>
      <c r="G1010" s="41"/>
      <c r="H1010" s="23"/>
      <c r="I1010" s="24">
        <f>SUM(I1001:I1009)</f>
        <v>23</v>
      </c>
      <c r="J1010" s="9"/>
      <c r="K1010" s="9"/>
      <c r="L1010" s="9"/>
      <c r="M1010" s="9">
        <f t="shared" si="140"/>
        <v>189.06</v>
      </c>
      <c r="N1010" s="9">
        <f t="shared" si="141"/>
        <v>80.040000000000006</v>
      </c>
      <c r="O1010" s="24">
        <f>ROUND(SUM(M1001:M1009)/I1010,2)</f>
        <v>8.2200000000000006</v>
      </c>
      <c r="P1010" s="24">
        <f>ROUND(SUM(N1001:N1009)/I1010,2)</f>
        <v>3.48</v>
      </c>
      <c r="Q1010" s="9"/>
      <c r="S1010" s="25"/>
    </row>
    <row r="1011" spans="1:19" ht="20.25" customHeight="1" x14ac:dyDescent="0.25">
      <c r="A1011" s="27" t="s">
        <v>79</v>
      </c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</row>
    <row r="1012" spans="1:19" ht="16.5" customHeight="1" x14ac:dyDescent="0.25">
      <c r="A1012" s="9"/>
      <c r="B1012" s="51" t="s">
        <v>80</v>
      </c>
      <c r="C1012" s="52"/>
      <c r="D1012" s="52"/>
      <c r="E1012" s="52"/>
      <c r="F1012" s="52"/>
      <c r="G1012" s="53"/>
      <c r="H1012" s="20"/>
      <c r="I1012" s="9">
        <v>3</v>
      </c>
      <c r="J1012" s="9"/>
      <c r="K1012" s="9"/>
      <c r="L1012" s="9"/>
      <c r="M1012" s="9">
        <f t="shared" ref="M1012:M1017" si="142">I1012*O1012</f>
        <v>19.5</v>
      </c>
      <c r="N1012" s="9">
        <f t="shared" ref="N1012:N1017" si="143">I1012*P1012</f>
        <v>7.5</v>
      </c>
      <c r="O1012" s="9">
        <v>6.5</v>
      </c>
      <c r="P1012" s="9">
        <v>2.5</v>
      </c>
      <c r="Q1012" s="9" t="s">
        <v>5</v>
      </c>
      <c r="R1012" s="1">
        <v>0</v>
      </c>
      <c r="S1012" s="26"/>
    </row>
    <row r="1013" spans="1:19" ht="16.5" customHeight="1" x14ac:dyDescent="0.25">
      <c r="A1013" s="9"/>
      <c r="B1013" s="51" t="s">
        <v>81</v>
      </c>
      <c r="C1013" s="52"/>
      <c r="D1013" s="52"/>
      <c r="E1013" s="52"/>
      <c r="F1013" s="52"/>
      <c r="G1013" s="53"/>
      <c r="H1013" s="20"/>
      <c r="I1013" s="9">
        <v>1</v>
      </c>
      <c r="J1013" s="9"/>
      <c r="K1013" s="9"/>
      <c r="L1013" s="9"/>
      <c r="M1013" s="9">
        <f t="shared" si="142"/>
        <v>7.6</v>
      </c>
      <c r="N1013" s="9">
        <f t="shared" si="143"/>
        <v>3</v>
      </c>
      <c r="O1013" s="9">
        <v>7.6</v>
      </c>
      <c r="P1013" s="9">
        <v>3</v>
      </c>
      <c r="Q1013" s="9" t="s">
        <v>6</v>
      </c>
      <c r="R1013" s="1">
        <v>0</v>
      </c>
      <c r="S1013" s="26"/>
    </row>
    <row r="1014" spans="1:19" ht="16.5" customHeight="1" x14ac:dyDescent="0.25">
      <c r="A1014" s="9"/>
      <c r="B1014" s="51" t="s">
        <v>82</v>
      </c>
      <c r="C1014" s="52"/>
      <c r="D1014" s="52"/>
      <c r="E1014" s="52"/>
      <c r="F1014" s="52"/>
      <c r="G1014" s="53"/>
      <c r="H1014" s="20"/>
      <c r="I1014" s="9">
        <v>3</v>
      </c>
      <c r="J1014" s="9"/>
      <c r="K1014" s="9"/>
      <c r="L1014" s="9"/>
      <c r="M1014" s="9">
        <f t="shared" si="142"/>
        <v>23.1</v>
      </c>
      <c r="N1014" s="9">
        <f t="shared" si="143"/>
        <v>9</v>
      </c>
      <c r="O1014" s="9">
        <v>7.7</v>
      </c>
      <c r="P1014" s="9">
        <v>3</v>
      </c>
      <c r="Q1014" s="9" t="s">
        <v>6</v>
      </c>
      <c r="R1014" s="1">
        <v>0</v>
      </c>
      <c r="S1014" s="26"/>
    </row>
    <row r="1015" spans="1:19" ht="16.5" customHeight="1" x14ac:dyDescent="0.25">
      <c r="A1015" s="9"/>
      <c r="B1015" s="51" t="s">
        <v>83</v>
      </c>
      <c r="C1015" s="52"/>
      <c r="D1015" s="52"/>
      <c r="E1015" s="52"/>
      <c r="F1015" s="52"/>
      <c r="G1015" s="53"/>
      <c r="H1015" s="20"/>
      <c r="I1015" s="9">
        <v>2</v>
      </c>
      <c r="J1015" s="9"/>
      <c r="K1015" s="9"/>
      <c r="L1015" s="9"/>
      <c r="M1015" s="9">
        <f t="shared" si="142"/>
        <v>15.2</v>
      </c>
      <c r="N1015" s="9">
        <f t="shared" si="143"/>
        <v>6</v>
      </c>
      <c r="O1015" s="9">
        <v>7.6</v>
      </c>
      <c r="P1015" s="9">
        <v>3</v>
      </c>
      <c r="Q1015" s="9" t="s">
        <v>6</v>
      </c>
      <c r="R1015" s="1">
        <v>0</v>
      </c>
      <c r="S1015" s="26"/>
    </row>
    <row r="1016" spans="1:19" ht="16.5" customHeight="1" x14ac:dyDescent="0.25">
      <c r="A1016" s="9"/>
      <c r="B1016" s="51" t="s">
        <v>84</v>
      </c>
      <c r="C1016" s="52"/>
      <c r="D1016" s="52"/>
      <c r="E1016" s="52"/>
      <c r="F1016" s="52"/>
      <c r="G1016" s="53"/>
      <c r="H1016" s="20"/>
      <c r="I1016" s="9">
        <v>2</v>
      </c>
      <c r="J1016" s="9"/>
      <c r="K1016" s="9"/>
      <c r="L1016" s="9"/>
      <c r="M1016" s="9">
        <f t="shared" si="142"/>
        <v>15.4</v>
      </c>
      <c r="N1016" s="9">
        <f t="shared" si="143"/>
        <v>6</v>
      </c>
      <c r="O1016" s="9">
        <v>7.7</v>
      </c>
      <c r="P1016" s="9">
        <v>3</v>
      </c>
      <c r="Q1016" s="9" t="s">
        <v>6</v>
      </c>
      <c r="R1016" s="1">
        <v>0</v>
      </c>
      <c r="S1016" s="26"/>
    </row>
    <row r="1017" spans="1:19" ht="16.5" customHeight="1" x14ac:dyDescent="0.25">
      <c r="A1017" s="9"/>
      <c r="B1017" s="51" t="s">
        <v>85</v>
      </c>
      <c r="C1017" s="52"/>
      <c r="D1017" s="52"/>
      <c r="E1017" s="52"/>
      <c r="F1017" s="52"/>
      <c r="G1017" s="53"/>
      <c r="H1017" s="20"/>
      <c r="I1017" s="9">
        <v>1</v>
      </c>
      <c r="J1017" s="9"/>
      <c r="K1017" s="9"/>
      <c r="L1017" s="9"/>
      <c r="M1017" s="9">
        <f t="shared" si="142"/>
        <v>8</v>
      </c>
      <c r="N1017" s="9">
        <f t="shared" si="143"/>
        <v>3.5</v>
      </c>
      <c r="O1017" s="9">
        <v>8</v>
      </c>
      <c r="P1017" s="9">
        <v>3.5</v>
      </c>
      <c r="Q1017" s="9" t="s">
        <v>9</v>
      </c>
      <c r="R1017" s="1">
        <v>0</v>
      </c>
      <c r="S1017" s="26"/>
    </row>
    <row r="1018" spans="1:19" ht="15" customHeight="1" x14ac:dyDescent="0.25">
      <c r="A1018" s="36" t="s">
        <v>0</v>
      </c>
      <c r="B1018" s="29" t="s">
        <v>1</v>
      </c>
      <c r="C1018" s="30"/>
      <c r="D1018" s="30"/>
      <c r="E1018" s="30"/>
      <c r="F1018" s="30"/>
      <c r="G1018" s="31"/>
      <c r="H1018" s="36" t="s">
        <v>32</v>
      </c>
      <c r="I1018" s="36" t="s">
        <v>39</v>
      </c>
      <c r="J1018" s="55" t="s">
        <v>2</v>
      </c>
      <c r="K1018" s="56"/>
      <c r="L1018" s="56"/>
      <c r="M1018" s="56"/>
      <c r="N1018" s="56"/>
      <c r="O1018" s="56"/>
      <c r="P1018" s="56"/>
      <c r="Q1018" s="57"/>
      <c r="S1018" s="36" t="s">
        <v>38</v>
      </c>
    </row>
    <row r="1019" spans="1:19" ht="24" customHeight="1" x14ac:dyDescent="0.25">
      <c r="A1019" s="37"/>
      <c r="B1019" s="32"/>
      <c r="C1019" s="33"/>
      <c r="D1019" s="33"/>
      <c r="E1019" s="33"/>
      <c r="F1019" s="33"/>
      <c r="G1019" s="34"/>
      <c r="H1019" s="37"/>
      <c r="I1019" s="37"/>
      <c r="J1019" s="7" t="s">
        <v>28</v>
      </c>
      <c r="K1019" s="7" t="s">
        <v>29</v>
      </c>
      <c r="L1019" s="7" t="s">
        <v>30</v>
      </c>
      <c r="M1019" s="7"/>
      <c r="N1019" s="7"/>
      <c r="O1019" s="6" t="s">
        <v>35</v>
      </c>
      <c r="P1019" s="6" t="s">
        <v>36</v>
      </c>
      <c r="Q1019" s="6" t="s">
        <v>37</v>
      </c>
      <c r="S1019" s="37"/>
    </row>
    <row r="1020" spans="1:19" ht="16.5" customHeight="1" x14ac:dyDescent="0.25">
      <c r="A1020" s="9"/>
      <c r="B1020" s="51" t="s">
        <v>88</v>
      </c>
      <c r="C1020" s="52"/>
      <c r="D1020" s="52"/>
      <c r="E1020" s="52"/>
      <c r="F1020" s="52"/>
      <c r="G1020" s="53"/>
      <c r="H1020" s="20"/>
      <c r="I1020" s="9">
        <v>4</v>
      </c>
      <c r="J1020" s="9"/>
      <c r="K1020" s="9"/>
      <c r="L1020" s="9"/>
      <c r="M1020" s="9">
        <f t="shared" ref="M1020:M1026" si="144">I1020*O1020</f>
        <v>36</v>
      </c>
      <c r="N1020" s="9">
        <f t="shared" ref="N1020:N1026" si="145">I1020*P1020</f>
        <v>16</v>
      </c>
      <c r="O1020" s="9">
        <v>9</v>
      </c>
      <c r="P1020" s="9">
        <v>4</v>
      </c>
      <c r="Q1020" s="9" t="s">
        <v>12</v>
      </c>
      <c r="R1020" s="1">
        <v>0</v>
      </c>
      <c r="S1020" s="26"/>
    </row>
    <row r="1021" spans="1:19" ht="16.5" customHeight="1" x14ac:dyDescent="0.25">
      <c r="A1021" s="9"/>
      <c r="B1021" s="51" t="s">
        <v>90</v>
      </c>
      <c r="C1021" s="52"/>
      <c r="D1021" s="52"/>
      <c r="E1021" s="52"/>
      <c r="F1021" s="52"/>
      <c r="G1021" s="53"/>
      <c r="H1021" s="20"/>
      <c r="I1021" s="9">
        <v>2</v>
      </c>
      <c r="J1021" s="9"/>
      <c r="K1021" s="9"/>
      <c r="L1021" s="9"/>
      <c r="M1021" s="9">
        <f t="shared" si="144"/>
        <v>16.8</v>
      </c>
      <c r="N1021" s="9">
        <f t="shared" si="145"/>
        <v>7</v>
      </c>
      <c r="O1021" s="9">
        <v>8.4</v>
      </c>
      <c r="P1021" s="9">
        <v>3.5</v>
      </c>
      <c r="Q1021" s="9" t="s">
        <v>9</v>
      </c>
      <c r="R1021" s="1">
        <v>0</v>
      </c>
      <c r="S1021" s="26"/>
    </row>
    <row r="1022" spans="1:19" ht="16.5" customHeight="1" x14ac:dyDescent="0.25">
      <c r="A1022" s="9"/>
      <c r="B1022" s="51" t="s">
        <v>86</v>
      </c>
      <c r="C1022" s="52"/>
      <c r="D1022" s="52"/>
      <c r="E1022" s="52"/>
      <c r="F1022" s="52"/>
      <c r="G1022" s="53"/>
      <c r="H1022" s="20"/>
      <c r="I1022" s="9">
        <v>2</v>
      </c>
      <c r="J1022" s="9"/>
      <c r="K1022" s="9"/>
      <c r="L1022" s="9"/>
      <c r="M1022" s="9">
        <f t="shared" si="144"/>
        <v>15</v>
      </c>
      <c r="N1022" s="9">
        <f t="shared" si="145"/>
        <v>6</v>
      </c>
      <c r="O1022" s="9">
        <v>7.5</v>
      </c>
      <c r="P1022" s="9">
        <v>3</v>
      </c>
      <c r="Q1022" s="9" t="s">
        <v>6</v>
      </c>
      <c r="R1022" s="1">
        <v>0</v>
      </c>
      <c r="S1022" s="26"/>
    </row>
    <row r="1023" spans="1:19" ht="16.5" customHeight="1" x14ac:dyDescent="0.25">
      <c r="A1023" s="9"/>
      <c r="B1023" s="51" t="s">
        <v>89</v>
      </c>
      <c r="C1023" s="52"/>
      <c r="D1023" s="52"/>
      <c r="E1023" s="52"/>
      <c r="F1023" s="52"/>
      <c r="G1023" s="53"/>
      <c r="H1023" s="20"/>
      <c r="I1023" s="9">
        <v>3</v>
      </c>
      <c r="J1023" s="9"/>
      <c r="K1023" s="9"/>
      <c r="L1023" s="9"/>
      <c r="M1023" s="9">
        <f t="shared" si="144"/>
        <v>26.400000000000002</v>
      </c>
      <c r="N1023" s="9">
        <f t="shared" si="145"/>
        <v>11.100000000000001</v>
      </c>
      <c r="O1023" s="9">
        <v>8.8000000000000007</v>
      </c>
      <c r="P1023" s="9">
        <v>3.7</v>
      </c>
      <c r="Q1023" s="9" t="s">
        <v>10</v>
      </c>
      <c r="R1023" s="1">
        <v>0</v>
      </c>
      <c r="S1023" s="26"/>
    </row>
    <row r="1024" spans="1:19" ht="16.5" customHeight="1" x14ac:dyDescent="0.25">
      <c r="A1024" s="9"/>
      <c r="B1024" s="51" t="s">
        <v>87</v>
      </c>
      <c r="C1024" s="52"/>
      <c r="D1024" s="52"/>
      <c r="E1024" s="52"/>
      <c r="F1024" s="52"/>
      <c r="G1024" s="53"/>
      <c r="H1024" s="20"/>
      <c r="I1024" s="9">
        <v>3</v>
      </c>
      <c r="J1024" s="9"/>
      <c r="K1024" s="9"/>
      <c r="L1024" s="9"/>
      <c r="M1024" s="9">
        <f t="shared" si="144"/>
        <v>24.599999999999998</v>
      </c>
      <c r="N1024" s="9">
        <f t="shared" si="145"/>
        <v>10.5</v>
      </c>
      <c r="O1024" s="9">
        <v>8.1999999999999993</v>
      </c>
      <c r="P1024" s="9">
        <v>3.5</v>
      </c>
      <c r="Q1024" s="9" t="s">
        <v>9</v>
      </c>
      <c r="R1024" s="1">
        <v>0</v>
      </c>
      <c r="S1024" s="26"/>
    </row>
    <row r="1025" spans="1:19" ht="16.5" hidden="1" customHeight="1" x14ac:dyDescent="0.25">
      <c r="A1025" s="21"/>
      <c r="H1025" s="21"/>
      <c r="I1025" s="21"/>
      <c r="J1025" s="21"/>
      <c r="K1025" s="21"/>
      <c r="L1025" s="21"/>
      <c r="M1025" s="9">
        <f t="shared" si="144"/>
        <v>0</v>
      </c>
      <c r="N1025" s="9">
        <f t="shared" si="145"/>
        <v>0</v>
      </c>
      <c r="O1025" s="21"/>
      <c r="P1025" s="21"/>
      <c r="Q1025" s="21"/>
      <c r="S1025" s="25"/>
    </row>
    <row r="1026" spans="1:19" ht="16.5" customHeight="1" x14ac:dyDescent="0.25">
      <c r="A1026" s="9"/>
      <c r="B1026" s="39" t="s">
        <v>42</v>
      </c>
      <c r="C1026" s="40"/>
      <c r="D1026" s="40"/>
      <c r="E1026" s="40"/>
      <c r="F1026" s="40"/>
      <c r="G1026" s="41"/>
      <c r="H1026" s="23"/>
      <c r="I1026" s="24">
        <f>SUM(I1012:I1025)</f>
        <v>26</v>
      </c>
      <c r="J1026" s="9"/>
      <c r="K1026" s="9"/>
      <c r="L1026" s="9"/>
      <c r="M1026" s="9">
        <f t="shared" si="144"/>
        <v>207.48000000000002</v>
      </c>
      <c r="N1026" s="9">
        <f t="shared" si="145"/>
        <v>85.54</v>
      </c>
      <c r="O1026" s="24">
        <f>ROUND(SUM(M1012:M1025)/I1026,2)</f>
        <v>7.98</v>
      </c>
      <c r="P1026" s="24">
        <f>ROUND(SUM(N1012:N1025)/I1026,2)</f>
        <v>3.29</v>
      </c>
      <c r="Q1026" s="9"/>
      <c r="S1026" s="25"/>
    </row>
    <row r="1027" spans="1:19" ht="20.25" customHeight="1" x14ac:dyDescent="0.25">
      <c r="A1027" s="27" t="s">
        <v>91</v>
      </c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</row>
    <row r="1028" spans="1:19" ht="16.5" customHeight="1" x14ac:dyDescent="0.25">
      <c r="A1028" s="9"/>
      <c r="B1028" s="51" t="s">
        <v>92</v>
      </c>
      <c r="C1028" s="52"/>
      <c r="D1028" s="52"/>
      <c r="E1028" s="52"/>
      <c r="F1028" s="52"/>
      <c r="G1028" s="53"/>
      <c r="H1028" s="20"/>
      <c r="I1028" s="9">
        <v>1</v>
      </c>
      <c r="J1028" s="9"/>
      <c r="K1028" s="9"/>
      <c r="L1028" s="9"/>
      <c r="M1028" s="9">
        <f t="shared" ref="M1028:M1039" si="146">I1028*O1028</f>
        <v>8.4</v>
      </c>
      <c r="N1028" s="9">
        <f t="shared" ref="N1028:N1039" si="147">I1028*P1028</f>
        <v>3.5</v>
      </c>
      <c r="O1028" s="9">
        <v>8.4</v>
      </c>
      <c r="P1028" s="9">
        <v>3.5</v>
      </c>
      <c r="Q1028" s="9" t="s">
        <v>9</v>
      </c>
      <c r="R1028" s="1">
        <v>0</v>
      </c>
      <c r="S1028" s="26"/>
    </row>
    <row r="1029" spans="1:19" ht="16.5" customHeight="1" x14ac:dyDescent="0.25">
      <c r="A1029" s="9"/>
      <c r="B1029" s="51" t="s">
        <v>99</v>
      </c>
      <c r="C1029" s="52"/>
      <c r="D1029" s="52"/>
      <c r="E1029" s="52"/>
      <c r="F1029" s="52"/>
      <c r="G1029" s="53"/>
      <c r="H1029" s="20"/>
      <c r="I1029" s="9">
        <v>2</v>
      </c>
      <c r="J1029" s="9"/>
      <c r="K1029" s="9"/>
      <c r="L1029" s="9"/>
      <c r="M1029" s="9">
        <f t="shared" si="146"/>
        <v>17.8</v>
      </c>
      <c r="N1029" s="9">
        <f t="shared" si="147"/>
        <v>7.4</v>
      </c>
      <c r="O1029" s="9">
        <v>8.9</v>
      </c>
      <c r="P1029" s="9">
        <v>3.7</v>
      </c>
      <c r="Q1029" s="9" t="s">
        <v>10</v>
      </c>
      <c r="R1029" s="1">
        <v>0</v>
      </c>
      <c r="S1029" s="26"/>
    </row>
    <row r="1030" spans="1:19" ht="16.5" customHeight="1" x14ac:dyDescent="0.25">
      <c r="A1030" s="9"/>
      <c r="B1030" s="51" t="s">
        <v>94</v>
      </c>
      <c r="C1030" s="52"/>
      <c r="D1030" s="52"/>
      <c r="E1030" s="52"/>
      <c r="F1030" s="52"/>
      <c r="G1030" s="53"/>
      <c r="H1030" s="20"/>
      <c r="I1030" s="9">
        <v>3</v>
      </c>
      <c r="J1030" s="9"/>
      <c r="K1030" s="9"/>
      <c r="L1030" s="9"/>
      <c r="M1030" s="9">
        <f t="shared" si="146"/>
        <v>28.200000000000003</v>
      </c>
      <c r="N1030" s="9">
        <f t="shared" si="147"/>
        <v>12</v>
      </c>
      <c r="O1030" s="9">
        <v>9.4</v>
      </c>
      <c r="P1030" s="9">
        <v>4</v>
      </c>
      <c r="Q1030" s="9" t="s">
        <v>12</v>
      </c>
      <c r="R1030" s="1">
        <v>0</v>
      </c>
      <c r="S1030" s="26"/>
    </row>
    <row r="1031" spans="1:19" ht="16.5" customHeight="1" x14ac:dyDescent="0.25">
      <c r="A1031" s="9"/>
      <c r="B1031" s="51" t="s">
        <v>95</v>
      </c>
      <c r="C1031" s="52"/>
      <c r="D1031" s="52"/>
      <c r="E1031" s="52"/>
      <c r="F1031" s="52"/>
      <c r="G1031" s="53"/>
      <c r="H1031" s="20"/>
      <c r="I1031" s="9">
        <v>1</v>
      </c>
      <c r="J1031" s="9"/>
      <c r="K1031" s="9"/>
      <c r="L1031" s="9"/>
      <c r="M1031" s="9">
        <f t="shared" si="146"/>
        <v>8.4</v>
      </c>
      <c r="N1031" s="9">
        <f t="shared" si="147"/>
        <v>3.5</v>
      </c>
      <c r="O1031" s="9">
        <v>8.4</v>
      </c>
      <c r="P1031" s="9">
        <v>3.5</v>
      </c>
      <c r="Q1031" s="9" t="s">
        <v>9</v>
      </c>
      <c r="R1031" s="1">
        <v>0</v>
      </c>
      <c r="S1031" s="26"/>
    </row>
    <row r="1032" spans="1:19" ht="16.5" customHeight="1" x14ac:dyDescent="0.25">
      <c r="A1032" s="9"/>
      <c r="B1032" s="51" t="s">
        <v>96</v>
      </c>
      <c r="C1032" s="52"/>
      <c r="D1032" s="52"/>
      <c r="E1032" s="52"/>
      <c r="F1032" s="52"/>
      <c r="G1032" s="53"/>
      <c r="H1032" s="20"/>
      <c r="I1032" s="9">
        <v>1</v>
      </c>
      <c r="J1032" s="9"/>
      <c r="K1032" s="9"/>
      <c r="L1032" s="9"/>
      <c r="M1032" s="9">
        <f t="shared" si="146"/>
        <v>7.8</v>
      </c>
      <c r="N1032" s="9">
        <f t="shared" si="147"/>
        <v>3</v>
      </c>
      <c r="O1032" s="9">
        <v>7.8</v>
      </c>
      <c r="P1032" s="9">
        <v>3</v>
      </c>
      <c r="Q1032" s="9" t="s">
        <v>6</v>
      </c>
      <c r="R1032" s="1">
        <v>0</v>
      </c>
      <c r="S1032" s="26"/>
    </row>
    <row r="1033" spans="1:19" ht="16.5" customHeight="1" x14ac:dyDescent="0.25">
      <c r="A1033" s="9"/>
      <c r="B1033" s="51" t="s">
        <v>101</v>
      </c>
      <c r="C1033" s="52"/>
      <c r="D1033" s="52"/>
      <c r="E1033" s="52"/>
      <c r="F1033" s="52"/>
      <c r="G1033" s="53"/>
      <c r="H1033" s="20"/>
      <c r="I1033" s="9">
        <v>4</v>
      </c>
      <c r="J1033" s="9"/>
      <c r="K1033" s="9"/>
      <c r="L1033" s="9"/>
      <c r="M1033" s="9">
        <f t="shared" si="146"/>
        <v>34.799999999999997</v>
      </c>
      <c r="N1033" s="9">
        <f t="shared" si="147"/>
        <v>14.8</v>
      </c>
      <c r="O1033" s="9">
        <v>8.6999999999999993</v>
      </c>
      <c r="P1033" s="9">
        <v>3.7</v>
      </c>
      <c r="Q1033" s="9" t="s">
        <v>10</v>
      </c>
      <c r="R1033" s="1">
        <v>0</v>
      </c>
      <c r="S1033" s="26"/>
    </row>
    <row r="1034" spans="1:19" ht="16.5" customHeight="1" x14ac:dyDescent="0.25">
      <c r="A1034" s="9"/>
      <c r="B1034" s="51" t="s">
        <v>98</v>
      </c>
      <c r="C1034" s="52"/>
      <c r="D1034" s="52"/>
      <c r="E1034" s="52"/>
      <c r="F1034" s="52"/>
      <c r="G1034" s="53"/>
      <c r="H1034" s="20"/>
      <c r="I1034" s="9">
        <v>2</v>
      </c>
      <c r="J1034" s="9"/>
      <c r="K1034" s="9"/>
      <c r="L1034" s="9"/>
      <c r="M1034" s="9">
        <f t="shared" si="146"/>
        <v>16.600000000000001</v>
      </c>
      <c r="N1034" s="9">
        <f t="shared" si="147"/>
        <v>7</v>
      </c>
      <c r="O1034" s="9">
        <v>8.3000000000000007</v>
      </c>
      <c r="P1034" s="9">
        <v>3.5</v>
      </c>
      <c r="Q1034" s="9" t="s">
        <v>9</v>
      </c>
      <c r="R1034" s="1">
        <v>0</v>
      </c>
      <c r="S1034" s="26"/>
    </row>
    <row r="1035" spans="1:19" ht="16.5" customHeight="1" x14ac:dyDescent="0.25">
      <c r="A1035" s="9"/>
      <c r="B1035" s="51" t="s">
        <v>93</v>
      </c>
      <c r="C1035" s="52"/>
      <c r="D1035" s="52"/>
      <c r="E1035" s="52"/>
      <c r="F1035" s="52"/>
      <c r="G1035" s="53"/>
      <c r="H1035" s="20"/>
      <c r="I1035" s="9">
        <v>3</v>
      </c>
      <c r="J1035" s="9"/>
      <c r="K1035" s="9"/>
      <c r="L1035" s="9"/>
      <c r="M1035" s="9">
        <f t="shared" si="146"/>
        <v>24</v>
      </c>
      <c r="N1035" s="9">
        <f t="shared" si="147"/>
        <v>10.5</v>
      </c>
      <c r="O1035" s="9">
        <v>8</v>
      </c>
      <c r="P1035" s="9">
        <v>3.5</v>
      </c>
      <c r="Q1035" s="9" t="s">
        <v>9</v>
      </c>
      <c r="R1035" s="1">
        <v>0</v>
      </c>
      <c r="S1035" s="26"/>
    </row>
    <row r="1036" spans="1:19" ht="16.5" customHeight="1" x14ac:dyDescent="0.25">
      <c r="A1036" s="9"/>
      <c r="B1036" s="51" t="s">
        <v>100</v>
      </c>
      <c r="C1036" s="52"/>
      <c r="D1036" s="52"/>
      <c r="E1036" s="52"/>
      <c r="F1036" s="52"/>
      <c r="G1036" s="53"/>
      <c r="H1036" s="20"/>
      <c r="I1036" s="9">
        <v>2</v>
      </c>
      <c r="J1036" s="9"/>
      <c r="K1036" s="9"/>
      <c r="L1036" s="9"/>
      <c r="M1036" s="9">
        <f t="shared" si="146"/>
        <v>15.6</v>
      </c>
      <c r="N1036" s="9">
        <f t="shared" si="147"/>
        <v>6</v>
      </c>
      <c r="O1036" s="9">
        <v>7.8</v>
      </c>
      <c r="P1036" s="9">
        <v>3</v>
      </c>
      <c r="Q1036" s="9" t="s">
        <v>6</v>
      </c>
      <c r="R1036" s="1">
        <v>0</v>
      </c>
      <c r="S1036" s="26"/>
    </row>
    <row r="1037" spans="1:19" ht="16.5" customHeight="1" x14ac:dyDescent="0.25">
      <c r="A1037" s="9"/>
      <c r="B1037" s="51" t="s">
        <v>97</v>
      </c>
      <c r="C1037" s="52"/>
      <c r="D1037" s="52"/>
      <c r="E1037" s="52"/>
      <c r="F1037" s="52"/>
      <c r="G1037" s="53"/>
      <c r="H1037" s="20"/>
      <c r="I1037" s="9">
        <v>2</v>
      </c>
      <c r="J1037" s="9"/>
      <c r="K1037" s="9"/>
      <c r="L1037" s="9"/>
      <c r="M1037" s="9">
        <f t="shared" si="146"/>
        <v>17</v>
      </c>
      <c r="N1037" s="9">
        <f t="shared" si="147"/>
        <v>7.4</v>
      </c>
      <c r="O1037" s="9">
        <v>8.5</v>
      </c>
      <c r="P1037" s="9">
        <v>3.7</v>
      </c>
      <c r="Q1037" s="9" t="s">
        <v>10</v>
      </c>
      <c r="R1037" s="1">
        <v>0</v>
      </c>
      <c r="S1037" s="26"/>
    </row>
    <row r="1038" spans="1:19" ht="16.5" hidden="1" customHeight="1" x14ac:dyDescent="0.25">
      <c r="A1038" s="21"/>
      <c r="H1038" s="21"/>
      <c r="I1038" s="21"/>
      <c r="J1038" s="21"/>
      <c r="K1038" s="21"/>
      <c r="L1038" s="21"/>
      <c r="M1038" s="9">
        <f t="shared" si="146"/>
        <v>0</v>
      </c>
      <c r="N1038" s="9">
        <f t="shared" si="147"/>
        <v>0</v>
      </c>
      <c r="O1038" s="21"/>
      <c r="P1038" s="21"/>
      <c r="Q1038" s="21"/>
      <c r="S1038" s="25"/>
    </row>
    <row r="1039" spans="1:19" ht="16.5" customHeight="1" x14ac:dyDescent="0.25">
      <c r="A1039" s="9"/>
      <c r="B1039" s="39" t="s">
        <v>42</v>
      </c>
      <c r="C1039" s="40"/>
      <c r="D1039" s="40"/>
      <c r="E1039" s="40"/>
      <c r="F1039" s="40"/>
      <c r="G1039" s="41"/>
      <c r="H1039" s="23"/>
      <c r="I1039" s="24">
        <f>SUM(I1028:I1038)</f>
        <v>21</v>
      </c>
      <c r="J1039" s="9"/>
      <c r="K1039" s="9"/>
      <c r="L1039" s="9"/>
      <c r="M1039" s="9">
        <f t="shared" si="146"/>
        <v>178.5</v>
      </c>
      <c r="N1039" s="9">
        <f t="shared" si="147"/>
        <v>75.180000000000007</v>
      </c>
      <c r="O1039" s="24">
        <f>ROUND(SUM(M1028:M1038)/I1039,2)</f>
        <v>8.5</v>
      </c>
      <c r="P1039" s="24">
        <f>ROUND(SUM(N1028:N1038)/I1039,2)</f>
        <v>3.58</v>
      </c>
      <c r="Q1039" s="9"/>
      <c r="S1039" s="25"/>
    </row>
    <row r="1040" spans="1:19" ht="20.25" customHeight="1" x14ac:dyDescent="0.25">
      <c r="A1040" s="27" t="s">
        <v>102</v>
      </c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</row>
    <row r="1041" spans="1:19" ht="16.5" customHeight="1" x14ac:dyDescent="0.25">
      <c r="A1041" s="9"/>
      <c r="B1041" s="51" t="s">
        <v>103</v>
      </c>
      <c r="C1041" s="52"/>
      <c r="D1041" s="52"/>
      <c r="E1041" s="52"/>
      <c r="F1041" s="52"/>
      <c r="G1041" s="53"/>
      <c r="H1041" s="20"/>
      <c r="I1041" s="9">
        <v>1</v>
      </c>
      <c r="J1041" s="9"/>
      <c r="K1041" s="9"/>
      <c r="L1041" s="9"/>
      <c r="M1041" s="9">
        <f t="shared" ref="M1041:M1052" si="148">I1041*O1041</f>
        <v>8.1999999999999993</v>
      </c>
      <c r="N1041" s="9">
        <f t="shared" ref="N1041:N1052" si="149">I1041*P1041</f>
        <v>3.5</v>
      </c>
      <c r="O1041" s="9">
        <v>8.1999999999999993</v>
      </c>
      <c r="P1041" s="9">
        <v>3.5</v>
      </c>
      <c r="Q1041" s="9" t="s">
        <v>9</v>
      </c>
      <c r="R1041" s="1">
        <v>0</v>
      </c>
      <c r="S1041" s="26"/>
    </row>
    <row r="1042" spans="1:19" ht="16.5" customHeight="1" x14ac:dyDescent="0.25">
      <c r="A1042" s="9"/>
      <c r="B1042" s="51" t="s">
        <v>104</v>
      </c>
      <c r="C1042" s="52"/>
      <c r="D1042" s="52"/>
      <c r="E1042" s="52"/>
      <c r="F1042" s="52"/>
      <c r="G1042" s="53"/>
      <c r="H1042" s="20"/>
      <c r="I1042" s="9">
        <v>3</v>
      </c>
      <c r="J1042" s="9"/>
      <c r="K1042" s="9"/>
      <c r="L1042" s="9"/>
      <c r="M1042" s="9">
        <f t="shared" si="148"/>
        <v>23.700000000000003</v>
      </c>
      <c r="N1042" s="9">
        <f t="shared" si="149"/>
        <v>9</v>
      </c>
      <c r="O1042" s="9">
        <v>7.9</v>
      </c>
      <c r="P1042" s="9">
        <v>3</v>
      </c>
      <c r="Q1042" s="9" t="s">
        <v>6</v>
      </c>
      <c r="R1042" s="1">
        <v>0</v>
      </c>
      <c r="S1042" s="26"/>
    </row>
    <row r="1043" spans="1:19" ht="16.5" customHeight="1" x14ac:dyDescent="0.25">
      <c r="A1043" s="9"/>
      <c r="B1043" s="51" t="s">
        <v>105</v>
      </c>
      <c r="C1043" s="52"/>
      <c r="D1043" s="52"/>
      <c r="E1043" s="52"/>
      <c r="F1043" s="52"/>
      <c r="G1043" s="53"/>
      <c r="H1043" s="20"/>
      <c r="I1043" s="9">
        <v>3</v>
      </c>
      <c r="J1043" s="9"/>
      <c r="K1043" s="9"/>
      <c r="L1043" s="9"/>
      <c r="M1043" s="9">
        <f t="shared" si="148"/>
        <v>24.900000000000002</v>
      </c>
      <c r="N1043" s="9">
        <f t="shared" si="149"/>
        <v>10.5</v>
      </c>
      <c r="O1043" s="9">
        <v>8.3000000000000007</v>
      </c>
      <c r="P1043" s="9">
        <v>3.5</v>
      </c>
      <c r="Q1043" s="9" t="s">
        <v>9</v>
      </c>
      <c r="R1043" s="1">
        <v>0</v>
      </c>
      <c r="S1043" s="26"/>
    </row>
    <row r="1044" spans="1:19" ht="16.5" customHeight="1" x14ac:dyDescent="0.25">
      <c r="A1044" s="9"/>
      <c r="B1044" s="51" t="s">
        <v>106</v>
      </c>
      <c r="C1044" s="52"/>
      <c r="D1044" s="52"/>
      <c r="E1044" s="52"/>
      <c r="F1044" s="52"/>
      <c r="G1044" s="53"/>
      <c r="H1044" s="20"/>
      <c r="I1044" s="9">
        <v>3</v>
      </c>
      <c r="J1044" s="9"/>
      <c r="K1044" s="9"/>
      <c r="L1044" s="9"/>
      <c r="M1044" s="9">
        <f t="shared" si="148"/>
        <v>26.700000000000003</v>
      </c>
      <c r="N1044" s="9">
        <f t="shared" si="149"/>
        <v>11.100000000000001</v>
      </c>
      <c r="O1044" s="9">
        <v>8.9</v>
      </c>
      <c r="P1044" s="9">
        <v>3.7</v>
      </c>
      <c r="Q1044" s="9" t="s">
        <v>10</v>
      </c>
      <c r="R1044" s="1">
        <v>0</v>
      </c>
      <c r="S1044" s="26"/>
    </row>
    <row r="1045" spans="1:19" ht="16.5" customHeight="1" x14ac:dyDescent="0.25">
      <c r="A1045" s="9"/>
      <c r="B1045" s="51" t="s">
        <v>107</v>
      </c>
      <c r="C1045" s="52"/>
      <c r="D1045" s="52"/>
      <c r="E1045" s="52"/>
      <c r="F1045" s="52"/>
      <c r="G1045" s="53"/>
      <c r="H1045" s="20"/>
      <c r="I1045" s="9">
        <v>2</v>
      </c>
      <c r="J1045" s="9"/>
      <c r="K1045" s="9"/>
      <c r="L1045" s="9"/>
      <c r="M1045" s="9">
        <f t="shared" si="148"/>
        <v>16.8</v>
      </c>
      <c r="N1045" s="9">
        <f t="shared" si="149"/>
        <v>7</v>
      </c>
      <c r="O1045" s="9">
        <v>8.4</v>
      </c>
      <c r="P1045" s="9">
        <v>3.5</v>
      </c>
      <c r="Q1045" s="9" t="s">
        <v>9</v>
      </c>
      <c r="R1045" s="1">
        <v>0</v>
      </c>
      <c r="S1045" s="26"/>
    </row>
    <row r="1046" spans="1:19" ht="16.5" customHeight="1" x14ac:dyDescent="0.25">
      <c r="A1046" s="9"/>
      <c r="B1046" s="51" t="s">
        <v>108</v>
      </c>
      <c r="C1046" s="52"/>
      <c r="D1046" s="52"/>
      <c r="E1046" s="52"/>
      <c r="F1046" s="52"/>
      <c r="G1046" s="53"/>
      <c r="H1046" s="20"/>
      <c r="I1046" s="9">
        <v>2</v>
      </c>
      <c r="J1046" s="9"/>
      <c r="K1046" s="9"/>
      <c r="L1046" s="9"/>
      <c r="M1046" s="9">
        <f t="shared" si="148"/>
        <v>16.399999999999999</v>
      </c>
      <c r="N1046" s="9">
        <f t="shared" si="149"/>
        <v>7</v>
      </c>
      <c r="O1046" s="9">
        <v>8.1999999999999993</v>
      </c>
      <c r="P1046" s="9">
        <v>3.5</v>
      </c>
      <c r="Q1046" s="9" t="s">
        <v>9</v>
      </c>
      <c r="R1046" s="1">
        <v>0</v>
      </c>
      <c r="S1046" s="26"/>
    </row>
    <row r="1047" spans="1:19" ht="16.5" customHeight="1" x14ac:dyDescent="0.25">
      <c r="A1047" s="9"/>
      <c r="B1047" s="51" t="s">
        <v>109</v>
      </c>
      <c r="C1047" s="52"/>
      <c r="D1047" s="52"/>
      <c r="E1047" s="52"/>
      <c r="F1047" s="52"/>
      <c r="G1047" s="53"/>
      <c r="H1047" s="20"/>
      <c r="I1047" s="9">
        <v>2</v>
      </c>
      <c r="J1047" s="9"/>
      <c r="K1047" s="9"/>
      <c r="L1047" s="9"/>
      <c r="M1047" s="9">
        <f t="shared" si="148"/>
        <v>15.2</v>
      </c>
      <c r="N1047" s="9">
        <f t="shared" si="149"/>
        <v>6</v>
      </c>
      <c r="O1047" s="9">
        <v>7.6</v>
      </c>
      <c r="P1047" s="9">
        <v>3</v>
      </c>
      <c r="Q1047" s="9" t="s">
        <v>6</v>
      </c>
      <c r="R1047" s="1">
        <v>0</v>
      </c>
      <c r="S1047" s="26"/>
    </row>
    <row r="1048" spans="1:19" ht="16.5" customHeight="1" x14ac:dyDescent="0.25">
      <c r="A1048" s="9"/>
      <c r="B1048" s="51" t="s">
        <v>110</v>
      </c>
      <c r="C1048" s="52"/>
      <c r="D1048" s="52"/>
      <c r="E1048" s="52"/>
      <c r="F1048" s="52"/>
      <c r="G1048" s="53"/>
      <c r="H1048" s="20"/>
      <c r="I1048" s="9">
        <v>4</v>
      </c>
      <c r="J1048" s="9"/>
      <c r="K1048" s="9"/>
      <c r="L1048" s="9"/>
      <c r="M1048" s="9">
        <f t="shared" si="148"/>
        <v>36</v>
      </c>
      <c r="N1048" s="9">
        <f t="shared" si="149"/>
        <v>16</v>
      </c>
      <c r="O1048" s="9">
        <v>9</v>
      </c>
      <c r="P1048" s="9">
        <v>4</v>
      </c>
      <c r="Q1048" s="9" t="s">
        <v>12</v>
      </c>
      <c r="R1048" s="1">
        <v>0</v>
      </c>
      <c r="S1048" s="26"/>
    </row>
    <row r="1049" spans="1:19" ht="16.5" customHeight="1" x14ac:dyDescent="0.25">
      <c r="A1049" s="9"/>
      <c r="B1049" s="51" t="s">
        <v>111</v>
      </c>
      <c r="C1049" s="52"/>
      <c r="D1049" s="52"/>
      <c r="E1049" s="52"/>
      <c r="F1049" s="52"/>
      <c r="G1049" s="53"/>
      <c r="H1049" s="20"/>
      <c r="I1049" s="9">
        <v>2</v>
      </c>
      <c r="J1049" s="9"/>
      <c r="K1049" s="9"/>
      <c r="L1049" s="9"/>
      <c r="M1049" s="9">
        <f t="shared" si="148"/>
        <v>15.2</v>
      </c>
      <c r="N1049" s="9">
        <f t="shared" si="149"/>
        <v>6</v>
      </c>
      <c r="O1049" s="9">
        <v>7.6</v>
      </c>
      <c r="P1049" s="9">
        <v>3</v>
      </c>
      <c r="Q1049" s="9" t="s">
        <v>6</v>
      </c>
      <c r="R1049" s="1">
        <v>0</v>
      </c>
      <c r="S1049" s="26"/>
    </row>
    <row r="1050" spans="1:19" ht="16.5" customHeight="1" x14ac:dyDescent="0.25">
      <c r="A1050" s="9"/>
      <c r="B1050" s="51" t="s">
        <v>112</v>
      </c>
      <c r="C1050" s="52"/>
      <c r="D1050" s="52"/>
      <c r="E1050" s="52"/>
      <c r="F1050" s="52"/>
      <c r="G1050" s="53"/>
      <c r="H1050" s="20"/>
      <c r="I1050" s="9">
        <v>3</v>
      </c>
      <c r="J1050" s="9"/>
      <c r="K1050" s="9"/>
      <c r="L1050" s="9"/>
      <c r="M1050" s="9">
        <f t="shared" si="148"/>
        <v>25.200000000000003</v>
      </c>
      <c r="N1050" s="9">
        <f t="shared" si="149"/>
        <v>10.5</v>
      </c>
      <c r="O1050" s="9">
        <v>8.4</v>
      </c>
      <c r="P1050" s="9">
        <v>3.5</v>
      </c>
      <c r="Q1050" s="9" t="s">
        <v>9</v>
      </c>
      <c r="R1050" s="1">
        <v>0</v>
      </c>
      <c r="S1050" s="26"/>
    </row>
    <row r="1051" spans="1:19" ht="16.5" hidden="1" customHeight="1" x14ac:dyDescent="0.25">
      <c r="A1051" s="21"/>
      <c r="H1051" s="21"/>
      <c r="I1051" s="21"/>
      <c r="J1051" s="21"/>
      <c r="K1051" s="21"/>
      <c r="L1051" s="21"/>
      <c r="M1051" s="9">
        <f t="shared" si="148"/>
        <v>0</v>
      </c>
      <c r="N1051" s="9">
        <f t="shared" si="149"/>
        <v>0</v>
      </c>
      <c r="O1051" s="21"/>
      <c r="P1051" s="21"/>
      <c r="Q1051" s="21"/>
      <c r="S1051" s="25"/>
    </row>
    <row r="1052" spans="1:19" ht="16.5" customHeight="1" x14ac:dyDescent="0.25">
      <c r="A1052" s="9"/>
      <c r="B1052" s="39" t="s">
        <v>42</v>
      </c>
      <c r="C1052" s="40"/>
      <c r="D1052" s="40"/>
      <c r="E1052" s="40"/>
      <c r="F1052" s="40"/>
      <c r="G1052" s="41"/>
      <c r="H1052" s="23"/>
      <c r="I1052" s="24">
        <f>SUM(I1041:I1051)</f>
        <v>25</v>
      </c>
      <c r="J1052" s="9"/>
      <c r="K1052" s="9"/>
      <c r="L1052" s="9"/>
      <c r="M1052" s="9">
        <f t="shared" si="148"/>
        <v>208.25</v>
      </c>
      <c r="N1052" s="9">
        <f t="shared" si="149"/>
        <v>86.5</v>
      </c>
      <c r="O1052" s="24">
        <f>ROUND(SUM(M1041:M1051)/I1052,2)</f>
        <v>8.33</v>
      </c>
      <c r="P1052" s="24">
        <f>ROUND(SUM(N1041:N1051)/I1052,2)</f>
        <v>3.46</v>
      </c>
      <c r="Q1052" s="9"/>
      <c r="S1052" s="25"/>
    </row>
    <row r="1053" spans="1:19" ht="20.25" customHeight="1" x14ac:dyDescent="0.25">
      <c r="A1053" s="27" t="s">
        <v>113</v>
      </c>
      <c r="B1053" s="2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</row>
    <row r="1054" spans="1:19" ht="16.5" customHeight="1" x14ac:dyDescent="0.25">
      <c r="A1054" s="9"/>
      <c r="B1054" s="51" t="s">
        <v>114</v>
      </c>
      <c r="C1054" s="52"/>
      <c r="D1054" s="52"/>
      <c r="E1054" s="52"/>
      <c r="F1054" s="52"/>
      <c r="G1054" s="53"/>
      <c r="H1054" s="20"/>
      <c r="I1054" s="9">
        <v>3</v>
      </c>
      <c r="J1054" s="9"/>
      <c r="K1054" s="9"/>
      <c r="L1054" s="9"/>
      <c r="M1054" s="9">
        <f t="shared" ref="M1054:M1062" si="150">I1054*O1054</f>
        <v>0</v>
      </c>
      <c r="N1054" s="9">
        <f t="shared" ref="N1054:N1062" si="151">I1054*P1054</f>
        <v>0</v>
      </c>
      <c r="O1054" s="9"/>
      <c r="P1054" s="9"/>
      <c r="Q1054" s="9"/>
      <c r="R1054" s="1">
        <v>0</v>
      </c>
      <c r="S1054" s="26"/>
    </row>
    <row r="1055" spans="1:19" ht="16.5" customHeight="1" x14ac:dyDescent="0.25">
      <c r="A1055" s="9"/>
      <c r="B1055" s="51" t="s">
        <v>115</v>
      </c>
      <c r="C1055" s="52"/>
      <c r="D1055" s="52"/>
      <c r="E1055" s="52"/>
      <c r="F1055" s="52"/>
      <c r="G1055" s="53"/>
      <c r="H1055" s="20"/>
      <c r="I1055" s="9">
        <v>3</v>
      </c>
      <c r="J1055" s="9"/>
      <c r="K1055" s="9"/>
      <c r="L1055" s="9"/>
      <c r="M1055" s="9">
        <f t="shared" si="150"/>
        <v>0</v>
      </c>
      <c r="N1055" s="9">
        <f t="shared" si="151"/>
        <v>0</v>
      </c>
      <c r="O1055" s="9"/>
      <c r="P1055" s="9"/>
      <c r="Q1055" s="9"/>
      <c r="R1055" s="1">
        <v>0</v>
      </c>
      <c r="S1055" s="26"/>
    </row>
    <row r="1056" spans="1:19" ht="16.5" customHeight="1" x14ac:dyDescent="0.25">
      <c r="A1056" s="9"/>
      <c r="B1056" s="51" t="s">
        <v>116</v>
      </c>
      <c r="C1056" s="52"/>
      <c r="D1056" s="52"/>
      <c r="E1056" s="52"/>
      <c r="F1056" s="52"/>
      <c r="G1056" s="53"/>
      <c r="H1056" s="20"/>
      <c r="I1056" s="9">
        <v>3</v>
      </c>
      <c r="J1056" s="9"/>
      <c r="K1056" s="9"/>
      <c r="L1056" s="9"/>
      <c r="M1056" s="9">
        <f t="shared" si="150"/>
        <v>0</v>
      </c>
      <c r="N1056" s="9">
        <f t="shared" si="151"/>
        <v>0</v>
      </c>
      <c r="O1056" s="9"/>
      <c r="P1056" s="9"/>
      <c r="Q1056" s="9"/>
      <c r="R1056" s="1">
        <v>0</v>
      </c>
      <c r="S1056" s="26"/>
    </row>
    <row r="1057" spans="1:19" ht="16.5" customHeight="1" x14ac:dyDescent="0.25">
      <c r="A1057" s="9"/>
      <c r="B1057" s="51" t="s">
        <v>117</v>
      </c>
      <c r="C1057" s="52"/>
      <c r="D1057" s="52"/>
      <c r="E1057" s="52"/>
      <c r="F1057" s="52"/>
      <c r="G1057" s="53"/>
      <c r="H1057" s="20"/>
      <c r="I1057" s="9">
        <v>1</v>
      </c>
      <c r="J1057" s="9"/>
      <c r="K1057" s="9"/>
      <c r="L1057" s="9"/>
      <c r="M1057" s="9">
        <f t="shared" si="150"/>
        <v>7</v>
      </c>
      <c r="N1057" s="9">
        <f t="shared" si="151"/>
        <v>3</v>
      </c>
      <c r="O1057" s="9">
        <v>7</v>
      </c>
      <c r="P1057" s="9">
        <v>3</v>
      </c>
      <c r="Q1057" s="9" t="s">
        <v>6</v>
      </c>
      <c r="R1057" s="1">
        <v>0</v>
      </c>
      <c r="S1057" s="26"/>
    </row>
    <row r="1058" spans="1:19" ht="16.5" customHeight="1" x14ac:dyDescent="0.25">
      <c r="A1058" s="9"/>
      <c r="B1058" s="51" t="s">
        <v>118</v>
      </c>
      <c r="C1058" s="52"/>
      <c r="D1058" s="52"/>
      <c r="E1058" s="52"/>
      <c r="F1058" s="52"/>
      <c r="G1058" s="53"/>
      <c r="H1058" s="20"/>
      <c r="I1058" s="9">
        <v>3</v>
      </c>
      <c r="J1058" s="9"/>
      <c r="K1058" s="9"/>
      <c r="L1058" s="9"/>
      <c r="M1058" s="9">
        <f t="shared" si="150"/>
        <v>0</v>
      </c>
      <c r="N1058" s="9">
        <f t="shared" si="151"/>
        <v>0</v>
      </c>
      <c r="O1058" s="9"/>
      <c r="P1058" s="9"/>
      <c r="Q1058" s="9"/>
      <c r="R1058" s="1">
        <v>0</v>
      </c>
      <c r="S1058" s="26"/>
    </row>
    <row r="1059" spans="1:19" ht="16.5" customHeight="1" x14ac:dyDescent="0.25">
      <c r="A1059" s="9"/>
      <c r="B1059" s="51" t="s">
        <v>119</v>
      </c>
      <c r="C1059" s="52"/>
      <c r="D1059" s="52"/>
      <c r="E1059" s="52"/>
      <c r="F1059" s="52"/>
      <c r="G1059" s="53"/>
      <c r="H1059" s="20"/>
      <c r="I1059" s="9">
        <v>3</v>
      </c>
      <c r="J1059" s="9"/>
      <c r="K1059" s="9"/>
      <c r="L1059" s="9"/>
      <c r="M1059" s="9">
        <f t="shared" si="150"/>
        <v>0</v>
      </c>
      <c r="N1059" s="9">
        <f t="shared" si="151"/>
        <v>0</v>
      </c>
      <c r="O1059" s="9"/>
      <c r="P1059" s="9"/>
      <c r="Q1059" s="9"/>
      <c r="R1059" s="1">
        <v>0</v>
      </c>
      <c r="S1059" s="26"/>
    </row>
    <row r="1060" spans="1:19" ht="16.5" customHeight="1" x14ac:dyDescent="0.25">
      <c r="A1060" s="9"/>
      <c r="B1060" s="51" t="s">
        <v>120</v>
      </c>
      <c r="C1060" s="52"/>
      <c r="D1060" s="52"/>
      <c r="E1060" s="52"/>
      <c r="F1060" s="52"/>
      <c r="G1060" s="53"/>
      <c r="H1060" s="20"/>
      <c r="I1060" s="9">
        <v>2</v>
      </c>
      <c r="J1060" s="9"/>
      <c r="K1060" s="9"/>
      <c r="L1060" s="9"/>
      <c r="M1060" s="9">
        <f t="shared" si="150"/>
        <v>15</v>
      </c>
      <c r="N1060" s="9">
        <f t="shared" si="151"/>
        <v>6</v>
      </c>
      <c r="O1060" s="9">
        <v>7.5</v>
      </c>
      <c r="P1060" s="9">
        <v>3</v>
      </c>
      <c r="Q1060" s="9" t="s">
        <v>6</v>
      </c>
      <c r="R1060" s="1">
        <v>0</v>
      </c>
      <c r="S1060" s="26"/>
    </row>
    <row r="1061" spans="1:19" ht="16.5" hidden="1" customHeight="1" x14ac:dyDescent="0.25">
      <c r="A1061" s="21"/>
      <c r="H1061" s="21"/>
      <c r="I1061" s="21"/>
      <c r="J1061" s="21"/>
      <c r="K1061" s="21"/>
      <c r="L1061" s="21"/>
      <c r="M1061" s="9">
        <f t="shared" si="150"/>
        <v>0</v>
      </c>
      <c r="N1061" s="9">
        <f t="shared" si="151"/>
        <v>0</v>
      </c>
      <c r="O1061" s="21"/>
      <c r="P1061" s="21"/>
      <c r="Q1061" s="21"/>
      <c r="S1061" s="25"/>
    </row>
    <row r="1062" spans="1:19" ht="16.5" customHeight="1" x14ac:dyDescent="0.25">
      <c r="A1062" s="9"/>
      <c r="B1062" s="39" t="s">
        <v>42</v>
      </c>
      <c r="C1062" s="40"/>
      <c r="D1062" s="40"/>
      <c r="E1062" s="40"/>
      <c r="F1062" s="40"/>
      <c r="G1062" s="41"/>
      <c r="H1062" s="23"/>
      <c r="I1062" s="24">
        <f>SUM(I1054:I1061)</f>
        <v>18</v>
      </c>
      <c r="J1062" s="9"/>
      <c r="K1062" s="9"/>
      <c r="L1062" s="9"/>
      <c r="M1062" s="9">
        <f t="shared" si="150"/>
        <v>21.96</v>
      </c>
      <c r="N1062" s="9">
        <f t="shared" si="151"/>
        <v>9</v>
      </c>
      <c r="O1062" s="24">
        <f>ROUND(SUM(M1054:M1061)/I1062,2)</f>
        <v>1.22</v>
      </c>
      <c r="P1062" s="24">
        <f>ROUND(SUM(N1054:N1061)/I1062,2)</f>
        <v>0.5</v>
      </c>
      <c r="Q1062" s="9"/>
      <c r="S1062" s="25"/>
    </row>
    <row r="1063" spans="1:19" ht="16.5" customHeight="1" x14ac:dyDescent="0.25">
      <c r="A1063" s="21"/>
      <c r="B1063" s="22"/>
      <c r="C1063" s="22"/>
      <c r="D1063" s="22"/>
      <c r="E1063" s="22"/>
      <c r="F1063" s="22"/>
      <c r="G1063" s="22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</row>
    <row r="1065" spans="1:19" ht="18" x14ac:dyDescent="0.25">
      <c r="A1065" s="35" t="s">
        <v>50</v>
      </c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</row>
    <row r="1066" spans="1:19" ht="18" x14ac:dyDescent="0.25">
      <c r="A1066" s="35" t="s">
        <v>177</v>
      </c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</row>
    <row r="1067" spans="1:19" ht="18" x14ac:dyDescent="0.25">
      <c r="A1067" s="35" t="s">
        <v>178</v>
      </c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</row>
    <row r="1068" spans="1:19" ht="18" x14ac:dyDescent="0.25">
      <c r="A1068" s="45" t="s">
        <v>126</v>
      </c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</row>
    <row r="1069" spans="1:19" ht="19.5" customHeight="1" x14ac:dyDescent="0.25">
      <c r="A1069" s="17"/>
      <c r="B1069" s="17"/>
      <c r="C1069" s="8"/>
      <c r="D1069" s="18"/>
      <c r="E1069" s="10"/>
      <c r="F1069" s="11"/>
      <c r="G1069" s="46" t="s">
        <v>49</v>
      </c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</row>
    <row r="1070" spans="1:19" ht="31.5" customHeight="1" x14ac:dyDescent="0.3">
      <c r="A1070" s="8"/>
      <c r="B1070" s="8"/>
      <c r="C1070" s="8"/>
      <c r="D1070" s="8"/>
      <c r="E1070" s="8"/>
      <c r="F1070" s="8"/>
      <c r="G1070" s="8"/>
      <c r="H1070" s="12"/>
      <c r="I1070" s="42" t="s">
        <v>40</v>
      </c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</row>
    <row r="1071" spans="1:19" ht="16.8" x14ac:dyDescent="0.3">
      <c r="A1071" s="8"/>
      <c r="B1071" s="8"/>
      <c r="C1071" s="8"/>
      <c r="D1071" s="8"/>
      <c r="E1071" s="8"/>
      <c r="F1071" s="8"/>
      <c r="G1071" s="8"/>
      <c r="H1071" s="12"/>
      <c r="I1071" s="12"/>
      <c r="J1071" s="12"/>
      <c r="K1071" s="12"/>
      <c r="L1071" s="8"/>
      <c r="M1071" s="8"/>
      <c r="N1071" s="8"/>
      <c r="O1071" s="8"/>
      <c r="P1071" s="8"/>
      <c r="Q1071" s="8"/>
    </row>
    <row r="1072" spans="1:19" ht="33" customHeight="1" x14ac:dyDescent="0.3">
      <c r="A1072" s="8"/>
      <c r="B1072" s="8"/>
      <c r="C1072" s="8"/>
      <c r="D1072" s="8"/>
      <c r="E1072" s="8"/>
      <c r="F1072" s="8"/>
      <c r="G1072" s="8"/>
      <c r="H1072" s="12"/>
      <c r="I1072" s="12"/>
      <c r="J1072" s="12"/>
      <c r="K1072" s="12"/>
      <c r="L1072" s="8"/>
      <c r="M1072" s="8"/>
      <c r="N1072" s="8"/>
      <c r="O1072" s="8"/>
      <c r="P1072" s="8"/>
      <c r="Q1072" s="8"/>
    </row>
    <row r="1073" spans="1:20" ht="11.25" customHeight="1" x14ac:dyDescent="0.3">
      <c r="A1073" s="8"/>
      <c r="B1073" s="8"/>
      <c r="C1073" s="8"/>
      <c r="D1073" s="8"/>
      <c r="E1073" s="8"/>
      <c r="F1073" s="8"/>
      <c r="G1073" s="8"/>
      <c r="H1073" s="12"/>
      <c r="I1073" s="12"/>
      <c r="J1073" s="12"/>
      <c r="K1073" s="12"/>
      <c r="L1073" s="8"/>
      <c r="M1073" s="8"/>
      <c r="N1073" s="8"/>
      <c r="O1073" s="8"/>
      <c r="P1073" s="8"/>
      <c r="Q1073" s="8"/>
    </row>
    <row r="1074" spans="1:20" ht="17.399999999999999" x14ac:dyDescent="0.3">
      <c r="A1074" s="8"/>
      <c r="B1074" s="8"/>
      <c r="C1074" s="8"/>
      <c r="D1074" s="8"/>
      <c r="E1074" s="8"/>
      <c r="F1074" s="8"/>
      <c r="G1074" s="47" t="s">
        <v>41</v>
      </c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</row>
    <row r="1075" spans="1:20" ht="54" customHeight="1" x14ac:dyDescent="0.25">
      <c r="A1075" s="48" t="s">
        <v>33</v>
      </c>
      <c r="B1075" s="48"/>
      <c r="C1075" s="48"/>
      <c r="D1075" s="48"/>
      <c r="E1075" s="48"/>
      <c r="F1075" s="42" t="s">
        <v>24</v>
      </c>
      <c r="G1075" s="42"/>
      <c r="H1075" s="42"/>
      <c r="I1075" s="42"/>
      <c r="J1075" s="42"/>
      <c r="K1075" s="42"/>
      <c r="L1075" s="42"/>
      <c r="M1075" s="42"/>
      <c r="N1075" s="42"/>
      <c r="O1075" s="42"/>
      <c r="P1075" s="42"/>
      <c r="Q1075" s="42"/>
      <c r="R1075" s="42"/>
      <c r="S1075" s="42"/>
    </row>
    <row r="1076" spans="1:20" ht="17.399999999999999" x14ac:dyDescent="0.25">
      <c r="A1076" s="49" t="s">
        <v>34</v>
      </c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/>
    </row>
    <row r="1077" spans="1:20" ht="4.5" customHeight="1" x14ac:dyDescent="0.25">
      <c r="A1077" s="50"/>
      <c r="B1077" s="50"/>
      <c r="C1077" s="50"/>
      <c r="D1077" s="50"/>
      <c r="E1077" s="50"/>
      <c r="F1077" s="50"/>
      <c r="G1077" s="50"/>
      <c r="H1077" s="50"/>
      <c r="I1077" s="50"/>
      <c r="J1077" s="50"/>
      <c r="K1077" s="50"/>
      <c r="L1077" s="50"/>
      <c r="M1077" s="50"/>
      <c r="N1077" s="50"/>
      <c r="O1077" s="50"/>
      <c r="P1077" s="50"/>
      <c r="Q1077" s="50"/>
    </row>
    <row r="1078" spans="1:20" ht="5.25" customHeight="1" x14ac:dyDescent="0.25">
      <c r="A1078" s="50"/>
      <c r="B1078" s="50"/>
      <c r="C1078" s="50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0"/>
      <c r="O1078" s="50"/>
      <c r="P1078" s="50"/>
      <c r="Q1078" s="50"/>
    </row>
    <row r="1079" spans="1:20" ht="16.5" customHeight="1" x14ac:dyDescent="0.25">
      <c r="A1079" s="54" t="s">
        <v>179</v>
      </c>
      <c r="B1079" s="54"/>
      <c r="C1079" s="54"/>
      <c r="D1079" s="54"/>
      <c r="E1079" s="54"/>
      <c r="F1079" s="54"/>
      <c r="G1079" s="58" t="s">
        <v>180</v>
      </c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</row>
    <row r="1080" spans="1:20" ht="16.5" customHeight="1" x14ac:dyDescent="0.25">
      <c r="A1080" s="54" t="s">
        <v>181</v>
      </c>
      <c r="B1080" s="54"/>
      <c r="C1080" s="54"/>
      <c r="D1080" s="54"/>
      <c r="E1080" s="54"/>
      <c r="F1080" s="54"/>
      <c r="G1080" s="8" t="s">
        <v>46</v>
      </c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T1080" s="2"/>
    </row>
    <row r="1081" spans="1:20" ht="16.5" customHeight="1" x14ac:dyDescent="0.25">
      <c r="A1081" s="54" t="s">
        <v>47</v>
      </c>
      <c r="B1081" s="54"/>
      <c r="C1081" s="54"/>
      <c r="D1081" s="54"/>
      <c r="E1081" s="54"/>
      <c r="F1081" s="54"/>
      <c r="G1081" s="58" t="s">
        <v>48</v>
      </c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</row>
    <row r="1082" spans="1:20" ht="5.25" customHeight="1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19"/>
      <c r="K1082" s="19"/>
      <c r="L1082" s="19"/>
      <c r="M1082" s="19"/>
      <c r="N1082" s="19"/>
      <c r="O1082" s="19"/>
      <c r="P1082" s="19"/>
      <c r="Q1082" s="19"/>
    </row>
    <row r="1083" spans="1:20" ht="15" customHeight="1" x14ac:dyDescent="0.25">
      <c r="A1083" s="36" t="s">
        <v>0</v>
      </c>
      <c r="B1083" s="29" t="s">
        <v>1</v>
      </c>
      <c r="C1083" s="30"/>
      <c r="D1083" s="30"/>
      <c r="E1083" s="30"/>
      <c r="F1083" s="30"/>
      <c r="G1083" s="31"/>
      <c r="H1083" s="36" t="s">
        <v>32</v>
      </c>
      <c r="I1083" s="36" t="s">
        <v>39</v>
      </c>
      <c r="J1083" s="55" t="s">
        <v>2</v>
      </c>
      <c r="K1083" s="56"/>
      <c r="L1083" s="56"/>
      <c r="M1083" s="56"/>
      <c r="N1083" s="56"/>
      <c r="O1083" s="56"/>
      <c r="P1083" s="56"/>
      <c r="Q1083" s="57"/>
      <c r="S1083" s="36" t="s">
        <v>38</v>
      </c>
    </row>
    <row r="1084" spans="1:20" ht="24" customHeight="1" x14ac:dyDescent="0.25">
      <c r="A1084" s="37"/>
      <c r="B1084" s="32"/>
      <c r="C1084" s="33"/>
      <c r="D1084" s="33"/>
      <c r="E1084" s="33"/>
      <c r="F1084" s="33"/>
      <c r="G1084" s="34"/>
      <c r="H1084" s="37"/>
      <c r="I1084" s="37"/>
      <c r="J1084" s="7" t="s">
        <v>28</v>
      </c>
      <c r="K1084" s="7" t="s">
        <v>29</v>
      </c>
      <c r="L1084" s="7" t="s">
        <v>30</v>
      </c>
      <c r="M1084" s="7"/>
      <c r="N1084" s="7"/>
      <c r="O1084" s="6" t="s">
        <v>35</v>
      </c>
      <c r="P1084" s="6" t="s">
        <v>36</v>
      </c>
      <c r="Q1084" s="6" t="s">
        <v>37</v>
      </c>
      <c r="S1084" s="37"/>
    </row>
    <row r="1085" spans="1:20" ht="20.25" customHeight="1" x14ac:dyDescent="0.25">
      <c r="A1085" s="27" t="s">
        <v>54</v>
      </c>
      <c r="B1085" s="28"/>
      <c r="C1085" s="28"/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</row>
    <row r="1086" spans="1:20" ht="16.5" customHeight="1" x14ac:dyDescent="0.25">
      <c r="A1086" s="9"/>
      <c r="B1086" s="51" t="s">
        <v>55</v>
      </c>
      <c r="C1086" s="52"/>
      <c r="D1086" s="52"/>
      <c r="E1086" s="52"/>
      <c r="F1086" s="52"/>
      <c r="G1086" s="53"/>
      <c r="H1086" s="20"/>
      <c r="I1086" s="9">
        <v>1</v>
      </c>
      <c r="J1086" s="9"/>
      <c r="K1086" s="9"/>
      <c r="L1086" s="9"/>
      <c r="M1086" s="9">
        <f t="shared" ref="M1086:M1094" si="152">I1086*O1086</f>
        <v>6</v>
      </c>
      <c r="N1086" s="9">
        <f t="shared" ref="N1086:N1094" si="153">I1086*P1086</f>
        <v>2</v>
      </c>
      <c r="O1086" s="9">
        <v>6</v>
      </c>
      <c r="P1086" s="9">
        <v>2</v>
      </c>
      <c r="Q1086" s="9" t="s">
        <v>3</v>
      </c>
      <c r="R1086" s="1">
        <v>0</v>
      </c>
      <c r="S1086" s="26"/>
    </row>
    <row r="1087" spans="1:20" ht="16.5" customHeight="1" x14ac:dyDescent="0.25">
      <c r="A1087" s="9"/>
      <c r="B1087" s="51" t="s">
        <v>56</v>
      </c>
      <c r="C1087" s="52"/>
      <c r="D1087" s="52"/>
      <c r="E1087" s="52"/>
      <c r="F1087" s="52"/>
      <c r="G1087" s="53"/>
      <c r="H1087" s="20"/>
      <c r="I1087" s="9">
        <v>3</v>
      </c>
      <c r="J1087" s="9"/>
      <c r="K1087" s="9"/>
      <c r="L1087" s="9"/>
      <c r="M1087" s="9">
        <f t="shared" si="152"/>
        <v>23.4</v>
      </c>
      <c r="N1087" s="9">
        <f t="shared" si="153"/>
        <v>9</v>
      </c>
      <c r="O1087" s="9">
        <v>7.8</v>
      </c>
      <c r="P1087" s="9">
        <v>3</v>
      </c>
      <c r="Q1087" s="9" t="s">
        <v>6</v>
      </c>
      <c r="R1087" s="1">
        <v>0</v>
      </c>
      <c r="S1087" s="26"/>
    </row>
    <row r="1088" spans="1:20" ht="31.2" customHeight="1" x14ac:dyDescent="0.25">
      <c r="A1088" s="9"/>
      <c r="B1088" s="51" t="s">
        <v>57</v>
      </c>
      <c r="C1088" s="52"/>
      <c r="D1088" s="52"/>
      <c r="E1088" s="52"/>
      <c r="F1088" s="52"/>
      <c r="G1088" s="53"/>
      <c r="H1088" s="20"/>
      <c r="I1088" s="9">
        <v>3</v>
      </c>
      <c r="J1088" s="9"/>
      <c r="K1088" s="9"/>
      <c r="L1088" s="9"/>
      <c r="M1088" s="9">
        <f t="shared" si="152"/>
        <v>22.799999999999997</v>
      </c>
      <c r="N1088" s="9">
        <f t="shared" si="153"/>
        <v>9</v>
      </c>
      <c r="O1088" s="9">
        <v>7.6</v>
      </c>
      <c r="P1088" s="9">
        <v>3</v>
      </c>
      <c r="Q1088" s="9" t="s">
        <v>6</v>
      </c>
      <c r="R1088" s="1">
        <v>0</v>
      </c>
      <c r="S1088" s="26"/>
    </row>
    <row r="1089" spans="1:19" ht="16.5" customHeight="1" x14ac:dyDescent="0.25">
      <c r="A1089" s="9"/>
      <c r="B1089" s="51" t="s">
        <v>58</v>
      </c>
      <c r="C1089" s="52"/>
      <c r="D1089" s="52"/>
      <c r="E1089" s="52"/>
      <c r="F1089" s="52"/>
      <c r="G1089" s="53"/>
      <c r="H1089" s="20"/>
      <c r="I1089" s="9">
        <v>1</v>
      </c>
      <c r="J1089" s="9"/>
      <c r="K1089" s="9"/>
      <c r="L1089" s="9"/>
      <c r="M1089" s="9">
        <f t="shared" si="152"/>
        <v>7.6</v>
      </c>
      <c r="N1089" s="9">
        <f t="shared" si="153"/>
        <v>3</v>
      </c>
      <c r="O1089" s="9">
        <v>7.6</v>
      </c>
      <c r="P1089" s="9">
        <v>3</v>
      </c>
      <c r="Q1089" s="9" t="s">
        <v>6</v>
      </c>
      <c r="R1089" s="1">
        <v>0</v>
      </c>
      <c r="S1089" s="26"/>
    </row>
    <row r="1090" spans="1:19" ht="16.5" customHeight="1" x14ac:dyDescent="0.25">
      <c r="A1090" s="9"/>
      <c r="B1090" s="51" t="s">
        <v>59</v>
      </c>
      <c r="C1090" s="52"/>
      <c r="D1090" s="52"/>
      <c r="E1090" s="52"/>
      <c r="F1090" s="52"/>
      <c r="G1090" s="53"/>
      <c r="H1090" s="20"/>
      <c r="I1090" s="9">
        <v>1</v>
      </c>
      <c r="J1090" s="9"/>
      <c r="K1090" s="9"/>
      <c r="L1090" s="9"/>
      <c r="M1090" s="9">
        <f t="shared" si="152"/>
        <v>8</v>
      </c>
      <c r="N1090" s="9">
        <f t="shared" si="153"/>
        <v>3.5</v>
      </c>
      <c r="O1090" s="9">
        <v>8</v>
      </c>
      <c r="P1090" s="9">
        <v>3.5</v>
      </c>
      <c r="Q1090" s="9" t="s">
        <v>9</v>
      </c>
      <c r="R1090" s="1">
        <v>0</v>
      </c>
      <c r="S1090" s="26"/>
    </row>
    <row r="1091" spans="1:19" ht="16.5" customHeight="1" x14ac:dyDescent="0.25">
      <c r="A1091" s="9"/>
      <c r="B1091" s="51" t="s">
        <v>60</v>
      </c>
      <c r="C1091" s="52"/>
      <c r="D1091" s="52"/>
      <c r="E1091" s="52"/>
      <c r="F1091" s="52"/>
      <c r="G1091" s="53"/>
      <c r="H1091" s="20"/>
      <c r="I1091" s="9">
        <v>3</v>
      </c>
      <c r="J1091" s="9"/>
      <c r="K1091" s="9"/>
      <c r="L1091" s="9"/>
      <c r="M1091" s="9">
        <f t="shared" si="152"/>
        <v>23.700000000000003</v>
      </c>
      <c r="N1091" s="9">
        <f t="shared" si="153"/>
        <v>9</v>
      </c>
      <c r="O1091" s="9">
        <v>7.9</v>
      </c>
      <c r="P1091" s="9">
        <v>3</v>
      </c>
      <c r="Q1091" s="9" t="s">
        <v>6</v>
      </c>
      <c r="R1091" s="1">
        <v>0</v>
      </c>
      <c r="S1091" s="26"/>
    </row>
    <row r="1092" spans="1:19" ht="16.5" customHeight="1" x14ac:dyDescent="0.25">
      <c r="A1092" s="9"/>
      <c r="B1092" s="51" t="s">
        <v>61</v>
      </c>
      <c r="C1092" s="52"/>
      <c r="D1092" s="52"/>
      <c r="E1092" s="52"/>
      <c r="F1092" s="52"/>
      <c r="G1092" s="53"/>
      <c r="H1092" s="20"/>
      <c r="I1092" s="9">
        <v>2</v>
      </c>
      <c r="J1092" s="9"/>
      <c r="K1092" s="9"/>
      <c r="L1092" s="9"/>
      <c r="M1092" s="9">
        <f t="shared" si="152"/>
        <v>14.8</v>
      </c>
      <c r="N1092" s="9">
        <f t="shared" si="153"/>
        <v>6</v>
      </c>
      <c r="O1092" s="9">
        <v>7.4</v>
      </c>
      <c r="P1092" s="9">
        <v>3</v>
      </c>
      <c r="Q1092" s="9" t="s">
        <v>6</v>
      </c>
      <c r="R1092" s="1">
        <v>0</v>
      </c>
      <c r="S1092" s="26"/>
    </row>
    <row r="1093" spans="1:19" ht="16.5" hidden="1" customHeight="1" x14ac:dyDescent="0.25">
      <c r="A1093" s="21"/>
      <c r="H1093" s="21"/>
      <c r="I1093" s="21"/>
      <c r="J1093" s="21"/>
      <c r="K1093" s="21"/>
      <c r="L1093" s="21"/>
      <c r="M1093" s="9">
        <f t="shared" si="152"/>
        <v>0</v>
      </c>
      <c r="N1093" s="9">
        <f t="shared" si="153"/>
        <v>0</v>
      </c>
      <c r="O1093" s="21"/>
      <c r="P1093" s="21"/>
      <c r="Q1093" s="21"/>
      <c r="S1093" s="25"/>
    </row>
    <row r="1094" spans="1:19" ht="16.5" customHeight="1" x14ac:dyDescent="0.25">
      <c r="A1094" s="9"/>
      <c r="B1094" s="39" t="s">
        <v>42</v>
      </c>
      <c r="C1094" s="40"/>
      <c r="D1094" s="40"/>
      <c r="E1094" s="40"/>
      <c r="F1094" s="40"/>
      <c r="G1094" s="41"/>
      <c r="H1094" s="23"/>
      <c r="I1094" s="24">
        <f>SUM(I1086:I1093)</f>
        <v>14</v>
      </c>
      <c r="J1094" s="9"/>
      <c r="K1094" s="9"/>
      <c r="L1094" s="9"/>
      <c r="M1094" s="9">
        <f t="shared" si="152"/>
        <v>106.25999999999999</v>
      </c>
      <c r="N1094" s="9">
        <f t="shared" si="153"/>
        <v>41.44</v>
      </c>
      <c r="O1094" s="24">
        <f>ROUND(SUM(M1086:M1093)/I1094,2)</f>
        <v>7.59</v>
      </c>
      <c r="P1094" s="24">
        <f>ROUND(SUM(N1086:N1093)/I1094,2)</f>
        <v>2.96</v>
      </c>
      <c r="Q1094" s="9"/>
      <c r="S1094" s="25"/>
    </row>
    <row r="1095" spans="1:19" ht="20.25" customHeight="1" x14ac:dyDescent="0.25">
      <c r="A1095" s="27" t="s">
        <v>62</v>
      </c>
      <c r="B1095" s="28"/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</row>
    <row r="1096" spans="1:19" ht="16.5" customHeight="1" x14ac:dyDescent="0.25">
      <c r="A1096" s="9"/>
      <c r="B1096" s="51" t="s">
        <v>63</v>
      </c>
      <c r="C1096" s="52"/>
      <c r="D1096" s="52"/>
      <c r="E1096" s="52"/>
      <c r="F1096" s="52"/>
      <c r="G1096" s="53"/>
      <c r="H1096" s="20"/>
      <c r="I1096" s="9">
        <v>4</v>
      </c>
      <c r="J1096" s="9"/>
      <c r="K1096" s="9"/>
      <c r="L1096" s="9"/>
      <c r="M1096" s="9">
        <f t="shared" ref="M1096:M1104" si="154">I1096*O1096</f>
        <v>34.799999999999997</v>
      </c>
      <c r="N1096" s="9">
        <f t="shared" ref="N1096:N1104" si="155">I1096*P1096</f>
        <v>14.8</v>
      </c>
      <c r="O1096" s="9">
        <v>8.6999999999999993</v>
      </c>
      <c r="P1096" s="9">
        <v>3.7</v>
      </c>
      <c r="Q1096" s="9" t="s">
        <v>10</v>
      </c>
      <c r="R1096" s="1">
        <v>0</v>
      </c>
      <c r="S1096" s="26"/>
    </row>
    <row r="1097" spans="1:19" ht="16.5" customHeight="1" x14ac:dyDescent="0.25">
      <c r="A1097" s="9"/>
      <c r="B1097" s="51" t="s">
        <v>64</v>
      </c>
      <c r="C1097" s="52"/>
      <c r="D1097" s="52"/>
      <c r="E1097" s="52"/>
      <c r="F1097" s="52"/>
      <c r="G1097" s="53"/>
      <c r="H1097" s="20"/>
      <c r="I1097" s="9">
        <v>4</v>
      </c>
      <c r="J1097" s="9"/>
      <c r="K1097" s="9"/>
      <c r="L1097" s="9"/>
      <c r="M1097" s="9">
        <f t="shared" si="154"/>
        <v>24</v>
      </c>
      <c r="N1097" s="9">
        <f t="shared" si="155"/>
        <v>8</v>
      </c>
      <c r="O1097" s="9">
        <v>6</v>
      </c>
      <c r="P1097" s="9">
        <v>2</v>
      </c>
      <c r="Q1097" s="9" t="s">
        <v>3</v>
      </c>
      <c r="R1097" s="1">
        <v>0</v>
      </c>
      <c r="S1097" s="26"/>
    </row>
    <row r="1098" spans="1:19" ht="16.5" customHeight="1" x14ac:dyDescent="0.25">
      <c r="A1098" s="9"/>
      <c r="B1098" s="51" t="s">
        <v>65</v>
      </c>
      <c r="C1098" s="52"/>
      <c r="D1098" s="52"/>
      <c r="E1098" s="52"/>
      <c r="F1098" s="52"/>
      <c r="G1098" s="53"/>
      <c r="H1098" s="20"/>
      <c r="I1098" s="9">
        <v>4</v>
      </c>
      <c r="J1098" s="9"/>
      <c r="K1098" s="9"/>
      <c r="L1098" s="9"/>
      <c r="M1098" s="9">
        <f t="shared" si="154"/>
        <v>28.8</v>
      </c>
      <c r="N1098" s="9">
        <f t="shared" si="155"/>
        <v>12</v>
      </c>
      <c r="O1098" s="9">
        <v>7.2</v>
      </c>
      <c r="P1098" s="9">
        <v>3</v>
      </c>
      <c r="Q1098" s="9" t="s">
        <v>6</v>
      </c>
      <c r="R1098" s="1">
        <v>0</v>
      </c>
      <c r="S1098" s="26"/>
    </row>
    <row r="1099" spans="1:19" ht="16.5" customHeight="1" x14ac:dyDescent="0.25">
      <c r="A1099" s="9"/>
      <c r="B1099" s="51" t="s">
        <v>66</v>
      </c>
      <c r="C1099" s="52"/>
      <c r="D1099" s="52"/>
      <c r="E1099" s="52"/>
      <c r="F1099" s="52"/>
      <c r="G1099" s="53"/>
      <c r="H1099" s="20"/>
      <c r="I1099" s="9">
        <v>1</v>
      </c>
      <c r="J1099" s="9"/>
      <c r="K1099" s="9"/>
      <c r="L1099" s="9"/>
      <c r="M1099" s="9">
        <f t="shared" si="154"/>
        <v>8</v>
      </c>
      <c r="N1099" s="9">
        <f t="shared" si="155"/>
        <v>3.5</v>
      </c>
      <c r="O1099" s="9">
        <v>8</v>
      </c>
      <c r="P1099" s="9">
        <v>3.5</v>
      </c>
      <c r="Q1099" s="9" t="s">
        <v>9</v>
      </c>
      <c r="R1099" s="1">
        <v>0</v>
      </c>
      <c r="S1099" s="26"/>
    </row>
    <row r="1100" spans="1:19" ht="16.5" customHeight="1" x14ac:dyDescent="0.25">
      <c r="A1100" s="9"/>
      <c r="B1100" s="51" t="s">
        <v>67</v>
      </c>
      <c r="C1100" s="52"/>
      <c r="D1100" s="52"/>
      <c r="E1100" s="52"/>
      <c r="F1100" s="52"/>
      <c r="G1100" s="53"/>
      <c r="H1100" s="20"/>
      <c r="I1100" s="9">
        <v>1</v>
      </c>
      <c r="J1100" s="9"/>
      <c r="K1100" s="9"/>
      <c r="L1100" s="9"/>
      <c r="M1100" s="9">
        <f t="shared" si="154"/>
        <v>7.1</v>
      </c>
      <c r="N1100" s="9">
        <f t="shared" si="155"/>
        <v>3</v>
      </c>
      <c r="O1100" s="9">
        <v>7.1</v>
      </c>
      <c r="P1100" s="9">
        <v>3</v>
      </c>
      <c r="Q1100" s="9" t="s">
        <v>6</v>
      </c>
      <c r="R1100" s="1">
        <v>0</v>
      </c>
      <c r="S1100" s="26"/>
    </row>
    <row r="1101" spans="1:19" ht="16.5" customHeight="1" x14ac:dyDescent="0.25">
      <c r="A1101" s="9"/>
      <c r="B1101" s="51" t="s">
        <v>68</v>
      </c>
      <c r="C1101" s="52"/>
      <c r="D1101" s="52"/>
      <c r="E1101" s="52"/>
      <c r="F1101" s="52"/>
      <c r="G1101" s="53"/>
      <c r="H1101" s="20"/>
      <c r="I1101" s="9">
        <v>1</v>
      </c>
      <c r="J1101" s="9"/>
      <c r="K1101" s="9"/>
      <c r="L1101" s="9"/>
      <c r="M1101" s="9">
        <f t="shared" si="154"/>
        <v>8</v>
      </c>
      <c r="N1101" s="9">
        <f t="shared" si="155"/>
        <v>3.5</v>
      </c>
      <c r="O1101" s="9">
        <v>8</v>
      </c>
      <c r="P1101" s="9">
        <v>3.5</v>
      </c>
      <c r="Q1101" s="9" t="s">
        <v>9</v>
      </c>
      <c r="R1101" s="1">
        <v>0</v>
      </c>
      <c r="S1101" s="26"/>
    </row>
    <row r="1102" spans="1:19" ht="16.5" customHeight="1" x14ac:dyDescent="0.25">
      <c r="A1102" s="9"/>
      <c r="B1102" s="51" t="s">
        <v>69</v>
      </c>
      <c r="C1102" s="52"/>
      <c r="D1102" s="52"/>
      <c r="E1102" s="52"/>
      <c r="F1102" s="52"/>
      <c r="G1102" s="53"/>
      <c r="H1102" s="20"/>
      <c r="I1102" s="9">
        <v>1</v>
      </c>
      <c r="J1102" s="9"/>
      <c r="K1102" s="9"/>
      <c r="L1102" s="9"/>
      <c r="M1102" s="9">
        <f t="shared" si="154"/>
        <v>7.8</v>
      </c>
      <c r="N1102" s="9">
        <f t="shared" si="155"/>
        <v>3</v>
      </c>
      <c r="O1102" s="9">
        <v>7.8</v>
      </c>
      <c r="P1102" s="9">
        <v>3</v>
      </c>
      <c r="Q1102" s="9" t="s">
        <v>6</v>
      </c>
      <c r="R1102" s="1">
        <v>0</v>
      </c>
      <c r="S1102" s="26"/>
    </row>
    <row r="1103" spans="1:19" ht="16.5" hidden="1" customHeight="1" x14ac:dyDescent="0.25">
      <c r="A1103" s="21"/>
      <c r="H1103" s="21"/>
      <c r="I1103" s="21"/>
      <c r="J1103" s="21"/>
      <c r="K1103" s="21"/>
      <c r="L1103" s="21"/>
      <c r="M1103" s="9">
        <f t="shared" si="154"/>
        <v>0</v>
      </c>
      <c r="N1103" s="9">
        <f t="shared" si="155"/>
        <v>0</v>
      </c>
      <c r="O1103" s="21"/>
      <c r="P1103" s="21"/>
      <c r="Q1103" s="21"/>
      <c r="S1103" s="25"/>
    </row>
    <row r="1104" spans="1:19" ht="16.5" customHeight="1" x14ac:dyDescent="0.25">
      <c r="A1104" s="9"/>
      <c r="B1104" s="39" t="s">
        <v>42</v>
      </c>
      <c r="C1104" s="40"/>
      <c r="D1104" s="40"/>
      <c r="E1104" s="40"/>
      <c r="F1104" s="40"/>
      <c r="G1104" s="41"/>
      <c r="H1104" s="23"/>
      <c r="I1104" s="24">
        <f>SUM(I1096:I1103)</f>
        <v>16</v>
      </c>
      <c r="J1104" s="9"/>
      <c r="K1104" s="9"/>
      <c r="L1104" s="9"/>
      <c r="M1104" s="9">
        <f t="shared" si="154"/>
        <v>118.56</v>
      </c>
      <c r="N1104" s="9">
        <f t="shared" si="155"/>
        <v>47.84</v>
      </c>
      <c r="O1104" s="24">
        <f>ROUND(SUM(M1096:M1103)/I1104,2)</f>
        <v>7.41</v>
      </c>
      <c r="P1104" s="24">
        <f>ROUND(SUM(N1096:N1103)/I1104,2)</f>
        <v>2.99</v>
      </c>
      <c r="Q1104" s="9"/>
      <c r="S1104" s="25"/>
    </row>
    <row r="1105" spans="1:19" ht="20.25" customHeight="1" x14ac:dyDescent="0.25">
      <c r="A1105" s="27" t="s">
        <v>70</v>
      </c>
      <c r="B1105" s="28"/>
      <c r="C1105" s="28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</row>
    <row r="1106" spans="1:19" ht="16.5" customHeight="1" x14ac:dyDescent="0.25">
      <c r="A1106" s="9"/>
      <c r="B1106" s="51" t="s">
        <v>71</v>
      </c>
      <c r="C1106" s="52"/>
      <c r="D1106" s="52"/>
      <c r="E1106" s="52"/>
      <c r="F1106" s="52"/>
      <c r="G1106" s="53"/>
      <c r="H1106" s="20"/>
      <c r="I1106" s="9">
        <v>4</v>
      </c>
      <c r="J1106" s="9"/>
      <c r="K1106" s="9"/>
      <c r="L1106" s="9"/>
      <c r="M1106" s="9">
        <f t="shared" ref="M1106:M1115" si="156">I1106*O1106</f>
        <v>37.200000000000003</v>
      </c>
      <c r="N1106" s="9">
        <f t="shared" ref="N1106:N1115" si="157">I1106*P1106</f>
        <v>16</v>
      </c>
      <c r="O1106" s="9">
        <v>9.3000000000000007</v>
      </c>
      <c r="P1106" s="9">
        <v>4</v>
      </c>
      <c r="Q1106" s="9" t="s">
        <v>12</v>
      </c>
      <c r="R1106" s="1">
        <v>0</v>
      </c>
      <c r="S1106" s="26"/>
    </row>
    <row r="1107" spans="1:19" ht="16.5" customHeight="1" x14ac:dyDescent="0.25">
      <c r="A1107" s="9"/>
      <c r="B1107" s="51" t="s">
        <v>72</v>
      </c>
      <c r="C1107" s="52"/>
      <c r="D1107" s="52"/>
      <c r="E1107" s="52"/>
      <c r="F1107" s="52"/>
      <c r="G1107" s="53"/>
      <c r="H1107" s="20"/>
      <c r="I1107" s="9">
        <v>4</v>
      </c>
      <c r="J1107" s="9"/>
      <c r="K1107" s="9"/>
      <c r="L1107" s="9"/>
      <c r="M1107" s="9">
        <f t="shared" si="156"/>
        <v>32.4</v>
      </c>
      <c r="N1107" s="9">
        <f t="shared" si="157"/>
        <v>14</v>
      </c>
      <c r="O1107" s="9">
        <v>8.1</v>
      </c>
      <c r="P1107" s="9">
        <v>3.5</v>
      </c>
      <c r="Q1107" s="9" t="s">
        <v>9</v>
      </c>
      <c r="R1107" s="1">
        <v>0</v>
      </c>
      <c r="S1107" s="26"/>
    </row>
    <row r="1108" spans="1:19" ht="16.5" customHeight="1" x14ac:dyDescent="0.25">
      <c r="A1108" s="9"/>
      <c r="B1108" s="51" t="s">
        <v>73</v>
      </c>
      <c r="C1108" s="52"/>
      <c r="D1108" s="52"/>
      <c r="E1108" s="52"/>
      <c r="F1108" s="52"/>
      <c r="G1108" s="53"/>
      <c r="H1108" s="20"/>
      <c r="I1108" s="9">
        <v>1</v>
      </c>
      <c r="J1108" s="9"/>
      <c r="K1108" s="9"/>
      <c r="L1108" s="9"/>
      <c r="M1108" s="9">
        <f t="shared" si="156"/>
        <v>7.8</v>
      </c>
      <c r="N1108" s="9">
        <f t="shared" si="157"/>
        <v>3</v>
      </c>
      <c r="O1108" s="9">
        <v>7.8</v>
      </c>
      <c r="P1108" s="9">
        <v>3</v>
      </c>
      <c r="Q1108" s="9" t="s">
        <v>6</v>
      </c>
      <c r="R1108" s="1">
        <v>0</v>
      </c>
      <c r="S1108" s="26"/>
    </row>
    <row r="1109" spans="1:19" ht="16.5" customHeight="1" x14ac:dyDescent="0.25">
      <c r="A1109" s="9"/>
      <c r="B1109" s="51" t="s">
        <v>74</v>
      </c>
      <c r="C1109" s="52"/>
      <c r="D1109" s="52"/>
      <c r="E1109" s="52"/>
      <c r="F1109" s="52"/>
      <c r="G1109" s="53"/>
      <c r="H1109" s="20"/>
      <c r="I1109" s="9">
        <v>2</v>
      </c>
      <c r="J1109" s="9"/>
      <c r="K1109" s="9"/>
      <c r="L1109" s="9"/>
      <c r="M1109" s="9">
        <f t="shared" si="156"/>
        <v>15.8</v>
      </c>
      <c r="N1109" s="9">
        <f t="shared" si="157"/>
        <v>6</v>
      </c>
      <c r="O1109" s="9">
        <v>7.9</v>
      </c>
      <c r="P1109" s="9">
        <v>3</v>
      </c>
      <c r="Q1109" s="9" t="s">
        <v>6</v>
      </c>
      <c r="R1109" s="1">
        <v>0</v>
      </c>
      <c r="S1109" s="26"/>
    </row>
    <row r="1110" spans="1:19" ht="16.5" customHeight="1" x14ac:dyDescent="0.25">
      <c r="A1110" s="9"/>
      <c r="B1110" s="51" t="s">
        <v>75</v>
      </c>
      <c r="C1110" s="52"/>
      <c r="D1110" s="52"/>
      <c r="E1110" s="52"/>
      <c r="F1110" s="52"/>
      <c r="G1110" s="53"/>
      <c r="H1110" s="20"/>
      <c r="I1110" s="9">
        <v>1</v>
      </c>
      <c r="J1110" s="9"/>
      <c r="K1110" s="9"/>
      <c r="L1110" s="9"/>
      <c r="M1110" s="9">
        <f t="shared" si="156"/>
        <v>6.4</v>
      </c>
      <c r="N1110" s="9">
        <f t="shared" si="157"/>
        <v>2</v>
      </c>
      <c r="O1110" s="9">
        <v>6.4</v>
      </c>
      <c r="P1110" s="9">
        <v>2</v>
      </c>
      <c r="Q1110" s="9" t="s">
        <v>3</v>
      </c>
      <c r="R1110" s="1">
        <v>0</v>
      </c>
      <c r="S1110" s="26"/>
    </row>
    <row r="1111" spans="1:19" ht="16.5" customHeight="1" x14ac:dyDescent="0.25">
      <c r="A1111" s="9"/>
      <c r="B1111" s="51" t="s">
        <v>76</v>
      </c>
      <c r="C1111" s="52"/>
      <c r="D1111" s="52"/>
      <c r="E1111" s="52"/>
      <c r="F1111" s="52"/>
      <c r="G1111" s="53"/>
      <c r="H1111" s="20"/>
      <c r="I1111" s="9">
        <v>4</v>
      </c>
      <c r="J1111" s="9"/>
      <c r="K1111" s="9"/>
      <c r="L1111" s="9"/>
      <c r="M1111" s="9">
        <f t="shared" si="156"/>
        <v>34</v>
      </c>
      <c r="N1111" s="9">
        <f t="shared" si="157"/>
        <v>14.8</v>
      </c>
      <c r="O1111" s="9">
        <v>8.5</v>
      </c>
      <c r="P1111" s="9">
        <v>3.7</v>
      </c>
      <c r="Q1111" s="9" t="s">
        <v>10</v>
      </c>
      <c r="R1111" s="1">
        <v>0</v>
      </c>
      <c r="S1111" s="26"/>
    </row>
    <row r="1112" spans="1:19" ht="16.5" customHeight="1" x14ac:dyDescent="0.25">
      <c r="A1112" s="9"/>
      <c r="B1112" s="51" t="s">
        <v>77</v>
      </c>
      <c r="C1112" s="52"/>
      <c r="D1112" s="52"/>
      <c r="E1112" s="52"/>
      <c r="F1112" s="52"/>
      <c r="G1112" s="53"/>
      <c r="H1112" s="20"/>
      <c r="I1112" s="9">
        <v>3</v>
      </c>
      <c r="J1112" s="9"/>
      <c r="K1112" s="9"/>
      <c r="L1112" s="9"/>
      <c r="M1112" s="9">
        <f t="shared" si="156"/>
        <v>22.799999999999997</v>
      </c>
      <c r="N1112" s="9">
        <f t="shared" si="157"/>
        <v>9</v>
      </c>
      <c r="O1112" s="9">
        <v>7.6</v>
      </c>
      <c r="P1112" s="9">
        <v>3</v>
      </c>
      <c r="Q1112" s="9" t="s">
        <v>6</v>
      </c>
      <c r="R1112" s="1">
        <v>0</v>
      </c>
      <c r="S1112" s="26"/>
    </row>
    <row r="1113" spans="1:19" ht="16.5" customHeight="1" x14ac:dyDescent="0.25">
      <c r="A1113" s="9"/>
      <c r="B1113" s="51" t="s">
        <v>78</v>
      </c>
      <c r="C1113" s="52"/>
      <c r="D1113" s="52"/>
      <c r="E1113" s="52"/>
      <c r="F1113" s="52"/>
      <c r="G1113" s="53"/>
      <c r="H1113" s="20"/>
      <c r="I1113" s="9">
        <v>4</v>
      </c>
      <c r="J1113" s="9"/>
      <c r="K1113" s="9"/>
      <c r="L1113" s="9"/>
      <c r="M1113" s="9">
        <f t="shared" si="156"/>
        <v>32.4</v>
      </c>
      <c r="N1113" s="9">
        <f t="shared" si="157"/>
        <v>14</v>
      </c>
      <c r="O1113" s="9">
        <v>8.1</v>
      </c>
      <c r="P1113" s="9">
        <v>3.5</v>
      </c>
      <c r="Q1113" s="9" t="s">
        <v>9</v>
      </c>
      <c r="R1113" s="1">
        <v>0</v>
      </c>
      <c r="S1113" s="26"/>
    </row>
    <row r="1114" spans="1:19" ht="16.5" hidden="1" customHeight="1" x14ac:dyDescent="0.25">
      <c r="A1114" s="21"/>
      <c r="H1114" s="21"/>
      <c r="I1114" s="21"/>
      <c r="J1114" s="21"/>
      <c r="K1114" s="21"/>
      <c r="L1114" s="21"/>
      <c r="M1114" s="9">
        <f t="shared" si="156"/>
        <v>0</v>
      </c>
      <c r="N1114" s="9">
        <f t="shared" si="157"/>
        <v>0</v>
      </c>
      <c r="O1114" s="21"/>
      <c r="P1114" s="21"/>
      <c r="Q1114" s="21"/>
      <c r="S1114" s="25"/>
    </row>
    <row r="1115" spans="1:19" ht="16.5" customHeight="1" x14ac:dyDescent="0.25">
      <c r="A1115" s="9"/>
      <c r="B1115" s="39" t="s">
        <v>42</v>
      </c>
      <c r="C1115" s="40"/>
      <c r="D1115" s="40"/>
      <c r="E1115" s="40"/>
      <c r="F1115" s="40"/>
      <c r="G1115" s="41"/>
      <c r="H1115" s="23"/>
      <c r="I1115" s="24">
        <f>SUM(I1106:I1114)</f>
        <v>23</v>
      </c>
      <c r="J1115" s="9"/>
      <c r="K1115" s="9"/>
      <c r="L1115" s="9"/>
      <c r="M1115" s="9">
        <f t="shared" si="156"/>
        <v>188.83</v>
      </c>
      <c r="N1115" s="9">
        <f t="shared" si="157"/>
        <v>78.89</v>
      </c>
      <c r="O1115" s="24">
        <f>ROUND(SUM(M1106:M1114)/I1115,2)</f>
        <v>8.2100000000000009</v>
      </c>
      <c r="P1115" s="24">
        <f>ROUND(SUM(N1106:N1114)/I1115,2)</f>
        <v>3.43</v>
      </c>
      <c r="Q1115" s="9"/>
      <c r="S1115" s="25"/>
    </row>
    <row r="1116" spans="1:19" ht="20.25" customHeight="1" x14ac:dyDescent="0.25">
      <c r="A1116" s="27" t="s">
        <v>79</v>
      </c>
      <c r="B1116" s="28"/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</row>
    <row r="1117" spans="1:19" ht="16.5" customHeight="1" x14ac:dyDescent="0.25">
      <c r="A1117" s="9"/>
      <c r="B1117" s="51" t="s">
        <v>80</v>
      </c>
      <c r="C1117" s="52"/>
      <c r="D1117" s="52"/>
      <c r="E1117" s="52"/>
      <c r="F1117" s="52"/>
      <c r="G1117" s="53"/>
      <c r="H1117" s="20"/>
      <c r="I1117" s="9">
        <v>3</v>
      </c>
      <c r="J1117" s="9"/>
      <c r="K1117" s="9"/>
      <c r="L1117" s="9"/>
      <c r="M1117" s="9">
        <f t="shared" ref="M1117:M1122" si="158">I1117*O1117</f>
        <v>18</v>
      </c>
      <c r="N1117" s="9">
        <f t="shared" ref="N1117:N1122" si="159">I1117*P1117</f>
        <v>6</v>
      </c>
      <c r="O1117" s="9">
        <v>6</v>
      </c>
      <c r="P1117" s="9">
        <v>2</v>
      </c>
      <c r="Q1117" s="9" t="s">
        <v>3</v>
      </c>
      <c r="R1117" s="1">
        <v>0</v>
      </c>
      <c r="S1117" s="26"/>
    </row>
    <row r="1118" spans="1:19" ht="16.5" customHeight="1" x14ac:dyDescent="0.25">
      <c r="A1118" s="9"/>
      <c r="B1118" s="51" t="s">
        <v>81</v>
      </c>
      <c r="C1118" s="52"/>
      <c r="D1118" s="52"/>
      <c r="E1118" s="52"/>
      <c r="F1118" s="52"/>
      <c r="G1118" s="53"/>
      <c r="H1118" s="20"/>
      <c r="I1118" s="9">
        <v>1</v>
      </c>
      <c r="J1118" s="9"/>
      <c r="K1118" s="9"/>
      <c r="L1118" s="9"/>
      <c r="M1118" s="9">
        <f t="shared" si="158"/>
        <v>6.1</v>
      </c>
      <c r="N1118" s="9">
        <f t="shared" si="159"/>
        <v>2</v>
      </c>
      <c r="O1118" s="9">
        <v>6.1</v>
      </c>
      <c r="P1118" s="9">
        <v>2</v>
      </c>
      <c r="Q1118" s="9" t="s">
        <v>3</v>
      </c>
      <c r="R1118" s="1">
        <v>0</v>
      </c>
      <c r="S1118" s="26"/>
    </row>
    <row r="1119" spans="1:19" ht="16.5" customHeight="1" x14ac:dyDescent="0.25">
      <c r="A1119" s="9"/>
      <c r="B1119" s="51" t="s">
        <v>82</v>
      </c>
      <c r="C1119" s="52"/>
      <c r="D1119" s="52"/>
      <c r="E1119" s="52"/>
      <c r="F1119" s="52"/>
      <c r="G1119" s="53"/>
      <c r="H1119" s="20"/>
      <c r="I1119" s="9">
        <v>3</v>
      </c>
      <c r="J1119" s="9"/>
      <c r="K1119" s="9"/>
      <c r="L1119" s="9"/>
      <c r="M1119" s="9">
        <f t="shared" si="158"/>
        <v>21.299999999999997</v>
      </c>
      <c r="N1119" s="9">
        <f t="shared" si="159"/>
        <v>9</v>
      </c>
      <c r="O1119" s="9">
        <v>7.1</v>
      </c>
      <c r="P1119" s="9">
        <v>3</v>
      </c>
      <c r="Q1119" s="9" t="s">
        <v>6</v>
      </c>
      <c r="R1119" s="1">
        <v>0</v>
      </c>
      <c r="S1119" s="26"/>
    </row>
    <row r="1120" spans="1:19" ht="16.5" customHeight="1" x14ac:dyDescent="0.25">
      <c r="A1120" s="9"/>
      <c r="B1120" s="51" t="s">
        <v>83</v>
      </c>
      <c r="C1120" s="52"/>
      <c r="D1120" s="52"/>
      <c r="E1120" s="52"/>
      <c r="F1120" s="52"/>
      <c r="G1120" s="53"/>
      <c r="H1120" s="20"/>
      <c r="I1120" s="9">
        <v>2</v>
      </c>
      <c r="J1120" s="9"/>
      <c r="K1120" s="9"/>
      <c r="L1120" s="9"/>
      <c r="M1120" s="9">
        <f t="shared" si="158"/>
        <v>14.8</v>
      </c>
      <c r="N1120" s="9">
        <f t="shared" si="159"/>
        <v>6</v>
      </c>
      <c r="O1120" s="9">
        <v>7.4</v>
      </c>
      <c r="P1120" s="9">
        <v>3</v>
      </c>
      <c r="Q1120" s="9" t="s">
        <v>6</v>
      </c>
      <c r="R1120" s="1">
        <v>0</v>
      </c>
      <c r="S1120" s="26"/>
    </row>
    <row r="1121" spans="1:19" ht="16.5" customHeight="1" x14ac:dyDescent="0.25">
      <c r="A1121" s="9"/>
      <c r="B1121" s="51" t="s">
        <v>84</v>
      </c>
      <c r="C1121" s="52"/>
      <c r="D1121" s="52"/>
      <c r="E1121" s="52"/>
      <c r="F1121" s="52"/>
      <c r="G1121" s="53"/>
      <c r="H1121" s="20"/>
      <c r="I1121" s="9">
        <v>2</v>
      </c>
      <c r="J1121" s="9"/>
      <c r="K1121" s="9"/>
      <c r="L1121" s="9"/>
      <c r="M1121" s="9">
        <f t="shared" si="158"/>
        <v>13.2</v>
      </c>
      <c r="N1121" s="9">
        <f t="shared" si="159"/>
        <v>5</v>
      </c>
      <c r="O1121" s="9">
        <v>6.6</v>
      </c>
      <c r="P1121" s="9">
        <v>2.5</v>
      </c>
      <c r="Q1121" s="9" t="s">
        <v>5</v>
      </c>
      <c r="R1121" s="1">
        <v>0</v>
      </c>
      <c r="S1121" s="26"/>
    </row>
    <row r="1122" spans="1:19" ht="16.5" customHeight="1" x14ac:dyDescent="0.25">
      <c r="A1122" s="9"/>
      <c r="B1122" s="51" t="s">
        <v>85</v>
      </c>
      <c r="C1122" s="52"/>
      <c r="D1122" s="52"/>
      <c r="E1122" s="52"/>
      <c r="F1122" s="52"/>
      <c r="G1122" s="53"/>
      <c r="H1122" s="20"/>
      <c r="I1122" s="9">
        <v>1</v>
      </c>
      <c r="J1122" s="9"/>
      <c r="K1122" s="9"/>
      <c r="L1122" s="9"/>
      <c r="M1122" s="9">
        <f t="shared" si="158"/>
        <v>7.5</v>
      </c>
      <c r="N1122" s="9">
        <f t="shared" si="159"/>
        <v>3</v>
      </c>
      <c r="O1122" s="9">
        <v>7.5</v>
      </c>
      <c r="P1122" s="9">
        <v>3</v>
      </c>
      <c r="Q1122" s="9" t="s">
        <v>6</v>
      </c>
      <c r="R1122" s="1">
        <v>0</v>
      </c>
      <c r="S1122" s="26"/>
    </row>
    <row r="1123" spans="1:19" ht="15" customHeight="1" x14ac:dyDescent="0.25">
      <c r="A1123" s="36" t="s">
        <v>0</v>
      </c>
      <c r="B1123" s="29" t="s">
        <v>1</v>
      </c>
      <c r="C1123" s="30"/>
      <c r="D1123" s="30"/>
      <c r="E1123" s="30"/>
      <c r="F1123" s="30"/>
      <c r="G1123" s="31"/>
      <c r="H1123" s="36" t="s">
        <v>32</v>
      </c>
      <c r="I1123" s="36" t="s">
        <v>39</v>
      </c>
      <c r="J1123" s="55" t="s">
        <v>2</v>
      </c>
      <c r="K1123" s="56"/>
      <c r="L1123" s="56"/>
      <c r="M1123" s="56"/>
      <c r="N1123" s="56"/>
      <c r="O1123" s="56"/>
      <c r="P1123" s="56"/>
      <c r="Q1123" s="57"/>
      <c r="S1123" s="36" t="s">
        <v>38</v>
      </c>
    </row>
    <row r="1124" spans="1:19" ht="24" customHeight="1" x14ac:dyDescent="0.25">
      <c r="A1124" s="37"/>
      <c r="B1124" s="32"/>
      <c r="C1124" s="33"/>
      <c r="D1124" s="33"/>
      <c r="E1124" s="33"/>
      <c r="F1124" s="33"/>
      <c r="G1124" s="34"/>
      <c r="H1124" s="37"/>
      <c r="I1124" s="37"/>
      <c r="J1124" s="7" t="s">
        <v>28</v>
      </c>
      <c r="K1124" s="7" t="s">
        <v>29</v>
      </c>
      <c r="L1124" s="7" t="s">
        <v>30</v>
      </c>
      <c r="M1124" s="7"/>
      <c r="N1124" s="7"/>
      <c r="O1124" s="6" t="s">
        <v>35</v>
      </c>
      <c r="P1124" s="6" t="s">
        <v>36</v>
      </c>
      <c r="Q1124" s="6" t="s">
        <v>37</v>
      </c>
      <c r="S1124" s="37"/>
    </row>
    <row r="1125" spans="1:19" ht="16.5" customHeight="1" x14ac:dyDescent="0.25">
      <c r="A1125" s="9"/>
      <c r="B1125" s="51" t="s">
        <v>86</v>
      </c>
      <c r="C1125" s="52"/>
      <c r="D1125" s="52"/>
      <c r="E1125" s="52"/>
      <c r="F1125" s="52"/>
      <c r="G1125" s="53"/>
      <c r="H1125" s="20"/>
      <c r="I1125" s="9">
        <v>2</v>
      </c>
      <c r="J1125" s="9"/>
      <c r="K1125" s="9"/>
      <c r="L1125" s="9"/>
      <c r="M1125" s="9">
        <f t="shared" ref="M1125:M1131" si="160">I1125*O1125</f>
        <v>14.8</v>
      </c>
      <c r="N1125" s="9">
        <f t="shared" ref="N1125:N1131" si="161">I1125*P1125</f>
        <v>6</v>
      </c>
      <c r="O1125" s="9">
        <v>7.4</v>
      </c>
      <c r="P1125" s="9">
        <v>3</v>
      </c>
      <c r="Q1125" s="9" t="s">
        <v>6</v>
      </c>
      <c r="R1125" s="1">
        <v>0</v>
      </c>
      <c r="S1125" s="26"/>
    </row>
    <row r="1126" spans="1:19" ht="16.5" customHeight="1" x14ac:dyDescent="0.25">
      <c r="A1126" s="9"/>
      <c r="B1126" s="51" t="s">
        <v>87</v>
      </c>
      <c r="C1126" s="52"/>
      <c r="D1126" s="52"/>
      <c r="E1126" s="52"/>
      <c r="F1126" s="52"/>
      <c r="G1126" s="53"/>
      <c r="H1126" s="20"/>
      <c r="I1126" s="9">
        <v>3</v>
      </c>
      <c r="J1126" s="9"/>
      <c r="K1126" s="9"/>
      <c r="L1126" s="9"/>
      <c r="M1126" s="9">
        <f t="shared" si="160"/>
        <v>23.4</v>
      </c>
      <c r="N1126" s="9">
        <f t="shared" si="161"/>
        <v>9</v>
      </c>
      <c r="O1126" s="9">
        <v>7.8</v>
      </c>
      <c r="P1126" s="9">
        <v>3</v>
      </c>
      <c r="Q1126" s="9" t="s">
        <v>6</v>
      </c>
      <c r="R1126" s="1">
        <v>0</v>
      </c>
      <c r="S1126" s="26"/>
    </row>
    <row r="1127" spans="1:19" ht="16.5" customHeight="1" x14ac:dyDescent="0.25">
      <c r="A1127" s="9"/>
      <c r="B1127" s="51" t="s">
        <v>88</v>
      </c>
      <c r="C1127" s="52"/>
      <c r="D1127" s="52"/>
      <c r="E1127" s="52"/>
      <c r="F1127" s="52"/>
      <c r="G1127" s="53"/>
      <c r="H1127" s="20"/>
      <c r="I1127" s="9">
        <v>4</v>
      </c>
      <c r="J1127" s="9"/>
      <c r="K1127" s="9"/>
      <c r="L1127" s="9"/>
      <c r="M1127" s="9">
        <f t="shared" si="160"/>
        <v>32</v>
      </c>
      <c r="N1127" s="9">
        <f t="shared" si="161"/>
        <v>14</v>
      </c>
      <c r="O1127" s="9">
        <v>8</v>
      </c>
      <c r="P1127" s="9">
        <v>3.5</v>
      </c>
      <c r="Q1127" s="9" t="s">
        <v>9</v>
      </c>
      <c r="R1127" s="1">
        <v>0</v>
      </c>
      <c r="S1127" s="26"/>
    </row>
    <row r="1128" spans="1:19" ht="16.5" customHeight="1" x14ac:dyDescent="0.25">
      <c r="A1128" s="9"/>
      <c r="B1128" s="51" t="s">
        <v>89</v>
      </c>
      <c r="C1128" s="52"/>
      <c r="D1128" s="52"/>
      <c r="E1128" s="52"/>
      <c r="F1128" s="52"/>
      <c r="G1128" s="53"/>
      <c r="H1128" s="20"/>
      <c r="I1128" s="9">
        <v>3</v>
      </c>
      <c r="J1128" s="9"/>
      <c r="K1128" s="9"/>
      <c r="L1128" s="9"/>
      <c r="M1128" s="9">
        <f t="shared" si="160"/>
        <v>27.900000000000002</v>
      </c>
      <c r="N1128" s="9">
        <f t="shared" si="161"/>
        <v>12</v>
      </c>
      <c r="O1128" s="9">
        <v>9.3000000000000007</v>
      </c>
      <c r="P1128" s="9">
        <v>4</v>
      </c>
      <c r="Q1128" s="9" t="s">
        <v>12</v>
      </c>
      <c r="R1128" s="1">
        <v>0</v>
      </c>
      <c r="S1128" s="26"/>
    </row>
    <row r="1129" spans="1:19" ht="16.5" customHeight="1" x14ac:dyDescent="0.25">
      <c r="A1129" s="9"/>
      <c r="B1129" s="51" t="s">
        <v>90</v>
      </c>
      <c r="C1129" s="52"/>
      <c r="D1129" s="52"/>
      <c r="E1129" s="52"/>
      <c r="F1129" s="52"/>
      <c r="G1129" s="53"/>
      <c r="H1129" s="20"/>
      <c r="I1129" s="9">
        <v>2</v>
      </c>
      <c r="J1129" s="9"/>
      <c r="K1129" s="9"/>
      <c r="L1129" s="9"/>
      <c r="M1129" s="9">
        <f t="shared" si="160"/>
        <v>15</v>
      </c>
      <c r="N1129" s="9">
        <f t="shared" si="161"/>
        <v>6</v>
      </c>
      <c r="O1129" s="9">
        <v>7.5</v>
      </c>
      <c r="P1129" s="9">
        <v>3</v>
      </c>
      <c r="Q1129" s="9" t="s">
        <v>6</v>
      </c>
      <c r="R1129" s="1">
        <v>0</v>
      </c>
      <c r="S1129" s="26"/>
    </row>
    <row r="1130" spans="1:19" ht="16.5" hidden="1" customHeight="1" x14ac:dyDescent="0.25">
      <c r="A1130" s="21"/>
      <c r="H1130" s="21"/>
      <c r="I1130" s="21"/>
      <c r="J1130" s="21"/>
      <c r="K1130" s="21"/>
      <c r="L1130" s="21"/>
      <c r="M1130" s="9">
        <f t="shared" si="160"/>
        <v>0</v>
      </c>
      <c r="N1130" s="9">
        <f t="shared" si="161"/>
        <v>0</v>
      </c>
      <c r="O1130" s="21"/>
      <c r="P1130" s="21"/>
      <c r="Q1130" s="21"/>
      <c r="S1130" s="25"/>
    </row>
    <row r="1131" spans="1:19" ht="16.5" customHeight="1" x14ac:dyDescent="0.25">
      <c r="A1131" s="9"/>
      <c r="B1131" s="39" t="s">
        <v>42</v>
      </c>
      <c r="C1131" s="40"/>
      <c r="D1131" s="40"/>
      <c r="E1131" s="40"/>
      <c r="F1131" s="40"/>
      <c r="G1131" s="41"/>
      <c r="H1131" s="23"/>
      <c r="I1131" s="24">
        <f>SUM(I1117:I1130)</f>
        <v>26</v>
      </c>
      <c r="J1131" s="9"/>
      <c r="K1131" s="9"/>
      <c r="L1131" s="9"/>
      <c r="M1131" s="9">
        <f t="shared" si="160"/>
        <v>193.96</v>
      </c>
      <c r="N1131" s="9">
        <f t="shared" si="161"/>
        <v>78</v>
      </c>
      <c r="O1131" s="24">
        <f>ROUND(SUM(M1117:M1130)/I1131,2)</f>
        <v>7.46</v>
      </c>
      <c r="P1131" s="24">
        <f>ROUND(SUM(N1117:N1130)/I1131,2)</f>
        <v>3</v>
      </c>
      <c r="Q1131" s="9"/>
      <c r="S1131" s="25"/>
    </row>
    <row r="1132" spans="1:19" ht="20.25" customHeight="1" x14ac:dyDescent="0.25">
      <c r="A1132" s="27" t="s">
        <v>91</v>
      </c>
      <c r="B1132" s="28"/>
      <c r="C1132" s="28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</row>
    <row r="1133" spans="1:19" ht="16.5" customHeight="1" x14ac:dyDescent="0.25">
      <c r="A1133" s="9"/>
      <c r="B1133" s="51" t="s">
        <v>92</v>
      </c>
      <c r="C1133" s="52"/>
      <c r="D1133" s="52"/>
      <c r="E1133" s="52"/>
      <c r="F1133" s="52"/>
      <c r="G1133" s="53"/>
      <c r="H1133" s="20"/>
      <c r="I1133" s="9">
        <v>1</v>
      </c>
      <c r="J1133" s="9"/>
      <c r="K1133" s="9"/>
      <c r="L1133" s="9"/>
      <c r="M1133" s="9">
        <f t="shared" ref="M1133:M1144" si="162">I1133*O1133</f>
        <v>7.9</v>
      </c>
      <c r="N1133" s="9">
        <f t="shared" ref="N1133:N1144" si="163">I1133*P1133</f>
        <v>3</v>
      </c>
      <c r="O1133" s="9">
        <v>7.9</v>
      </c>
      <c r="P1133" s="9">
        <v>3</v>
      </c>
      <c r="Q1133" s="9" t="s">
        <v>6</v>
      </c>
      <c r="R1133" s="1">
        <v>0</v>
      </c>
      <c r="S1133" s="26"/>
    </row>
    <row r="1134" spans="1:19" ht="16.5" customHeight="1" x14ac:dyDescent="0.25">
      <c r="A1134" s="9"/>
      <c r="B1134" s="51" t="s">
        <v>93</v>
      </c>
      <c r="C1134" s="52"/>
      <c r="D1134" s="52"/>
      <c r="E1134" s="52"/>
      <c r="F1134" s="52"/>
      <c r="G1134" s="53"/>
      <c r="H1134" s="20"/>
      <c r="I1134" s="9">
        <v>3</v>
      </c>
      <c r="J1134" s="9"/>
      <c r="K1134" s="9"/>
      <c r="L1134" s="9"/>
      <c r="M1134" s="9">
        <f t="shared" si="162"/>
        <v>21.299999999999997</v>
      </c>
      <c r="N1134" s="9">
        <f t="shared" si="163"/>
        <v>9</v>
      </c>
      <c r="O1134" s="9">
        <v>7.1</v>
      </c>
      <c r="P1134" s="9">
        <v>3</v>
      </c>
      <c r="Q1134" s="9" t="s">
        <v>6</v>
      </c>
      <c r="R1134" s="1">
        <v>0</v>
      </c>
      <c r="S1134" s="26"/>
    </row>
    <row r="1135" spans="1:19" ht="16.5" customHeight="1" x14ac:dyDescent="0.25">
      <c r="A1135" s="9"/>
      <c r="B1135" s="51" t="s">
        <v>94</v>
      </c>
      <c r="C1135" s="52"/>
      <c r="D1135" s="52"/>
      <c r="E1135" s="52"/>
      <c r="F1135" s="52"/>
      <c r="G1135" s="53"/>
      <c r="H1135" s="20"/>
      <c r="I1135" s="9">
        <v>3</v>
      </c>
      <c r="J1135" s="9"/>
      <c r="K1135" s="9"/>
      <c r="L1135" s="9"/>
      <c r="M1135" s="9">
        <f t="shared" si="162"/>
        <v>27.900000000000002</v>
      </c>
      <c r="N1135" s="9">
        <f t="shared" si="163"/>
        <v>12</v>
      </c>
      <c r="O1135" s="9">
        <v>9.3000000000000007</v>
      </c>
      <c r="P1135" s="9">
        <v>4</v>
      </c>
      <c r="Q1135" s="9" t="s">
        <v>12</v>
      </c>
      <c r="R1135" s="1">
        <v>0</v>
      </c>
      <c r="S1135" s="26"/>
    </row>
    <row r="1136" spans="1:19" ht="16.5" customHeight="1" x14ac:dyDescent="0.25">
      <c r="A1136" s="9"/>
      <c r="B1136" s="51" t="s">
        <v>95</v>
      </c>
      <c r="C1136" s="52"/>
      <c r="D1136" s="52"/>
      <c r="E1136" s="52"/>
      <c r="F1136" s="52"/>
      <c r="G1136" s="53"/>
      <c r="H1136" s="20"/>
      <c r="I1136" s="9">
        <v>1</v>
      </c>
      <c r="J1136" s="9"/>
      <c r="K1136" s="9"/>
      <c r="L1136" s="9"/>
      <c r="M1136" s="9">
        <f t="shared" si="162"/>
        <v>8.4</v>
      </c>
      <c r="N1136" s="9">
        <f t="shared" si="163"/>
        <v>3.5</v>
      </c>
      <c r="O1136" s="9">
        <v>8.4</v>
      </c>
      <c r="P1136" s="9">
        <v>3.5</v>
      </c>
      <c r="Q1136" s="9" t="s">
        <v>9</v>
      </c>
      <c r="R1136" s="1">
        <v>0</v>
      </c>
      <c r="S1136" s="26"/>
    </row>
    <row r="1137" spans="1:19" ht="16.5" customHeight="1" x14ac:dyDescent="0.25">
      <c r="A1137" s="9"/>
      <c r="B1137" s="51" t="s">
        <v>96</v>
      </c>
      <c r="C1137" s="52"/>
      <c r="D1137" s="52"/>
      <c r="E1137" s="52"/>
      <c r="F1137" s="52"/>
      <c r="G1137" s="53"/>
      <c r="H1137" s="20"/>
      <c r="I1137" s="9">
        <v>1</v>
      </c>
      <c r="J1137" s="9"/>
      <c r="K1137" s="9"/>
      <c r="L1137" s="9"/>
      <c r="M1137" s="9">
        <f t="shared" si="162"/>
        <v>7.8</v>
      </c>
      <c r="N1137" s="9">
        <f t="shared" si="163"/>
        <v>3</v>
      </c>
      <c r="O1137" s="9">
        <v>7.8</v>
      </c>
      <c r="P1137" s="9">
        <v>3</v>
      </c>
      <c r="Q1137" s="9" t="s">
        <v>6</v>
      </c>
      <c r="R1137" s="1">
        <v>0</v>
      </c>
      <c r="S1137" s="26"/>
    </row>
    <row r="1138" spans="1:19" ht="16.5" customHeight="1" x14ac:dyDescent="0.25">
      <c r="A1138" s="9"/>
      <c r="B1138" s="51" t="s">
        <v>97</v>
      </c>
      <c r="C1138" s="52"/>
      <c r="D1138" s="52"/>
      <c r="E1138" s="52"/>
      <c r="F1138" s="52"/>
      <c r="G1138" s="53"/>
      <c r="H1138" s="20"/>
      <c r="I1138" s="9">
        <v>2</v>
      </c>
      <c r="J1138" s="9"/>
      <c r="K1138" s="9"/>
      <c r="L1138" s="9"/>
      <c r="M1138" s="9">
        <f t="shared" si="162"/>
        <v>14.6</v>
      </c>
      <c r="N1138" s="9">
        <f t="shared" si="163"/>
        <v>6</v>
      </c>
      <c r="O1138" s="9">
        <v>7.3</v>
      </c>
      <c r="P1138" s="9">
        <v>3</v>
      </c>
      <c r="Q1138" s="9" t="s">
        <v>6</v>
      </c>
      <c r="R1138" s="1">
        <v>0</v>
      </c>
      <c r="S1138" s="26"/>
    </row>
    <row r="1139" spans="1:19" ht="16.5" customHeight="1" x14ac:dyDescent="0.25">
      <c r="A1139" s="9"/>
      <c r="B1139" s="51" t="s">
        <v>100</v>
      </c>
      <c r="C1139" s="52"/>
      <c r="D1139" s="52"/>
      <c r="E1139" s="52"/>
      <c r="F1139" s="52"/>
      <c r="G1139" s="53"/>
      <c r="H1139" s="20"/>
      <c r="I1139" s="9">
        <v>2</v>
      </c>
      <c r="J1139" s="9"/>
      <c r="K1139" s="9"/>
      <c r="L1139" s="9"/>
      <c r="M1139" s="9">
        <f t="shared" si="162"/>
        <v>15.4</v>
      </c>
      <c r="N1139" s="9">
        <f t="shared" si="163"/>
        <v>6</v>
      </c>
      <c r="O1139" s="9">
        <v>7.7</v>
      </c>
      <c r="P1139" s="9">
        <v>3</v>
      </c>
      <c r="Q1139" s="9" t="s">
        <v>6</v>
      </c>
      <c r="R1139" s="1">
        <v>0</v>
      </c>
      <c r="S1139" s="26"/>
    </row>
    <row r="1140" spans="1:19" ht="16.5" customHeight="1" x14ac:dyDescent="0.25">
      <c r="A1140" s="9"/>
      <c r="B1140" s="51" t="s">
        <v>99</v>
      </c>
      <c r="C1140" s="52"/>
      <c r="D1140" s="52"/>
      <c r="E1140" s="52"/>
      <c r="F1140" s="52"/>
      <c r="G1140" s="53"/>
      <c r="H1140" s="20"/>
      <c r="I1140" s="9">
        <v>2</v>
      </c>
      <c r="J1140" s="9"/>
      <c r="K1140" s="9"/>
      <c r="L1140" s="9"/>
      <c r="M1140" s="9">
        <f t="shared" si="162"/>
        <v>17.399999999999999</v>
      </c>
      <c r="N1140" s="9">
        <f t="shared" si="163"/>
        <v>7.4</v>
      </c>
      <c r="O1140" s="9">
        <v>8.6999999999999993</v>
      </c>
      <c r="P1140" s="9">
        <v>3.7</v>
      </c>
      <c r="Q1140" s="9" t="s">
        <v>10</v>
      </c>
      <c r="R1140" s="1">
        <v>0</v>
      </c>
      <c r="S1140" s="26"/>
    </row>
    <row r="1141" spans="1:19" ht="16.5" customHeight="1" x14ac:dyDescent="0.25">
      <c r="A1141" s="9"/>
      <c r="B1141" s="51" t="s">
        <v>98</v>
      </c>
      <c r="C1141" s="52"/>
      <c r="D1141" s="52"/>
      <c r="E1141" s="52"/>
      <c r="F1141" s="52"/>
      <c r="G1141" s="53"/>
      <c r="H1141" s="20"/>
      <c r="I1141" s="9">
        <v>2</v>
      </c>
      <c r="J1141" s="9"/>
      <c r="K1141" s="9"/>
      <c r="L1141" s="9"/>
      <c r="M1141" s="9">
        <f t="shared" si="162"/>
        <v>15.2</v>
      </c>
      <c r="N1141" s="9">
        <f t="shared" si="163"/>
        <v>6</v>
      </c>
      <c r="O1141" s="9">
        <v>7.6</v>
      </c>
      <c r="P1141" s="9">
        <v>3</v>
      </c>
      <c r="Q1141" s="9" t="s">
        <v>6</v>
      </c>
      <c r="R1141" s="1">
        <v>0</v>
      </c>
      <c r="S1141" s="26"/>
    </row>
    <row r="1142" spans="1:19" ht="16.5" customHeight="1" x14ac:dyDescent="0.25">
      <c r="A1142" s="9"/>
      <c r="B1142" s="51" t="s">
        <v>101</v>
      </c>
      <c r="C1142" s="52"/>
      <c r="D1142" s="52"/>
      <c r="E1142" s="52"/>
      <c r="F1142" s="52"/>
      <c r="G1142" s="53"/>
      <c r="H1142" s="20"/>
      <c r="I1142" s="9">
        <v>4</v>
      </c>
      <c r="J1142" s="9"/>
      <c r="K1142" s="9"/>
      <c r="L1142" s="9"/>
      <c r="M1142" s="9">
        <f t="shared" si="162"/>
        <v>33.200000000000003</v>
      </c>
      <c r="N1142" s="9">
        <f t="shared" si="163"/>
        <v>14</v>
      </c>
      <c r="O1142" s="9">
        <v>8.3000000000000007</v>
      </c>
      <c r="P1142" s="9">
        <v>3.5</v>
      </c>
      <c r="Q1142" s="9" t="s">
        <v>9</v>
      </c>
      <c r="R1142" s="1">
        <v>0</v>
      </c>
      <c r="S1142" s="26"/>
    </row>
    <row r="1143" spans="1:19" ht="16.5" hidden="1" customHeight="1" x14ac:dyDescent="0.25">
      <c r="A1143" s="21"/>
      <c r="H1143" s="21"/>
      <c r="I1143" s="21"/>
      <c r="J1143" s="21"/>
      <c r="K1143" s="21"/>
      <c r="L1143" s="21"/>
      <c r="M1143" s="9">
        <f t="shared" si="162"/>
        <v>0</v>
      </c>
      <c r="N1143" s="9">
        <f t="shared" si="163"/>
        <v>0</v>
      </c>
      <c r="O1143" s="21"/>
      <c r="P1143" s="21"/>
      <c r="Q1143" s="21"/>
      <c r="S1143" s="25"/>
    </row>
    <row r="1144" spans="1:19" ht="16.5" customHeight="1" x14ac:dyDescent="0.25">
      <c r="A1144" s="9"/>
      <c r="B1144" s="39" t="s">
        <v>42</v>
      </c>
      <c r="C1144" s="40"/>
      <c r="D1144" s="40"/>
      <c r="E1144" s="40"/>
      <c r="F1144" s="40"/>
      <c r="G1144" s="41"/>
      <c r="H1144" s="23"/>
      <c r="I1144" s="24">
        <f>SUM(I1133:I1143)</f>
        <v>21</v>
      </c>
      <c r="J1144" s="9"/>
      <c r="K1144" s="9"/>
      <c r="L1144" s="9"/>
      <c r="M1144" s="9">
        <f t="shared" si="162"/>
        <v>169.05</v>
      </c>
      <c r="N1144" s="9">
        <f t="shared" si="163"/>
        <v>69.930000000000007</v>
      </c>
      <c r="O1144" s="24">
        <f>ROUND(SUM(M1133:M1143)/I1144,2)</f>
        <v>8.0500000000000007</v>
      </c>
      <c r="P1144" s="24">
        <f>ROUND(SUM(N1133:N1143)/I1144,2)</f>
        <v>3.33</v>
      </c>
      <c r="Q1144" s="9"/>
      <c r="S1144" s="25"/>
    </row>
    <row r="1145" spans="1:19" ht="20.25" customHeight="1" x14ac:dyDescent="0.25">
      <c r="A1145" s="27" t="s">
        <v>102</v>
      </c>
      <c r="B1145" s="28"/>
      <c r="C1145" s="28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</row>
    <row r="1146" spans="1:19" ht="16.5" customHeight="1" x14ac:dyDescent="0.25">
      <c r="A1146" s="9"/>
      <c r="B1146" s="51" t="s">
        <v>103</v>
      </c>
      <c r="C1146" s="52"/>
      <c r="D1146" s="52"/>
      <c r="E1146" s="52"/>
      <c r="F1146" s="52"/>
      <c r="G1146" s="53"/>
      <c r="H1146" s="20"/>
      <c r="I1146" s="9">
        <v>1</v>
      </c>
      <c r="J1146" s="9"/>
      <c r="K1146" s="9"/>
      <c r="L1146" s="9"/>
      <c r="M1146" s="9">
        <f t="shared" ref="M1146:M1157" si="164">I1146*O1146</f>
        <v>7.2</v>
      </c>
      <c r="N1146" s="9">
        <f t="shared" ref="N1146:N1157" si="165">I1146*P1146</f>
        <v>3</v>
      </c>
      <c r="O1146" s="9">
        <v>7.2</v>
      </c>
      <c r="P1146" s="9">
        <v>3</v>
      </c>
      <c r="Q1146" s="9" t="s">
        <v>6</v>
      </c>
      <c r="R1146" s="1">
        <v>0</v>
      </c>
      <c r="S1146" s="26"/>
    </row>
    <row r="1147" spans="1:19" ht="16.5" customHeight="1" x14ac:dyDescent="0.25">
      <c r="A1147" s="9"/>
      <c r="B1147" s="51" t="s">
        <v>104</v>
      </c>
      <c r="C1147" s="52"/>
      <c r="D1147" s="52"/>
      <c r="E1147" s="52"/>
      <c r="F1147" s="52"/>
      <c r="G1147" s="53"/>
      <c r="H1147" s="20"/>
      <c r="I1147" s="9">
        <v>3</v>
      </c>
      <c r="J1147" s="9"/>
      <c r="K1147" s="9"/>
      <c r="L1147" s="9"/>
      <c r="M1147" s="9">
        <f t="shared" si="164"/>
        <v>22.799999999999997</v>
      </c>
      <c r="N1147" s="9">
        <f t="shared" si="165"/>
        <v>9</v>
      </c>
      <c r="O1147" s="9">
        <v>7.6</v>
      </c>
      <c r="P1147" s="9">
        <v>3</v>
      </c>
      <c r="Q1147" s="9" t="s">
        <v>6</v>
      </c>
      <c r="R1147" s="1">
        <v>0</v>
      </c>
      <c r="S1147" s="26"/>
    </row>
    <row r="1148" spans="1:19" ht="16.5" customHeight="1" x14ac:dyDescent="0.25">
      <c r="A1148" s="9"/>
      <c r="B1148" s="51" t="s">
        <v>105</v>
      </c>
      <c r="C1148" s="52"/>
      <c r="D1148" s="52"/>
      <c r="E1148" s="52"/>
      <c r="F1148" s="52"/>
      <c r="G1148" s="53"/>
      <c r="H1148" s="20"/>
      <c r="I1148" s="9">
        <v>3</v>
      </c>
      <c r="J1148" s="9"/>
      <c r="K1148" s="9"/>
      <c r="L1148" s="9"/>
      <c r="M1148" s="9">
        <f t="shared" si="164"/>
        <v>24.900000000000002</v>
      </c>
      <c r="N1148" s="9">
        <f t="shared" si="165"/>
        <v>10.5</v>
      </c>
      <c r="O1148" s="9">
        <v>8.3000000000000007</v>
      </c>
      <c r="P1148" s="9">
        <v>3.5</v>
      </c>
      <c r="Q1148" s="9" t="s">
        <v>9</v>
      </c>
      <c r="R1148" s="1">
        <v>0</v>
      </c>
      <c r="S1148" s="26"/>
    </row>
    <row r="1149" spans="1:19" ht="16.5" customHeight="1" x14ac:dyDescent="0.25">
      <c r="A1149" s="9"/>
      <c r="B1149" s="51" t="s">
        <v>106</v>
      </c>
      <c r="C1149" s="52"/>
      <c r="D1149" s="52"/>
      <c r="E1149" s="52"/>
      <c r="F1149" s="52"/>
      <c r="G1149" s="53"/>
      <c r="H1149" s="20"/>
      <c r="I1149" s="9">
        <v>3</v>
      </c>
      <c r="J1149" s="9"/>
      <c r="K1149" s="9"/>
      <c r="L1149" s="9"/>
      <c r="M1149" s="9">
        <f t="shared" si="164"/>
        <v>23.4</v>
      </c>
      <c r="N1149" s="9">
        <f t="shared" si="165"/>
        <v>9</v>
      </c>
      <c r="O1149" s="9">
        <v>7.8</v>
      </c>
      <c r="P1149" s="9">
        <v>3</v>
      </c>
      <c r="Q1149" s="9" t="s">
        <v>6</v>
      </c>
      <c r="R1149" s="1">
        <v>0</v>
      </c>
      <c r="S1149" s="26"/>
    </row>
    <row r="1150" spans="1:19" ht="16.5" customHeight="1" x14ac:dyDescent="0.25">
      <c r="A1150" s="9"/>
      <c r="B1150" s="51" t="s">
        <v>107</v>
      </c>
      <c r="C1150" s="52"/>
      <c r="D1150" s="52"/>
      <c r="E1150" s="52"/>
      <c r="F1150" s="52"/>
      <c r="G1150" s="53"/>
      <c r="H1150" s="20"/>
      <c r="I1150" s="9">
        <v>2</v>
      </c>
      <c r="J1150" s="9"/>
      <c r="K1150" s="9"/>
      <c r="L1150" s="9"/>
      <c r="M1150" s="9">
        <f t="shared" si="164"/>
        <v>15.6</v>
      </c>
      <c r="N1150" s="9">
        <f t="shared" si="165"/>
        <v>6</v>
      </c>
      <c r="O1150" s="9">
        <v>7.8</v>
      </c>
      <c r="P1150" s="9">
        <v>3</v>
      </c>
      <c r="Q1150" s="9" t="s">
        <v>6</v>
      </c>
      <c r="R1150" s="1">
        <v>0</v>
      </c>
      <c r="S1150" s="26"/>
    </row>
    <row r="1151" spans="1:19" ht="16.5" customHeight="1" x14ac:dyDescent="0.25">
      <c r="A1151" s="9"/>
      <c r="B1151" s="51" t="s">
        <v>108</v>
      </c>
      <c r="C1151" s="52"/>
      <c r="D1151" s="52"/>
      <c r="E1151" s="52"/>
      <c r="F1151" s="52"/>
      <c r="G1151" s="53"/>
      <c r="H1151" s="20"/>
      <c r="I1151" s="9">
        <v>2</v>
      </c>
      <c r="J1151" s="9"/>
      <c r="K1151" s="9"/>
      <c r="L1151" s="9"/>
      <c r="M1151" s="9">
        <f t="shared" si="164"/>
        <v>16.2</v>
      </c>
      <c r="N1151" s="9">
        <f t="shared" si="165"/>
        <v>7</v>
      </c>
      <c r="O1151" s="9">
        <v>8.1</v>
      </c>
      <c r="P1151" s="9">
        <v>3.5</v>
      </c>
      <c r="Q1151" s="9" t="s">
        <v>9</v>
      </c>
      <c r="R1151" s="1">
        <v>0</v>
      </c>
      <c r="S1151" s="26"/>
    </row>
    <row r="1152" spans="1:19" ht="16.5" customHeight="1" x14ac:dyDescent="0.25">
      <c r="A1152" s="9"/>
      <c r="B1152" s="51" t="s">
        <v>109</v>
      </c>
      <c r="C1152" s="52"/>
      <c r="D1152" s="52"/>
      <c r="E1152" s="52"/>
      <c r="F1152" s="52"/>
      <c r="G1152" s="53"/>
      <c r="H1152" s="20"/>
      <c r="I1152" s="9">
        <v>2</v>
      </c>
      <c r="J1152" s="9"/>
      <c r="K1152" s="9"/>
      <c r="L1152" s="9"/>
      <c r="M1152" s="9">
        <f t="shared" si="164"/>
        <v>14.8</v>
      </c>
      <c r="N1152" s="9">
        <f t="shared" si="165"/>
        <v>6</v>
      </c>
      <c r="O1152" s="9">
        <v>7.4</v>
      </c>
      <c r="P1152" s="9">
        <v>3</v>
      </c>
      <c r="Q1152" s="9" t="s">
        <v>6</v>
      </c>
      <c r="R1152" s="1">
        <v>0</v>
      </c>
      <c r="S1152" s="26"/>
    </row>
    <row r="1153" spans="1:19" ht="16.5" customHeight="1" x14ac:dyDescent="0.25">
      <c r="A1153" s="9"/>
      <c r="B1153" s="51" t="s">
        <v>110</v>
      </c>
      <c r="C1153" s="52"/>
      <c r="D1153" s="52"/>
      <c r="E1153" s="52"/>
      <c r="F1153" s="52"/>
      <c r="G1153" s="53"/>
      <c r="H1153" s="20"/>
      <c r="I1153" s="9">
        <v>4</v>
      </c>
      <c r="J1153" s="9"/>
      <c r="K1153" s="9"/>
      <c r="L1153" s="9"/>
      <c r="M1153" s="9">
        <f t="shared" si="164"/>
        <v>29.2</v>
      </c>
      <c r="N1153" s="9">
        <f t="shared" si="165"/>
        <v>12</v>
      </c>
      <c r="O1153" s="9">
        <v>7.3</v>
      </c>
      <c r="P1153" s="9">
        <v>3</v>
      </c>
      <c r="Q1153" s="9" t="s">
        <v>6</v>
      </c>
      <c r="R1153" s="1">
        <v>0</v>
      </c>
      <c r="S1153" s="26"/>
    </row>
    <row r="1154" spans="1:19" ht="16.5" customHeight="1" x14ac:dyDescent="0.25">
      <c r="A1154" s="9"/>
      <c r="B1154" s="51" t="s">
        <v>111</v>
      </c>
      <c r="C1154" s="52"/>
      <c r="D1154" s="52"/>
      <c r="E1154" s="52"/>
      <c r="F1154" s="52"/>
      <c r="G1154" s="53"/>
      <c r="H1154" s="20"/>
      <c r="I1154" s="9">
        <v>2</v>
      </c>
      <c r="J1154" s="9"/>
      <c r="K1154" s="9"/>
      <c r="L1154" s="9"/>
      <c r="M1154" s="9">
        <f t="shared" si="164"/>
        <v>14.8</v>
      </c>
      <c r="N1154" s="9">
        <f t="shared" si="165"/>
        <v>6</v>
      </c>
      <c r="O1154" s="9">
        <v>7.4</v>
      </c>
      <c r="P1154" s="9">
        <v>3</v>
      </c>
      <c r="Q1154" s="9" t="s">
        <v>6</v>
      </c>
      <c r="R1154" s="1">
        <v>0</v>
      </c>
      <c r="S1154" s="26"/>
    </row>
    <row r="1155" spans="1:19" ht="16.5" customHeight="1" x14ac:dyDescent="0.25">
      <c r="A1155" s="9"/>
      <c r="B1155" s="51" t="s">
        <v>112</v>
      </c>
      <c r="C1155" s="52"/>
      <c r="D1155" s="52"/>
      <c r="E1155" s="52"/>
      <c r="F1155" s="52"/>
      <c r="G1155" s="53"/>
      <c r="H1155" s="20"/>
      <c r="I1155" s="9">
        <v>3</v>
      </c>
      <c r="J1155" s="9"/>
      <c r="K1155" s="9"/>
      <c r="L1155" s="9"/>
      <c r="M1155" s="9">
        <f t="shared" si="164"/>
        <v>25.200000000000003</v>
      </c>
      <c r="N1155" s="9">
        <f t="shared" si="165"/>
        <v>10.5</v>
      </c>
      <c r="O1155" s="9">
        <v>8.4</v>
      </c>
      <c r="P1155" s="9">
        <v>3.5</v>
      </c>
      <c r="Q1155" s="9" t="s">
        <v>9</v>
      </c>
      <c r="R1155" s="1">
        <v>0</v>
      </c>
      <c r="S1155" s="26"/>
    </row>
    <row r="1156" spans="1:19" ht="16.5" hidden="1" customHeight="1" x14ac:dyDescent="0.25">
      <c r="A1156" s="21"/>
      <c r="H1156" s="21"/>
      <c r="I1156" s="21"/>
      <c r="J1156" s="21"/>
      <c r="K1156" s="21"/>
      <c r="L1156" s="21"/>
      <c r="M1156" s="9">
        <f t="shared" si="164"/>
        <v>0</v>
      </c>
      <c r="N1156" s="9">
        <f t="shared" si="165"/>
        <v>0</v>
      </c>
      <c r="O1156" s="21"/>
      <c r="P1156" s="21"/>
      <c r="Q1156" s="21"/>
      <c r="S1156" s="25"/>
    </row>
    <row r="1157" spans="1:19" ht="16.5" customHeight="1" x14ac:dyDescent="0.25">
      <c r="A1157" s="9"/>
      <c r="B1157" s="39" t="s">
        <v>42</v>
      </c>
      <c r="C1157" s="40"/>
      <c r="D1157" s="40"/>
      <c r="E1157" s="40"/>
      <c r="F1157" s="40"/>
      <c r="G1157" s="41"/>
      <c r="H1157" s="23"/>
      <c r="I1157" s="24">
        <f>SUM(I1146:I1156)</f>
        <v>25</v>
      </c>
      <c r="J1157" s="9"/>
      <c r="K1157" s="9"/>
      <c r="L1157" s="9"/>
      <c r="M1157" s="9">
        <f t="shared" si="164"/>
        <v>194</v>
      </c>
      <c r="N1157" s="9">
        <f t="shared" si="165"/>
        <v>79</v>
      </c>
      <c r="O1157" s="24">
        <f>ROUND(SUM(M1146:M1156)/I1157,2)</f>
        <v>7.76</v>
      </c>
      <c r="P1157" s="24">
        <f>ROUND(SUM(N1146:N1156)/I1157,2)</f>
        <v>3.16</v>
      </c>
      <c r="Q1157" s="9"/>
      <c r="S1157" s="25"/>
    </row>
    <row r="1158" spans="1:19" ht="20.25" customHeight="1" x14ac:dyDescent="0.25">
      <c r="A1158" s="27" t="s">
        <v>113</v>
      </c>
      <c r="B1158" s="28"/>
      <c r="C1158" s="28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</row>
    <row r="1159" spans="1:19" ht="16.5" customHeight="1" x14ac:dyDescent="0.25">
      <c r="A1159" s="9"/>
      <c r="B1159" s="51" t="s">
        <v>114</v>
      </c>
      <c r="C1159" s="52"/>
      <c r="D1159" s="52"/>
      <c r="E1159" s="52"/>
      <c r="F1159" s="52"/>
      <c r="G1159" s="53"/>
      <c r="H1159" s="20"/>
      <c r="I1159" s="9">
        <v>3</v>
      </c>
      <c r="J1159" s="9"/>
      <c r="K1159" s="9"/>
      <c r="L1159" s="9"/>
      <c r="M1159" s="9">
        <f t="shared" ref="M1159:M1167" si="166">I1159*O1159</f>
        <v>0</v>
      </c>
      <c r="N1159" s="9">
        <f t="shared" ref="N1159:N1167" si="167">I1159*P1159</f>
        <v>0</v>
      </c>
      <c r="O1159" s="9"/>
      <c r="P1159" s="9"/>
      <c r="Q1159" s="9"/>
      <c r="R1159" s="1">
        <v>0</v>
      </c>
      <c r="S1159" s="26"/>
    </row>
    <row r="1160" spans="1:19" ht="16.5" customHeight="1" x14ac:dyDescent="0.25">
      <c r="A1160" s="9"/>
      <c r="B1160" s="51" t="s">
        <v>115</v>
      </c>
      <c r="C1160" s="52"/>
      <c r="D1160" s="52"/>
      <c r="E1160" s="52"/>
      <c r="F1160" s="52"/>
      <c r="G1160" s="53"/>
      <c r="H1160" s="20"/>
      <c r="I1160" s="9">
        <v>3</v>
      </c>
      <c r="J1160" s="9"/>
      <c r="K1160" s="9"/>
      <c r="L1160" s="9"/>
      <c r="M1160" s="9">
        <f t="shared" si="166"/>
        <v>0</v>
      </c>
      <c r="N1160" s="9">
        <f t="shared" si="167"/>
        <v>0</v>
      </c>
      <c r="O1160" s="9"/>
      <c r="P1160" s="9"/>
      <c r="Q1160" s="9"/>
      <c r="R1160" s="1">
        <v>0</v>
      </c>
      <c r="S1160" s="26"/>
    </row>
    <row r="1161" spans="1:19" ht="16.5" customHeight="1" x14ac:dyDescent="0.25">
      <c r="A1161" s="9"/>
      <c r="B1161" s="51" t="s">
        <v>116</v>
      </c>
      <c r="C1161" s="52"/>
      <c r="D1161" s="52"/>
      <c r="E1161" s="52"/>
      <c r="F1161" s="52"/>
      <c r="G1161" s="53"/>
      <c r="H1161" s="20"/>
      <c r="I1161" s="9">
        <v>3</v>
      </c>
      <c r="J1161" s="9"/>
      <c r="K1161" s="9"/>
      <c r="L1161" s="9"/>
      <c r="M1161" s="9">
        <f t="shared" si="166"/>
        <v>0</v>
      </c>
      <c r="N1161" s="9">
        <f t="shared" si="167"/>
        <v>0</v>
      </c>
      <c r="O1161" s="9"/>
      <c r="P1161" s="9"/>
      <c r="Q1161" s="9"/>
      <c r="R1161" s="1">
        <v>0</v>
      </c>
      <c r="S1161" s="26"/>
    </row>
    <row r="1162" spans="1:19" ht="16.5" customHeight="1" x14ac:dyDescent="0.25">
      <c r="A1162" s="9"/>
      <c r="B1162" s="51" t="s">
        <v>117</v>
      </c>
      <c r="C1162" s="52"/>
      <c r="D1162" s="52"/>
      <c r="E1162" s="52"/>
      <c r="F1162" s="52"/>
      <c r="G1162" s="53"/>
      <c r="H1162" s="20"/>
      <c r="I1162" s="9">
        <v>1</v>
      </c>
      <c r="J1162" s="9"/>
      <c r="K1162" s="9"/>
      <c r="L1162" s="9"/>
      <c r="M1162" s="9">
        <f t="shared" si="166"/>
        <v>7.7</v>
      </c>
      <c r="N1162" s="9">
        <f t="shared" si="167"/>
        <v>3</v>
      </c>
      <c r="O1162" s="9">
        <v>7.7</v>
      </c>
      <c r="P1162" s="9">
        <v>3</v>
      </c>
      <c r="Q1162" s="9" t="s">
        <v>6</v>
      </c>
      <c r="R1162" s="1">
        <v>0</v>
      </c>
      <c r="S1162" s="26"/>
    </row>
    <row r="1163" spans="1:19" ht="16.5" customHeight="1" x14ac:dyDescent="0.25">
      <c r="A1163" s="9"/>
      <c r="B1163" s="51" t="s">
        <v>118</v>
      </c>
      <c r="C1163" s="52"/>
      <c r="D1163" s="52"/>
      <c r="E1163" s="52"/>
      <c r="F1163" s="52"/>
      <c r="G1163" s="53"/>
      <c r="H1163" s="20"/>
      <c r="I1163" s="9">
        <v>3</v>
      </c>
      <c r="J1163" s="9"/>
      <c r="K1163" s="9"/>
      <c r="L1163" s="9"/>
      <c r="M1163" s="9">
        <f t="shared" si="166"/>
        <v>0</v>
      </c>
      <c r="N1163" s="9">
        <f t="shared" si="167"/>
        <v>0</v>
      </c>
      <c r="O1163" s="9"/>
      <c r="P1163" s="9"/>
      <c r="Q1163" s="9"/>
      <c r="R1163" s="1">
        <v>0</v>
      </c>
      <c r="S1163" s="26"/>
    </row>
    <row r="1164" spans="1:19" ht="16.5" customHeight="1" x14ac:dyDescent="0.25">
      <c r="A1164" s="9"/>
      <c r="B1164" s="51" t="s">
        <v>119</v>
      </c>
      <c r="C1164" s="52"/>
      <c r="D1164" s="52"/>
      <c r="E1164" s="52"/>
      <c r="F1164" s="52"/>
      <c r="G1164" s="53"/>
      <c r="H1164" s="20"/>
      <c r="I1164" s="9">
        <v>3</v>
      </c>
      <c r="J1164" s="9"/>
      <c r="K1164" s="9"/>
      <c r="L1164" s="9"/>
      <c r="M1164" s="9">
        <f t="shared" si="166"/>
        <v>0</v>
      </c>
      <c r="N1164" s="9">
        <f t="shared" si="167"/>
        <v>0</v>
      </c>
      <c r="O1164" s="9"/>
      <c r="P1164" s="9"/>
      <c r="Q1164" s="9"/>
      <c r="R1164" s="1">
        <v>0</v>
      </c>
      <c r="S1164" s="26"/>
    </row>
    <row r="1165" spans="1:19" ht="16.5" customHeight="1" x14ac:dyDescent="0.25">
      <c r="A1165" s="9"/>
      <c r="B1165" s="51" t="s">
        <v>120</v>
      </c>
      <c r="C1165" s="52"/>
      <c r="D1165" s="52"/>
      <c r="E1165" s="52"/>
      <c r="F1165" s="52"/>
      <c r="G1165" s="53"/>
      <c r="H1165" s="20"/>
      <c r="I1165" s="9">
        <v>2</v>
      </c>
      <c r="J1165" s="9"/>
      <c r="K1165" s="9"/>
      <c r="L1165" s="9"/>
      <c r="M1165" s="9">
        <f t="shared" si="166"/>
        <v>12</v>
      </c>
      <c r="N1165" s="9">
        <f t="shared" si="167"/>
        <v>4</v>
      </c>
      <c r="O1165" s="9">
        <v>6</v>
      </c>
      <c r="P1165" s="9">
        <v>2</v>
      </c>
      <c r="Q1165" s="9" t="s">
        <v>3</v>
      </c>
      <c r="R1165" s="1">
        <v>0</v>
      </c>
      <c r="S1165" s="26"/>
    </row>
    <row r="1166" spans="1:19" ht="16.5" hidden="1" customHeight="1" x14ac:dyDescent="0.25">
      <c r="A1166" s="21"/>
      <c r="H1166" s="21"/>
      <c r="I1166" s="21"/>
      <c r="J1166" s="21"/>
      <c r="K1166" s="21"/>
      <c r="L1166" s="21"/>
      <c r="M1166" s="9">
        <f t="shared" si="166"/>
        <v>0</v>
      </c>
      <c r="N1166" s="9">
        <f t="shared" si="167"/>
        <v>0</v>
      </c>
      <c r="O1166" s="21"/>
      <c r="P1166" s="21"/>
      <c r="Q1166" s="21"/>
      <c r="S1166" s="25"/>
    </row>
    <row r="1167" spans="1:19" ht="16.5" customHeight="1" x14ac:dyDescent="0.25">
      <c r="A1167" s="9"/>
      <c r="B1167" s="39" t="s">
        <v>42</v>
      </c>
      <c r="C1167" s="40"/>
      <c r="D1167" s="40"/>
      <c r="E1167" s="40"/>
      <c r="F1167" s="40"/>
      <c r="G1167" s="41"/>
      <c r="H1167" s="23"/>
      <c r="I1167" s="24">
        <f>SUM(I1159:I1166)</f>
        <v>18</v>
      </c>
      <c r="J1167" s="9"/>
      <c r="K1167" s="9"/>
      <c r="L1167" s="9"/>
      <c r="M1167" s="9">
        <f t="shared" si="166"/>
        <v>19.62</v>
      </c>
      <c r="N1167" s="9">
        <f t="shared" si="167"/>
        <v>7.0200000000000005</v>
      </c>
      <c r="O1167" s="24">
        <f>ROUND(SUM(M1159:M1166)/I1167,2)</f>
        <v>1.0900000000000001</v>
      </c>
      <c r="P1167" s="24">
        <f>ROUND(SUM(N1159:N1166)/I1167,2)</f>
        <v>0.39</v>
      </c>
      <c r="Q1167" s="9"/>
      <c r="S1167" s="25"/>
    </row>
    <row r="1168" spans="1:19" ht="16.5" customHeight="1" x14ac:dyDescent="0.25">
      <c r="A1168" s="21"/>
      <c r="B1168" s="22"/>
      <c r="C1168" s="22"/>
      <c r="D1168" s="22"/>
      <c r="E1168" s="22"/>
      <c r="F1168" s="22"/>
      <c r="G1168" s="22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</row>
    <row r="1170" spans="1:19" ht="18" x14ac:dyDescent="0.25">
      <c r="A1170" s="35" t="s">
        <v>50</v>
      </c>
      <c r="B1170" s="35"/>
      <c r="C1170" s="35"/>
      <c r="D1170" s="35"/>
      <c r="E1170" s="35"/>
      <c r="F1170" s="35"/>
      <c r="G1170" s="35"/>
      <c r="H1170" s="35"/>
      <c r="I1170" s="35"/>
      <c r="J1170" s="35"/>
      <c r="K1170" s="35"/>
      <c r="L1170" s="35"/>
      <c r="M1170" s="35"/>
      <c r="N1170" s="35"/>
      <c r="O1170" s="35"/>
      <c r="P1170" s="35"/>
      <c r="Q1170" s="35"/>
      <c r="R1170" s="35"/>
      <c r="S1170" s="35"/>
    </row>
    <row r="1171" spans="1:19" ht="18" x14ac:dyDescent="0.25">
      <c r="A1171" s="35" t="s">
        <v>182</v>
      </c>
      <c r="B1171" s="35"/>
      <c r="C1171" s="35"/>
      <c r="D1171" s="35"/>
      <c r="E1171" s="35"/>
      <c r="F1171" s="35"/>
      <c r="G1171" s="35"/>
      <c r="H1171" s="35"/>
      <c r="I1171" s="35"/>
      <c r="J1171" s="35"/>
      <c r="K1171" s="35"/>
      <c r="L1171" s="35"/>
      <c r="M1171" s="35"/>
      <c r="N1171" s="35"/>
      <c r="O1171" s="35"/>
      <c r="P1171" s="35"/>
      <c r="Q1171" s="35"/>
      <c r="R1171" s="35"/>
      <c r="S1171" s="35"/>
    </row>
    <row r="1172" spans="1:19" ht="18" x14ac:dyDescent="0.25">
      <c r="A1172" s="35" t="s">
        <v>183</v>
      </c>
      <c r="B1172" s="35"/>
      <c r="C1172" s="35"/>
      <c r="D1172" s="35"/>
      <c r="E1172" s="35"/>
      <c r="F1172" s="35"/>
      <c r="G1172" s="35"/>
      <c r="H1172" s="35"/>
      <c r="I1172" s="35"/>
      <c r="J1172" s="35"/>
      <c r="K1172" s="35"/>
      <c r="L1172" s="35"/>
      <c r="M1172" s="35"/>
      <c r="N1172" s="35"/>
      <c r="O1172" s="35"/>
      <c r="P1172" s="35"/>
      <c r="Q1172" s="35"/>
      <c r="R1172" s="35"/>
      <c r="S1172" s="35"/>
    </row>
    <row r="1173" spans="1:19" ht="18" x14ac:dyDescent="0.25">
      <c r="A1173" s="45" t="s">
        <v>53</v>
      </c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</row>
    <row r="1174" spans="1:19" ht="19.5" customHeight="1" x14ac:dyDescent="0.25">
      <c r="A1174" s="17"/>
      <c r="B1174" s="17"/>
      <c r="C1174" s="8"/>
      <c r="D1174" s="18"/>
      <c r="E1174" s="10"/>
      <c r="F1174" s="11"/>
      <c r="G1174" s="46" t="s">
        <v>49</v>
      </c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</row>
    <row r="1175" spans="1:19" ht="31.5" customHeight="1" x14ac:dyDescent="0.3">
      <c r="A1175" s="8"/>
      <c r="B1175" s="8"/>
      <c r="C1175" s="8"/>
      <c r="D1175" s="8"/>
      <c r="E1175" s="8"/>
      <c r="F1175" s="8"/>
      <c r="G1175" s="8"/>
      <c r="H1175" s="12"/>
      <c r="I1175" s="42" t="s">
        <v>40</v>
      </c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</row>
    <row r="1176" spans="1:19" ht="16.8" x14ac:dyDescent="0.3">
      <c r="A1176" s="8"/>
      <c r="B1176" s="8"/>
      <c r="C1176" s="8"/>
      <c r="D1176" s="8"/>
      <c r="E1176" s="8"/>
      <c r="F1176" s="8"/>
      <c r="G1176" s="8"/>
      <c r="H1176" s="12"/>
      <c r="I1176" s="12"/>
      <c r="J1176" s="12"/>
      <c r="K1176" s="12"/>
      <c r="L1176" s="8"/>
      <c r="M1176" s="8"/>
      <c r="N1176" s="8"/>
      <c r="O1176" s="8"/>
      <c r="P1176" s="8"/>
      <c r="Q1176" s="8"/>
    </row>
    <row r="1177" spans="1:19" ht="33" customHeight="1" x14ac:dyDescent="0.3">
      <c r="A1177" s="8"/>
      <c r="B1177" s="8"/>
      <c r="C1177" s="8"/>
      <c r="D1177" s="8"/>
      <c r="E1177" s="8"/>
      <c r="F1177" s="8"/>
      <c r="G1177" s="8"/>
      <c r="H1177" s="12"/>
      <c r="I1177" s="12"/>
      <c r="J1177" s="12"/>
      <c r="K1177" s="12"/>
      <c r="L1177" s="8"/>
      <c r="M1177" s="8"/>
      <c r="N1177" s="8"/>
      <c r="O1177" s="8"/>
      <c r="P1177" s="8"/>
      <c r="Q1177" s="8"/>
    </row>
    <row r="1178" spans="1:19" ht="11.25" customHeight="1" x14ac:dyDescent="0.3">
      <c r="A1178" s="8"/>
      <c r="B1178" s="8"/>
      <c r="C1178" s="8"/>
      <c r="D1178" s="8"/>
      <c r="E1178" s="8"/>
      <c r="F1178" s="8"/>
      <c r="G1178" s="8"/>
      <c r="H1178" s="12"/>
      <c r="I1178" s="12"/>
      <c r="J1178" s="12"/>
      <c r="K1178" s="12"/>
      <c r="L1178" s="8"/>
      <c r="M1178" s="8"/>
      <c r="N1178" s="8"/>
      <c r="O1178" s="8"/>
      <c r="P1178" s="8"/>
      <c r="Q1178" s="8"/>
    </row>
    <row r="1179" spans="1:19" ht="17.399999999999999" x14ac:dyDescent="0.3">
      <c r="A1179" s="8"/>
      <c r="B1179" s="8"/>
      <c r="C1179" s="8"/>
      <c r="D1179" s="8"/>
      <c r="E1179" s="8"/>
      <c r="F1179" s="8"/>
      <c r="G1179" s="47" t="s">
        <v>41</v>
      </c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  <c r="S1179" s="47"/>
    </row>
    <row r="1180" spans="1:19" ht="54" customHeight="1" x14ac:dyDescent="0.25">
      <c r="A1180" s="48" t="s">
        <v>33</v>
      </c>
      <c r="B1180" s="48"/>
      <c r="C1180" s="48"/>
      <c r="D1180" s="48"/>
      <c r="E1180" s="48"/>
      <c r="F1180" s="42" t="s">
        <v>24</v>
      </c>
      <c r="G1180" s="42"/>
      <c r="H1180" s="42"/>
      <c r="I1180" s="42"/>
      <c r="J1180" s="42"/>
      <c r="K1180" s="42"/>
      <c r="L1180" s="42"/>
      <c r="M1180" s="42"/>
      <c r="N1180" s="42"/>
      <c r="O1180" s="42"/>
      <c r="P1180" s="42"/>
      <c r="Q1180" s="42"/>
      <c r="R1180" s="42"/>
      <c r="S1180" s="42"/>
    </row>
    <row r="1181" spans="1:19" ht="17.399999999999999" x14ac:dyDescent="0.25">
      <c r="A1181" s="49" t="s">
        <v>34</v>
      </c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49"/>
      <c r="N1181" s="49"/>
      <c r="O1181" s="49"/>
      <c r="P1181" s="49"/>
      <c r="Q1181" s="49"/>
    </row>
    <row r="1182" spans="1:19" ht="4.5" customHeight="1" x14ac:dyDescent="0.25">
      <c r="A1182" s="50"/>
      <c r="B1182" s="50"/>
      <c r="C1182" s="50"/>
      <c r="D1182" s="50"/>
      <c r="E1182" s="50"/>
      <c r="F1182" s="50"/>
      <c r="G1182" s="50"/>
      <c r="H1182" s="50"/>
      <c r="I1182" s="50"/>
      <c r="J1182" s="50"/>
      <c r="K1182" s="50"/>
      <c r="L1182" s="50"/>
      <c r="M1182" s="50"/>
      <c r="N1182" s="50"/>
      <c r="O1182" s="50"/>
      <c r="P1182" s="50"/>
      <c r="Q1182" s="50"/>
    </row>
    <row r="1183" spans="1:19" ht="5.25" customHeight="1" x14ac:dyDescent="0.25">
      <c r="A1183" s="50"/>
      <c r="B1183" s="50"/>
      <c r="C1183" s="50"/>
      <c r="D1183" s="50"/>
      <c r="E1183" s="50"/>
      <c r="F1183" s="50"/>
      <c r="G1183" s="50"/>
      <c r="H1183" s="50"/>
      <c r="I1183" s="50"/>
      <c r="J1183" s="50"/>
      <c r="K1183" s="50"/>
      <c r="L1183" s="50"/>
      <c r="M1183" s="50"/>
      <c r="N1183" s="50"/>
      <c r="O1183" s="50"/>
      <c r="P1183" s="50"/>
      <c r="Q1183" s="50"/>
    </row>
    <row r="1184" spans="1:19" ht="16.5" customHeight="1" x14ac:dyDescent="0.25">
      <c r="A1184" s="54" t="s">
        <v>184</v>
      </c>
      <c r="B1184" s="54"/>
      <c r="C1184" s="54"/>
      <c r="D1184" s="54"/>
      <c r="E1184" s="54"/>
      <c r="F1184" s="54"/>
      <c r="G1184" s="58" t="s">
        <v>185</v>
      </c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</row>
    <row r="1185" spans="1:20" ht="16.5" customHeight="1" x14ac:dyDescent="0.25">
      <c r="A1185" s="54" t="s">
        <v>186</v>
      </c>
      <c r="B1185" s="54"/>
      <c r="C1185" s="54"/>
      <c r="D1185" s="54"/>
      <c r="E1185" s="54"/>
      <c r="F1185" s="54"/>
      <c r="G1185" s="8" t="s">
        <v>46</v>
      </c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T1185" s="2"/>
    </row>
    <row r="1186" spans="1:20" ht="16.5" customHeight="1" x14ac:dyDescent="0.25">
      <c r="A1186" s="54" t="s">
        <v>47</v>
      </c>
      <c r="B1186" s="54"/>
      <c r="C1186" s="54"/>
      <c r="D1186" s="54"/>
      <c r="E1186" s="54"/>
      <c r="F1186" s="54"/>
      <c r="G1186" s="58" t="s">
        <v>48</v>
      </c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</row>
    <row r="1187" spans="1:20" ht="5.25" customHeight="1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19"/>
      <c r="K1187" s="19"/>
      <c r="L1187" s="19"/>
      <c r="M1187" s="19"/>
      <c r="N1187" s="19"/>
      <c r="O1187" s="19"/>
      <c r="P1187" s="19"/>
      <c r="Q1187" s="19"/>
    </row>
    <row r="1188" spans="1:20" ht="15" customHeight="1" x14ac:dyDescent="0.25">
      <c r="A1188" s="36" t="s">
        <v>0</v>
      </c>
      <c r="B1188" s="29" t="s">
        <v>1</v>
      </c>
      <c r="C1188" s="30"/>
      <c r="D1188" s="30"/>
      <c r="E1188" s="30"/>
      <c r="F1188" s="30"/>
      <c r="G1188" s="31"/>
      <c r="H1188" s="36" t="s">
        <v>32</v>
      </c>
      <c r="I1188" s="36" t="s">
        <v>39</v>
      </c>
      <c r="J1188" s="55" t="s">
        <v>2</v>
      </c>
      <c r="K1188" s="56"/>
      <c r="L1188" s="56"/>
      <c r="M1188" s="56"/>
      <c r="N1188" s="56"/>
      <c r="O1188" s="56"/>
      <c r="P1188" s="56"/>
      <c r="Q1188" s="57"/>
      <c r="S1188" s="36" t="s">
        <v>38</v>
      </c>
    </row>
    <row r="1189" spans="1:20" ht="24" customHeight="1" x14ac:dyDescent="0.25">
      <c r="A1189" s="37"/>
      <c r="B1189" s="32"/>
      <c r="C1189" s="33"/>
      <c r="D1189" s="33"/>
      <c r="E1189" s="33"/>
      <c r="F1189" s="33"/>
      <c r="G1189" s="34"/>
      <c r="H1189" s="37"/>
      <c r="I1189" s="37"/>
      <c r="J1189" s="7" t="s">
        <v>28</v>
      </c>
      <c r="K1189" s="7" t="s">
        <v>29</v>
      </c>
      <c r="L1189" s="7" t="s">
        <v>30</v>
      </c>
      <c r="M1189" s="7"/>
      <c r="N1189" s="7"/>
      <c r="O1189" s="6" t="s">
        <v>35</v>
      </c>
      <c r="P1189" s="6" t="s">
        <v>36</v>
      </c>
      <c r="Q1189" s="6" t="s">
        <v>37</v>
      </c>
      <c r="S1189" s="37"/>
    </row>
    <row r="1190" spans="1:20" ht="20.25" customHeight="1" x14ac:dyDescent="0.25">
      <c r="A1190" s="27" t="s">
        <v>54</v>
      </c>
      <c r="B1190" s="28"/>
      <c r="C1190" s="28"/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</row>
    <row r="1191" spans="1:20" ht="16.5" customHeight="1" x14ac:dyDescent="0.25">
      <c r="A1191" s="9"/>
      <c r="B1191" s="51" t="s">
        <v>61</v>
      </c>
      <c r="C1191" s="52"/>
      <c r="D1191" s="52"/>
      <c r="E1191" s="52"/>
      <c r="F1191" s="52"/>
      <c r="G1191" s="53"/>
      <c r="H1191" s="20"/>
      <c r="I1191" s="9">
        <v>2</v>
      </c>
      <c r="J1191" s="9"/>
      <c r="K1191" s="9"/>
      <c r="L1191" s="9"/>
      <c r="M1191" s="9">
        <f t="shared" ref="M1191:M1199" si="168">I1191*O1191</f>
        <v>14.2</v>
      </c>
      <c r="N1191" s="9">
        <f t="shared" ref="N1191:N1199" si="169">I1191*P1191</f>
        <v>6</v>
      </c>
      <c r="O1191" s="9">
        <v>7.1</v>
      </c>
      <c r="P1191" s="9">
        <v>3</v>
      </c>
      <c r="Q1191" s="9" t="s">
        <v>6</v>
      </c>
      <c r="R1191" s="1">
        <v>0</v>
      </c>
      <c r="S1191" s="26"/>
    </row>
    <row r="1192" spans="1:20" ht="16.5" customHeight="1" x14ac:dyDescent="0.25">
      <c r="A1192" s="9"/>
      <c r="B1192" s="51" t="s">
        <v>56</v>
      </c>
      <c r="C1192" s="52"/>
      <c r="D1192" s="52"/>
      <c r="E1192" s="52"/>
      <c r="F1192" s="52"/>
      <c r="G1192" s="53"/>
      <c r="H1192" s="20"/>
      <c r="I1192" s="9">
        <v>3</v>
      </c>
      <c r="J1192" s="9"/>
      <c r="K1192" s="9"/>
      <c r="L1192" s="9"/>
      <c r="M1192" s="9">
        <f t="shared" si="168"/>
        <v>21.9</v>
      </c>
      <c r="N1192" s="9">
        <f t="shared" si="169"/>
        <v>9</v>
      </c>
      <c r="O1192" s="9">
        <v>7.3</v>
      </c>
      <c r="P1192" s="9">
        <v>3</v>
      </c>
      <c r="Q1192" s="9" t="s">
        <v>6</v>
      </c>
      <c r="R1192" s="1">
        <v>0</v>
      </c>
      <c r="S1192" s="26"/>
    </row>
    <row r="1193" spans="1:20" ht="31.2" customHeight="1" x14ac:dyDescent="0.25">
      <c r="A1193" s="9"/>
      <c r="B1193" s="51" t="s">
        <v>57</v>
      </c>
      <c r="C1193" s="52"/>
      <c r="D1193" s="52"/>
      <c r="E1193" s="52"/>
      <c r="F1193" s="52"/>
      <c r="G1193" s="53"/>
      <c r="H1193" s="20"/>
      <c r="I1193" s="9">
        <v>3</v>
      </c>
      <c r="J1193" s="9"/>
      <c r="K1193" s="9"/>
      <c r="L1193" s="9"/>
      <c r="M1193" s="9">
        <f t="shared" si="168"/>
        <v>22.799999999999997</v>
      </c>
      <c r="N1193" s="9">
        <f t="shared" si="169"/>
        <v>9</v>
      </c>
      <c r="O1193" s="9">
        <v>7.6</v>
      </c>
      <c r="P1193" s="9">
        <v>3</v>
      </c>
      <c r="Q1193" s="9" t="s">
        <v>6</v>
      </c>
      <c r="R1193" s="1">
        <v>0</v>
      </c>
      <c r="S1193" s="26"/>
    </row>
    <row r="1194" spans="1:20" ht="16.5" customHeight="1" x14ac:dyDescent="0.25">
      <c r="A1194" s="9"/>
      <c r="B1194" s="51" t="s">
        <v>58</v>
      </c>
      <c r="C1194" s="52"/>
      <c r="D1194" s="52"/>
      <c r="E1194" s="52"/>
      <c r="F1194" s="52"/>
      <c r="G1194" s="53"/>
      <c r="H1194" s="20"/>
      <c r="I1194" s="9">
        <v>1</v>
      </c>
      <c r="J1194" s="9"/>
      <c r="K1194" s="9"/>
      <c r="L1194" s="9"/>
      <c r="M1194" s="9">
        <f t="shared" si="168"/>
        <v>7</v>
      </c>
      <c r="N1194" s="9">
        <f t="shared" si="169"/>
        <v>3</v>
      </c>
      <c r="O1194" s="9">
        <v>7</v>
      </c>
      <c r="P1194" s="9">
        <v>3</v>
      </c>
      <c r="Q1194" s="9" t="s">
        <v>6</v>
      </c>
      <c r="R1194" s="1">
        <v>0</v>
      </c>
      <c r="S1194" s="26"/>
    </row>
    <row r="1195" spans="1:20" ht="16.5" customHeight="1" x14ac:dyDescent="0.25">
      <c r="A1195" s="9"/>
      <c r="B1195" s="51" t="s">
        <v>59</v>
      </c>
      <c r="C1195" s="52"/>
      <c r="D1195" s="52"/>
      <c r="E1195" s="52"/>
      <c r="F1195" s="52"/>
      <c r="G1195" s="53"/>
      <c r="H1195" s="20"/>
      <c r="I1195" s="9">
        <v>1</v>
      </c>
      <c r="J1195" s="9"/>
      <c r="K1195" s="9"/>
      <c r="L1195" s="9"/>
      <c r="M1195" s="9">
        <f t="shared" si="168"/>
        <v>6.8</v>
      </c>
      <c r="N1195" s="9">
        <f t="shared" si="169"/>
        <v>2.5</v>
      </c>
      <c r="O1195" s="9">
        <v>6.8</v>
      </c>
      <c r="P1195" s="9">
        <v>2.5</v>
      </c>
      <c r="Q1195" s="9" t="s">
        <v>5</v>
      </c>
      <c r="R1195" s="1">
        <v>0</v>
      </c>
      <c r="S1195" s="26"/>
    </row>
    <row r="1196" spans="1:20" ht="16.5" customHeight="1" x14ac:dyDescent="0.25">
      <c r="A1196" s="9"/>
      <c r="B1196" s="51" t="s">
        <v>60</v>
      </c>
      <c r="C1196" s="52"/>
      <c r="D1196" s="52"/>
      <c r="E1196" s="52"/>
      <c r="F1196" s="52"/>
      <c r="G1196" s="53"/>
      <c r="H1196" s="20"/>
      <c r="I1196" s="9">
        <v>3</v>
      </c>
      <c r="J1196" s="9"/>
      <c r="K1196" s="9"/>
      <c r="L1196" s="9"/>
      <c r="M1196" s="9">
        <f t="shared" si="168"/>
        <v>23.700000000000003</v>
      </c>
      <c r="N1196" s="9">
        <f t="shared" si="169"/>
        <v>9</v>
      </c>
      <c r="O1196" s="9">
        <v>7.9</v>
      </c>
      <c r="P1196" s="9">
        <v>3</v>
      </c>
      <c r="Q1196" s="9" t="s">
        <v>6</v>
      </c>
      <c r="R1196" s="1">
        <v>0</v>
      </c>
      <c r="S1196" s="26"/>
    </row>
    <row r="1197" spans="1:20" ht="16.5" customHeight="1" x14ac:dyDescent="0.25">
      <c r="A1197" s="9"/>
      <c r="B1197" s="51" t="s">
        <v>55</v>
      </c>
      <c r="C1197" s="52"/>
      <c r="D1197" s="52"/>
      <c r="E1197" s="52"/>
      <c r="F1197" s="52"/>
      <c r="G1197" s="53"/>
      <c r="H1197" s="20"/>
      <c r="I1197" s="9">
        <v>1</v>
      </c>
      <c r="J1197" s="9"/>
      <c r="K1197" s="9"/>
      <c r="L1197" s="9"/>
      <c r="M1197" s="9">
        <f t="shared" si="168"/>
        <v>8.6999999999999993</v>
      </c>
      <c r="N1197" s="9">
        <f t="shared" si="169"/>
        <v>3.7</v>
      </c>
      <c r="O1197" s="9">
        <v>8.6999999999999993</v>
      </c>
      <c r="P1197" s="9">
        <v>3.7</v>
      </c>
      <c r="Q1197" s="9" t="s">
        <v>10</v>
      </c>
      <c r="R1197" s="1">
        <v>0</v>
      </c>
      <c r="S1197" s="26"/>
    </row>
    <row r="1198" spans="1:20" ht="16.5" hidden="1" customHeight="1" x14ac:dyDescent="0.25">
      <c r="A1198" s="21"/>
      <c r="H1198" s="21"/>
      <c r="I1198" s="21"/>
      <c r="J1198" s="21"/>
      <c r="K1198" s="21"/>
      <c r="L1198" s="21"/>
      <c r="M1198" s="9">
        <f t="shared" si="168"/>
        <v>0</v>
      </c>
      <c r="N1198" s="9">
        <f t="shared" si="169"/>
        <v>0</v>
      </c>
      <c r="O1198" s="21"/>
      <c r="P1198" s="21"/>
      <c r="Q1198" s="21"/>
      <c r="S1198" s="25"/>
    </row>
    <row r="1199" spans="1:20" ht="16.5" customHeight="1" x14ac:dyDescent="0.25">
      <c r="A1199" s="9"/>
      <c r="B1199" s="39" t="s">
        <v>42</v>
      </c>
      <c r="C1199" s="40"/>
      <c r="D1199" s="40"/>
      <c r="E1199" s="40"/>
      <c r="F1199" s="40"/>
      <c r="G1199" s="41"/>
      <c r="H1199" s="23"/>
      <c r="I1199" s="24">
        <f>SUM(I1191:I1198)</f>
        <v>14</v>
      </c>
      <c r="J1199" s="9"/>
      <c r="K1199" s="9"/>
      <c r="L1199" s="9"/>
      <c r="M1199" s="9">
        <f t="shared" si="168"/>
        <v>105.14</v>
      </c>
      <c r="N1199" s="9">
        <f t="shared" si="169"/>
        <v>42.14</v>
      </c>
      <c r="O1199" s="24">
        <f>ROUND(SUM(M1191:M1198)/I1199,2)</f>
        <v>7.51</v>
      </c>
      <c r="P1199" s="24">
        <f>ROUND(SUM(N1191:N1198)/I1199,2)</f>
        <v>3.01</v>
      </c>
      <c r="Q1199" s="9"/>
      <c r="S1199" s="25"/>
    </row>
    <row r="1200" spans="1:20" ht="20.25" customHeight="1" x14ac:dyDescent="0.25">
      <c r="A1200" s="27" t="s">
        <v>62</v>
      </c>
      <c r="B1200" s="28"/>
      <c r="C1200" s="28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</row>
    <row r="1201" spans="1:19" ht="16.5" customHeight="1" x14ac:dyDescent="0.25">
      <c r="A1201" s="9"/>
      <c r="B1201" s="51" t="s">
        <v>63</v>
      </c>
      <c r="C1201" s="52"/>
      <c r="D1201" s="52"/>
      <c r="E1201" s="52"/>
      <c r="F1201" s="52"/>
      <c r="G1201" s="53"/>
      <c r="H1201" s="20"/>
      <c r="I1201" s="9">
        <v>4</v>
      </c>
      <c r="J1201" s="9"/>
      <c r="K1201" s="9"/>
      <c r="L1201" s="9"/>
      <c r="M1201" s="9">
        <f t="shared" ref="M1201:M1209" si="170">I1201*O1201</f>
        <v>30.4</v>
      </c>
      <c r="N1201" s="9">
        <f t="shared" ref="N1201:N1209" si="171">I1201*P1201</f>
        <v>12</v>
      </c>
      <c r="O1201" s="9">
        <v>7.6</v>
      </c>
      <c r="P1201" s="9">
        <v>3</v>
      </c>
      <c r="Q1201" s="9" t="s">
        <v>6</v>
      </c>
      <c r="R1201" s="1">
        <v>0</v>
      </c>
      <c r="S1201" s="26"/>
    </row>
    <row r="1202" spans="1:19" ht="16.5" customHeight="1" x14ac:dyDescent="0.25">
      <c r="A1202" s="9"/>
      <c r="B1202" s="51" t="s">
        <v>64</v>
      </c>
      <c r="C1202" s="52"/>
      <c r="D1202" s="52"/>
      <c r="E1202" s="52"/>
      <c r="F1202" s="52"/>
      <c r="G1202" s="53"/>
      <c r="H1202" s="20"/>
      <c r="I1202" s="9">
        <v>4</v>
      </c>
      <c r="J1202" s="9"/>
      <c r="K1202" s="9"/>
      <c r="L1202" s="9"/>
      <c r="M1202" s="9">
        <f t="shared" si="170"/>
        <v>24.8</v>
      </c>
      <c r="N1202" s="9">
        <f t="shared" si="171"/>
        <v>8</v>
      </c>
      <c r="O1202" s="9">
        <v>6.2</v>
      </c>
      <c r="P1202" s="9">
        <v>2</v>
      </c>
      <c r="Q1202" s="9" t="s">
        <v>3</v>
      </c>
      <c r="R1202" s="1">
        <v>0</v>
      </c>
      <c r="S1202" s="26"/>
    </row>
    <row r="1203" spans="1:19" ht="16.5" customHeight="1" x14ac:dyDescent="0.25">
      <c r="A1203" s="9"/>
      <c r="B1203" s="51" t="s">
        <v>65</v>
      </c>
      <c r="C1203" s="52"/>
      <c r="D1203" s="52"/>
      <c r="E1203" s="52"/>
      <c r="F1203" s="52"/>
      <c r="G1203" s="53"/>
      <c r="H1203" s="20"/>
      <c r="I1203" s="9">
        <v>4</v>
      </c>
      <c r="J1203" s="9"/>
      <c r="K1203" s="9"/>
      <c r="L1203" s="9"/>
      <c r="M1203" s="9">
        <f t="shared" si="170"/>
        <v>28.4</v>
      </c>
      <c r="N1203" s="9">
        <f t="shared" si="171"/>
        <v>12</v>
      </c>
      <c r="O1203" s="9">
        <v>7.1</v>
      </c>
      <c r="P1203" s="9">
        <v>3</v>
      </c>
      <c r="Q1203" s="9" t="s">
        <v>6</v>
      </c>
      <c r="R1203" s="1">
        <v>0</v>
      </c>
      <c r="S1203" s="26"/>
    </row>
    <row r="1204" spans="1:19" ht="16.5" customHeight="1" x14ac:dyDescent="0.25">
      <c r="A1204" s="9"/>
      <c r="B1204" s="51" t="s">
        <v>66</v>
      </c>
      <c r="C1204" s="52"/>
      <c r="D1204" s="52"/>
      <c r="E1204" s="52"/>
      <c r="F1204" s="52"/>
      <c r="G1204" s="53"/>
      <c r="H1204" s="20"/>
      <c r="I1204" s="9">
        <v>1</v>
      </c>
      <c r="J1204" s="9"/>
      <c r="K1204" s="9"/>
      <c r="L1204" s="9"/>
      <c r="M1204" s="9">
        <f t="shared" si="170"/>
        <v>7.1</v>
      </c>
      <c r="N1204" s="9">
        <f t="shared" si="171"/>
        <v>3</v>
      </c>
      <c r="O1204" s="9">
        <v>7.1</v>
      </c>
      <c r="P1204" s="9">
        <v>3</v>
      </c>
      <c r="Q1204" s="9" t="s">
        <v>6</v>
      </c>
      <c r="R1204" s="1">
        <v>0</v>
      </c>
      <c r="S1204" s="26"/>
    </row>
    <row r="1205" spans="1:19" ht="16.5" customHeight="1" x14ac:dyDescent="0.25">
      <c r="A1205" s="9"/>
      <c r="B1205" s="51" t="s">
        <v>67</v>
      </c>
      <c r="C1205" s="52"/>
      <c r="D1205" s="52"/>
      <c r="E1205" s="52"/>
      <c r="F1205" s="52"/>
      <c r="G1205" s="53"/>
      <c r="H1205" s="20"/>
      <c r="I1205" s="9">
        <v>1</v>
      </c>
      <c r="J1205" s="9"/>
      <c r="K1205" s="9"/>
      <c r="L1205" s="9"/>
      <c r="M1205" s="9">
        <f t="shared" si="170"/>
        <v>6.2</v>
      </c>
      <c r="N1205" s="9">
        <f t="shared" si="171"/>
        <v>2</v>
      </c>
      <c r="O1205" s="9">
        <v>6.2</v>
      </c>
      <c r="P1205" s="9">
        <v>2</v>
      </c>
      <c r="Q1205" s="9" t="s">
        <v>3</v>
      </c>
      <c r="R1205" s="1">
        <v>0</v>
      </c>
      <c r="S1205" s="26"/>
    </row>
    <row r="1206" spans="1:19" ht="16.5" customHeight="1" x14ac:dyDescent="0.25">
      <c r="A1206" s="9"/>
      <c r="B1206" s="51" t="s">
        <v>68</v>
      </c>
      <c r="C1206" s="52"/>
      <c r="D1206" s="52"/>
      <c r="E1206" s="52"/>
      <c r="F1206" s="52"/>
      <c r="G1206" s="53"/>
      <c r="H1206" s="20"/>
      <c r="I1206" s="9">
        <v>1</v>
      </c>
      <c r="J1206" s="9"/>
      <c r="K1206" s="9"/>
      <c r="L1206" s="9"/>
      <c r="M1206" s="9">
        <f t="shared" si="170"/>
        <v>7.3</v>
      </c>
      <c r="N1206" s="9">
        <f t="shared" si="171"/>
        <v>3</v>
      </c>
      <c r="O1206" s="9">
        <v>7.3</v>
      </c>
      <c r="P1206" s="9">
        <v>3</v>
      </c>
      <c r="Q1206" s="9" t="s">
        <v>6</v>
      </c>
      <c r="R1206" s="1">
        <v>0</v>
      </c>
      <c r="S1206" s="26"/>
    </row>
    <row r="1207" spans="1:19" ht="16.5" customHeight="1" x14ac:dyDescent="0.25">
      <c r="A1207" s="9"/>
      <c r="B1207" s="51" t="s">
        <v>69</v>
      </c>
      <c r="C1207" s="52"/>
      <c r="D1207" s="52"/>
      <c r="E1207" s="52"/>
      <c r="F1207" s="52"/>
      <c r="G1207" s="53"/>
      <c r="H1207" s="20"/>
      <c r="I1207" s="9">
        <v>1</v>
      </c>
      <c r="J1207" s="9"/>
      <c r="K1207" s="9"/>
      <c r="L1207" s="9"/>
      <c r="M1207" s="9">
        <f t="shared" si="170"/>
        <v>7.3</v>
      </c>
      <c r="N1207" s="9">
        <f t="shared" si="171"/>
        <v>3</v>
      </c>
      <c r="O1207" s="9">
        <v>7.3</v>
      </c>
      <c r="P1207" s="9">
        <v>3</v>
      </c>
      <c r="Q1207" s="9" t="s">
        <v>6</v>
      </c>
      <c r="R1207" s="1">
        <v>0</v>
      </c>
      <c r="S1207" s="26"/>
    </row>
    <row r="1208" spans="1:19" ht="16.5" hidden="1" customHeight="1" x14ac:dyDescent="0.25">
      <c r="A1208" s="21"/>
      <c r="H1208" s="21"/>
      <c r="I1208" s="21"/>
      <c r="J1208" s="21"/>
      <c r="K1208" s="21"/>
      <c r="L1208" s="21"/>
      <c r="M1208" s="9">
        <f t="shared" si="170"/>
        <v>0</v>
      </c>
      <c r="N1208" s="9">
        <f t="shared" si="171"/>
        <v>0</v>
      </c>
      <c r="O1208" s="21"/>
      <c r="P1208" s="21"/>
      <c r="Q1208" s="21"/>
      <c r="S1208" s="25"/>
    </row>
    <row r="1209" spans="1:19" ht="16.5" customHeight="1" x14ac:dyDescent="0.25">
      <c r="A1209" s="9"/>
      <c r="B1209" s="39" t="s">
        <v>42</v>
      </c>
      <c r="C1209" s="40"/>
      <c r="D1209" s="40"/>
      <c r="E1209" s="40"/>
      <c r="F1209" s="40"/>
      <c r="G1209" s="41"/>
      <c r="H1209" s="23"/>
      <c r="I1209" s="24">
        <f>SUM(I1201:I1208)</f>
        <v>16</v>
      </c>
      <c r="J1209" s="9"/>
      <c r="K1209" s="9"/>
      <c r="L1209" s="9"/>
      <c r="M1209" s="9">
        <f t="shared" si="170"/>
        <v>111.52</v>
      </c>
      <c r="N1209" s="9">
        <f t="shared" si="171"/>
        <v>43.04</v>
      </c>
      <c r="O1209" s="24">
        <f>ROUND(SUM(M1201:M1208)/I1209,2)</f>
        <v>6.97</v>
      </c>
      <c r="P1209" s="24">
        <f>ROUND(SUM(N1201:N1208)/I1209,2)</f>
        <v>2.69</v>
      </c>
      <c r="Q1209" s="9"/>
      <c r="S1209" s="25"/>
    </row>
    <row r="1210" spans="1:19" ht="20.25" customHeight="1" x14ac:dyDescent="0.25">
      <c r="A1210" s="27" t="s">
        <v>70</v>
      </c>
      <c r="B1210" s="28"/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</row>
    <row r="1211" spans="1:19" ht="16.5" customHeight="1" x14ac:dyDescent="0.25">
      <c r="A1211" s="9"/>
      <c r="B1211" s="51" t="s">
        <v>71</v>
      </c>
      <c r="C1211" s="52"/>
      <c r="D1211" s="52"/>
      <c r="E1211" s="52"/>
      <c r="F1211" s="52"/>
      <c r="G1211" s="53"/>
      <c r="H1211" s="20"/>
      <c r="I1211" s="9">
        <v>4</v>
      </c>
      <c r="J1211" s="9"/>
      <c r="K1211" s="9"/>
      <c r="L1211" s="9"/>
      <c r="M1211" s="9">
        <f t="shared" ref="M1211:M1220" si="172">I1211*O1211</f>
        <v>38</v>
      </c>
      <c r="N1211" s="9">
        <f t="shared" ref="N1211:N1220" si="173">I1211*P1211</f>
        <v>16</v>
      </c>
      <c r="O1211" s="9">
        <v>9.5</v>
      </c>
      <c r="P1211" s="9">
        <v>4</v>
      </c>
      <c r="Q1211" s="9" t="s">
        <v>12</v>
      </c>
      <c r="R1211" s="1">
        <v>0</v>
      </c>
      <c r="S1211" s="26"/>
    </row>
    <row r="1212" spans="1:19" ht="16.5" customHeight="1" x14ac:dyDescent="0.25">
      <c r="A1212" s="9"/>
      <c r="B1212" s="51" t="s">
        <v>72</v>
      </c>
      <c r="C1212" s="52"/>
      <c r="D1212" s="52"/>
      <c r="E1212" s="52"/>
      <c r="F1212" s="52"/>
      <c r="G1212" s="53"/>
      <c r="H1212" s="20"/>
      <c r="I1212" s="9">
        <v>4</v>
      </c>
      <c r="J1212" s="9"/>
      <c r="K1212" s="9"/>
      <c r="L1212" s="9"/>
      <c r="M1212" s="9">
        <f t="shared" si="172"/>
        <v>32.4</v>
      </c>
      <c r="N1212" s="9">
        <f t="shared" si="173"/>
        <v>14</v>
      </c>
      <c r="O1212" s="9">
        <v>8.1</v>
      </c>
      <c r="P1212" s="9">
        <v>3.5</v>
      </c>
      <c r="Q1212" s="9" t="s">
        <v>9</v>
      </c>
      <c r="R1212" s="1">
        <v>0</v>
      </c>
      <c r="S1212" s="26"/>
    </row>
    <row r="1213" spans="1:19" ht="16.5" customHeight="1" x14ac:dyDescent="0.25">
      <c r="A1213" s="9"/>
      <c r="B1213" s="51" t="s">
        <v>73</v>
      </c>
      <c r="C1213" s="52"/>
      <c r="D1213" s="52"/>
      <c r="E1213" s="52"/>
      <c r="F1213" s="52"/>
      <c r="G1213" s="53"/>
      <c r="H1213" s="20"/>
      <c r="I1213" s="9">
        <v>1</v>
      </c>
      <c r="J1213" s="9"/>
      <c r="K1213" s="9"/>
      <c r="L1213" s="9"/>
      <c r="M1213" s="9">
        <f t="shared" si="172"/>
        <v>7.1</v>
      </c>
      <c r="N1213" s="9">
        <f t="shared" si="173"/>
        <v>3</v>
      </c>
      <c r="O1213" s="9">
        <v>7.1</v>
      </c>
      <c r="P1213" s="9">
        <v>3</v>
      </c>
      <c r="Q1213" s="9" t="s">
        <v>6</v>
      </c>
      <c r="R1213" s="1">
        <v>0</v>
      </c>
      <c r="S1213" s="26"/>
    </row>
    <row r="1214" spans="1:19" ht="16.5" customHeight="1" x14ac:dyDescent="0.25">
      <c r="A1214" s="9"/>
      <c r="B1214" s="51" t="s">
        <v>74</v>
      </c>
      <c r="C1214" s="52"/>
      <c r="D1214" s="52"/>
      <c r="E1214" s="52"/>
      <c r="F1214" s="52"/>
      <c r="G1214" s="53"/>
      <c r="H1214" s="20"/>
      <c r="I1214" s="9">
        <v>2</v>
      </c>
      <c r="J1214" s="9"/>
      <c r="K1214" s="9"/>
      <c r="L1214" s="9"/>
      <c r="M1214" s="9">
        <f t="shared" si="172"/>
        <v>15.8</v>
      </c>
      <c r="N1214" s="9">
        <f t="shared" si="173"/>
        <v>6</v>
      </c>
      <c r="O1214" s="9">
        <v>7.9</v>
      </c>
      <c r="P1214" s="9">
        <v>3</v>
      </c>
      <c r="Q1214" s="9" t="s">
        <v>6</v>
      </c>
      <c r="R1214" s="1">
        <v>0</v>
      </c>
      <c r="S1214" s="26"/>
    </row>
    <row r="1215" spans="1:19" ht="16.5" customHeight="1" x14ac:dyDescent="0.25">
      <c r="A1215" s="9"/>
      <c r="B1215" s="51" t="s">
        <v>75</v>
      </c>
      <c r="C1215" s="52"/>
      <c r="D1215" s="52"/>
      <c r="E1215" s="52"/>
      <c r="F1215" s="52"/>
      <c r="G1215" s="53"/>
      <c r="H1215" s="20"/>
      <c r="I1215" s="9">
        <v>1</v>
      </c>
      <c r="J1215" s="9"/>
      <c r="K1215" s="9"/>
      <c r="L1215" s="9"/>
      <c r="M1215" s="9">
        <f t="shared" si="172"/>
        <v>10</v>
      </c>
      <c r="N1215" s="9">
        <f t="shared" si="173"/>
        <v>4</v>
      </c>
      <c r="O1215" s="9">
        <v>10</v>
      </c>
      <c r="P1215" s="9">
        <v>4</v>
      </c>
      <c r="Q1215" s="9" t="s">
        <v>12</v>
      </c>
      <c r="R1215" s="1">
        <v>0</v>
      </c>
      <c r="S1215" s="26"/>
    </row>
    <row r="1216" spans="1:19" ht="16.5" customHeight="1" x14ac:dyDescent="0.25">
      <c r="A1216" s="9"/>
      <c r="B1216" s="51" t="s">
        <v>76</v>
      </c>
      <c r="C1216" s="52"/>
      <c r="D1216" s="52"/>
      <c r="E1216" s="52"/>
      <c r="F1216" s="52"/>
      <c r="G1216" s="53"/>
      <c r="H1216" s="20"/>
      <c r="I1216" s="9">
        <v>4</v>
      </c>
      <c r="J1216" s="9"/>
      <c r="K1216" s="9"/>
      <c r="L1216" s="9"/>
      <c r="M1216" s="9">
        <f t="shared" si="172"/>
        <v>28.8</v>
      </c>
      <c r="N1216" s="9">
        <f t="shared" si="173"/>
        <v>12</v>
      </c>
      <c r="O1216" s="9">
        <v>7.2</v>
      </c>
      <c r="P1216" s="9">
        <v>3</v>
      </c>
      <c r="Q1216" s="9" t="s">
        <v>6</v>
      </c>
      <c r="R1216" s="1">
        <v>0</v>
      </c>
      <c r="S1216" s="26"/>
    </row>
    <row r="1217" spans="1:19" ht="16.5" customHeight="1" x14ac:dyDescent="0.25">
      <c r="A1217" s="9"/>
      <c r="B1217" s="51" t="s">
        <v>77</v>
      </c>
      <c r="C1217" s="52"/>
      <c r="D1217" s="52"/>
      <c r="E1217" s="52"/>
      <c r="F1217" s="52"/>
      <c r="G1217" s="53"/>
      <c r="H1217" s="20"/>
      <c r="I1217" s="9">
        <v>3</v>
      </c>
      <c r="J1217" s="9"/>
      <c r="K1217" s="9"/>
      <c r="L1217" s="9"/>
      <c r="M1217" s="9">
        <f t="shared" si="172"/>
        <v>19.5</v>
      </c>
      <c r="N1217" s="9">
        <f t="shared" si="173"/>
        <v>7.5</v>
      </c>
      <c r="O1217" s="9">
        <v>6.5</v>
      </c>
      <c r="P1217" s="9">
        <v>2.5</v>
      </c>
      <c r="Q1217" s="9" t="s">
        <v>5</v>
      </c>
      <c r="R1217" s="1">
        <v>0</v>
      </c>
      <c r="S1217" s="26"/>
    </row>
    <row r="1218" spans="1:19" ht="16.5" customHeight="1" x14ac:dyDescent="0.25">
      <c r="A1218" s="9"/>
      <c r="B1218" s="51" t="s">
        <v>78</v>
      </c>
      <c r="C1218" s="52"/>
      <c r="D1218" s="52"/>
      <c r="E1218" s="52"/>
      <c r="F1218" s="52"/>
      <c r="G1218" s="53"/>
      <c r="H1218" s="20"/>
      <c r="I1218" s="9">
        <v>4</v>
      </c>
      <c r="J1218" s="9"/>
      <c r="K1218" s="9"/>
      <c r="L1218" s="9"/>
      <c r="M1218" s="9">
        <f t="shared" si="172"/>
        <v>20.8</v>
      </c>
      <c r="N1218" s="9">
        <f t="shared" si="173"/>
        <v>6</v>
      </c>
      <c r="O1218" s="9">
        <v>5.2</v>
      </c>
      <c r="P1218" s="9">
        <v>1.5</v>
      </c>
      <c r="Q1218" s="9" t="s">
        <v>4</v>
      </c>
      <c r="R1218" s="1">
        <v>0</v>
      </c>
      <c r="S1218" s="26"/>
    </row>
    <row r="1219" spans="1:19" ht="16.5" hidden="1" customHeight="1" x14ac:dyDescent="0.25">
      <c r="A1219" s="21"/>
      <c r="H1219" s="21"/>
      <c r="I1219" s="21"/>
      <c r="J1219" s="21"/>
      <c r="K1219" s="21"/>
      <c r="L1219" s="21"/>
      <c r="M1219" s="9">
        <f t="shared" si="172"/>
        <v>0</v>
      </c>
      <c r="N1219" s="9">
        <f t="shared" si="173"/>
        <v>0</v>
      </c>
      <c r="O1219" s="21"/>
      <c r="P1219" s="21"/>
      <c r="Q1219" s="21"/>
      <c r="S1219" s="25"/>
    </row>
    <row r="1220" spans="1:19" ht="16.5" customHeight="1" x14ac:dyDescent="0.25">
      <c r="A1220" s="9"/>
      <c r="B1220" s="39" t="s">
        <v>42</v>
      </c>
      <c r="C1220" s="40"/>
      <c r="D1220" s="40"/>
      <c r="E1220" s="40"/>
      <c r="F1220" s="40"/>
      <c r="G1220" s="41"/>
      <c r="H1220" s="23"/>
      <c r="I1220" s="24">
        <f>SUM(I1211:I1219)</f>
        <v>23</v>
      </c>
      <c r="J1220" s="9"/>
      <c r="K1220" s="9"/>
      <c r="L1220" s="9"/>
      <c r="M1220" s="9">
        <f t="shared" si="172"/>
        <v>172.5</v>
      </c>
      <c r="N1220" s="9">
        <f t="shared" si="173"/>
        <v>68.540000000000006</v>
      </c>
      <c r="O1220" s="24">
        <f>ROUND(SUM(M1211:M1219)/I1220,2)</f>
        <v>7.5</v>
      </c>
      <c r="P1220" s="24">
        <f>ROUND(SUM(N1211:N1219)/I1220,2)</f>
        <v>2.98</v>
      </c>
      <c r="Q1220" s="9"/>
      <c r="S1220" s="25"/>
    </row>
    <row r="1221" spans="1:19" ht="20.25" customHeight="1" x14ac:dyDescent="0.25">
      <c r="A1221" s="27" t="s">
        <v>79</v>
      </c>
      <c r="B1221" s="28"/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</row>
    <row r="1222" spans="1:19" ht="16.5" customHeight="1" x14ac:dyDescent="0.25">
      <c r="A1222" s="9"/>
      <c r="B1222" s="51" t="s">
        <v>80</v>
      </c>
      <c r="C1222" s="52"/>
      <c r="D1222" s="52"/>
      <c r="E1222" s="52"/>
      <c r="F1222" s="52"/>
      <c r="G1222" s="53"/>
      <c r="H1222" s="20"/>
      <c r="I1222" s="9">
        <v>3</v>
      </c>
      <c r="J1222" s="9"/>
      <c r="K1222" s="9"/>
      <c r="L1222" s="9"/>
      <c r="M1222" s="9">
        <f t="shared" ref="M1222:M1227" si="174">I1222*O1222</f>
        <v>21.299999999999997</v>
      </c>
      <c r="N1222" s="9">
        <f t="shared" ref="N1222:N1227" si="175">I1222*P1222</f>
        <v>9</v>
      </c>
      <c r="O1222" s="9">
        <v>7.1</v>
      </c>
      <c r="P1222" s="9">
        <v>3</v>
      </c>
      <c r="Q1222" s="9" t="s">
        <v>6</v>
      </c>
      <c r="R1222" s="1">
        <v>0</v>
      </c>
      <c r="S1222" s="26"/>
    </row>
    <row r="1223" spans="1:19" ht="16.5" customHeight="1" x14ac:dyDescent="0.25">
      <c r="A1223" s="9"/>
      <c r="B1223" s="51" t="s">
        <v>81</v>
      </c>
      <c r="C1223" s="52"/>
      <c r="D1223" s="52"/>
      <c r="E1223" s="52"/>
      <c r="F1223" s="52"/>
      <c r="G1223" s="53"/>
      <c r="H1223" s="20"/>
      <c r="I1223" s="9">
        <v>1</v>
      </c>
      <c r="J1223" s="9"/>
      <c r="K1223" s="9"/>
      <c r="L1223" s="9"/>
      <c r="M1223" s="9">
        <f t="shared" si="174"/>
        <v>9.1</v>
      </c>
      <c r="N1223" s="9">
        <f t="shared" si="175"/>
        <v>4</v>
      </c>
      <c r="O1223" s="9">
        <v>9.1</v>
      </c>
      <c r="P1223" s="9">
        <v>4</v>
      </c>
      <c r="Q1223" s="9" t="s">
        <v>12</v>
      </c>
      <c r="R1223" s="1">
        <v>0</v>
      </c>
      <c r="S1223" s="26"/>
    </row>
    <row r="1224" spans="1:19" ht="16.5" customHeight="1" x14ac:dyDescent="0.25">
      <c r="A1224" s="9"/>
      <c r="B1224" s="51" t="s">
        <v>82</v>
      </c>
      <c r="C1224" s="52"/>
      <c r="D1224" s="52"/>
      <c r="E1224" s="52"/>
      <c r="F1224" s="52"/>
      <c r="G1224" s="53"/>
      <c r="H1224" s="20"/>
      <c r="I1224" s="9">
        <v>3</v>
      </c>
      <c r="J1224" s="9"/>
      <c r="K1224" s="9"/>
      <c r="L1224" s="9"/>
      <c r="M1224" s="9">
        <f t="shared" si="174"/>
        <v>23.1</v>
      </c>
      <c r="N1224" s="9">
        <f t="shared" si="175"/>
        <v>9</v>
      </c>
      <c r="O1224" s="9">
        <v>7.7</v>
      </c>
      <c r="P1224" s="9">
        <v>3</v>
      </c>
      <c r="Q1224" s="9" t="s">
        <v>6</v>
      </c>
      <c r="R1224" s="1">
        <v>0</v>
      </c>
      <c r="S1224" s="26"/>
    </row>
    <row r="1225" spans="1:19" ht="16.5" customHeight="1" x14ac:dyDescent="0.25">
      <c r="A1225" s="9"/>
      <c r="B1225" s="51" t="s">
        <v>83</v>
      </c>
      <c r="C1225" s="52"/>
      <c r="D1225" s="52"/>
      <c r="E1225" s="52"/>
      <c r="F1225" s="52"/>
      <c r="G1225" s="53"/>
      <c r="H1225" s="20"/>
      <c r="I1225" s="9">
        <v>2</v>
      </c>
      <c r="J1225" s="9"/>
      <c r="K1225" s="9"/>
      <c r="L1225" s="9"/>
      <c r="M1225" s="9">
        <f t="shared" si="174"/>
        <v>14.6</v>
      </c>
      <c r="N1225" s="9">
        <f t="shared" si="175"/>
        <v>6</v>
      </c>
      <c r="O1225" s="9">
        <v>7.3</v>
      </c>
      <c r="P1225" s="9">
        <v>3</v>
      </c>
      <c r="Q1225" s="9" t="s">
        <v>6</v>
      </c>
      <c r="R1225" s="1">
        <v>0</v>
      </c>
      <c r="S1225" s="26"/>
    </row>
    <row r="1226" spans="1:19" ht="16.5" customHeight="1" x14ac:dyDescent="0.25">
      <c r="A1226" s="9"/>
      <c r="B1226" s="51" t="s">
        <v>84</v>
      </c>
      <c r="C1226" s="52"/>
      <c r="D1226" s="52"/>
      <c r="E1226" s="52"/>
      <c r="F1226" s="52"/>
      <c r="G1226" s="53"/>
      <c r="H1226" s="20"/>
      <c r="I1226" s="9">
        <v>2</v>
      </c>
      <c r="J1226" s="9"/>
      <c r="K1226" s="9"/>
      <c r="L1226" s="9"/>
      <c r="M1226" s="9">
        <f t="shared" si="174"/>
        <v>14.8</v>
      </c>
      <c r="N1226" s="9">
        <f t="shared" si="175"/>
        <v>6</v>
      </c>
      <c r="O1226" s="9">
        <v>7.4</v>
      </c>
      <c r="P1226" s="9">
        <v>3</v>
      </c>
      <c r="Q1226" s="9" t="s">
        <v>6</v>
      </c>
      <c r="R1226" s="1">
        <v>0</v>
      </c>
      <c r="S1226" s="26"/>
    </row>
    <row r="1227" spans="1:19" ht="16.5" customHeight="1" x14ac:dyDescent="0.25">
      <c r="A1227" s="9"/>
      <c r="B1227" s="51" t="s">
        <v>85</v>
      </c>
      <c r="C1227" s="52"/>
      <c r="D1227" s="52"/>
      <c r="E1227" s="52"/>
      <c r="F1227" s="52"/>
      <c r="G1227" s="53"/>
      <c r="H1227" s="20"/>
      <c r="I1227" s="9">
        <v>1</v>
      </c>
      <c r="J1227" s="9"/>
      <c r="K1227" s="9"/>
      <c r="L1227" s="9"/>
      <c r="M1227" s="9">
        <f t="shared" si="174"/>
        <v>7.5</v>
      </c>
      <c r="N1227" s="9">
        <f t="shared" si="175"/>
        <v>3</v>
      </c>
      <c r="O1227" s="9">
        <v>7.5</v>
      </c>
      <c r="P1227" s="9">
        <v>3</v>
      </c>
      <c r="Q1227" s="9" t="s">
        <v>6</v>
      </c>
      <c r="R1227" s="1">
        <v>0</v>
      </c>
      <c r="S1227" s="26"/>
    </row>
    <row r="1228" spans="1:19" ht="15" customHeight="1" x14ac:dyDescent="0.25">
      <c r="A1228" s="36" t="s">
        <v>0</v>
      </c>
      <c r="B1228" s="29" t="s">
        <v>1</v>
      </c>
      <c r="C1228" s="30"/>
      <c r="D1228" s="30"/>
      <c r="E1228" s="30"/>
      <c r="F1228" s="30"/>
      <c r="G1228" s="31"/>
      <c r="H1228" s="36" t="s">
        <v>32</v>
      </c>
      <c r="I1228" s="36" t="s">
        <v>39</v>
      </c>
      <c r="J1228" s="55" t="s">
        <v>2</v>
      </c>
      <c r="K1228" s="56"/>
      <c r="L1228" s="56"/>
      <c r="M1228" s="56"/>
      <c r="N1228" s="56"/>
      <c r="O1228" s="56"/>
      <c r="P1228" s="56"/>
      <c r="Q1228" s="57"/>
      <c r="S1228" s="36" t="s">
        <v>38</v>
      </c>
    </row>
    <row r="1229" spans="1:19" ht="24" customHeight="1" x14ac:dyDescent="0.25">
      <c r="A1229" s="37"/>
      <c r="B1229" s="32"/>
      <c r="C1229" s="33"/>
      <c r="D1229" s="33"/>
      <c r="E1229" s="33"/>
      <c r="F1229" s="33"/>
      <c r="G1229" s="34"/>
      <c r="H1229" s="37"/>
      <c r="I1229" s="37"/>
      <c r="J1229" s="7" t="s">
        <v>28</v>
      </c>
      <c r="K1229" s="7" t="s">
        <v>29</v>
      </c>
      <c r="L1229" s="7" t="s">
        <v>30</v>
      </c>
      <c r="M1229" s="7"/>
      <c r="N1229" s="7"/>
      <c r="O1229" s="6" t="s">
        <v>35</v>
      </c>
      <c r="P1229" s="6" t="s">
        <v>36</v>
      </c>
      <c r="Q1229" s="6" t="s">
        <v>37</v>
      </c>
      <c r="S1229" s="37"/>
    </row>
    <row r="1230" spans="1:19" ht="16.5" customHeight="1" x14ac:dyDescent="0.25">
      <c r="A1230" s="9"/>
      <c r="B1230" s="51" t="s">
        <v>86</v>
      </c>
      <c r="C1230" s="52"/>
      <c r="D1230" s="52"/>
      <c r="E1230" s="52"/>
      <c r="F1230" s="52"/>
      <c r="G1230" s="53"/>
      <c r="H1230" s="20"/>
      <c r="I1230" s="9">
        <v>2</v>
      </c>
      <c r="J1230" s="9"/>
      <c r="K1230" s="9"/>
      <c r="L1230" s="9"/>
      <c r="M1230" s="9">
        <f t="shared" ref="M1230:M1236" si="176">I1230*O1230</f>
        <v>15.2</v>
      </c>
      <c r="N1230" s="9">
        <f t="shared" ref="N1230:N1236" si="177">I1230*P1230</f>
        <v>6</v>
      </c>
      <c r="O1230" s="9">
        <v>7.6</v>
      </c>
      <c r="P1230" s="9">
        <v>3</v>
      </c>
      <c r="Q1230" s="9" t="s">
        <v>6</v>
      </c>
      <c r="R1230" s="1">
        <v>0</v>
      </c>
      <c r="S1230" s="26"/>
    </row>
    <row r="1231" spans="1:19" ht="16.5" customHeight="1" x14ac:dyDescent="0.25">
      <c r="A1231" s="9"/>
      <c r="B1231" s="51" t="s">
        <v>87</v>
      </c>
      <c r="C1231" s="52"/>
      <c r="D1231" s="52"/>
      <c r="E1231" s="52"/>
      <c r="F1231" s="52"/>
      <c r="G1231" s="53"/>
      <c r="H1231" s="20"/>
      <c r="I1231" s="9">
        <v>3</v>
      </c>
      <c r="J1231" s="9"/>
      <c r="K1231" s="9"/>
      <c r="L1231" s="9"/>
      <c r="M1231" s="9">
        <f t="shared" si="176"/>
        <v>22.200000000000003</v>
      </c>
      <c r="N1231" s="9">
        <f t="shared" si="177"/>
        <v>9</v>
      </c>
      <c r="O1231" s="9">
        <v>7.4</v>
      </c>
      <c r="P1231" s="9">
        <v>3</v>
      </c>
      <c r="Q1231" s="9" t="s">
        <v>6</v>
      </c>
      <c r="R1231" s="1">
        <v>0</v>
      </c>
      <c r="S1231" s="26"/>
    </row>
    <row r="1232" spans="1:19" ht="16.5" customHeight="1" x14ac:dyDescent="0.25">
      <c r="A1232" s="9"/>
      <c r="B1232" s="51" t="s">
        <v>88</v>
      </c>
      <c r="C1232" s="52"/>
      <c r="D1232" s="52"/>
      <c r="E1232" s="52"/>
      <c r="F1232" s="52"/>
      <c r="G1232" s="53"/>
      <c r="H1232" s="20"/>
      <c r="I1232" s="9">
        <v>4</v>
      </c>
      <c r="J1232" s="9"/>
      <c r="K1232" s="9"/>
      <c r="L1232" s="9"/>
      <c r="M1232" s="9">
        <f t="shared" si="176"/>
        <v>33.200000000000003</v>
      </c>
      <c r="N1232" s="9">
        <f t="shared" si="177"/>
        <v>14</v>
      </c>
      <c r="O1232" s="9">
        <v>8.3000000000000007</v>
      </c>
      <c r="P1232" s="9">
        <v>3.5</v>
      </c>
      <c r="Q1232" s="9" t="s">
        <v>9</v>
      </c>
      <c r="R1232" s="1">
        <v>0</v>
      </c>
      <c r="S1232" s="26"/>
    </row>
    <row r="1233" spans="1:19" ht="16.5" customHeight="1" x14ac:dyDescent="0.25">
      <c r="A1233" s="9"/>
      <c r="B1233" s="51" t="s">
        <v>89</v>
      </c>
      <c r="C1233" s="52"/>
      <c r="D1233" s="52"/>
      <c r="E1233" s="52"/>
      <c r="F1233" s="52"/>
      <c r="G1233" s="53"/>
      <c r="H1233" s="20"/>
      <c r="I1233" s="9">
        <v>3</v>
      </c>
      <c r="J1233" s="9"/>
      <c r="K1233" s="9"/>
      <c r="L1233" s="9"/>
      <c r="M1233" s="9">
        <f t="shared" si="176"/>
        <v>27.900000000000002</v>
      </c>
      <c r="N1233" s="9">
        <f t="shared" si="177"/>
        <v>12</v>
      </c>
      <c r="O1233" s="9">
        <v>9.3000000000000007</v>
      </c>
      <c r="P1233" s="9">
        <v>4</v>
      </c>
      <c r="Q1233" s="9" t="s">
        <v>12</v>
      </c>
      <c r="R1233" s="1">
        <v>0</v>
      </c>
      <c r="S1233" s="26"/>
    </row>
    <row r="1234" spans="1:19" ht="16.5" customHeight="1" x14ac:dyDescent="0.25">
      <c r="A1234" s="9"/>
      <c r="B1234" s="51" t="s">
        <v>90</v>
      </c>
      <c r="C1234" s="52"/>
      <c r="D1234" s="52"/>
      <c r="E1234" s="52"/>
      <c r="F1234" s="52"/>
      <c r="G1234" s="53"/>
      <c r="H1234" s="20"/>
      <c r="I1234" s="9">
        <v>2</v>
      </c>
      <c r="J1234" s="9"/>
      <c r="K1234" s="9"/>
      <c r="L1234" s="9"/>
      <c r="M1234" s="9">
        <f t="shared" si="176"/>
        <v>15.2</v>
      </c>
      <c r="N1234" s="9">
        <f t="shared" si="177"/>
        <v>6</v>
      </c>
      <c r="O1234" s="9">
        <v>7.6</v>
      </c>
      <c r="P1234" s="9">
        <v>3</v>
      </c>
      <c r="Q1234" s="9" t="s">
        <v>6</v>
      </c>
      <c r="R1234" s="1">
        <v>0</v>
      </c>
      <c r="S1234" s="26"/>
    </row>
    <row r="1235" spans="1:19" ht="16.5" hidden="1" customHeight="1" x14ac:dyDescent="0.25">
      <c r="A1235" s="21"/>
      <c r="H1235" s="21"/>
      <c r="I1235" s="21"/>
      <c r="J1235" s="21"/>
      <c r="K1235" s="21"/>
      <c r="L1235" s="21"/>
      <c r="M1235" s="9">
        <f t="shared" si="176"/>
        <v>0</v>
      </c>
      <c r="N1235" s="9">
        <f t="shared" si="177"/>
        <v>0</v>
      </c>
      <c r="O1235" s="21"/>
      <c r="P1235" s="21"/>
      <c r="Q1235" s="21"/>
      <c r="S1235" s="25"/>
    </row>
    <row r="1236" spans="1:19" ht="16.5" customHeight="1" x14ac:dyDescent="0.25">
      <c r="A1236" s="9"/>
      <c r="B1236" s="39" t="s">
        <v>42</v>
      </c>
      <c r="C1236" s="40"/>
      <c r="D1236" s="40"/>
      <c r="E1236" s="40"/>
      <c r="F1236" s="40"/>
      <c r="G1236" s="41"/>
      <c r="H1236" s="23"/>
      <c r="I1236" s="24">
        <f>SUM(I1222:I1235)</f>
        <v>26</v>
      </c>
      <c r="J1236" s="9"/>
      <c r="K1236" s="9"/>
      <c r="L1236" s="9"/>
      <c r="M1236" s="9">
        <f t="shared" si="176"/>
        <v>204.1</v>
      </c>
      <c r="N1236" s="9">
        <f t="shared" si="177"/>
        <v>83.98</v>
      </c>
      <c r="O1236" s="24">
        <f>ROUND(SUM(M1222:M1235)/I1236,2)</f>
        <v>7.85</v>
      </c>
      <c r="P1236" s="24">
        <f>ROUND(SUM(N1222:N1235)/I1236,2)</f>
        <v>3.23</v>
      </c>
      <c r="Q1236" s="9"/>
      <c r="S1236" s="25"/>
    </row>
    <row r="1237" spans="1:19" ht="20.25" customHeight="1" x14ac:dyDescent="0.25">
      <c r="A1237" s="27" t="s">
        <v>91</v>
      </c>
      <c r="B1237" s="28"/>
      <c r="C1237" s="28"/>
      <c r="D1237" s="28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</row>
    <row r="1238" spans="1:19" ht="16.5" customHeight="1" x14ac:dyDescent="0.25">
      <c r="A1238" s="9"/>
      <c r="B1238" s="51" t="s">
        <v>92</v>
      </c>
      <c r="C1238" s="52"/>
      <c r="D1238" s="52"/>
      <c r="E1238" s="52"/>
      <c r="F1238" s="52"/>
      <c r="G1238" s="53"/>
      <c r="H1238" s="20"/>
      <c r="I1238" s="9">
        <v>1</v>
      </c>
      <c r="J1238" s="9"/>
      <c r="K1238" s="9"/>
      <c r="L1238" s="9"/>
      <c r="M1238" s="9">
        <f t="shared" ref="M1238:M1249" si="178">I1238*O1238</f>
        <v>7.6</v>
      </c>
      <c r="N1238" s="9">
        <f t="shared" ref="N1238:N1249" si="179">I1238*P1238</f>
        <v>3</v>
      </c>
      <c r="O1238" s="9">
        <v>7.6</v>
      </c>
      <c r="P1238" s="9">
        <v>3</v>
      </c>
      <c r="Q1238" s="9" t="s">
        <v>6</v>
      </c>
      <c r="R1238" s="1">
        <v>0</v>
      </c>
      <c r="S1238" s="26"/>
    </row>
    <row r="1239" spans="1:19" ht="16.5" customHeight="1" x14ac:dyDescent="0.25">
      <c r="A1239" s="9"/>
      <c r="B1239" s="51" t="s">
        <v>99</v>
      </c>
      <c r="C1239" s="52"/>
      <c r="D1239" s="52"/>
      <c r="E1239" s="52"/>
      <c r="F1239" s="52"/>
      <c r="G1239" s="53"/>
      <c r="H1239" s="20"/>
      <c r="I1239" s="9">
        <v>2</v>
      </c>
      <c r="J1239" s="9"/>
      <c r="K1239" s="9"/>
      <c r="L1239" s="9"/>
      <c r="M1239" s="9">
        <f t="shared" si="178"/>
        <v>17.2</v>
      </c>
      <c r="N1239" s="9">
        <f t="shared" si="179"/>
        <v>7.4</v>
      </c>
      <c r="O1239" s="9">
        <v>8.6</v>
      </c>
      <c r="P1239" s="9">
        <v>3.7</v>
      </c>
      <c r="Q1239" s="9" t="s">
        <v>10</v>
      </c>
      <c r="R1239" s="1">
        <v>0</v>
      </c>
      <c r="S1239" s="26"/>
    </row>
    <row r="1240" spans="1:19" ht="16.5" customHeight="1" x14ac:dyDescent="0.25">
      <c r="A1240" s="9"/>
      <c r="B1240" s="51" t="s">
        <v>94</v>
      </c>
      <c r="C1240" s="52"/>
      <c r="D1240" s="52"/>
      <c r="E1240" s="52"/>
      <c r="F1240" s="52"/>
      <c r="G1240" s="53"/>
      <c r="H1240" s="20"/>
      <c r="I1240" s="9">
        <v>3</v>
      </c>
      <c r="J1240" s="9"/>
      <c r="K1240" s="9"/>
      <c r="L1240" s="9"/>
      <c r="M1240" s="9">
        <f t="shared" si="178"/>
        <v>27.900000000000002</v>
      </c>
      <c r="N1240" s="9">
        <f t="shared" si="179"/>
        <v>12</v>
      </c>
      <c r="O1240" s="9">
        <v>9.3000000000000007</v>
      </c>
      <c r="P1240" s="9">
        <v>4</v>
      </c>
      <c r="Q1240" s="9" t="s">
        <v>12</v>
      </c>
      <c r="R1240" s="1">
        <v>0</v>
      </c>
      <c r="S1240" s="26"/>
    </row>
    <row r="1241" spans="1:19" ht="16.5" customHeight="1" x14ac:dyDescent="0.25">
      <c r="A1241" s="9"/>
      <c r="B1241" s="51" t="s">
        <v>95</v>
      </c>
      <c r="C1241" s="52"/>
      <c r="D1241" s="52"/>
      <c r="E1241" s="52"/>
      <c r="F1241" s="52"/>
      <c r="G1241" s="53"/>
      <c r="H1241" s="20"/>
      <c r="I1241" s="9">
        <v>1</v>
      </c>
      <c r="J1241" s="9"/>
      <c r="K1241" s="9"/>
      <c r="L1241" s="9"/>
      <c r="M1241" s="9">
        <f t="shared" si="178"/>
        <v>8.1</v>
      </c>
      <c r="N1241" s="9">
        <f t="shared" si="179"/>
        <v>3.5</v>
      </c>
      <c r="O1241" s="9">
        <v>8.1</v>
      </c>
      <c r="P1241" s="9">
        <v>3.5</v>
      </c>
      <c r="Q1241" s="9" t="s">
        <v>9</v>
      </c>
      <c r="R1241" s="1">
        <v>0</v>
      </c>
      <c r="S1241" s="26"/>
    </row>
    <row r="1242" spans="1:19" ht="16.5" customHeight="1" x14ac:dyDescent="0.25">
      <c r="A1242" s="9"/>
      <c r="B1242" s="51" t="s">
        <v>96</v>
      </c>
      <c r="C1242" s="52"/>
      <c r="D1242" s="52"/>
      <c r="E1242" s="52"/>
      <c r="F1242" s="52"/>
      <c r="G1242" s="53"/>
      <c r="H1242" s="20"/>
      <c r="I1242" s="9">
        <v>1</v>
      </c>
      <c r="J1242" s="9"/>
      <c r="K1242" s="9"/>
      <c r="L1242" s="9"/>
      <c r="M1242" s="9">
        <f t="shared" si="178"/>
        <v>8</v>
      </c>
      <c r="N1242" s="9">
        <f t="shared" si="179"/>
        <v>3.5</v>
      </c>
      <c r="O1242" s="9">
        <v>8</v>
      </c>
      <c r="P1242" s="9">
        <v>3.5</v>
      </c>
      <c r="Q1242" s="9" t="s">
        <v>9</v>
      </c>
      <c r="R1242" s="1">
        <v>0</v>
      </c>
      <c r="S1242" s="26"/>
    </row>
    <row r="1243" spans="1:19" ht="16.5" customHeight="1" x14ac:dyDescent="0.25">
      <c r="A1243" s="9"/>
      <c r="B1243" s="51" t="s">
        <v>97</v>
      </c>
      <c r="C1243" s="52"/>
      <c r="D1243" s="52"/>
      <c r="E1243" s="52"/>
      <c r="F1243" s="52"/>
      <c r="G1243" s="53"/>
      <c r="H1243" s="20"/>
      <c r="I1243" s="9">
        <v>2</v>
      </c>
      <c r="J1243" s="9"/>
      <c r="K1243" s="9"/>
      <c r="L1243" s="9"/>
      <c r="M1243" s="9">
        <f t="shared" si="178"/>
        <v>15</v>
      </c>
      <c r="N1243" s="9">
        <f t="shared" si="179"/>
        <v>6</v>
      </c>
      <c r="O1243" s="9">
        <v>7.5</v>
      </c>
      <c r="P1243" s="9">
        <v>3</v>
      </c>
      <c r="Q1243" s="9" t="s">
        <v>6</v>
      </c>
      <c r="R1243" s="1">
        <v>0</v>
      </c>
      <c r="S1243" s="26"/>
    </row>
    <row r="1244" spans="1:19" ht="16.5" customHeight="1" x14ac:dyDescent="0.25">
      <c r="A1244" s="9"/>
      <c r="B1244" s="51" t="s">
        <v>98</v>
      </c>
      <c r="C1244" s="52"/>
      <c r="D1244" s="52"/>
      <c r="E1244" s="52"/>
      <c r="F1244" s="52"/>
      <c r="G1244" s="53"/>
      <c r="H1244" s="20"/>
      <c r="I1244" s="9">
        <v>2</v>
      </c>
      <c r="J1244" s="9"/>
      <c r="K1244" s="9"/>
      <c r="L1244" s="9"/>
      <c r="M1244" s="9">
        <f t="shared" si="178"/>
        <v>16.399999999999999</v>
      </c>
      <c r="N1244" s="9">
        <f t="shared" si="179"/>
        <v>7</v>
      </c>
      <c r="O1244" s="9">
        <v>8.1999999999999993</v>
      </c>
      <c r="P1244" s="9">
        <v>3.5</v>
      </c>
      <c r="Q1244" s="9" t="s">
        <v>9</v>
      </c>
      <c r="R1244" s="1">
        <v>0</v>
      </c>
      <c r="S1244" s="26"/>
    </row>
    <row r="1245" spans="1:19" ht="16.5" customHeight="1" x14ac:dyDescent="0.25">
      <c r="A1245" s="9"/>
      <c r="B1245" s="51" t="s">
        <v>93</v>
      </c>
      <c r="C1245" s="52"/>
      <c r="D1245" s="52"/>
      <c r="E1245" s="52"/>
      <c r="F1245" s="52"/>
      <c r="G1245" s="53"/>
      <c r="H1245" s="20"/>
      <c r="I1245" s="9">
        <v>3</v>
      </c>
      <c r="J1245" s="9"/>
      <c r="K1245" s="9"/>
      <c r="L1245" s="9"/>
      <c r="M1245" s="9">
        <f t="shared" si="178"/>
        <v>22.5</v>
      </c>
      <c r="N1245" s="9">
        <f t="shared" si="179"/>
        <v>9</v>
      </c>
      <c r="O1245" s="9">
        <v>7.5</v>
      </c>
      <c r="P1245" s="9">
        <v>3</v>
      </c>
      <c r="Q1245" s="9" t="s">
        <v>6</v>
      </c>
      <c r="R1245" s="1">
        <v>0</v>
      </c>
      <c r="S1245" s="26"/>
    </row>
    <row r="1246" spans="1:19" ht="16.5" customHeight="1" x14ac:dyDescent="0.25">
      <c r="A1246" s="9"/>
      <c r="B1246" s="51" t="s">
        <v>100</v>
      </c>
      <c r="C1246" s="52"/>
      <c r="D1246" s="52"/>
      <c r="E1246" s="52"/>
      <c r="F1246" s="52"/>
      <c r="G1246" s="53"/>
      <c r="H1246" s="20"/>
      <c r="I1246" s="9">
        <v>2</v>
      </c>
      <c r="J1246" s="9"/>
      <c r="K1246" s="9"/>
      <c r="L1246" s="9"/>
      <c r="M1246" s="9">
        <f t="shared" si="178"/>
        <v>15.6</v>
      </c>
      <c r="N1246" s="9">
        <f t="shared" si="179"/>
        <v>6</v>
      </c>
      <c r="O1246" s="9">
        <v>7.8</v>
      </c>
      <c r="P1246" s="9">
        <v>3</v>
      </c>
      <c r="Q1246" s="9" t="s">
        <v>6</v>
      </c>
      <c r="R1246" s="1">
        <v>0</v>
      </c>
      <c r="S1246" s="26"/>
    </row>
    <row r="1247" spans="1:19" ht="16.5" customHeight="1" x14ac:dyDescent="0.25">
      <c r="A1247" s="9"/>
      <c r="B1247" s="51" t="s">
        <v>101</v>
      </c>
      <c r="C1247" s="52"/>
      <c r="D1247" s="52"/>
      <c r="E1247" s="52"/>
      <c r="F1247" s="52"/>
      <c r="G1247" s="53"/>
      <c r="H1247" s="20"/>
      <c r="I1247" s="9">
        <v>4</v>
      </c>
      <c r="J1247" s="9"/>
      <c r="K1247" s="9"/>
      <c r="L1247" s="9"/>
      <c r="M1247" s="9">
        <f t="shared" si="178"/>
        <v>36</v>
      </c>
      <c r="N1247" s="9">
        <f t="shared" si="179"/>
        <v>16</v>
      </c>
      <c r="O1247" s="9">
        <v>9</v>
      </c>
      <c r="P1247" s="9">
        <v>4</v>
      </c>
      <c r="Q1247" s="9" t="s">
        <v>12</v>
      </c>
      <c r="R1247" s="1">
        <v>0</v>
      </c>
      <c r="S1247" s="26"/>
    </row>
    <row r="1248" spans="1:19" ht="16.5" hidden="1" customHeight="1" x14ac:dyDescent="0.25">
      <c r="A1248" s="21"/>
      <c r="H1248" s="21"/>
      <c r="I1248" s="21"/>
      <c r="J1248" s="21"/>
      <c r="K1248" s="21"/>
      <c r="L1248" s="21"/>
      <c r="M1248" s="9">
        <f t="shared" si="178"/>
        <v>0</v>
      </c>
      <c r="N1248" s="9">
        <f t="shared" si="179"/>
        <v>0</v>
      </c>
      <c r="O1248" s="21"/>
      <c r="P1248" s="21"/>
      <c r="Q1248" s="21"/>
      <c r="S1248" s="25"/>
    </row>
    <row r="1249" spans="1:19" ht="16.5" customHeight="1" x14ac:dyDescent="0.25">
      <c r="A1249" s="9"/>
      <c r="B1249" s="39" t="s">
        <v>42</v>
      </c>
      <c r="C1249" s="40"/>
      <c r="D1249" s="40"/>
      <c r="E1249" s="40"/>
      <c r="F1249" s="40"/>
      <c r="G1249" s="41"/>
      <c r="H1249" s="23"/>
      <c r="I1249" s="24">
        <f>SUM(I1238:I1248)</f>
        <v>21</v>
      </c>
      <c r="J1249" s="9"/>
      <c r="K1249" s="9"/>
      <c r="L1249" s="9"/>
      <c r="M1249" s="9">
        <f t="shared" si="178"/>
        <v>174.3</v>
      </c>
      <c r="N1249" s="9">
        <f t="shared" si="179"/>
        <v>73.5</v>
      </c>
      <c r="O1249" s="24">
        <f>ROUND(SUM(M1238:M1248)/I1249,2)</f>
        <v>8.3000000000000007</v>
      </c>
      <c r="P1249" s="24">
        <f>ROUND(SUM(N1238:N1248)/I1249,2)</f>
        <v>3.5</v>
      </c>
      <c r="Q1249" s="9"/>
      <c r="S1249" s="25"/>
    </row>
    <row r="1250" spans="1:19" ht="20.25" customHeight="1" x14ac:dyDescent="0.25">
      <c r="A1250" s="27" t="s">
        <v>102</v>
      </c>
      <c r="B1250" s="28"/>
      <c r="C1250" s="28"/>
      <c r="D1250" s="28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</row>
    <row r="1251" spans="1:19" ht="16.5" customHeight="1" x14ac:dyDescent="0.25">
      <c r="A1251" s="9"/>
      <c r="B1251" s="51" t="s">
        <v>103</v>
      </c>
      <c r="C1251" s="52"/>
      <c r="D1251" s="52"/>
      <c r="E1251" s="52"/>
      <c r="F1251" s="52"/>
      <c r="G1251" s="53"/>
      <c r="H1251" s="20"/>
      <c r="I1251" s="9">
        <v>1</v>
      </c>
      <c r="J1251" s="9"/>
      <c r="K1251" s="9"/>
      <c r="L1251" s="9"/>
      <c r="M1251" s="9">
        <f t="shared" ref="M1251:M1262" si="180">I1251*O1251</f>
        <v>6.7</v>
      </c>
      <c r="N1251" s="9">
        <f t="shared" ref="N1251:N1262" si="181">I1251*P1251</f>
        <v>2.5</v>
      </c>
      <c r="O1251" s="9">
        <v>6.7</v>
      </c>
      <c r="P1251" s="9">
        <v>2.5</v>
      </c>
      <c r="Q1251" s="9" t="s">
        <v>5</v>
      </c>
      <c r="R1251" s="1">
        <v>0</v>
      </c>
      <c r="S1251" s="26"/>
    </row>
    <row r="1252" spans="1:19" ht="16.5" customHeight="1" x14ac:dyDescent="0.25">
      <c r="A1252" s="9"/>
      <c r="B1252" s="51" t="s">
        <v>104</v>
      </c>
      <c r="C1252" s="52"/>
      <c r="D1252" s="52"/>
      <c r="E1252" s="52"/>
      <c r="F1252" s="52"/>
      <c r="G1252" s="53"/>
      <c r="H1252" s="20"/>
      <c r="I1252" s="9">
        <v>3</v>
      </c>
      <c r="J1252" s="9"/>
      <c r="K1252" s="9"/>
      <c r="L1252" s="9"/>
      <c r="M1252" s="9">
        <f t="shared" si="180"/>
        <v>23.1</v>
      </c>
      <c r="N1252" s="9">
        <f t="shared" si="181"/>
        <v>9</v>
      </c>
      <c r="O1252" s="9">
        <v>7.7</v>
      </c>
      <c r="P1252" s="9">
        <v>3</v>
      </c>
      <c r="Q1252" s="9" t="s">
        <v>6</v>
      </c>
      <c r="R1252" s="1">
        <v>0</v>
      </c>
      <c r="S1252" s="26"/>
    </row>
    <row r="1253" spans="1:19" ht="16.5" customHeight="1" x14ac:dyDescent="0.25">
      <c r="A1253" s="9"/>
      <c r="B1253" s="51" t="s">
        <v>105</v>
      </c>
      <c r="C1253" s="52"/>
      <c r="D1253" s="52"/>
      <c r="E1253" s="52"/>
      <c r="F1253" s="52"/>
      <c r="G1253" s="53"/>
      <c r="H1253" s="20"/>
      <c r="I1253" s="9">
        <v>3</v>
      </c>
      <c r="J1253" s="9"/>
      <c r="K1253" s="9"/>
      <c r="L1253" s="9"/>
      <c r="M1253" s="9">
        <f t="shared" si="180"/>
        <v>26.700000000000003</v>
      </c>
      <c r="N1253" s="9">
        <f t="shared" si="181"/>
        <v>11.100000000000001</v>
      </c>
      <c r="O1253" s="9">
        <v>8.9</v>
      </c>
      <c r="P1253" s="9">
        <v>3.7</v>
      </c>
      <c r="Q1253" s="9" t="s">
        <v>10</v>
      </c>
      <c r="R1253" s="1">
        <v>0</v>
      </c>
      <c r="S1253" s="26"/>
    </row>
    <row r="1254" spans="1:19" ht="16.5" customHeight="1" x14ac:dyDescent="0.25">
      <c r="A1254" s="9"/>
      <c r="B1254" s="51" t="s">
        <v>106</v>
      </c>
      <c r="C1254" s="52"/>
      <c r="D1254" s="52"/>
      <c r="E1254" s="52"/>
      <c r="F1254" s="52"/>
      <c r="G1254" s="53"/>
      <c r="H1254" s="20"/>
      <c r="I1254" s="9">
        <v>3</v>
      </c>
      <c r="J1254" s="9"/>
      <c r="K1254" s="9"/>
      <c r="L1254" s="9"/>
      <c r="M1254" s="9">
        <f t="shared" si="180"/>
        <v>27</v>
      </c>
      <c r="N1254" s="9">
        <f t="shared" si="181"/>
        <v>12</v>
      </c>
      <c r="O1254" s="9">
        <v>9</v>
      </c>
      <c r="P1254" s="9">
        <v>4</v>
      </c>
      <c r="Q1254" s="9" t="s">
        <v>12</v>
      </c>
      <c r="R1254" s="1">
        <v>0</v>
      </c>
      <c r="S1254" s="26"/>
    </row>
    <row r="1255" spans="1:19" ht="16.5" customHeight="1" x14ac:dyDescent="0.25">
      <c r="A1255" s="9"/>
      <c r="B1255" s="51" t="s">
        <v>107</v>
      </c>
      <c r="C1255" s="52"/>
      <c r="D1255" s="52"/>
      <c r="E1255" s="52"/>
      <c r="F1255" s="52"/>
      <c r="G1255" s="53"/>
      <c r="H1255" s="20"/>
      <c r="I1255" s="9">
        <v>2</v>
      </c>
      <c r="J1255" s="9"/>
      <c r="K1255" s="9"/>
      <c r="L1255" s="9"/>
      <c r="M1255" s="9">
        <f t="shared" si="180"/>
        <v>16</v>
      </c>
      <c r="N1255" s="9">
        <f t="shared" si="181"/>
        <v>7</v>
      </c>
      <c r="O1255" s="9">
        <v>8</v>
      </c>
      <c r="P1255" s="9">
        <v>3.5</v>
      </c>
      <c r="Q1255" s="9" t="s">
        <v>9</v>
      </c>
      <c r="R1255" s="1">
        <v>0</v>
      </c>
      <c r="S1255" s="26"/>
    </row>
    <row r="1256" spans="1:19" ht="16.5" customHeight="1" x14ac:dyDescent="0.25">
      <c r="A1256" s="9"/>
      <c r="B1256" s="51" t="s">
        <v>108</v>
      </c>
      <c r="C1256" s="52"/>
      <c r="D1256" s="52"/>
      <c r="E1256" s="52"/>
      <c r="F1256" s="52"/>
      <c r="G1256" s="53"/>
      <c r="H1256" s="20"/>
      <c r="I1256" s="9">
        <v>2</v>
      </c>
      <c r="J1256" s="9"/>
      <c r="K1256" s="9"/>
      <c r="L1256" s="9"/>
      <c r="M1256" s="9">
        <f t="shared" si="180"/>
        <v>13.8</v>
      </c>
      <c r="N1256" s="9">
        <f t="shared" si="181"/>
        <v>5</v>
      </c>
      <c r="O1256" s="9">
        <v>6.9</v>
      </c>
      <c r="P1256" s="9">
        <v>2.5</v>
      </c>
      <c r="Q1256" s="9" t="s">
        <v>5</v>
      </c>
      <c r="R1256" s="1">
        <v>0</v>
      </c>
      <c r="S1256" s="26"/>
    </row>
    <row r="1257" spans="1:19" ht="16.5" customHeight="1" x14ac:dyDescent="0.25">
      <c r="A1257" s="9"/>
      <c r="B1257" s="51" t="s">
        <v>109</v>
      </c>
      <c r="C1257" s="52"/>
      <c r="D1257" s="52"/>
      <c r="E1257" s="52"/>
      <c r="F1257" s="52"/>
      <c r="G1257" s="53"/>
      <c r="H1257" s="20"/>
      <c r="I1257" s="9">
        <v>2</v>
      </c>
      <c r="J1257" s="9"/>
      <c r="K1257" s="9"/>
      <c r="L1257" s="9"/>
      <c r="M1257" s="9">
        <f t="shared" si="180"/>
        <v>14.6</v>
      </c>
      <c r="N1257" s="9">
        <f t="shared" si="181"/>
        <v>6</v>
      </c>
      <c r="O1257" s="9">
        <v>7.3</v>
      </c>
      <c r="P1257" s="9">
        <v>3</v>
      </c>
      <c r="Q1257" s="9" t="s">
        <v>6</v>
      </c>
      <c r="R1257" s="1">
        <v>0</v>
      </c>
      <c r="S1257" s="26"/>
    </row>
    <row r="1258" spans="1:19" ht="16.5" customHeight="1" x14ac:dyDescent="0.25">
      <c r="A1258" s="9"/>
      <c r="B1258" s="51" t="s">
        <v>110</v>
      </c>
      <c r="C1258" s="52"/>
      <c r="D1258" s="52"/>
      <c r="E1258" s="52"/>
      <c r="F1258" s="52"/>
      <c r="G1258" s="53"/>
      <c r="H1258" s="20"/>
      <c r="I1258" s="9">
        <v>4</v>
      </c>
      <c r="J1258" s="9"/>
      <c r="K1258" s="9"/>
      <c r="L1258" s="9"/>
      <c r="M1258" s="9">
        <f t="shared" si="180"/>
        <v>30.8</v>
      </c>
      <c r="N1258" s="9">
        <f t="shared" si="181"/>
        <v>12</v>
      </c>
      <c r="O1258" s="9">
        <v>7.7</v>
      </c>
      <c r="P1258" s="9">
        <v>3</v>
      </c>
      <c r="Q1258" s="9" t="s">
        <v>6</v>
      </c>
      <c r="R1258" s="1">
        <v>0</v>
      </c>
      <c r="S1258" s="26"/>
    </row>
    <row r="1259" spans="1:19" ht="16.5" customHeight="1" x14ac:dyDescent="0.25">
      <c r="A1259" s="9"/>
      <c r="B1259" s="51" t="s">
        <v>111</v>
      </c>
      <c r="C1259" s="52"/>
      <c r="D1259" s="52"/>
      <c r="E1259" s="52"/>
      <c r="F1259" s="52"/>
      <c r="G1259" s="53"/>
      <c r="H1259" s="20"/>
      <c r="I1259" s="9">
        <v>2</v>
      </c>
      <c r="J1259" s="9"/>
      <c r="K1259" s="9"/>
      <c r="L1259" s="9"/>
      <c r="M1259" s="9">
        <f t="shared" si="180"/>
        <v>14.8</v>
      </c>
      <c r="N1259" s="9">
        <f t="shared" si="181"/>
        <v>6</v>
      </c>
      <c r="O1259" s="9">
        <v>7.4</v>
      </c>
      <c r="P1259" s="9">
        <v>3</v>
      </c>
      <c r="Q1259" s="9" t="s">
        <v>6</v>
      </c>
      <c r="R1259" s="1">
        <v>0</v>
      </c>
      <c r="S1259" s="26"/>
    </row>
    <row r="1260" spans="1:19" ht="16.5" customHeight="1" x14ac:dyDescent="0.25">
      <c r="A1260" s="9"/>
      <c r="B1260" s="51" t="s">
        <v>112</v>
      </c>
      <c r="C1260" s="52"/>
      <c r="D1260" s="52"/>
      <c r="E1260" s="52"/>
      <c r="F1260" s="52"/>
      <c r="G1260" s="53"/>
      <c r="H1260" s="20"/>
      <c r="I1260" s="9">
        <v>3</v>
      </c>
      <c r="J1260" s="9"/>
      <c r="K1260" s="9"/>
      <c r="L1260" s="9"/>
      <c r="M1260" s="9">
        <f t="shared" si="180"/>
        <v>25.200000000000003</v>
      </c>
      <c r="N1260" s="9">
        <f t="shared" si="181"/>
        <v>10.5</v>
      </c>
      <c r="O1260" s="9">
        <v>8.4</v>
      </c>
      <c r="P1260" s="9">
        <v>3.5</v>
      </c>
      <c r="Q1260" s="9" t="s">
        <v>9</v>
      </c>
      <c r="R1260" s="1">
        <v>0</v>
      </c>
      <c r="S1260" s="26"/>
    </row>
    <row r="1261" spans="1:19" ht="16.5" hidden="1" customHeight="1" x14ac:dyDescent="0.25">
      <c r="A1261" s="21"/>
      <c r="H1261" s="21"/>
      <c r="I1261" s="21"/>
      <c r="J1261" s="21"/>
      <c r="K1261" s="21"/>
      <c r="L1261" s="21"/>
      <c r="M1261" s="9">
        <f t="shared" si="180"/>
        <v>0</v>
      </c>
      <c r="N1261" s="9">
        <f t="shared" si="181"/>
        <v>0</v>
      </c>
      <c r="O1261" s="21"/>
      <c r="P1261" s="21"/>
      <c r="Q1261" s="21"/>
      <c r="S1261" s="25"/>
    </row>
    <row r="1262" spans="1:19" ht="16.5" customHeight="1" x14ac:dyDescent="0.25">
      <c r="A1262" s="9"/>
      <c r="B1262" s="39" t="s">
        <v>42</v>
      </c>
      <c r="C1262" s="40"/>
      <c r="D1262" s="40"/>
      <c r="E1262" s="40"/>
      <c r="F1262" s="40"/>
      <c r="G1262" s="41"/>
      <c r="H1262" s="23"/>
      <c r="I1262" s="24">
        <f>SUM(I1251:I1261)</f>
        <v>25</v>
      </c>
      <c r="J1262" s="9"/>
      <c r="K1262" s="9"/>
      <c r="L1262" s="9"/>
      <c r="M1262" s="9">
        <f t="shared" si="180"/>
        <v>198.75</v>
      </c>
      <c r="N1262" s="9">
        <f t="shared" si="181"/>
        <v>81</v>
      </c>
      <c r="O1262" s="24">
        <f>ROUND(SUM(M1251:M1261)/I1262,2)</f>
        <v>7.95</v>
      </c>
      <c r="P1262" s="24">
        <f>ROUND(SUM(N1251:N1261)/I1262,2)</f>
        <v>3.24</v>
      </c>
      <c r="Q1262" s="9"/>
      <c r="S1262" s="25"/>
    </row>
    <row r="1263" spans="1:19" ht="20.25" customHeight="1" x14ac:dyDescent="0.25">
      <c r="A1263" s="27" t="s">
        <v>113</v>
      </c>
      <c r="B1263" s="28"/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</row>
    <row r="1264" spans="1:19" ht="16.5" customHeight="1" x14ac:dyDescent="0.25">
      <c r="A1264" s="9"/>
      <c r="B1264" s="51" t="s">
        <v>114</v>
      </c>
      <c r="C1264" s="52"/>
      <c r="D1264" s="52"/>
      <c r="E1264" s="52"/>
      <c r="F1264" s="52"/>
      <c r="G1264" s="53"/>
      <c r="H1264" s="20"/>
      <c r="I1264" s="9">
        <v>3</v>
      </c>
      <c r="J1264" s="9"/>
      <c r="K1264" s="9"/>
      <c r="L1264" s="9"/>
      <c r="M1264" s="9">
        <f t="shared" ref="M1264:M1272" si="182">I1264*O1264</f>
        <v>0</v>
      </c>
      <c r="N1264" s="9">
        <f t="shared" ref="N1264:N1272" si="183">I1264*P1264</f>
        <v>0</v>
      </c>
      <c r="O1264" s="9"/>
      <c r="P1264" s="9"/>
      <c r="Q1264" s="9"/>
      <c r="R1264" s="1">
        <v>0</v>
      </c>
      <c r="S1264" s="26"/>
    </row>
    <row r="1265" spans="1:19" ht="16.5" customHeight="1" x14ac:dyDescent="0.25">
      <c r="A1265" s="9"/>
      <c r="B1265" s="51" t="s">
        <v>115</v>
      </c>
      <c r="C1265" s="52"/>
      <c r="D1265" s="52"/>
      <c r="E1265" s="52"/>
      <c r="F1265" s="52"/>
      <c r="G1265" s="53"/>
      <c r="H1265" s="20"/>
      <c r="I1265" s="9">
        <v>3</v>
      </c>
      <c r="J1265" s="9"/>
      <c r="K1265" s="9"/>
      <c r="L1265" s="9"/>
      <c r="M1265" s="9">
        <f t="shared" si="182"/>
        <v>0</v>
      </c>
      <c r="N1265" s="9">
        <f t="shared" si="183"/>
        <v>0</v>
      </c>
      <c r="O1265" s="9"/>
      <c r="P1265" s="9"/>
      <c r="Q1265" s="9"/>
      <c r="R1265" s="1">
        <v>0</v>
      </c>
      <c r="S1265" s="26"/>
    </row>
    <row r="1266" spans="1:19" ht="16.5" customHeight="1" x14ac:dyDescent="0.25">
      <c r="A1266" s="9"/>
      <c r="B1266" s="51" t="s">
        <v>116</v>
      </c>
      <c r="C1266" s="52"/>
      <c r="D1266" s="52"/>
      <c r="E1266" s="52"/>
      <c r="F1266" s="52"/>
      <c r="G1266" s="53"/>
      <c r="H1266" s="20"/>
      <c r="I1266" s="9">
        <v>3</v>
      </c>
      <c r="J1266" s="9"/>
      <c r="K1266" s="9"/>
      <c r="L1266" s="9"/>
      <c r="M1266" s="9">
        <f t="shared" si="182"/>
        <v>0</v>
      </c>
      <c r="N1266" s="9">
        <f t="shared" si="183"/>
        <v>0</v>
      </c>
      <c r="O1266" s="9"/>
      <c r="P1266" s="9"/>
      <c r="Q1266" s="9"/>
      <c r="R1266" s="1">
        <v>0</v>
      </c>
      <c r="S1266" s="26"/>
    </row>
    <row r="1267" spans="1:19" ht="16.5" customHeight="1" x14ac:dyDescent="0.25">
      <c r="A1267" s="9"/>
      <c r="B1267" s="51" t="s">
        <v>120</v>
      </c>
      <c r="C1267" s="52"/>
      <c r="D1267" s="52"/>
      <c r="E1267" s="52"/>
      <c r="F1267" s="52"/>
      <c r="G1267" s="53"/>
      <c r="H1267" s="20"/>
      <c r="I1267" s="9">
        <v>2</v>
      </c>
      <c r="J1267" s="9"/>
      <c r="K1267" s="9"/>
      <c r="L1267" s="9"/>
      <c r="M1267" s="9">
        <f t="shared" si="182"/>
        <v>17</v>
      </c>
      <c r="N1267" s="9">
        <f t="shared" si="183"/>
        <v>7.4</v>
      </c>
      <c r="O1267" s="9">
        <v>8.5</v>
      </c>
      <c r="P1267" s="9">
        <v>3.7</v>
      </c>
      <c r="Q1267" s="9" t="s">
        <v>10</v>
      </c>
      <c r="R1267" s="1">
        <v>0</v>
      </c>
      <c r="S1267" s="26"/>
    </row>
    <row r="1268" spans="1:19" ht="16.5" customHeight="1" x14ac:dyDescent="0.25">
      <c r="A1268" s="9"/>
      <c r="B1268" s="51" t="s">
        <v>118</v>
      </c>
      <c r="C1268" s="52"/>
      <c r="D1268" s="52"/>
      <c r="E1268" s="52"/>
      <c r="F1268" s="52"/>
      <c r="G1268" s="53"/>
      <c r="H1268" s="20"/>
      <c r="I1268" s="9">
        <v>3</v>
      </c>
      <c r="J1268" s="9"/>
      <c r="K1268" s="9"/>
      <c r="L1268" s="9"/>
      <c r="M1268" s="9">
        <f t="shared" si="182"/>
        <v>0</v>
      </c>
      <c r="N1268" s="9">
        <f t="shared" si="183"/>
        <v>0</v>
      </c>
      <c r="O1268" s="9"/>
      <c r="P1268" s="9"/>
      <c r="Q1268" s="9"/>
      <c r="R1268" s="1">
        <v>0</v>
      </c>
      <c r="S1268" s="26"/>
    </row>
    <row r="1269" spans="1:19" ht="16.5" customHeight="1" x14ac:dyDescent="0.25">
      <c r="A1269" s="9"/>
      <c r="B1269" s="51" t="s">
        <v>119</v>
      </c>
      <c r="C1269" s="52"/>
      <c r="D1269" s="52"/>
      <c r="E1269" s="52"/>
      <c r="F1269" s="52"/>
      <c r="G1269" s="53"/>
      <c r="H1269" s="20"/>
      <c r="I1269" s="9">
        <v>3</v>
      </c>
      <c r="J1269" s="9"/>
      <c r="K1269" s="9"/>
      <c r="L1269" s="9"/>
      <c r="M1269" s="9">
        <f t="shared" si="182"/>
        <v>0</v>
      </c>
      <c r="N1269" s="9">
        <f t="shared" si="183"/>
        <v>0</v>
      </c>
      <c r="O1269" s="9"/>
      <c r="P1269" s="9"/>
      <c r="Q1269" s="9"/>
      <c r="R1269" s="1">
        <v>0</v>
      </c>
      <c r="S1269" s="26"/>
    </row>
    <row r="1270" spans="1:19" ht="16.5" customHeight="1" x14ac:dyDescent="0.25">
      <c r="A1270" s="9"/>
      <c r="B1270" s="51" t="s">
        <v>117</v>
      </c>
      <c r="C1270" s="52"/>
      <c r="D1270" s="52"/>
      <c r="E1270" s="52"/>
      <c r="F1270" s="52"/>
      <c r="G1270" s="53"/>
      <c r="H1270" s="20"/>
      <c r="I1270" s="9">
        <v>1</v>
      </c>
      <c r="J1270" s="9"/>
      <c r="K1270" s="9"/>
      <c r="L1270" s="9"/>
      <c r="M1270" s="9">
        <f t="shared" si="182"/>
        <v>7.4</v>
      </c>
      <c r="N1270" s="9">
        <f t="shared" si="183"/>
        <v>3</v>
      </c>
      <c r="O1270" s="9">
        <v>7.4</v>
      </c>
      <c r="P1270" s="9">
        <v>3</v>
      </c>
      <c r="Q1270" s="9" t="s">
        <v>6</v>
      </c>
      <c r="R1270" s="1">
        <v>0</v>
      </c>
      <c r="S1270" s="26"/>
    </row>
    <row r="1271" spans="1:19" ht="16.5" hidden="1" customHeight="1" x14ac:dyDescent="0.25">
      <c r="A1271" s="21"/>
      <c r="H1271" s="21"/>
      <c r="I1271" s="21"/>
      <c r="J1271" s="21"/>
      <c r="K1271" s="21"/>
      <c r="L1271" s="21"/>
      <c r="M1271" s="9">
        <f t="shared" si="182"/>
        <v>0</v>
      </c>
      <c r="N1271" s="9">
        <f t="shared" si="183"/>
        <v>0</v>
      </c>
      <c r="O1271" s="21"/>
      <c r="P1271" s="21"/>
      <c r="Q1271" s="21"/>
      <c r="S1271" s="25"/>
    </row>
    <row r="1272" spans="1:19" ht="16.5" customHeight="1" x14ac:dyDescent="0.25">
      <c r="A1272" s="9"/>
      <c r="B1272" s="39" t="s">
        <v>42</v>
      </c>
      <c r="C1272" s="40"/>
      <c r="D1272" s="40"/>
      <c r="E1272" s="40"/>
      <c r="F1272" s="40"/>
      <c r="G1272" s="41"/>
      <c r="H1272" s="23"/>
      <c r="I1272" s="24">
        <f>SUM(I1264:I1271)</f>
        <v>18</v>
      </c>
      <c r="J1272" s="9"/>
      <c r="K1272" s="9"/>
      <c r="L1272" s="9"/>
      <c r="M1272" s="9">
        <f t="shared" si="182"/>
        <v>24.48</v>
      </c>
      <c r="N1272" s="9">
        <f t="shared" si="183"/>
        <v>10.44</v>
      </c>
      <c r="O1272" s="24">
        <f>ROUND(SUM(M1264:M1271)/I1272,2)</f>
        <v>1.36</v>
      </c>
      <c r="P1272" s="24">
        <f>ROUND(SUM(N1264:N1271)/I1272,2)</f>
        <v>0.57999999999999996</v>
      </c>
      <c r="Q1272" s="9"/>
      <c r="S1272" s="25"/>
    </row>
    <row r="1273" spans="1:19" ht="16.5" customHeight="1" x14ac:dyDescent="0.25">
      <c r="A1273" s="21"/>
      <c r="B1273" s="22"/>
      <c r="C1273" s="22"/>
      <c r="D1273" s="22"/>
      <c r="E1273" s="22"/>
      <c r="F1273" s="22"/>
      <c r="G1273" s="22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</row>
    <row r="1275" spans="1:19" ht="18" x14ac:dyDescent="0.25">
      <c r="A1275" s="35" t="s">
        <v>50</v>
      </c>
      <c r="B1275" s="35"/>
      <c r="C1275" s="35"/>
      <c r="D1275" s="35"/>
      <c r="E1275" s="35"/>
      <c r="F1275" s="35"/>
      <c r="G1275" s="35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</row>
    <row r="1276" spans="1:19" ht="18" x14ac:dyDescent="0.25">
      <c r="A1276" s="35" t="s">
        <v>182</v>
      </c>
      <c r="B1276" s="35"/>
      <c r="C1276" s="35"/>
      <c r="D1276" s="35"/>
      <c r="E1276" s="35"/>
      <c r="F1276" s="35"/>
      <c r="G1276" s="35"/>
      <c r="H1276" s="35"/>
      <c r="I1276" s="35"/>
      <c r="J1276" s="35"/>
      <c r="K1276" s="35"/>
      <c r="L1276" s="35"/>
      <c r="M1276" s="35"/>
      <c r="N1276" s="35"/>
      <c r="O1276" s="35"/>
      <c r="P1276" s="35"/>
      <c r="Q1276" s="35"/>
      <c r="R1276" s="35"/>
      <c r="S1276" s="35"/>
    </row>
    <row r="1277" spans="1:19" ht="18" x14ac:dyDescent="0.25">
      <c r="A1277" s="35" t="s">
        <v>187</v>
      </c>
      <c r="B1277" s="35"/>
      <c r="C1277" s="35"/>
      <c r="D1277" s="35"/>
      <c r="E1277" s="35"/>
      <c r="F1277" s="35"/>
      <c r="G1277" s="35"/>
      <c r="H1277" s="35"/>
      <c r="I1277" s="35"/>
      <c r="J1277" s="35"/>
      <c r="K1277" s="35"/>
      <c r="L1277" s="35"/>
      <c r="M1277" s="35"/>
      <c r="N1277" s="35"/>
      <c r="O1277" s="35"/>
      <c r="P1277" s="35"/>
      <c r="Q1277" s="35"/>
      <c r="R1277" s="35"/>
      <c r="S1277" s="35"/>
    </row>
    <row r="1278" spans="1:19" ht="18" x14ac:dyDescent="0.25">
      <c r="A1278" s="45" t="s">
        <v>53</v>
      </c>
      <c r="B1278" s="45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</row>
    <row r="1279" spans="1:19" ht="19.5" customHeight="1" x14ac:dyDescent="0.25">
      <c r="A1279" s="17"/>
      <c r="B1279" s="17"/>
      <c r="C1279" s="8"/>
      <c r="D1279" s="18"/>
      <c r="E1279" s="10"/>
      <c r="F1279" s="11"/>
      <c r="G1279" s="46" t="s">
        <v>49</v>
      </c>
      <c r="H1279" s="46"/>
      <c r="I1279" s="46"/>
      <c r="J1279" s="46"/>
      <c r="K1279" s="46"/>
      <c r="L1279" s="46"/>
      <c r="M1279" s="46"/>
      <c r="N1279" s="46"/>
      <c r="O1279" s="46"/>
      <c r="P1279" s="46"/>
      <c r="Q1279" s="46"/>
      <c r="R1279" s="46"/>
      <c r="S1279" s="46"/>
    </row>
    <row r="1280" spans="1:19" ht="31.5" customHeight="1" x14ac:dyDescent="0.3">
      <c r="A1280" s="8"/>
      <c r="B1280" s="8"/>
      <c r="C1280" s="8"/>
      <c r="D1280" s="8"/>
      <c r="E1280" s="8"/>
      <c r="F1280" s="8"/>
      <c r="G1280" s="8"/>
      <c r="H1280" s="12"/>
      <c r="I1280" s="42" t="s">
        <v>40</v>
      </c>
      <c r="J1280" s="43"/>
      <c r="K1280" s="43"/>
      <c r="L1280" s="43"/>
      <c r="M1280" s="43"/>
      <c r="N1280" s="43"/>
      <c r="O1280" s="43"/>
      <c r="P1280" s="43"/>
      <c r="Q1280" s="43"/>
      <c r="R1280" s="43"/>
      <c r="S1280" s="43"/>
    </row>
    <row r="1281" spans="1:20" ht="16.8" x14ac:dyDescent="0.3">
      <c r="A1281" s="8"/>
      <c r="B1281" s="8"/>
      <c r="C1281" s="8"/>
      <c r="D1281" s="8"/>
      <c r="E1281" s="8"/>
      <c r="F1281" s="8"/>
      <c r="G1281" s="8"/>
      <c r="H1281" s="12"/>
      <c r="I1281" s="12"/>
      <c r="J1281" s="12"/>
      <c r="K1281" s="12"/>
      <c r="L1281" s="8"/>
      <c r="M1281" s="8"/>
      <c r="N1281" s="8"/>
      <c r="O1281" s="8"/>
      <c r="P1281" s="8"/>
      <c r="Q1281" s="8"/>
    </row>
    <row r="1282" spans="1:20" ht="33" customHeight="1" x14ac:dyDescent="0.3">
      <c r="A1282" s="8"/>
      <c r="B1282" s="8"/>
      <c r="C1282" s="8"/>
      <c r="D1282" s="8"/>
      <c r="E1282" s="8"/>
      <c r="F1282" s="8"/>
      <c r="G1282" s="8"/>
      <c r="H1282" s="12"/>
      <c r="I1282" s="12"/>
      <c r="J1282" s="12"/>
      <c r="K1282" s="12"/>
      <c r="L1282" s="8"/>
      <c r="M1282" s="8"/>
      <c r="N1282" s="8"/>
      <c r="O1282" s="8"/>
      <c r="P1282" s="8"/>
      <c r="Q1282" s="8"/>
    </row>
    <row r="1283" spans="1:20" ht="11.25" customHeight="1" x14ac:dyDescent="0.3">
      <c r="A1283" s="8"/>
      <c r="B1283" s="8"/>
      <c r="C1283" s="8"/>
      <c r="D1283" s="8"/>
      <c r="E1283" s="8"/>
      <c r="F1283" s="8"/>
      <c r="G1283" s="8"/>
      <c r="H1283" s="12"/>
      <c r="I1283" s="12"/>
      <c r="J1283" s="12"/>
      <c r="K1283" s="12"/>
      <c r="L1283" s="8"/>
      <c r="M1283" s="8"/>
      <c r="N1283" s="8"/>
      <c r="O1283" s="8"/>
      <c r="P1283" s="8"/>
      <c r="Q1283" s="8"/>
    </row>
    <row r="1284" spans="1:20" ht="17.399999999999999" x14ac:dyDescent="0.3">
      <c r="A1284" s="8"/>
      <c r="B1284" s="8"/>
      <c r="C1284" s="8"/>
      <c r="D1284" s="8"/>
      <c r="E1284" s="8"/>
      <c r="F1284" s="8"/>
      <c r="G1284" s="47" t="s">
        <v>41</v>
      </c>
      <c r="H1284" s="47"/>
      <c r="I1284" s="47"/>
      <c r="J1284" s="47"/>
      <c r="K1284" s="47"/>
      <c r="L1284" s="47"/>
      <c r="M1284" s="47"/>
      <c r="N1284" s="47"/>
      <c r="O1284" s="47"/>
      <c r="P1284" s="47"/>
      <c r="Q1284" s="47"/>
      <c r="R1284" s="47"/>
      <c r="S1284" s="47"/>
    </row>
    <row r="1285" spans="1:20" ht="54" customHeight="1" x14ac:dyDescent="0.25">
      <c r="A1285" s="48" t="s">
        <v>33</v>
      </c>
      <c r="B1285" s="48"/>
      <c r="C1285" s="48"/>
      <c r="D1285" s="48"/>
      <c r="E1285" s="48"/>
      <c r="F1285" s="42" t="s">
        <v>24</v>
      </c>
      <c r="G1285" s="42"/>
      <c r="H1285" s="42"/>
      <c r="I1285" s="42"/>
      <c r="J1285" s="42"/>
      <c r="K1285" s="42"/>
      <c r="L1285" s="42"/>
      <c r="M1285" s="42"/>
      <c r="N1285" s="42"/>
      <c r="O1285" s="42"/>
      <c r="P1285" s="42"/>
      <c r="Q1285" s="42"/>
      <c r="R1285" s="42"/>
      <c r="S1285" s="42"/>
    </row>
    <row r="1286" spans="1:20" ht="17.399999999999999" x14ac:dyDescent="0.25">
      <c r="A1286" s="49" t="s">
        <v>34</v>
      </c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49"/>
      <c r="N1286" s="49"/>
      <c r="O1286" s="49"/>
      <c r="P1286" s="49"/>
      <c r="Q1286" s="49"/>
    </row>
    <row r="1287" spans="1:20" ht="4.5" customHeight="1" x14ac:dyDescent="0.25">
      <c r="A1287" s="50"/>
      <c r="B1287" s="50"/>
      <c r="C1287" s="50"/>
      <c r="D1287" s="50"/>
      <c r="E1287" s="50"/>
      <c r="F1287" s="50"/>
      <c r="G1287" s="50"/>
      <c r="H1287" s="50"/>
      <c r="I1287" s="50"/>
      <c r="J1287" s="50"/>
      <c r="K1287" s="50"/>
      <c r="L1287" s="50"/>
      <c r="M1287" s="50"/>
      <c r="N1287" s="50"/>
      <c r="O1287" s="50"/>
      <c r="P1287" s="50"/>
      <c r="Q1287" s="50"/>
    </row>
    <row r="1288" spans="1:20" ht="5.25" customHeight="1" x14ac:dyDescent="0.25">
      <c r="A1288" s="50"/>
      <c r="B1288" s="50"/>
      <c r="C1288" s="50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</row>
    <row r="1289" spans="1:20" ht="16.5" customHeight="1" x14ac:dyDescent="0.25">
      <c r="A1289" s="54" t="s">
        <v>188</v>
      </c>
      <c r="B1289" s="54"/>
      <c r="C1289" s="54"/>
      <c r="D1289" s="54"/>
      <c r="E1289" s="54"/>
      <c r="F1289" s="54"/>
      <c r="G1289" s="58" t="s">
        <v>189</v>
      </c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</row>
    <row r="1290" spans="1:20" ht="16.5" customHeight="1" x14ac:dyDescent="0.25">
      <c r="A1290" s="54" t="s">
        <v>190</v>
      </c>
      <c r="B1290" s="54"/>
      <c r="C1290" s="54"/>
      <c r="D1290" s="54"/>
      <c r="E1290" s="54"/>
      <c r="F1290" s="54"/>
      <c r="G1290" s="8" t="s">
        <v>46</v>
      </c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T1290" s="2"/>
    </row>
    <row r="1291" spans="1:20" ht="16.5" customHeight="1" x14ac:dyDescent="0.25">
      <c r="A1291" s="54" t="s">
        <v>47</v>
      </c>
      <c r="B1291" s="54"/>
      <c r="C1291" s="54"/>
      <c r="D1291" s="54"/>
      <c r="E1291" s="54"/>
      <c r="F1291" s="54"/>
      <c r="G1291" s="58" t="s">
        <v>48</v>
      </c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</row>
    <row r="1292" spans="1:20" ht="5.25" customHeight="1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19"/>
      <c r="K1292" s="19"/>
      <c r="L1292" s="19"/>
      <c r="M1292" s="19"/>
      <c r="N1292" s="19"/>
      <c r="O1292" s="19"/>
      <c r="P1292" s="19"/>
      <c r="Q1292" s="19"/>
    </row>
    <row r="1293" spans="1:20" ht="15" customHeight="1" x14ac:dyDescent="0.25">
      <c r="A1293" s="36" t="s">
        <v>0</v>
      </c>
      <c r="B1293" s="29" t="s">
        <v>1</v>
      </c>
      <c r="C1293" s="30"/>
      <c r="D1293" s="30"/>
      <c r="E1293" s="30"/>
      <c r="F1293" s="30"/>
      <c r="G1293" s="31"/>
      <c r="H1293" s="36" t="s">
        <v>32</v>
      </c>
      <c r="I1293" s="36" t="s">
        <v>39</v>
      </c>
      <c r="J1293" s="55" t="s">
        <v>2</v>
      </c>
      <c r="K1293" s="56"/>
      <c r="L1293" s="56"/>
      <c r="M1293" s="56"/>
      <c r="N1293" s="56"/>
      <c r="O1293" s="56"/>
      <c r="P1293" s="56"/>
      <c r="Q1293" s="57"/>
      <c r="S1293" s="36" t="s">
        <v>38</v>
      </c>
    </row>
    <row r="1294" spans="1:20" ht="24" customHeight="1" x14ac:dyDescent="0.25">
      <c r="A1294" s="37"/>
      <c r="B1294" s="32"/>
      <c r="C1294" s="33"/>
      <c r="D1294" s="33"/>
      <c r="E1294" s="33"/>
      <c r="F1294" s="33"/>
      <c r="G1294" s="34"/>
      <c r="H1294" s="37"/>
      <c r="I1294" s="37"/>
      <c r="J1294" s="7" t="s">
        <v>28</v>
      </c>
      <c r="K1294" s="7" t="s">
        <v>29</v>
      </c>
      <c r="L1294" s="7" t="s">
        <v>30</v>
      </c>
      <c r="M1294" s="7"/>
      <c r="N1294" s="7"/>
      <c r="O1294" s="6" t="s">
        <v>35</v>
      </c>
      <c r="P1294" s="6" t="s">
        <v>36</v>
      </c>
      <c r="Q1294" s="6" t="s">
        <v>37</v>
      </c>
      <c r="S1294" s="37"/>
    </row>
    <row r="1295" spans="1:20" ht="20.25" customHeight="1" x14ac:dyDescent="0.25">
      <c r="A1295" s="27" t="s">
        <v>54</v>
      </c>
      <c r="B1295" s="28"/>
      <c r="C1295" s="28"/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</row>
    <row r="1296" spans="1:20" ht="16.5" customHeight="1" x14ac:dyDescent="0.25">
      <c r="A1296" s="9"/>
      <c r="B1296" s="51" t="s">
        <v>55</v>
      </c>
      <c r="C1296" s="52"/>
      <c r="D1296" s="52"/>
      <c r="E1296" s="52"/>
      <c r="F1296" s="52"/>
      <c r="G1296" s="53"/>
      <c r="H1296" s="20"/>
      <c r="I1296" s="9">
        <v>1</v>
      </c>
      <c r="J1296" s="9"/>
      <c r="K1296" s="9"/>
      <c r="L1296" s="9"/>
      <c r="M1296" s="9">
        <f t="shared" ref="M1296:M1304" si="184">I1296*O1296</f>
        <v>5.4</v>
      </c>
      <c r="N1296" s="9">
        <f t="shared" ref="N1296:N1304" si="185">I1296*P1296</f>
        <v>1.5</v>
      </c>
      <c r="O1296" s="9">
        <v>5.4</v>
      </c>
      <c r="P1296" s="9">
        <v>1.5</v>
      </c>
      <c r="Q1296" s="9" t="s">
        <v>4</v>
      </c>
      <c r="R1296" s="1">
        <v>0</v>
      </c>
      <c r="S1296" s="26"/>
    </row>
    <row r="1297" spans="1:19" ht="16.5" customHeight="1" x14ac:dyDescent="0.25">
      <c r="A1297" s="9"/>
      <c r="B1297" s="51" t="s">
        <v>56</v>
      </c>
      <c r="C1297" s="52"/>
      <c r="D1297" s="52"/>
      <c r="E1297" s="52"/>
      <c r="F1297" s="52"/>
      <c r="G1297" s="53"/>
      <c r="H1297" s="20"/>
      <c r="I1297" s="9">
        <v>3</v>
      </c>
      <c r="J1297" s="9"/>
      <c r="K1297" s="9"/>
      <c r="L1297" s="9"/>
      <c r="M1297" s="9">
        <f t="shared" si="184"/>
        <v>22.799999999999997</v>
      </c>
      <c r="N1297" s="9">
        <f t="shared" si="185"/>
        <v>9</v>
      </c>
      <c r="O1297" s="9">
        <v>7.6</v>
      </c>
      <c r="P1297" s="9">
        <v>3</v>
      </c>
      <c r="Q1297" s="9" t="s">
        <v>6</v>
      </c>
      <c r="R1297" s="1">
        <v>0</v>
      </c>
      <c r="S1297" s="26"/>
    </row>
    <row r="1298" spans="1:19" ht="31.2" customHeight="1" x14ac:dyDescent="0.25">
      <c r="A1298" s="9"/>
      <c r="B1298" s="51" t="s">
        <v>57</v>
      </c>
      <c r="C1298" s="52"/>
      <c r="D1298" s="52"/>
      <c r="E1298" s="52"/>
      <c r="F1298" s="52"/>
      <c r="G1298" s="53"/>
      <c r="H1298" s="20"/>
      <c r="I1298" s="9">
        <v>3</v>
      </c>
      <c r="J1298" s="9"/>
      <c r="K1298" s="9"/>
      <c r="L1298" s="9"/>
      <c r="M1298" s="9">
        <f t="shared" si="184"/>
        <v>23.700000000000003</v>
      </c>
      <c r="N1298" s="9">
        <f t="shared" si="185"/>
        <v>9</v>
      </c>
      <c r="O1298" s="9">
        <v>7.9</v>
      </c>
      <c r="P1298" s="9">
        <v>3</v>
      </c>
      <c r="Q1298" s="9" t="s">
        <v>6</v>
      </c>
      <c r="R1298" s="1">
        <v>0</v>
      </c>
      <c r="S1298" s="26"/>
    </row>
    <row r="1299" spans="1:19" ht="16.5" customHeight="1" x14ac:dyDescent="0.25">
      <c r="A1299" s="9"/>
      <c r="B1299" s="51" t="s">
        <v>58</v>
      </c>
      <c r="C1299" s="52"/>
      <c r="D1299" s="52"/>
      <c r="E1299" s="52"/>
      <c r="F1299" s="52"/>
      <c r="G1299" s="53"/>
      <c r="H1299" s="20"/>
      <c r="I1299" s="9">
        <v>1</v>
      </c>
      <c r="J1299" s="9"/>
      <c r="K1299" s="9"/>
      <c r="L1299" s="9"/>
      <c r="M1299" s="9">
        <f t="shared" si="184"/>
        <v>6.8</v>
      </c>
      <c r="N1299" s="9">
        <f t="shared" si="185"/>
        <v>2.5</v>
      </c>
      <c r="O1299" s="9">
        <v>6.8</v>
      </c>
      <c r="P1299" s="9">
        <v>2.5</v>
      </c>
      <c r="Q1299" s="9" t="s">
        <v>5</v>
      </c>
      <c r="R1299" s="1">
        <v>0</v>
      </c>
      <c r="S1299" s="26"/>
    </row>
    <row r="1300" spans="1:19" ht="16.5" customHeight="1" x14ac:dyDescent="0.25">
      <c r="A1300" s="9"/>
      <c r="B1300" s="51" t="s">
        <v>59</v>
      </c>
      <c r="C1300" s="52"/>
      <c r="D1300" s="52"/>
      <c r="E1300" s="52"/>
      <c r="F1300" s="52"/>
      <c r="G1300" s="53"/>
      <c r="H1300" s="20"/>
      <c r="I1300" s="9">
        <v>1</v>
      </c>
      <c r="J1300" s="9"/>
      <c r="K1300" s="9"/>
      <c r="L1300" s="9"/>
      <c r="M1300" s="9">
        <f t="shared" si="184"/>
        <v>7.4</v>
      </c>
      <c r="N1300" s="9">
        <f t="shared" si="185"/>
        <v>3</v>
      </c>
      <c r="O1300" s="9">
        <v>7.4</v>
      </c>
      <c r="P1300" s="9">
        <v>3</v>
      </c>
      <c r="Q1300" s="9" t="s">
        <v>6</v>
      </c>
      <c r="R1300" s="1">
        <v>0</v>
      </c>
      <c r="S1300" s="26"/>
    </row>
    <row r="1301" spans="1:19" ht="16.5" customHeight="1" x14ac:dyDescent="0.25">
      <c r="A1301" s="9"/>
      <c r="B1301" s="51" t="s">
        <v>60</v>
      </c>
      <c r="C1301" s="52"/>
      <c r="D1301" s="52"/>
      <c r="E1301" s="52"/>
      <c r="F1301" s="52"/>
      <c r="G1301" s="53"/>
      <c r="H1301" s="20"/>
      <c r="I1301" s="9">
        <v>3</v>
      </c>
      <c r="J1301" s="9"/>
      <c r="K1301" s="9"/>
      <c r="L1301" s="9"/>
      <c r="M1301" s="9">
        <f t="shared" si="184"/>
        <v>22.799999999999997</v>
      </c>
      <c r="N1301" s="9">
        <f t="shared" si="185"/>
        <v>9</v>
      </c>
      <c r="O1301" s="9">
        <v>7.6</v>
      </c>
      <c r="P1301" s="9">
        <v>3</v>
      </c>
      <c r="Q1301" s="9" t="s">
        <v>6</v>
      </c>
      <c r="R1301" s="1">
        <v>0</v>
      </c>
      <c r="S1301" s="26"/>
    </row>
    <row r="1302" spans="1:19" ht="16.5" customHeight="1" x14ac:dyDescent="0.25">
      <c r="A1302" s="9"/>
      <c r="B1302" s="51" t="s">
        <v>61</v>
      </c>
      <c r="C1302" s="52"/>
      <c r="D1302" s="52"/>
      <c r="E1302" s="52"/>
      <c r="F1302" s="52"/>
      <c r="G1302" s="53"/>
      <c r="H1302" s="20"/>
      <c r="I1302" s="9">
        <v>2</v>
      </c>
      <c r="J1302" s="9"/>
      <c r="K1302" s="9"/>
      <c r="L1302" s="9"/>
      <c r="M1302" s="9">
        <f t="shared" si="184"/>
        <v>14.8</v>
      </c>
      <c r="N1302" s="9">
        <f t="shared" si="185"/>
        <v>6</v>
      </c>
      <c r="O1302" s="9">
        <v>7.4</v>
      </c>
      <c r="P1302" s="9">
        <v>3</v>
      </c>
      <c r="Q1302" s="9" t="s">
        <v>6</v>
      </c>
      <c r="R1302" s="1">
        <v>0</v>
      </c>
      <c r="S1302" s="26"/>
    </row>
    <row r="1303" spans="1:19" ht="16.5" hidden="1" customHeight="1" x14ac:dyDescent="0.25">
      <c r="A1303" s="21"/>
      <c r="H1303" s="21"/>
      <c r="I1303" s="21"/>
      <c r="J1303" s="21"/>
      <c r="K1303" s="21"/>
      <c r="L1303" s="21"/>
      <c r="M1303" s="9">
        <f t="shared" si="184"/>
        <v>0</v>
      </c>
      <c r="N1303" s="9">
        <f t="shared" si="185"/>
        <v>0</v>
      </c>
      <c r="O1303" s="21"/>
      <c r="P1303" s="21"/>
      <c r="Q1303" s="21"/>
      <c r="S1303" s="25"/>
    </row>
    <row r="1304" spans="1:19" ht="16.5" customHeight="1" x14ac:dyDescent="0.25">
      <c r="A1304" s="9"/>
      <c r="B1304" s="39" t="s">
        <v>42</v>
      </c>
      <c r="C1304" s="40"/>
      <c r="D1304" s="40"/>
      <c r="E1304" s="40"/>
      <c r="F1304" s="40"/>
      <c r="G1304" s="41"/>
      <c r="H1304" s="23"/>
      <c r="I1304" s="24">
        <f>SUM(I1296:I1303)</f>
        <v>14</v>
      </c>
      <c r="J1304" s="9"/>
      <c r="K1304" s="9"/>
      <c r="L1304" s="9"/>
      <c r="M1304" s="9">
        <f t="shared" si="184"/>
        <v>103.74000000000001</v>
      </c>
      <c r="N1304" s="9">
        <f t="shared" si="185"/>
        <v>40.04</v>
      </c>
      <c r="O1304" s="24">
        <f>ROUND(SUM(M1296:M1303)/I1304,2)</f>
        <v>7.41</v>
      </c>
      <c r="P1304" s="24">
        <f>ROUND(SUM(N1296:N1303)/I1304,2)</f>
        <v>2.86</v>
      </c>
      <c r="Q1304" s="9"/>
      <c r="S1304" s="25"/>
    </row>
    <row r="1305" spans="1:19" ht="20.25" customHeight="1" x14ac:dyDescent="0.25">
      <c r="A1305" s="27" t="s">
        <v>62</v>
      </c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</row>
    <row r="1306" spans="1:19" ht="16.5" customHeight="1" x14ac:dyDescent="0.25">
      <c r="A1306" s="9"/>
      <c r="B1306" s="51" t="s">
        <v>63</v>
      </c>
      <c r="C1306" s="52"/>
      <c r="D1306" s="52"/>
      <c r="E1306" s="52"/>
      <c r="F1306" s="52"/>
      <c r="G1306" s="53"/>
      <c r="H1306" s="20"/>
      <c r="I1306" s="9">
        <v>4</v>
      </c>
      <c r="J1306" s="9"/>
      <c r="K1306" s="9"/>
      <c r="L1306" s="9"/>
      <c r="M1306" s="9">
        <f t="shared" ref="M1306:M1314" si="186">I1306*O1306</f>
        <v>23.2</v>
      </c>
      <c r="N1306" s="9">
        <f t="shared" ref="N1306:N1314" si="187">I1306*P1306</f>
        <v>8</v>
      </c>
      <c r="O1306" s="9">
        <v>5.8</v>
      </c>
      <c r="P1306" s="9">
        <v>2</v>
      </c>
      <c r="Q1306" s="9" t="s">
        <v>3</v>
      </c>
      <c r="R1306" s="1">
        <v>0</v>
      </c>
      <c r="S1306" s="26"/>
    </row>
    <row r="1307" spans="1:19" ht="16.5" customHeight="1" x14ac:dyDescent="0.25">
      <c r="A1307" s="9"/>
      <c r="B1307" s="51" t="s">
        <v>64</v>
      </c>
      <c r="C1307" s="52"/>
      <c r="D1307" s="52"/>
      <c r="E1307" s="52"/>
      <c r="F1307" s="52"/>
      <c r="G1307" s="53"/>
      <c r="H1307" s="20"/>
      <c r="I1307" s="9">
        <v>4</v>
      </c>
      <c r="J1307" s="9"/>
      <c r="K1307" s="9"/>
      <c r="L1307" s="9"/>
      <c r="M1307" s="9">
        <f t="shared" si="186"/>
        <v>25.2</v>
      </c>
      <c r="N1307" s="9">
        <f t="shared" si="187"/>
        <v>8</v>
      </c>
      <c r="O1307" s="9">
        <v>6.3</v>
      </c>
      <c r="P1307" s="9">
        <v>2</v>
      </c>
      <c r="Q1307" s="9" t="s">
        <v>3</v>
      </c>
      <c r="R1307" s="1">
        <v>0</v>
      </c>
      <c r="S1307" s="26"/>
    </row>
    <row r="1308" spans="1:19" ht="16.5" customHeight="1" x14ac:dyDescent="0.25">
      <c r="A1308" s="9"/>
      <c r="B1308" s="51" t="s">
        <v>65</v>
      </c>
      <c r="C1308" s="52"/>
      <c r="D1308" s="52"/>
      <c r="E1308" s="52"/>
      <c r="F1308" s="52"/>
      <c r="G1308" s="53"/>
      <c r="H1308" s="20"/>
      <c r="I1308" s="9">
        <v>4</v>
      </c>
      <c r="J1308" s="9"/>
      <c r="K1308" s="9"/>
      <c r="L1308" s="9"/>
      <c r="M1308" s="9">
        <f t="shared" si="186"/>
        <v>28</v>
      </c>
      <c r="N1308" s="9">
        <f t="shared" si="187"/>
        <v>12</v>
      </c>
      <c r="O1308" s="9">
        <v>7</v>
      </c>
      <c r="P1308" s="9">
        <v>3</v>
      </c>
      <c r="Q1308" s="9" t="s">
        <v>6</v>
      </c>
      <c r="R1308" s="1">
        <v>0</v>
      </c>
      <c r="S1308" s="26"/>
    </row>
    <row r="1309" spans="1:19" ht="16.5" customHeight="1" x14ac:dyDescent="0.25">
      <c r="A1309" s="9"/>
      <c r="B1309" s="51" t="s">
        <v>66</v>
      </c>
      <c r="C1309" s="52"/>
      <c r="D1309" s="52"/>
      <c r="E1309" s="52"/>
      <c r="F1309" s="52"/>
      <c r="G1309" s="53"/>
      <c r="H1309" s="20"/>
      <c r="I1309" s="9">
        <v>1</v>
      </c>
      <c r="J1309" s="9"/>
      <c r="K1309" s="9"/>
      <c r="L1309" s="9"/>
      <c r="M1309" s="9">
        <f t="shared" si="186"/>
        <v>7</v>
      </c>
      <c r="N1309" s="9">
        <f t="shared" si="187"/>
        <v>3</v>
      </c>
      <c r="O1309" s="9">
        <v>7</v>
      </c>
      <c r="P1309" s="9">
        <v>3</v>
      </c>
      <c r="Q1309" s="9" t="s">
        <v>6</v>
      </c>
      <c r="R1309" s="1">
        <v>0</v>
      </c>
      <c r="S1309" s="26"/>
    </row>
    <row r="1310" spans="1:19" ht="16.5" customHeight="1" x14ac:dyDescent="0.25">
      <c r="A1310" s="9"/>
      <c r="B1310" s="51" t="s">
        <v>67</v>
      </c>
      <c r="C1310" s="52"/>
      <c r="D1310" s="52"/>
      <c r="E1310" s="52"/>
      <c r="F1310" s="52"/>
      <c r="G1310" s="53"/>
      <c r="H1310" s="20"/>
      <c r="I1310" s="9">
        <v>1</v>
      </c>
      <c r="J1310" s="9"/>
      <c r="K1310" s="9"/>
      <c r="L1310" s="9"/>
      <c r="M1310" s="9">
        <f t="shared" si="186"/>
        <v>7.1</v>
      </c>
      <c r="N1310" s="9">
        <f t="shared" si="187"/>
        <v>3</v>
      </c>
      <c r="O1310" s="9">
        <v>7.1</v>
      </c>
      <c r="P1310" s="9">
        <v>3</v>
      </c>
      <c r="Q1310" s="9" t="s">
        <v>6</v>
      </c>
      <c r="R1310" s="1">
        <v>0</v>
      </c>
      <c r="S1310" s="26"/>
    </row>
    <row r="1311" spans="1:19" ht="16.5" customHeight="1" x14ac:dyDescent="0.25">
      <c r="A1311" s="9"/>
      <c r="B1311" s="51" t="s">
        <v>69</v>
      </c>
      <c r="C1311" s="52"/>
      <c r="D1311" s="52"/>
      <c r="E1311" s="52"/>
      <c r="F1311" s="52"/>
      <c r="G1311" s="53"/>
      <c r="H1311" s="20"/>
      <c r="I1311" s="9">
        <v>1</v>
      </c>
      <c r="J1311" s="9"/>
      <c r="K1311" s="9"/>
      <c r="L1311" s="9"/>
      <c r="M1311" s="9">
        <f t="shared" si="186"/>
        <v>7.5</v>
      </c>
      <c r="N1311" s="9">
        <f t="shared" si="187"/>
        <v>3</v>
      </c>
      <c r="O1311" s="9">
        <v>7.5</v>
      </c>
      <c r="P1311" s="9">
        <v>3</v>
      </c>
      <c r="Q1311" s="9" t="s">
        <v>6</v>
      </c>
      <c r="R1311" s="1">
        <v>0</v>
      </c>
      <c r="S1311" s="26"/>
    </row>
    <row r="1312" spans="1:19" ht="16.5" customHeight="1" x14ac:dyDescent="0.25">
      <c r="A1312" s="9"/>
      <c r="B1312" s="51" t="s">
        <v>68</v>
      </c>
      <c r="C1312" s="52"/>
      <c r="D1312" s="52"/>
      <c r="E1312" s="52"/>
      <c r="F1312" s="52"/>
      <c r="G1312" s="53"/>
      <c r="H1312" s="20"/>
      <c r="I1312" s="9">
        <v>1</v>
      </c>
      <c r="J1312" s="9"/>
      <c r="K1312" s="9"/>
      <c r="L1312" s="9"/>
      <c r="M1312" s="9">
        <f t="shared" si="186"/>
        <v>7.4</v>
      </c>
      <c r="N1312" s="9">
        <f t="shared" si="187"/>
        <v>3</v>
      </c>
      <c r="O1312" s="9">
        <v>7.4</v>
      </c>
      <c r="P1312" s="9">
        <v>3</v>
      </c>
      <c r="Q1312" s="9" t="s">
        <v>6</v>
      </c>
      <c r="R1312" s="1">
        <v>0</v>
      </c>
      <c r="S1312" s="26"/>
    </row>
    <row r="1313" spans="1:19" ht="16.5" hidden="1" customHeight="1" x14ac:dyDescent="0.25">
      <c r="A1313" s="21"/>
      <c r="H1313" s="21"/>
      <c r="I1313" s="21"/>
      <c r="J1313" s="21"/>
      <c r="K1313" s="21"/>
      <c r="L1313" s="21"/>
      <c r="M1313" s="9">
        <f t="shared" si="186"/>
        <v>0</v>
      </c>
      <c r="N1313" s="9">
        <f t="shared" si="187"/>
        <v>0</v>
      </c>
      <c r="O1313" s="21"/>
      <c r="P1313" s="21"/>
      <c r="Q1313" s="21"/>
      <c r="S1313" s="25"/>
    </row>
    <row r="1314" spans="1:19" ht="16.5" customHeight="1" x14ac:dyDescent="0.25">
      <c r="A1314" s="9"/>
      <c r="B1314" s="39" t="s">
        <v>42</v>
      </c>
      <c r="C1314" s="40"/>
      <c r="D1314" s="40"/>
      <c r="E1314" s="40"/>
      <c r="F1314" s="40"/>
      <c r="G1314" s="41"/>
      <c r="H1314" s="23"/>
      <c r="I1314" s="24">
        <f>SUM(I1306:I1313)</f>
        <v>16</v>
      </c>
      <c r="J1314" s="9"/>
      <c r="K1314" s="9"/>
      <c r="L1314" s="9"/>
      <c r="M1314" s="9">
        <f t="shared" si="186"/>
        <v>105.44</v>
      </c>
      <c r="N1314" s="9">
        <f t="shared" si="187"/>
        <v>40</v>
      </c>
      <c r="O1314" s="24">
        <f>ROUND(SUM(M1306:M1313)/I1314,2)</f>
        <v>6.59</v>
      </c>
      <c r="P1314" s="24">
        <f>ROUND(SUM(N1306:N1313)/I1314,2)</f>
        <v>2.5</v>
      </c>
      <c r="Q1314" s="9"/>
      <c r="S1314" s="25"/>
    </row>
    <row r="1315" spans="1:19" ht="20.25" customHeight="1" x14ac:dyDescent="0.25">
      <c r="A1315" s="27" t="s">
        <v>70</v>
      </c>
      <c r="B1315" s="28"/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</row>
    <row r="1316" spans="1:19" ht="16.5" customHeight="1" x14ac:dyDescent="0.25">
      <c r="A1316" s="9"/>
      <c r="B1316" s="51" t="s">
        <v>71</v>
      </c>
      <c r="C1316" s="52"/>
      <c r="D1316" s="52"/>
      <c r="E1316" s="52"/>
      <c r="F1316" s="52"/>
      <c r="G1316" s="53"/>
      <c r="H1316" s="20"/>
      <c r="I1316" s="9">
        <v>4</v>
      </c>
      <c r="J1316" s="9"/>
      <c r="K1316" s="9"/>
      <c r="L1316" s="9"/>
      <c r="M1316" s="9">
        <f t="shared" ref="M1316:M1325" si="188">I1316*O1316</f>
        <v>26.4</v>
      </c>
      <c r="N1316" s="9">
        <f t="shared" ref="N1316:N1325" si="189">I1316*P1316</f>
        <v>10</v>
      </c>
      <c r="O1316" s="9">
        <v>6.6</v>
      </c>
      <c r="P1316" s="9">
        <v>2.5</v>
      </c>
      <c r="Q1316" s="9" t="s">
        <v>5</v>
      </c>
      <c r="R1316" s="1">
        <v>0</v>
      </c>
      <c r="S1316" s="26"/>
    </row>
    <row r="1317" spans="1:19" ht="16.5" customHeight="1" x14ac:dyDescent="0.25">
      <c r="A1317" s="9"/>
      <c r="B1317" s="51" t="s">
        <v>72</v>
      </c>
      <c r="C1317" s="52"/>
      <c r="D1317" s="52"/>
      <c r="E1317" s="52"/>
      <c r="F1317" s="52"/>
      <c r="G1317" s="53"/>
      <c r="H1317" s="20"/>
      <c r="I1317" s="9">
        <v>4</v>
      </c>
      <c r="J1317" s="9"/>
      <c r="K1317" s="9"/>
      <c r="L1317" s="9"/>
      <c r="M1317" s="9">
        <f t="shared" si="188"/>
        <v>27.6</v>
      </c>
      <c r="N1317" s="9">
        <f t="shared" si="189"/>
        <v>10</v>
      </c>
      <c r="O1317" s="9">
        <v>6.9</v>
      </c>
      <c r="P1317" s="9">
        <v>2.5</v>
      </c>
      <c r="Q1317" s="9" t="s">
        <v>5</v>
      </c>
      <c r="R1317" s="1">
        <v>0</v>
      </c>
      <c r="S1317" s="26"/>
    </row>
    <row r="1318" spans="1:19" ht="16.5" customHeight="1" x14ac:dyDescent="0.25">
      <c r="A1318" s="9"/>
      <c r="B1318" s="51" t="s">
        <v>73</v>
      </c>
      <c r="C1318" s="52"/>
      <c r="D1318" s="52"/>
      <c r="E1318" s="52"/>
      <c r="F1318" s="52"/>
      <c r="G1318" s="53"/>
      <c r="H1318" s="20"/>
      <c r="I1318" s="9">
        <v>1</v>
      </c>
      <c r="J1318" s="9"/>
      <c r="K1318" s="9"/>
      <c r="L1318" s="9"/>
      <c r="M1318" s="9">
        <f t="shared" si="188"/>
        <v>7.1</v>
      </c>
      <c r="N1318" s="9">
        <f t="shared" si="189"/>
        <v>3</v>
      </c>
      <c r="O1318" s="9">
        <v>7.1</v>
      </c>
      <c r="P1318" s="9">
        <v>3</v>
      </c>
      <c r="Q1318" s="9" t="s">
        <v>6</v>
      </c>
      <c r="R1318" s="1">
        <v>0</v>
      </c>
      <c r="S1318" s="26"/>
    </row>
    <row r="1319" spans="1:19" ht="16.5" customHeight="1" x14ac:dyDescent="0.25">
      <c r="A1319" s="9"/>
      <c r="B1319" s="51" t="s">
        <v>74</v>
      </c>
      <c r="C1319" s="52"/>
      <c r="D1319" s="52"/>
      <c r="E1319" s="52"/>
      <c r="F1319" s="52"/>
      <c r="G1319" s="53"/>
      <c r="H1319" s="20"/>
      <c r="I1319" s="9">
        <v>2</v>
      </c>
      <c r="J1319" s="9"/>
      <c r="K1319" s="9"/>
      <c r="L1319" s="9"/>
      <c r="M1319" s="9">
        <f t="shared" si="188"/>
        <v>16</v>
      </c>
      <c r="N1319" s="9">
        <f t="shared" si="189"/>
        <v>7</v>
      </c>
      <c r="O1319" s="9">
        <v>8</v>
      </c>
      <c r="P1319" s="9">
        <v>3.5</v>
      </c>
      <c r="Q1319" s="9" t="s">
        <v>9</v>
      </c>
      <c r="R1319" s="1">
        <v>0</v>
      </c>
      <c r="S1319" s="26"/>
    </row>
    <row r="1320" spans="1:19" ht="16.5" customHeight="1" x14ac:dyDescent="0.25">
      <c r="A1320" s="9"/>
      <c r="B1320" s="51" t="s">
        <v>75</v>
      </c>
      <c r="C1320" s="52"/>
      <c r="D1320" s="52"/>
      <c r="E1320" s="52"/>
      <c r="F1320" s="52"/>
      <c r="G1320" s="53"/>
      <c r="H1320" s="20"/>
      <c r="I1320" s="9">
        <v>1</v>
      </c>
      <c r="J1320" s="9"/>
      <c r="K1320" s="9"/>
      <c r="L1320" s="9"/>
      <c r="M1320" s="9">
        <f t="shared" si="188"/>
        <v>6.4</v>
      </c>
      <c r="N1320" s="9">
        <f t="shared" si="189"/>
        <v>2</v>
      </c>
      <c r="O1320" s="9">
        <v>6.4</v>
      </c>
      <c r="P1320" s="9">
        <v>2</v>
      </c>
      <c r="Q1320" s="9" t="s">
        <v>3</v>
      </c>
      <c r="R1320" s="1">
        <v>0</v>
      </c>
      <c r="S1320" s="26"/>
    </row>
    <row r="1321" spans="1:19" ht="16.5" customHeight="1" x14ac:dyDescent="0.25">
      <c r="A1321" s="9"/>
      <c r="B1321" s="51" t="s">
        <v>76</v>
      </c>
      <c r="C1321" s="52"/>
      <c r="D1321" s="52"/>
      <c r="E1321" s="52"/>
      <c r="F1321" s="52"/>
      <c r="G1321" s="53"/>
      <c r="H1321" s="20"/>
      <c r="I1321" s="9">
        <v>4</v>
      </c>
      <c r="J1321" s="9"/>
      <c r="K1321" s="9"/>
      <c r="L1321" s="9"/>
      <c r="M1321" s="9">
        <f t="shared" si="188"/>
        <v>28.8</v>
      </c>
      <c r="N1321" s="9">
        <f t="shared" si="189"/>
        <v>12</v>
      </c>
      <c r="O1321" s="9">
        <v>7.2</v>
      </c>
      <c r="P1321" s="9">
        <v>3</v>
      </c>
      <c r="Q1321" s="9" t="s">
        <v>6</v>
      </c>
      <c r="R1321" s="1">
        <v>0</v>
      </c>
      <c r="S1321" s="26"/>
    </row>
    <row r="1322" spans="1:19" ht="16.5" customHeight="1" x14ac:dyDescent="0.25">
      <c r="A1322" s="9"/>
      <c r="B1322" s="51" t="s">
        <v>77</v>
      </c>
      <c r="C1322" s="52"/>
      <c r="D1322" s="52"/>
      <c r="E1322" s="52"/>
      <c r="F1322" s="52"/>
      <c r="G1322" s="53"/>
      <c r="H1322" s="20"/>
      <c r="I1322" s="9">
        <v>3</v>
      </c>
      <c r="J1322" s="9"/>
      <c r="K1322" s="9"/>
      <c r="L1322" s="9"/>
      <c r="M1322" s="9">
        <f t="shared" si="188"/>
        <v>18</v>
      </c>
      <c r="N1322" s="9">
        <f t="shared" si="189"/>
        <v>6</v>
      </c>
      <c r="O1322" s="9">
        <v>6</v>
      </c>
      <c r="P1322" s="9">
        <v>2</v>
      </c>
      <c r="Q1322" s="9" t="s">
        <v>3</v>
      </c>
      <c r="R1322" s="1">
        <v>0</v>
      </c>
      <c r="S1322" s="26"/>
    </row>
    <row r="1323" spans="1:19" ht="16.5" customHeight="1" x14ac:dyDescent="0.25">
      <c r="A1323" s="9"/>
      <c r="B1323" s="51" t="s">
        <v>78</v>
      </c>
      <c r="C1323" s="52"/>
      <c r="D1323" s="52"/>
      <c r="E1323" s="52"/>
      <c r="F1323" s="52"/>
      <c r="G1323" s="53"/>
      <c r="H1323" s="20"/>
      <c r="I1323" s="9">
        <v>4</v>
      </c>
      <c r="J1323" s="9"/>
      <c r="K1323" s="9"/>
      <c r="L1323" s="9"/>
      <c r="M1323" s="9">
        <f t="shared" si="188"/>
        <v>12</v>
      </c>
      <c r="N1323" s="9">
        <f t="shared" si="189"/>
        <v>0</v>
      </c>
      <c r="O1323" s="9">
        <v>3</v>
      </c>
      <c r="P1323" s="9">
        <v>0</v>
      </c>
      <c r="Q1323" s="9" t="s">
        <v>7</v>
      </c>
      <c r="R1323" s="1">
        <v>0</v>
      </c>
      <c r="S1323" s="26"/>
    </row>
    <row r="1324" spans="1:19" ht="16.5" hidden="1" customHeight="1" x14ac:dyDescent="0.25">
      <c r="A1324" s="21"/>
      <c r="H1324" s="21"/>
      <c r="I1324" s="21"/>
      <c r="J1324" s="21"/>
      <c r="K1324" s="21"/>
      <c r="L1324" s="21"/>
      <c r="M1324" s="9">
        <f t="shared" si="188"/>
        <v>0</v>
      </c>
      <c r="N1324" s="9">
        <f t="shared" si="189"/>
        <v>0</v>
      </c>
      <c r="O1324" s="21"/>
      <c r="P1324" s="21"/>
      <c r="Q1324" s="21"/>
      <c r="S1324" s="25"/>
    </row>
    <row r="1325" spans="1:19" ht="16.5" customHeight="1" x14ac:dyDescent="0.25">
      <c r="A1325" s="9"/>
      <c r="B1325" s="39" t="s">
        <v>42</v>
      </c>
      <c r="C1325" s="40"/>
      <c r="D1325" s="40"/>
      <c r="E1325" s="40"/>
      <c r="F1325" s="40"/>
      <c r="G1325" s="41"/>
      <c r="H1325" s="23"/>
      <c r="I1325" s="24">
        <f>SUM(I1316:I1324)</f>
        <v>23</v>
      </c>
      <c r="J1325" s="9"/>
      <c r="K1325" s="9"/>
      <c r="L1325" s="9"/>
      <c r="M1325" s="9">
        <f t="shared" si="188"/>
        <v>142.37</v>
      </c>
      <c r="N1325" s="9">
        <f t="shared" si="189"/>
        <v>49.91</v>
      </c>
      <c r="O1325" s="24">
        <f>ROUND(SUM(M1316:M1324)/I1325,2)</f>
        <v>6.19</v>
      </c>
      <c r="P1325" s="24">
        <f>ROUND(SUM(N1316:N1324)/I1325,2)</f>
        <v>2.17</v>
      </c>
      <c r="Q1325" s="9"/>
      <c r="S1325" s="25"/>
    </row>
    <row r="1326" spans="1:19" ht="20.25" customHeight="1" x14ac:dyDescent="0.25">
      <c r="A1326" s="27" t="s">
        <v>162</v>
      </c>
      <c r="B1326" s="28"/>
      <c r="C1326" s="28"/>
      <c r="D1326" s="28"/>
      <c r="E1326" s="28"/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</row>
    <row r="1327" spans="1:19" ht="16.5" customHeight="1" x14ac:dyDescent="0.25">
      <c r="A1327" s="9"/>
      <c r="B1327" s="51" t="s">
        <v>78</v>
      </c>
      <c r="C1327" s="52"/>
      <c r="D1327" s="52"/>
      <c r="E1327" s="52"/>
      <c r="F1327" s="52"/>
      <c r="G1327" s="53"/>
      <c r="H1327" s="20"/>
      <c r="I1327" s="9">
        <v>4</v>
      </c>
      <c r="J1327" s="9"/>
      <c r="K1327" s="9"/>
      <c r="L1327" s="9"/>
      <c r="M1327" s="9">
        <f>I1327*O1327</f>
        <v>26.8</v>
      </c>
      <c r="N1327" s="9">
        <f>I1327*P1327</f>
        <v>10</v>
      </c>
      <c r="O1327" s="9">
        <v>6.7</v>
      </c>
      <c r="P1327" s="9">
        <v>2.5</v>
      </c>
      <c r="Q1327" s="9" t="s">
        <v>5</v>
      </c>
      <c r="R1327" s="1">
        <v>6</v>
      </c>
      <c r="S1327" s="26" t="s">
        <v>134</v>
      </c>
    </row>
    <row r="1328" spans="1:19" ht="16.5" hidden="1" customHeight="1" x14ac:dyDescent="0.25">
      <c r="A1328" s="21"/>
      <c r="H1328" s="21"/>
      <c r="I1328" s="21"/>
      <c r="J1328" s="21"/>
      <c r="K1328" s="21"/>
      <c r="L1328" s="21"/>
      <c r="M1328" s="9">
        <f>I1328*O1328</f>
        <v>0</v>
      </c>
      <c r="N1328" s="9">
        <f>I1328*P1328</f>
        <v>0</v>
      </c>
      <c r="O1328" s="21"/>
      <c r="P1328" s="21"/>
      <c r="Q1328" s="21"/>
      <c r="S1328" s="25"/>
    </row>
    <row r="1329" spans="1:19" ht="16.5" customHeight="1" x14ac:dyDescent="0.25">
      <c r="A1329" s="9"/>
      <c r="B1329" s="39" t="s">
        <v>42</v>
      </c>
      <c r="C1329" s="40"/>
      <c r="D1329" s="40"/>
      <c r="E1329" s="40"/>
      <c r="F1329" s="40"/>
      <c r="G1329" s="41"/>
      <c r="H1329" s="23"/>
      <c r="I1329" s="24">
        <f>SUM(I1327:I1328)</f>
        <v>4</v>
      </c>
      <c r="J1329" s="9"/>
      <c r="K1329" s="9"/>
      <c r="L1329" s="9"/>
      <c r="M1329" s="9">
        <f>I1329*O1329</f>
        <v>26.8</v>
      </c>
      <c r="N1329" s="9">
        <f>I1329*P1329</f>
        <v>10</v>
      </c>
      <c r="O1329" s="24">
        <f>ROUND(SUM(M1327:M1328)/I1329,2)</f>
        <v>6.7</v>
      </c>
      <c r="P1329" s="24">
        <f>ROUND(SUM(N1327:N1328)/I1329,2)</f>
        <v>2.5</v>
      </c>
      <c r="Q1329" s="9"/>
      <c r="S1329" s="25"/>
    </row>
    <row r="1330" spans="1:19" ht="20.25" customHeight="1" x14ac:dyDescent="0.25">
      <c r="A1330" s="27" t="s">
        <v>79</v>
      </c>
      <c r="B1330" s="28"/>
      <c r="C1330" s="28"/>
      <c r="D1330" s="28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</row>
    <row r="1331" spans="1:19" ht="16.5" customHeight="1" x14ac:dyDescent="0.25">
      <c r="A1331" s="9"/>
      <c r="B1331" s="51" t="s">
        <v>80</v>
      </c>
      <c r="C1331" s="52"/>
      <c r="D1331" s="52"/>
      <c r="E1331" s="52"/>
      <c r="F1331" s="52"/>
      <c r="G1331" s="53"/>
      <c r="H1331" s="20"/>
      <c r="I1331" s="9">
        <v>3</v>
      </c>
      <c r="J1331" s="9"/>
      <c r="K1331" s="9"/>
      <c r="L1331" s="9"/>
      <c r="M1331" s="9">
        <f>I1331*O1331</f>
        <v>17.700000000000003</v>
      </c>
      <c r="N1331" s="9">
        <f>I1331*P1331</f>
        <v>6</v>
      </c>
      <c r="O1331" s="9">
        <v>5.9</v>
      </c>
      <c r="P1331" s="9">
        <v>2</v>
      </c>
      <c r="Q1331" s="9" t="s">
        <v>3</v>
      </c>
      <c r="R1331" s="1">
        <v>0</v>
      </c>
      <c r="S1331" s="26"/>
    </row>
    <row r="1332" spans="1:19" ht="16.5" customHeight="1" x14ac:dyDescent="0.25">
      <c r="A1332" s="9"/>
      <c r="B1332" s="51" t="s">
        <v>81</v>
      </c>
      <c r="C1332" s="52"/>
      <c r="D1332" s="52"/>
      <c r="E1332" s="52"/>
      <c r="F1332" s="52"/>
      <c r="G1332" s="53"/>
      <c r="H1332" s="20"/>
      <c r="I1332" s="9">
        <v>1</v>
      </c>
      <c r="J1332" s="9"/>
      <c r="K1332" s="9"/>
      <c r="L1332" s="9"/>
      <c r="M1332" s="9">
        <f>I1332*O1332</f>
        <v>6.7</v>
      </c>
      <c r="N1332" s="9">
        <f>I1332*P1332</f>
        <v>2.5</v>
      </c>
      <c r="O1332" s="9">
        <v>6.7</v>
      </c>
      <c r="P1332" s="9">
        <v>2.5</v>
      </c>
      <c r="Q1332" s="9" t="s">
        <v>5</v>
      </c>
      <c r="R1332" s="1">
        <v>0</v>
      </c>
      <c r="S1332" s="26"/>
    </row>
    <row r="1333" spans="1:19" ht="15" customHeight="1" x14ac:dyDescent="0.25">
      <c r="A1333" s="36" t="s">
        <v>0</v>
      </c>
      <c r="B1333" s="29" t="s">
        <v>1</v>
      </c>
      <c r="C1333" s="30"/>
      <c r="D1333" s="30"/>
      <c r="E1333" s="30"/>
      <c r="F1333" s="30"/>
      <c r="G1333" s="31"/>
      <c r="H1333" s="36" t="s">
        <v>32</v>
      </c>
      <c r="I1333" s="36" t="s">
        <v>39</v>
      </c>
      <c r="J1333" s="55" t="s">
        <v>2</v>
      </c>
      <c r="K1333" s="56"/>
      <c r="L1333" s="56"/>
      <c r="M1333" s="56"/>
      <c r="N1333" s="56"/>
      <c r="O1333" s="56"/>
      <c r="P1333" s="56"/>
      <c r="Q1333" s="57"/>
      <c r="S1333" s="36" t="s">
        <v>38</v>
      </c>
    </row>
    <row r="1334" spans="1:19" ht="24" customHeight="1" x14ac:dyDescent="0.25">
      <c r="A1334" s="37"/>
      <c r="B1334" s="32"/>
      <c r="C1334" s="33"/>
      <c r="D1334" s="33"/>
      <c r="E1334" s="33"/>
      <c r="F1334" s="33"/>
      <c r="G1334" s="34"/>
      <c r="H1334" s="37"/>
      <c r="I1334" s="37"/>
      <c r="J1334" s="7" t="s">
        <v>28</v>
      </c>
      <c r="K1334" s="7" t="s">
        <v>29</v>
      </c>
      <c r="L1334" s="7" t="s">
        <v>30</v>
      </c>
      <c r="M1334" s="7"/>
      <c r="N1334" s="7"/>
      <c r="O1334" s="6" t="s">
        <v>35</v>
      </c>
      <c r="P1334" s="6" t="s">
        <v>36</v>
      </c>
      <c r="Q1334" s="6" t="s">
        <v>37</v>
      </c>
      <c r="S1334" s="37"/>
    </row>
    <row r="1335" spans="1:19" ht="16.5" customHeight="1" x14ac:dyDescent="0.25">
      <c r="A1335" s="9"/>
      <c r="B1335" s="51" t="s">
        <v>82</v>
      </c>
      <c r="C1335" s="52"/>
      <c r="D1335" s="52"/>
      <c r="E1335" s="52"/>
      <c r="F1335" s="52"/>
      <c r="G1335" s="53"/>
      <c r="H1335" s="20"/>
      <c r="I1335" s="9">
        <v>3</v>
      </c>
      <c r="J1335" s="9"/>
      <c r="K1335" s="9"/>
      <c r="L1335" s="9"/>
      <c r="M1335" s="9">
        <f t="shared" ref="M1335:M1345" si="190">I1335*O1335</f>
        <v>21</v>
      </c>
      <c r="N1335" s="9">
        <f t="shared" ref="N1335:N1345" si="191">I1335*P1335</f>
        <v>9</v>
      </c>
      <c r="O1335" s="9">
        <v>7</v>
      </c>
      <c r="P1335" s="9">
        <v>3</v>
      </c>
      <c r="Q1335" s="9" t="s">
        <v>6</v>
      </c>
      <c r="R1335" s="1">
        <v>0</v>
      </c>
      <c r="S1335" s="26"/>
    </row>
    <row r="1336" spans="1:19" ht="16.5" customHeight="1" x14ac:dyDescent="0.25">
      <c r="A1336" s="9"/>
      <c r="B1336" s="51" t="s">
        <v>83</v>
      </c>
      <c r="C1336" s="52"/>
      <c r="D1336" s="52"/>
      <c r="E1336" s="52"/>
      <c r="F1336" s="52"/>
      <c r="G1336" s="53"/>
      <c r="H1336" s="20"/>
      <c r="I1336" s="9">
        <v>2</v>
      </c>
      <c r="J1336" s="9"/>
      <c r="K1336" s="9"/>
      <c r="L1336" s="9"/>
      <c r="M1336" s="9">
        <f t="shared" si="190"/>
        <v>14</v>
      </c>
      <c r="N1336" s="9">
        <f t="shared" si="191"/>
        <v>6</v>
      </c>
      <c r="O1336" s="9">
        <v>7</v>
      </c>
      <c r="P1336" s="9">
        <v>3</v>
      </c>
      <c r="Q1336" s="9" t="s">
        <v>6</v>
      </c>
      <c r="R1336" s="1">
        <v>0</v>
      </c>
      <c r="S1336" s="26"/>
    </row>
    <row r="1337" spans="1:19" ht="16.5" customHeight="1" x14ac:dyDescent="0.25">
      <c r="A1337" s="9"/>
      <c r="B1337" s="51" t="s">
        <v>84</v>
      </c>
      <c r="C1337" s="52"/>
      <c r="D1337" s="52"/>
      <c r="E1337" s="52"/>
      <c r="F1337" s="52"/>
      <c r="G1337" s="53"/>
      <c r="H1337" s="20"/>
      <c r="I1337" s="9">
        <v>2</v>
      </c>
      <c r="J1337" s="9"/>
      <c r="K1337" s="9"/>
      <c r="L1337" s="9"/>
      <c r="M1337" s="9">
        <f t="shared" si="190"/>
        <v>13</v>
      </c>
      <c r="N1337" s="9">
        <f t="shared" si="191"/>
        <v>5</v>
      </c>
      <c r="O1337" s="9">
        <v>6.5</v>
      </c>
      <c r="P1337" s="9">
        <v>2.5</v>
      </c>
      <c r="Q1337" s="9" t="s">
        <v>5</v>
      </c>
      <c r="R1337" s="1">
        <v>0</v>
      </c>
      <c r="S1337" s="26"/>
    </row>
    <row r="1338" spans="1:19" ht="16.5" customHeight="1" x14ac:dyDescent="0.25">
      <c r="A1338" s="9"/>
      <c r="B1338" s="51" t="s">
        <v>85</v>
      </c>
      <c r="C1338" s="52"/>
      <c r="D1338" s="52"/>
      <c r="E1338" s="52"/>
      <c r="F1338" s="52"/>
      <c r="G1338" s="53"/>
      <c r="H1338" s="20"/>
      <c r="I1338" s="9">
        <v>1</v>
      </c>
      <c r="J1338" s="9"/>
      <c r="K1338" s="9"/>
      <c r="L1338" s="9"/>
      <c r="M1338" s="9">
        <f t="shared" si="190"/>
        <v>7.5</v>
      </c>
      <c r="N1338" s="9">
        <f t="shared" si="191"/>
        <v>3</v>
      </c>
      <c r="O1338" s="9">
        <v>7.5</v>
      </c>
      <c r="P1338" s="9">
        <v>3</v>
      </c>
      <c r="Q1338" s="9" t="s">
        <v>6</v>
      </c>
      <c r="R1338" s="1">
        <v>0</v>
      </c>
      <c r="S1338" s="26"/>
    </row>
    <row r="1339" spans="1:19" ht="16.5" customHeight="1" x14ac:dyDescent="0.25">
      <c r="A1339" s="9"/>
      <c r="B1339" s="51" t="s">
        <v>86</v>
      </c>
      <c r="C1339" s="52"/>
      <c r="D1339" s="52"/>
      <c r="E1339" s="52"/>
      <c r="F1339" s="52"/>
      <c r="G1339" s="53"/>
      <c r="H1339" s="20"/>
      <c r="I1339" s="9">
        <v>2</v>
      </c>
      <c r="J1339" s="9"/>
      <c r="K1339" s="9"/>
      <c r="L1339" s="9"/>
      <c r="M1339" s="9">
        <f t="shared" si="190"/>
        <v>12.4</v>
      </c>
      <c r="N1339" s="9">
        <f t="shared" si="191"/>
        <v>4</v>
      </c>
      <c r="O1339" s="9">
        <v>6.2</v>
      </c>
      <c r="P1339" s="9">
        <v>2</v>
      </c>
      <c r="Q1339" s="9" t="s">
        <v>3</v>
      </c>
      <c r="R1339" s="1">
        <v>0</v>
      </c>
      <c r="S1339" s="26"/>
    </row>
    <row r="1340" spans="1:19" ht="16.5" customHeight="1" x14ac:dyDescent="0.25">
      <c r="A1340" s="9"/>
      <c r="B1340" s="51" t="s">
        <v>87</v>
      </c>
      <c r="C1340" s="52"/>
      <c r="D1340" s="52"/>
      <c r="E1340" s="52"/>
      <c r="F1340" s="52"/>
      <c r="G1340" s="53"/>
      <c r="H1340" s="20"/>
      <c r="I1340" s="9">
        <v>3</v>
      </c>
      <c r="J1340" s="9"/>
      <c r="K1340" s="9"/>
      <c r="L1340" s="9"/>
      <c r="M1340" s="9">
        <f t="shared" si="190"/>
        <v>19.200000000000003</v>
      </c>
      <c r="N1340" s="9">
        <f t="shared" si="191"/>
        <v>6</v>
      </c>
      <c r="O1340" s="9">
        <v>6.4</v>
      </c>
      <c r="P1340" s="9">
        <v>2</v>
      </c>
      <c r="Q1340" s="9" t="s">
        <v>3</v>
      </c>
      <c r="R1340" s="1">
        <v>0</v>
      </c>
      <c r="S1340" s="26"/>
    </row>
    <row r="1341" spans="1:19" ht="16.5" customHeight="1" x14ac:dyDescent="0.25">
      <c r="A1341" s="9"/>
      <c r="B1341" s="51" t="s">
        <v>88</v>
      </c>
      <c r="C1341" s="52"/>
      <c r="D1341" s="52"/>
      <c r="E1341" s="52"/>
      <c r="F1341" s="52"/>
      <c r="G1341" s="53"/>
      <c r="H1341" s="20"/>
      <c r="I1341" s="9">
        <v>4</v>
      </c>
      <c r="J1341" s="9"/>
      <c r="K1341" s="9"/>
      <c r="L1341" s="9"/>
      <c r="M1341" s="9">
        <f t="shared" si="190"/>
        <v>26</v>
      </c>
      <c r="N1341" s="9">
        <f t="shared" si="191"/>
        <v>10</v>
      </c>
      <c r="O1341" s="9">
        <v>6.5</v>
      </c>
      <c r="P1341" s="9">
        <v>2.5</v>
      </c>
      <c r="Q1341" s="9" t="s">
        <v>5</v>
      </c>
      <c r="R1341" s="1">
        <v>0</v>
      </c>
      <c r="S1341" s="26"/>
    </row>
    <row r="1342" spans="1:19" ht="16.5" customHeight="1" x14ac:dyDescent="0.25">
      <c r="A1342" s="9"/>
      <c r="B1342" s="51" t="s">
        <v>89</v>
      </c>
      <c r="C1342" s="52"/>
      <c r="D1342" s="52"/>
      <c r="E1342" s="52"/>
      <c r="F1342" s="52"/>
      <c r="G1342" s="53"/>
      <c r="H1342" s="20"/>
      <c r="I1342" s="9">
        <v>3</v>
      </c>
      <c r="J1342" s="9"/>
      <c r="K1342" s="9"/>
      <c r="L1342" s="9"/>
      <c r="M1342" s="9">
        <f t="shared" si="190"/>
        <v>23.1</v>
      </c>
      <c r="N1342" s="9">
        <f t="shared" si="191"/>
        <v>9</v>
      </c>
      <c r="O1342" s="9">
        <v>7.7</v>
      </c>
      <c r="P1342" s="9">
        <v>3</v>
      </c>
      <c r="Q1342" s="9" t="s">
        <v>6</v>
      </c>
      <c r="R1342" s="1">
        <v>0</v>
      </c>
      <c r="S1342" s="26"/>
    </row>
    <row r="1343" spans="1:19" ht="16.5" customHeight="1" x14ac:dyDescent="0.25">
      <c r="A1343" s="9"/>
      <c r="B1343" s="51" t="s">
        <v>90</v>
      </c>
      <c r="C1343" s="52"/>
      <c r="D1343" s="52"/>
      <c r="E1343" s="52"/>
      <c r="F1343" s="52"/>
      <c r="G1343" s="53"/>
      <c r="H1343" s="20"/>
      <c r="I1343" s="9">
        <v>2</v>
      </c>
      <c r="J1343" s="9"/>
      <c r="K1343" s="9"/>
      <c r="L1343" s="9"/>
      <c r="M1343" s="9">
        <f t="shared" si="190"/>
        <v>16</v>
      </c>
      <c r="N1343" s="9">
        <f t="shared" si="191"/>
        <v>7</v>
      </c>
      <c r="O1343" s="9">
        <v>8</v>
      </c>
      <c r="P1343" s="9">
        <v>3.5</v>
      </c>
      <c r="Q1343" s="9" t="s">
        <v>9</v>
      </c>
      <c r="R1343" s="1">
        <v>0</v>
      </c>
      <c r="S1343" s="26"/>
    </row>
    <row r="1344" spans="1:19" ht="16.5" hidden="1" customHeight="1" x14ac:dyDescent="0.25">
      <c r="A1344" s="21"/>
      <c r="H1344" s="21"/>
      <c r="I1344" s="21"/>
      <c r="J1344" s="21"/>
      <c r="K1344" s="21"/>
      <c r="L1344" s="21"/>
      <c r="M1344" s="9">
        <f t="shared" si="190"/>
        <v>0</v>
      </c>
      <c r="N1344" s="9">
        <f t="shared" si="191"/>
        <v>0</v>
      </c>
      <c r="O1344" s="21"/>
      <c r="P1344" s="21"/>
      <c r="Q1344" s="21"/>
      <c r="S1344" s="25"/>
    </row>
    <row r="1345" spans="1:19" ht="16.5" customHeight="1" x14ac:dyDescent="0.25">
      <c r="A1345" s="9"/>
      <c r="B1345" s="39" t="s">
        <v>42</v>
      </c>
      <c r="C1345" s="40"/>
      <c r="D1345" s="40"/>
      <c r="E1345" s="40"/>
      <c r="F1345" s="40"/>
      <c r="G1345" s="41"/>
      <c r="H1345" s="23"/>
      <c r="I1345" s="24">
        <f>SUM(I1331:I1344)</f>
        <v>26</v>
      </c>
      <c r="J1345" s="9"/>
      <c r="K1345" s="9"/>
      <c r="L1345" s="9"/>
      <c r="M1345" s="9">
        <f t="shared" si="190"/>
        <v>176.54</v>
      </c>
      <c r="N1345" s="9">
        <f t="shared" si="191"/>
        <v>67.600000000000009</v>
      </c>
      <c r="O1345" s="24">
        <f>ROUND(SUM(M1331:M1344)/I1345,2)</f>
        <v>6.79</v>
      </c>
      <c r="P1345" s="24">
        <f>ROUND(SUM(N1331:N1344)/I1345,2)</f>
        <v>2.6</v>
      </c>
      <c r="Q1345" s="9"/>
      <c r="S1345" s="25"/>
    </row>
    <row r="1346" spans="1:19" ht="20.25" customHeight="1" x14ac:dyDescent="0.25">
      <c r="A1346" s="27" t="s">
        <v>91</v>
      </c>
      <c r="B1346" s="28"/>
      <c r="C1346" s="28"/>
      <c r="D1346" s="28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</row>
    <row r="1347" spans="1:19" ht="16.5" customHeight="1" x14ac:dyDescent="0.25">
      <c r="A1347" s="9"/>
      <c r="B1347" s="51" t="s">
        <v>92</v>
      </c>
      <c r="C1347" s="52"/>
      <c r="D1347" s="52"/>
      <c r="E1347" s="52"/>
      <c r="F1347" s="52"/>
      <c r="G1347" s="53"/>
      <c r="H1347" s="20"/>
      <c r="I1347" s="9">
        <v>1</v>
      </c>
      <c r="J1347" s="9"/>
      <c r="K1347" s="9"/>
      <c r="L1347" s="9"/>
      <c r="M1347" s="9">
        <f t="shared" ref="M1347:M1358" si="192">I1347*O1347</f>
        <v>7.5</v>
      </c>
      <c r="N1347" s="9">
        <f t="shared" ref="N1347:N1358" si="193">I1347*P1347</f>
        <v>3</v>
      </c>
      <c r="O1347" s="9">
        <v>7.5</v>
      </c>
      <c r="P1347" s="9">
        <v>3</v>
      </c>
      <c r="Q1347" s="9" t="s">
        <v>6</v>
      </c>
      <c r="R1347" s="1">
        <v>0</v>
      </c>
      <c r="S1347" s="26"/>
    </row>
    <row r="1348" spans="1:19" ht="16.5" customHeight="1" x14ac:dyDescent="0.25">
      <c r="A1348" s="9"/>
      <c r="B1348" s="51" t="s">
        <v>99</v>
      </c>
      <c r="C1348" s="52"/>
      <c r="D1348" s="52"/>
      <c r="E1348" s="52"/>
      <c r="F1348" s="52"/>
      <c r="G1348" s="53"/>
      <c r="H1348" s="20"/>
      <c r="I1348" s="9">
        <v>2</v>
      </c>
      <c r="J1348" s="9"/>
      <c r="K1348" s="9"/>
      <c r="L1348" s="9"/>
      <c r="M1348" s="9">
        <f t="shared" si="192"/>
        <v>17.2</v>
      </c>
      <c r="N1348" s="9">
        <f t="shared" si="193"/>
        <v>7.4</v>
      </c>
      <c r="O1348" s="9">
        <v>8.6</v>
      </c>
      <c r="P1348" s="9">
        <v>3.7</v>
      </c>
      <c r="Q1348" s="9" t="s">
        <v>10</v>
      </c>
      <c r="R1348" s="1">
        <v>0</v>
      </c>
      <c r="S1348" s="26"/>
    </row>
    <row r="1349" spans="1:19" ht="16.5" customHeight="1" x14ac:dyDescent="0.25">
      <c r="A1349" s="9"/>
      <c r="B1349" s="51" t="s">
        <v>94</v>
      </c>
      <c r="C1349" s="52"/>
      <c r="D1349" s="52"/>
      <c r="E1349" s="52"/>
      <c r="F1349" s="52"/>
      <c r="G1349" s="53"/>
      <c r="H1349" s="20"/>
      <c r="I1349" s="9">
        <v>3</v>
      </c>
      <c r="J1349" s="9"/>
      <c r="K1349" s="9"/>
      <c r="L1349" s="9"/>
      <c r="M1349" s="9">
        <f t="shared" si="192"/>
        <v>27.900000000000002</v>
      </c>
      <c r="N1349" s="9">
        <f t="shared" si="193"/>
        <v>12</v>
      </c>
      <c r="O1349" s="9">
        <v>9.3000000000000007</v>
      </c>
      <c r="P1349" s="9">
        <v>4</v>
      </c>
      <c r="Q1349" s="9" t="s">
        <v>12</v>
      </c>
      <c r="R1349" s="1">
        <v>0</v>
      </c>
      <c r="S1349" s="26"/>
    </row>
    <row r="1350" spans="1:19" ht="16.5" customHeight="1" x14ac:dyDescent="0.25">
      <c r="A1350" s="9"/>
      <c r="B1350" s="51" t="s">
        <v>95</v>
      </c>
      <c r="C1350" s="52"/>
      <c r="D1350" s="52"/>
      <c r="E1350" s="52"/>
      <c r="F1350" s="52"/>
      <c r="G1350" s="53"/>
      <c r="H1350" s="20"/>
      <c r="I1350" s="9">
        <v>1</v>
      </c>
      <c r="J1350" s="9"/>
      <c r="K1350" s="9"/>
      <c r="L1350" s="9"/>
      <c r="M1350" s="9">
        <f t="shared" si="192"/>
        <v>8.1</v>
      </c>
      <c r="N1350" s="9">
        <f t="shared" si="193"/>
        <v>3.5</v>
      </c>
      <c r="O1350" s="9">
        <v>8.1</v>
      </c>
      <c r="P1350" s="9">
        <v>3.5</v>
      </c>
      <c r="Q1350" s="9" t="s">
        <v>9</v>
      </c>
      <c r="R1350" s="1">
        <v>0</v>
      </c>
      <c r="S1350" s="26"/>
    </row>
    <row r="1351" spans="1:19" ht="16.5" customHeight="1" x14ac:dyDescent="0.25">
      <c r="A1351" s="9"/>
      <c r="B1351" s="51" t="s">
        <v>96</v>
      </c>
      <c r="C1351" s="52"/>
      <c r="D1351" s="52"/>
      <c r="E1351" s="52"/>
      <c r="F1351" s="52"/>
      <c r="G1351" s="53"/>
      <c r="H1351" s="20"/>
      <c r="I1351" s="9">
        <v>1</v>
      </c>
      <c r="J1351" s="9"/>
      <c r="K1351" s="9"/>
      <c r="L1351" s="9"/>
      <c r="M1351" s="9">
        <f t="shared" si="192"/>
        <v>7.8</v>
      </c>
      <c r="N1351" s="9">
        <f t="shared" si="193"/>
        <v>3</v>
      </c>
      <c r="O1351" s="9">
        <v>7.8</v>
      </c>
      <c r="P1351" s="9">
        <v>3</v>
      </c>
      <c r="Q1351" s="9" t="s">
        <v>6</v>
      </c>
      <c r="R1351" s="1">
        <v>0</v>
      </c>
      <c r="S1351" s="26"/>
    </row>
    <row r="1352" spans="1:19" ht="16.5" customHeight="1" x14ac:dyDescent="0.25">
      <c r="A1352" s="9"/>
      <c r="B1352" s="51" t="s">
        <v>97</v>
      </c>
      <c r="C1352" s="52"/>
      <c r="D1352" s="52"/>
      <c r="E1352" s="52"/>
      <c r="F1352" s="52"/>
      <c r="G1352" s="53"/>
      <c r="H1352" s="20"/>
      <c r="I1352" s="9">
        <v>2</v>
      </c>
      <c r="J1352" s="9"/>
      <c r="K1352" s="9"/>
      <c r="L1352" s="9"/>
      <c r="M1352" s="9">
        <f t="shared" si="192"/>
        <v>16</v>
      </c>
      <c r="N1352" s="9">
        <f t="shared" si="193"/>
        <v>7</v>
      </c>
      <c r="O1352" s="9">
        <v>8</v>
      </c>
      <c r="P1352" s="9">
        <v>3.5</v>
      </c>
      <c r="Q1352" s="9" t="s">
        <v>9</v>
      </c>
      <c r="R1352" s="1">
        <v>0</v>
      </c>
      <c r="S1352" s="26"/>
    </row>
    <row r="1353" spans="1:19" ht="16.5" customHeight="1" x14ac:dyDescent="0.25">
      <c r="A1353" s="9"/>
      <c r="B1353" s="51" t="s">
        <v>100</v>
      </c>
      <c r="C1353" s="52"/>
      <c r="D1353" s="52"/>
      <c r="E1353" s="52"/>
      <c r="F1353" s="52"/>
      <c r="G1353" s="53"/>
      <c r="H1353" s="20"/>
      <c r="I1353" s="9">
        <v>2</v>
      </c>
      <c r="J1353" s="9"/>
      <c r="K1353" s="9"/>
      <c r="L1353" s="9"/>
      <c r="M1353" s="9">
        <f t="shared" si="192"/>
        <v>15.2</v>
      </c>
      <c r="N1353" s="9">
        <f t="shared" si="193"/>
        <v>6</v>
      </c>
      <c r="O1353" s="9">
        <v>7.6</v>
      </c>
      <c r="P1353" s="9">
        <v>3</v>
      </c>
      <c r="Q1353" s="9" t="s">
        <v>6</v>
      </c>
      <c r="R1353" s="1">
        <v>0</v>
      </c>
      <c r="S1353" s="26"/>
    </row>
    <row r="1354" spans="1:19" ht="16.5" customHeight="1" x14ac:dyDescent="0.25">
      <c r="A1354" s="9"/>
      <c r="B1354" s="51" t="s">
        <v>93</v>
      </c>
      <c r="C1354" s="52"/>
      <c r="D1354" s="52"/>
      <c r="E1354" s="52"/>
      <c r="F1354" s="52"/>
      <c r="G1354" s="53"/>
      <c r="H1354" s="20"/>
      <c r="I1354" s="9">
        <v>3</v>
      </c>
      <c r="J1354" s="9"/>
      <c r="K1354" s="9"/>
      <c r="L1354" s="9"/>
      <c r="M1354" s="9">
        <f t="shared" si="192"/>
        <v>17.399999999999999</v>
      </c>
      <c r="N1354" s="9">
        <f t="shared" si="193"/>
        <v>6</v>
      </c>
      <c r="O1354" s="9">
        <v>5.8</v>
      </c>
      <c r="P1354" s="9">
        <v>2</v>
      </c>
      <c r="Q1354" s="9" t="s">
        <v>3</v>
      </c>
      <c r="R1354" s="1">
        <v>0</v>
      </c>
      <c r="S1354" s="26"/>
    </row>
    <row r="1355" spans="1:19" ht="16.5" customHeight="1" x14ac:dyDescent="0.25">
      <c r="A1355" s="9"/>
      <c r="B1355" s="51" t="s">
        <v>98</v>
      </c>
      <c r="C1355" s="52"/>
      <c r="D1355" s="52"/>
      <c r="E1355" s="52"/>
      <c r="F1355" s="52"/>
      <c r="G1355" s="53"/>
      <c r="H1355" s="20"/>
      <c r="I1355" s="9">
        <v>2</v>
      </c>
      <c r="J1355" s="9"/>
      <c r="K1355" s="9"/>
      <c r="L1355" s="9"/>
      <c r="M1355" s="9">
        <f t="shared" si="192"/>
        <v>16.600000000000001</v>
      </c>
      <c r="N1355" s="9">
        <f t="shared" si="193"/>
        <v>7</v>
      </c>
      <c r="O1355" s="9">
        <v>8.3000000000000007</v>
      </c>
      <c r="P1355" s="9">
        <v>3.5</v>
      </c>
      <c r="Q1355" s="9" t="s">
        <v>9</v>
      </c>
      <c r="R1355" s="1">
        <v>0</v>
      </c>
      <c r="S1355" s="26"/>
    </row>
    <row r="1356" spans="1:19" ht="16.5" customHeight="1" x14ac:dyDescent="0.25">
      <c r="A1356" s="9"/>
      <c r="B1356" s="51" t="s">
        <v>101</v>
      </c>
      <c r="C1356" s="52"/>
      <c r="D1356" s="52"/>
      <c r="E1356" s="52"/>
      <c r="F1356" s="52"/>
      <c r="G1356" s="53"/>
      <c r="H1356" s="20"/>
      <c r="I1356" s="9">
        <v>4</v>
      </c>
      <c r="J1356" s="9"/>
      <c r="K1356" s="9"/>
      <c r="L1356" s="9"/>
      <c r="M1356" s="9">
        <f t="shared" si="192"/>
        <v>34</v>
      </c>
      <c r="N1356" s="9">
        <f t="shared" si="193"/>
        <v>14.8</v>
      </c>
      <c r="O1356" s="9">
        <v>8.5</v>
      </c>
      <c r="P1356" s="9">
        <v>3.7</v>
      </c>
      <c r="Q1356" s="9" t="s">
        <v>10</v>
      </c>
      <c r="R1356" s="1">
        <v>0</v>
      </c>
      <c r="S1356" s="26"/>
    </row>
    <row r="1357" spans="1:19" ht="16.5" hidden="1" customHeight="1" x14ac:dyDescent="0.25">
      <c r="A1357" s="21"/>
      <c r="H1357" s="21"/>
      <c r="I1357" s="21"/>
      <c r="J1357" s="21"/>
      <c r="K1357" s="21"/>
      <c r="L1357" s="21"/>
      <c r="M1357" s="9">
        <f t="shared" si="192"/>
        <v>0</v>
      </c>
      <c r="N1357" s="9">
        <f t="shared" si="193"/>
        <v>0</v>
      </c>
      <c r="O1357" s="21"/>
      <c r="P1357" s="21"/>
      <c r="Q1357" s="21"/>
      <c r="S1357" s="25"/>
    </row>
    <row r="1358" spans="1:19" ht="16.5" customHeight="1" x14ac:dyDescent="0.25">
      <c r="A1358" s="9"/>
      <c r="B1358" s="39" t="s">
        <v>42</v>
      </c>
      <c r="C1358" s="40"/>
      <c r="D1358" s="40"/>
      <c r="E1358" s="40"/>
      <c r="F1358" s="40"/>
      <c r="G1358" s="41"/>
      <c r="H1358" s="23"/>
      <c r="I1358" s="24">
        <f>SUM(I1347:I1357)</f>
        <v>21</v>
      </c>
      <c r="J1358" s="9"/>
      <c r="K1358" s="9"/>
      <c r="L1358" s="9"/>
      <c r="M1358" s="9">
        <f t="shared" si="192"/>
        <v>167.79</v>
      </c>
      <c r="N1358" s="9">
        <f t="shared" si="193"/>
        <v>69.72</v>
      </c>
      <c r="O1358" s="24">
        <f>ROUND(SUM(M1347:M1357)/I1358,2)</f>
        <v>7.99</v>
      </c>
      <c r="P1358" s="24">
        <f>ROUND(SUM(N1347:N1357)/I1358,2)</f>
        <v>3.32</v>
      </c>
      <c r="Q1358" s="9"/>
      <c r="S1358" s="25"/>
    </row>
    <row r="1359" spans="1:19" ht="20.25" customHeight="1" x14ac:dyDescent="0.25">
      <c r="A1359" s="27" t="s">
        <v>102</v>
      </c>
      <c r="B1359" s="28"/>
      <c r="C1359" s="28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</row>
    <row r="1360" spans="1:19" ht="16.5" customHeight="1" x14ac:dyDescent="0.25">
      <c r="A1360" s="9"/>
      <c r="B1360" s="51" t="s">
        <v>103</v>
      </c>
      <c r="C1360" s="52"/>
      <c r="D1360" s="52"/>
      <c r="E1360" s="52"/>
      <c r="F1360" s="52"/>
      <c r="G1360" s="53"/>
      <c r="H1360" s="20"/>
      <c r="I1360" s="9">
        <v>1</v>
      </c>
      <c r="J1360" s="9"/>
      <c r="K1360" s="9"/>
      <c r="L1360" s="9"/>
      <c r="M1360" s="9">
        <f t="shared" ref="M1360:M1371" si="194">I1360*O1360</f>
        <v>7.6</v>
      </c>
      <c r="N1360" s="9">
        <f t="shared" ref="N1360:N1371" si="195">I1360*P1360</f>
        <v>3</v>
      </c>
      <c r="O1360" s="9">
        <v>7.6</v>
      </c>
      <c r="P1360" s="9">
        <v>3</v>
      </c>
      <c r="Q1360" s="9" t="s">
        <v>6</v>
      </c>
      <c r="R1360" s="1">
        <v>0</v>
      </c>
      <c r="S1360" s="26"/>
    </row>
    <row r="1361" spans="1:19" ht="16.5" customHeight="1" x14ac:dyDescent="0.25">
      <c r="A1361" s="9"/>
      <c r="B1361" s="51" t="s">
        <v>104</v>
      </c>
      <c r="C1361" s="52"/>
      <c r="D1361" s="52"/>
      <c r="E1361" s="52"/>
      <c r="F1361" s="52"/>
      <c r="G1361" s="53"/>
      <c r="H1361" s="20"/>
      <c r="I1361" s="9">
        <v>3</v>
      </c>
      <c r="J1361" s="9"/>
      <c r="K1361" s="9"/>
      <c r="L1361" s="9"/>
      <c r="M1361" s="9">
        <f t="shared" si="194"/>
        <v>21</v>
      </c>
      <c r="N1361" s="9">
        <f t="shared" si="195"/>
        <v>9</v>
      </c>
      <c r="O1361" s="9">
        <v>7</v>
      </c>
      <c r="P1361" s="9">
        <v>3</v>
      </c>
      <c r="Q1361" s="9" t="s">
        <v>6</v>
      </c>
      <c r="R1361" s="1">
        <v>0</v>
      </c>
      <c r="S1361" s="26"/>
    </row>
    <row r="1362" spans="1:19" ht="16.5" customHeight="1" x14ac:dyDescent="0.25">
      <c r="A1362" s="9"/>
      <c r="B1362" s="51" t="s">
        <v>105</v>
      </c>
      <c r="C1362" s="52"/>
      <c r="D1362" s="52"/>
      <c r="E1362" s="52"/>
      <c r="F1362" s="52"/>
      <c r="G1362" s="53"/>
      <c r="H1362" s="20"/>
      <c r="I1362" s="9">
        <v>3</v>
      </c>
      <c r="J1362" s="9"/>
      <c r="K1362" s="9"/>
      <c r="L1362" s="9"/>
      <c r="M1362" s="9">
        <f t="shared" si="194"/>
        <v>26.099999999999998</v>
      </c>
      <c r="N1362" s="9">
        <f t="shared" si="195"/>
        <v>11.100000000000001</v>
      </c>
      <c r="O1362" s="9">
        <v>8.6999999999999993</v>
      </c>
      <c r="P1362" s="9">
        <v>3.7</v>
      </c>
      <c r="Q1362" s="9" t="s">
        <v>10</v>
      </c>
      <c r="R1362" s="1">
        <v>0</v>
      </c>
      <c r="S1362" s="26"/>
    </row>
    <row r="1363" spans="1:19" ht="16.5" customHeight="1" x14ac:dyDescent="0.25">
      <c r="A1363" s="9"/>
      <c r="B1363" s="51" t="s">
        <v>106</v>
      </c>
      <c r="C1363" s="52"/>
      <c r="D1363" s="52"/>
      <c r="E1363" s="52"/>
      <c r="F1363" s="52"/>
      <c r="G1363" s="53"/>
      <c r="H1363" s="20"/>
      <c r="I1363" s="9">
        <v>3</v>
      </c>
      <c r="J1363" s="9"/>
      <c r="K1363" s="9"/>
      <c r="L1363" s="9"/>
      <c r="M1363" s="9">
        <f t="shared" si="194"/>
        <v>23.700000000000003</v>
      </c>
      <c r="N1363" s="9">
        <f t="shared" si="195"/>
        <v>9</v>
      </c>
      <c r="O1363" s="9">
        <v>7.9</v>
      </c>
      <c r="P1363" s="9">
        <v>3</v>
      </c>
      <c r="Q1363" s="9" t="s">
        <v>6</v>
      </c>
      <c r="R1363" s="1">
        <v>0</v>
      </c>
      <c r="S1363" s="26"/>
    </row>
    <row r="1364" spans="1:19" ht="16.5" customHeight="1" x14ac:dyDescent="0.25">
      <c r="A1364" s="9"/>
      <c r="B1364" s="51" t="s">
        <v>107</v>
      </c>
      <c r="C1364" s="52"/>
      <c r="D1364" s="52"/>
      <c r="E1364" s="52"/>
      <c r="F1364" s="52"/>
      <c r="G1364" s="53"/>
      <c r="H1364" s="20"/>
      <c r="I1364" s="9">
        <v>2</v>
      </c>
      <c r="J1364" s="9"/>
      <c r="K1364" s="9"/>
      <c r="L1364" s="9"/>
      <c r="M1364" s="9">
        <f t="shared" si="194"/>
        <v>12.2</v>
      </c>
      <c r="N1364" s="9">
        <f t="shared" si="195"/>
        <v>4</v>
      </c>
      <c r="O1364" s="9">
        <v>6.1</v>
      </c>
      <c r="P1364" s="9">
        <v>2</v>
      </c>
      <c r="Q1364" s="9" t="s">
        <v>3</v>
      </c>
      <c r="R1364" s="1">
        <v>0</v>
      </c>
      <c r="S1364" s="26"/>
    </row>
    <row r="1365" spans="1:19" ht="16.5" customHeight="1" x14ac:dyDescent="0.25">
      <c r="A1365" s="9"/>
      <c r="B1365" s="51" t="s">
        <v>112</v>
      </c>
      <c r="C1365" s="52"/>
      <c r="D1365" s="52"/>
      <c r="E1365" s="52"/>
      <c r="F1365" s="52"/>
      <c r="G1365" s="53"/>
      <c r="H1365" s="20"/>
      <c r="I1365" s="9">
        <v>3</v>
      </c>
      <c r="J1365" s="9"/>
      <c r="K1365" s="9"/>
      <c r="L1365" s="9"/>
      <c r="M1365" s="9">
        <f t="shared" si="194"/>
        <v>23.4</v>
      </c>
      <c r="N1365" s="9">
        <f t="shared" si="195"/>
        <v>9</v>
      </c>
      <c r="O1365" s="9">
        <v>7.8</v>
      </c>
      <c r="P1365" s="9">
        <v>3</v>
      </c>
      <c r="Q1365" s="9" t="s">
        <v>6</v>
      </c>
      <c r="R1365" s="1">
        <v>0</v>
      </c>
      <c r="S1365" s="26"/>
    </row>
    <row r="1366" spans="1:19" ht="16.5" customHeight="1" x14ac:dyDescent="0.25">
      <c r="A1366" s="9"/>
      <c r="B1366" s="51" t="s">
        <v>109</v>
      </c>
      <c r="C1366" s="52"/>
      <c r="D1366" s="52"/>
      <c r="E1366" s="52"/>
      <c r="F1366" s="52"/>
      <c r="G1366" s="53"/>
      <c r="H1366" s="20"/>
      <c r="I1366" s="9">
        <v>2</v>
      </c>
      <c r="J1366" s="9"/>
      <c r="K1366" s="9"/>
      <c r="L1366" s="9"/>
      <c r="M1366" s="9">
        <f t="shared" si="194"/>
        <v>14.8</v>
      </c>
      <c r="N1366" s="9">
        <f t="shared" si="195"/>
        <v>6</v>
      </c>
      <c r="O1366" s="9">
        <v>7.4</v>
      </c>
      <c r="P1366" s="9">
        <v>3</v>
      </c>
      <c r="Q1366" s="9" t="s">
        <v>6</v>
      </c>
      <c r="R1366" s="1">
        <v>0</v>
      </c>
      <c r="S1366" s="26"/>
    </row>
    <row r="1367" spans="1:19" ht="16.5" customHeight="1" x14ac:dyDescent="0.25">
      <c r="A1367" s="9"/>
      <c r="B1367" s="51" t="s">
        <v>108</v>
      </c>
      <c r="C1367" s="52"/>
      <c r="D1367" s="52"/>
      <c r="E1367" s="52"/>
      <c r="F1367" s="52"/>
      <c r="G1367" s="53"/>
      <c r="H1367" s="20"/>
      <c r="I1367" s="9">
        <v>2</v>
      </c>
      <c r="J1367" s="9"/>
      <c r="K1367" s="9"/>
      <c r="L1367" s="9"/>
      <c r="M1367" s="9">
        <f t="shared" si="194"/>
        <v>15.6</v>
      </c>
      <c r="N1367" s="9">
        <f t="shared" si="195"/>
        <v>6</v>
      </c>
      <c r="O1367" s="9">
        <v>7.8</v>
      </c>
      <c r="P1367" s="9">
        <v>3</v>
      </c>
      <c r="Q1367" s="9" t="s">
        <v>6</v>
      </c>
      <c r="R1367" s="1">
        <v>0</v>
      </c>
      <c r="S1367" s="26"/>
    </row>
    <row r="1368" spans="1:19" ht="16.5" customHeight="1" x14ac:dyDescent="0.25">
      <c r="A1368" s="9"/>
      <c r="B1368" s="51" t="s">
        <v>111</v>
      </c>
      <c r="C1368" s="52"/>
      <c r="D1368" s="52"/>
      <c r="E1368" s="52"/>
      <c r="F1368" s="52"/>
      <c r="G1368" s="53"/>
      <c r="H1368" s="20"/>
      <c r="I1368" s="9">
        <v>2</v>
      </c>
      <c r="J1368" s="9"/>
      <c r="K1368" s="9"/>
      <c r="L1368" s="9"/>
      <c r="M1368" s="9">
        <f t="shared" si="194"/>
        <v>15.2</v>
      </c>
      <c r="N1368" s="9">
        <f t="shared" si="195"/>
        <v>6</v>
      </c>
      <c r="O1368" s="9">
        <v>7.6</v>
      </c>
      <c r="P1368" s="9">
        <v>3</v>
      </c>
      <c r="Q1368" s="9" t="s">
        <v>6</v>
      </c>
      <c r="R1368" s="1">
        <v>0</v>
      </c>
      <c r="S1368" s="26"/>
    </row>
    <row r="1369" spans="1:19" ht="16.5" customHeight="1" x14ac:dyDescent="0.25">
      <c r="A1369" s="9"/>
      <c r="B1369" s="51" t="s">
        <v>110</v>
      </c>
      <c r="C1369" s="52"/>
      <c r="D1369" s="52"/>
      <c r="E1369" s="52"/>
      <c r="F1369" s="52"/>
      <c r="G1369" s="53"/>
      <c r="H1369" s="20"/>
      <c r="I1369" s="9">
        <v>4</v>
      </c>
      <c r="J1369" s="9"/>
      <c r="K1369" s="9"/>
      <c r="L1369" s="9"/>
      <c r="M1369" s="9">
        <f t="shared" si="194"/>
        <v>28.8</v>
      </c>
      <c r="N1369" s="9">
        <f t="shared" si="195"/>
        <v>12</v>
      </c>
      <c r="O1369" s="9">
        <v>7.2</v>
      </c>
      <c r="P1369" s="9">
        <v>3</v>
      </c>
      <c r="Q1369" s="9" t="s">
        <v>6</v>
      </c>
      <c r="R1369" s="1">
        <v>0</v>
      </c>
      <c r="S1369" s="26"/>
    </row>
    <row r="1370" spans="1:19" ht="16.5" hidden="1" customHeight="1" x14ac:dyDescent="0.25">
      <c r="A1370" s="21"/>
      <c r="H1370" s="21"/>
      <c r="I1370" s="21"/>
      <c r="J1370" s="21"/>
      <c r="K1370" s="21"/>
      <c r="L1370" s="21"/>
      <c r="M1370" s="9">
        <f t="shared" si="194"/>
        <v>0</v>
      </c>
      <c r="N1370" s="9">
        <f t="shared" si="195"/>
        <v>0</v>
      </c>
      <c r="O1370" s="21"/>
      <c r="P1370" s="21"/>
      <c r="Q1370" s="21"/>
      <c r="S1370" s="25"/>
    </row>
    <row r="1371" spans="1:19" ht="16.5" customHeight="1" x14ac:dyDescent="0.25">
      <c r="A1371" s="9"/>
      <c r="B1371" s="39" t="s">
        <v>42</v>
      </c>
      <c r="C1371" s="40"/>
      <c r="D1371" s="40"/>
      <c r="E1371" s="40"/>
      <c r="F1371" s="40"/>
      <c r="G1371" s="41"/>
      <c r="H1371" s="23"/>
      <c r="I1371" s="24">
        <f>SUM(I1360:I1370)</f>
        <v>25</v>
      </c>
      <c r="J1371" s="9"/>
      <c r="K1371" s="9"/>
      <c r="L1371" s="9"/>
      <c r="M1371" s="9">
        <f t="shared" si="194"/>
        <v>188.5</v>
      </c>
      <c r="N1371" s="9">
        <f t="shared" si="195"/>
        <v>75</v>
      </c>
      <c r="O1371" s="24">
        <f>ROUND(SUM(M1360:M1370)/I1371,2)</f>
        <v>7.54</v>
      </c>
      <c r="P1371" s="24">
        <f>ROUND(SUM(N1360:N1370)/I1371,2)</f>
        <v>3</v>
      </c>
      <c r="Q1371" s="9"/>
      <c r="S1371" s="25"/>
    </row>
    <row r="1372" spans="1:19" ht="20.25" customHeight="1" x14ac:dyDescent="0.25">
      <c r="A1372" s="27" t="s">
        <v>113</v>
      </c>
      <c r="B1372" s="28"/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</row>
    <row r="1373" spans="1:19" ht="16.5" customHeight="1" x14ac:dyDescent="0.25">
      <c r="A1373" s="9"/>
      <c r="B1373" s="51" t="s">
        <v>114</v>
      </c>
      <c r="C1373" s="52"/>
      <c r="D1373" s="52"/>
      <c r="E1373" s="52"/>
      <c r="F1373" s="52"/>
      <c r="G1373" s="53"/>
      <c r="H1373" s="20"/>
      <c r="I1373" s="9">
        <v>3</v>
      </c>
      <c r="J1373" s="9"/>
      <c r="K1373" s="9"/>
      <c r="L1373" s="9"/>
      <c r="M1373" s="9">
        <f t="shared" ref="M1373:M1381" si="196">I1373*O1373</f>
        <v>0</v>
      </c>
      <c r="N1373" s="9">
        <f t="shared" ref="N1373:N1381" si="197">I1373*P1373</f>
        <v>0</v>
      </c>
      <c r="O1373" s="9"/>
      <c r="P1373" s="9"/>
      <c r="Q1373" s="9"/>
      <c r="R1373" s="1">
        <v>0</v>
      </c>
      <c r="S1373" s="26"/>
    </row>
    <row r="1374" spans="1:19" ht="16.5" customHeight="1" x14ac:dyDescent="0.25">
      <c r="A1374" s="9"/>
      <c r="B1374" s="51" t="s">
        <v>115</v>
      </c>
      <c r="C1374" s="52"/>
      <c r="D1374" s="52"/>
      <c r="E1374" s="52"/>
      <c r="F1374" s="52"/>
      <c r="G1374" s="53"/>
      <c r="H1374" s="20"/>
      <c r="I1374" s="9">
        <v>3</v>
      </c>
      <c r="J1374" s="9"/>
      <c r="K1374" s="9"/>
      <c r="L1374" s="9"/>
      <c r="M1374" s="9">
        <f t="shared" si="196"/>
        <v>0</v>
      </c>
      <c r="N1374" s="9">
        <f t="shared" si="197"/>
        <v>0</v>
      </c>
      <c r="O1374" s="9"/>
      <c r="P1374" s="9"/>
      <c r="Q1374" s="9"/>
      <c r="R1374" s="1">
        <v>0</v>
      </c>
      <c r="S1374" s="26"/>
    </row>
    <row r="1375" spans="1:19" ht="16.5" customHeight="1" x14ac:dyDescent="0.25">
      <c r="A1375" s="9"/>
      <c r="B1375" s="51" t="s">
        <v>116</v>
      </c>
      <c r="C1375" s="52"/>
      <c r="D1375" s="52"/>
      <c r="E1375" s="52"/>
      <c r="F1375" s="52"/>
      <c r="G1375" s="53"/>
      <c r="H1375" s="20"/>
      <c r="I1375" s="9">
        <v>3</v>
      </c>
      <c r="J1375" s="9"/>
      <c r="K1375" s="9"/>
      <c r="L1375" s="9"/>
      <c r="M1375" s="9">
        <f t="shared" si="196"/>
        <v>0</v>
      </c>
      <c r="N1375" s="9">
        <f t="shared" si="197"/>
        <v>0</v>
      </c>
      <c r="O1375" s="9"/>
      <c r="P1375" s="9"/>
      <c r="Q1375" s="9"/>
      <c r="R1375" s="1">
        <v>0</v>
      </c>
      <c r="S1375" s="26"/>
    </row>
    <row r="1376" spans="1:19" ht="16.5" customHeight="1" x14ac:dyDescent="0.25">
      <c r="A1376" s="9"/>
      <c r="B1376" s="51" t="s">
        <v>120</v>
      </c>
      <c r="C1376" s="52"/>
      <c r="D1376" s="52"/>
      <c r="E1376" s="52"/>
      <c r="F1376" s="52"/>
      <c r="G1376" s="53"/>
      <c r="H1376" s="20"/>
      <c r="I1376" s="9">
        <v>2</v>
      </c>
      <c r="J1376" s="9"/>
      <c r="K1376" s="9"/>
      <c r="L1376" s="9"/>
      <c r="M1376" s="9">
        <f t="shared" si="196"/>
        <v>10</v>
      </c>
      <c r="N1376" s="9">
        <f t="shared" si="197"/>
        <v>3</v>
      </c>
      <c r="O1376" s="9">
        <v>5</v>
      </c>
      <c r="P1376" s="9">
        <v>1.5</v>
      </c>
      <c r="Q1376" s="9" t="s">
        <v>4</v>
      </c>
      <c r="R1376" s="1">
        <v>0</v>
      </c>
      <c r="S1376" s="26"/>
    </row>
    <row r="1377" spans="1:19" ht="16.5" customHeight="1" x14ac:dyDescent="0.25">
      <c r="A1377" s="9"/>
      <c r="B1377" s="51" t="s">
        <v>118</v>
      </c>
      <c r="C1377" s="52"/>
      <c r="D1377" s="52"/>
      <c r="E1377" s="52"/>
      <c r="F1377" s="52"/>
      <c r="G1377" s="53"/>
      <c r="H1377" s="20"/>
      <c r="I1377" s="9">
        <v>3</v>
      </c>
      <c r="J1377" s="9"/>
      <c r="K1377" s="9"/>
      <c r="L1377" s="9"/>
      <c r="M1377" s="9">
        <f t="shared" si="196"/>
        <v>0</v>
      </c>
      <c r="N1377" s="9">
        <f t="shared" si="197"/>
        <v>0</v>
      </c>
      <c r="O1377" s="9"/>
      <c r="P1377" s="9"/>
      <c r="Q1377" s="9"/>
      <c r="R1377" s="1">
        <v>0</v>
      </c>
      <c r="S1377" s="26"/>
    </row>
    <row r="1378" spans="1:19" ht="16.5" customHeight="1" x14ac:dyDescent="0.25">
      <c r="A1378" s="9"/>
      <c r="B1378" s="51" t="s">
        <v>119</v>
      </c>
      <c r="C1378" s="52"/>
      <c r="D1378" s="52"/>
      <c r="E1378" s="52"/>
      <c r="F1378" s="52"/>
      <c r="G1378" s="53"/>
      <c r="H1378" s="20"/>
      <c r="I1378" s="9">
        <v>3</v>
      </c>
      <c r="J1378" s="9"/>
      <c r="K1378" s="9"/>
      <c r="L1378" s="9"/>
      <c r="M1378" s="9">
        <f t="shared" si="196"/>
        <v>0</v>
      </c>
      <c r="N1378" s="9">
        <f t="shared" si="197"/>
        <v>0</v>
      </c>
      <c r="O1378" s="9"/>
      <c r="P1378" s="9"/>
      <c r="Q1378" s="9"/>
      <c r="R1378" s="1">
        <v>0</v>
      </c>
      <c r="S1378" s="26"/>
    </row>
    <row r="1379" spans="1:19" ht="16.5" customHeight="1" x14ac:dyDescent="0.25">
      <c r="A1379" s="9"/>
      <c r="B1379" s="51" t="s">
        <v>117</v>
      </c>
      <c r="C1379" s="52"/>
      <c r="D1379" s="52"/>
      <c r="E1379" s="52"/>
      <c r="F1379" s="52"/>
      <c r="G1379" s="53"/>
      <c r="H1379" s="20"/>
      <c r="I1379" s="9">
        <v>1</v>
      </c>
      <c r="J1379" s="9"/>
      <c r="K1379" s="9"/>
      <c r="L1379" s="9"/>
      <c r="M1379" s="9">
        <f t="shared" si="196"/>
        <v>6.1</v>
      </c>
      <c r="N1379" s="9">
        <f t="shared" si="197"/>
        <v>2</v>
      </c>
      <c r="O1379" s="9">
        <v>6.1</v>
      </c>
      <c r="P1379" s="9">
        <v>2</v>
      </c>
      <c r="Q1379" s="9" t="s">
        <v>3</v>
      </c>
      <c r="R1379" s="1">
        <v>0</v>
      </c>
      <c r="S1379" s="26"/>
    </row>
    <row r="1380" spans="1:19" ht="16.5" hidden="1" customHeight="1" x14ac:dyDescent="0.25">
      <c r="A1380" s="21"/>
      <c r="H1380" s="21"/>
      <c r="I1380" s="21"/>
      <c r="J1380" s="21"/>
      <c r="K1380" s="21"/>
      <c r="L1380" s="21"/>
      <c r="M1380" s="9">
        <f t="shared" si="196"/>
        <v>0</v>
      </c>
      <c r="N1380" s="9">
        <f t="shared" si="197"/>
        <v>0</v>
      </c>
      <c r="O1380" s="21"/>
      <c r="P1380" s="21"/>
      <c r="Q1380" s="21"/>
      <c r="S1380" s="25"/>
    </row>
    <row r="1381" spans="1:19" ht="16.5" customHeight="1" x14ac:dyDescent="0.25">
      <c r="A1381" s="9"/>
      <c r="B1381" s="39" t="s">
        <v>42</v>
      </c>
      <c r="C1381" s="40"/>
      <c r="D1381" s="40"/>
      <c r="E1381" s="40"/>
      <c r="F1381" s="40"/>
      <c r="G1381" s="41"/>
      <c r="H1381" s="23"/>
      <c r="I1381" s="24">
        <f>SUM(I1373:I1380)</f>
        <v>18</v>
      </c>
      <c r="J1381" s="9"/>
      <c r="K1381" s="9"/>
      <c r="L1381" s="9"/>
      <c r="M1381" s="9">
        <f t="shared" si="196"/>
        <v>16.02</v>
      </c>
      <c r="N1381" s="9">
        <f t="shared" si="197"/>
        <v>5.0400000000000009</v>
      </c>
      <c r="O1381" s="24">
        <f>ROUND(SUM(M1373:M1380)/I1381,2)</f>
        <v>0.89</v>
      </c>
      <c r="P1381" s="24">
        <f>ROUND(SUM(N1373:N1380)/I1381,2)</f>
        <v>0.28000000000000003</v>
      </c>
      <c r="Q1381" s="9"/>
      <c r="S1381" s="25"/>
    </row>
    <row r="1382" spans="1:19" ht="16.5" customHeight="1" x14ac:dyDescent="0.25">
      <c r="A1382" s="21"/>
      <c r="B1382" s="22"/>
      <c r="C1382" s="22"/>
      <c r="D1382" s="22"/>
      <c r="E1382" s="22"/>
      <c r="F1382" s="22"/>
      <c r="G1382" s="22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</row>
    <row r="1384" spans="1:19" ht="18" x14ac:dyDescent="0.25">
      <c r="A1384" s="35" t="s">
        <v>159</v>
      </c>
      <c r="B1384" s="35"/>
      <c r="C1384" s="35"/>
      <c r="D1384" s="35"/>
      <c r="E1384" s="35"/>
      <c r="F1384" s="35"/>
      <c r="G1384" s="35"/>
      <c r="H1384" s="35"/>
      <c r="I1384" s="35"/>
      <c r="J1384" s="35"/>
      <c r="K1384" s="35"/>
      <c r="L1384" s="35"/>
      <c r="M1384" s="35"/>
      <c r="N1384" s="35"/>
      <c r="O1384" s="35"/>
      <c r="P1384" s="35"/>
      <c r="Q1384" s="35"/>
      <c r="R1384" s="35"/>
      <c r="S1384" s="35"/>
    </row>
    <row r="1385" spans="1:19" ht="18" x14ac:dyDescent="0.25">
      <c r="A1385" s="35" t="s">
        <v>191</v>
      </c>
      <c r="B1385" s="35"/>
      <c r="C1385" s="35"/>
      <c r="D1385" s="35"/>
      <c r="E1385" s="35"/>
      <c r="F1385" s="35"/>
      <c r="G1385" s="35"/>
      <c r="H1385" s="35"/>
      <c r="I1385" s="35"/>
      <c r="J1385" s="35"/>
      <c r="K1385" s="35"/>
      <c r="L1385" s="35"/>
      <c r="M1385" s="35"/>
      <c r="N1385" s="35"/>
      <c r="O1385" s="35"/>
      <c r="P1385" s="35"/>
      <c r="Q1385" s="35"/>
      <c r="R1385" s="35"/>
      <c r="S1385" s="35"/>
    </row>
    <row r="1386" spans="1:19" ht="18" x14ac:dyDescent="0.25">
      <c r="A1386" s="35" t="s">
        <v>192</v>
      </c>
      <c r="B1386" s="35"/>
      <c r="C1386" s="35"/>
      <c r="D1386" s="35"/>
      <c r="E1386" s="35"/>
      <c r="F1386" s="35"/>
      <c r="G1386" s="35"/>
      <c r="H1386" s="35"/>
      <c r="I1386" s="35"/>
      <c r="J1386" s="35"/>
      <c r="K1386" s="35"/>
      <c r="L1386" s="35"/>
      <c r="M1386" s="35"/>
      <c r="N1386" s="35"/>
      <c r="O1386" s="35"/>
      <c r="P1386" s="35"/>
      <c r="Q1386" s="35"/>
      <c r="R1386" s="35"/>
      <c r="S1386" s="35"/>
    </row>
    <row r="1387" spans="1:19" ht="18" x14ac:dyDescent="0.25">
      <c r="A1387" s="45" t="s">
        <v>148</v>
      </c>
      <c r="B1387" s="45"/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</row>
    <row r="1388" spans="1:19" ht="19.5" customHeight="1" x14ac:dyDescent="0.25">
      <c r="A1388" s="17"/>
      <c r="B1388" s="17"/>
      <c r="C1388" s="8"/>
      <c r="D1388" s="18"/>
      <c r="E1388" s="10"/>
      <c r="F1388" s="11"/>
      <c r="G1388" s="46" t="s">
        <v>49</v>
      </c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  <c r="S1388" s="46"/>
    </row>
    <row r="1389" spans="1:19" ht="31.5" customHeight="1" x14ac:dyDescent="0.3">
      <c r="A1389" s="8"/>
      <c r="B1389" s="8"/>
      <c r="C1389" s="8"/>
      <c r="D1389" s="8"/>
      <c r="E1389" s="8"/>
      <c r="F1389" s="8"/>
      <c r="G1389" s="8"/>
      <c r="H1389" s="12"/>
      <c r="I1389" s="42" t="s">
        <v>40</v>
      </c>
      <c r="J1389" s="43"/>
      <c r="K1389" s="43"/>
      <c r="L1389" s="43"/>
      <c r="M1389" s="43"/>
      <c r="N1389" s="43"/>
      <c r="O1389" s="43"/>
      <c r="P1389" s="43"/>
      <c r="Q1389" s="43"/>
      <c r="R1389" s="43"/>
      <c r="S1389" s="43"/>
    </row>
    <row r="1390" spans="1:19" ht="16.8" x14ac:dyDescent="0.3">
      <c r="A1390" s="8"/>
      <c r="B1390" s="8"/>
      <c r="C1390" s="8"/>
      <c r="D1390" s="8"/>
      <c r="E1390" s="8"/>
      <c r="F1390" s="8"/>
      <c r="G1390" s="8"/>
      <c r="H1390" s="12"/>
      <c r="I1390" s="12"/>
      <c r="J1390" s="12"/>
      <c r="K1390" s="12"/>
      <c r="L1390" s="8"/>
      <c r="M1390" s="8"/>
      <c r="N1390" s="8"/>
      <c r="O1390" s="8"/>
      <c r="P1390" s="8"/>
      <c r="Q1390" s="8"/>
    </row>
    <row r="1391" spans="1:19" ht="33" customHeight="1" x14ac:dyDescent="0.3">
      <c r="A1391" s="8"/>
      <c r="B1391" s="8"/>
      <c r="C1391" s="8"/>
      <c r="D1391" s="8"/>
      <c r="E1391" s="8"/>
      <c r="F1391" s="8"/>
      <c r="G1391" s="8"/>
      <c r="H1391" s="12"/>
      <c r="I1391" s="12"/>
      <c r="J1391" s="12"/>
      <c r="K1391" s="12"/>
      <c r="L1391" s="8"/>
      <c r="M1391" s="8"/>
      <c r="N1391" s="8"/>
      <c r="O1391" s="8"/>
      <c r="P1391" s="8"/>
      <c r="Q1391" s="8"/>
    </row>
    <row r="1392" spans="1:19" ht="11.25" customHeight="1" x14ac:dyDescent="0.3">
      <c r="A1392" s="8"/>
      <c r="B1392" s="8"/>
      <c r="C1392" s="8"/>
      <c r="D1392" s="8"/>
      <c r="E1392" s="8"/>
      <c r="F1392" s="8"/>
      <c r="G1392" s="8"/>
      <c r="H1392" s="12"/>
      <c r="I1392" s="12"/>
      <c r="J1392" s="12"/>
      <c r="K1392" s="12"/>
      <c r="L1392" s="8"/>
      <c r="M1392" s="8"/>
      <c r="N1392" s="8"/>
      <c r="O1392" s="8"/>
      <c r="P1392" s="8"/>
      <c r="Q1392" s="8"/>
    </row>
    <row r="1393" spans="1:20" ht="17.399999999999999" x14ac:dyDescent="0.3">
      <c r="A1393" s="8"/>
      <c r="B1393" s="8"/>
      <c r="C1393" s="8"/>
      <c r="D1393" s="8"/>
      <c r="E1393" s="8"/>
      <c r="F1393" s="8"/>
      <c r="G1393" s="47" t="s">
        <v>41</v>
      </c>
      <c r="H1393" s="47"/>
      <c r="I1393" s="47"/>
      <c r="J1393" s="47"/>
      <c r="K1393" s="47"/>
      <c r="L1393" s="47"/>
      <c r="M1393" s="47"/>
      <c r="N1393" s="47"/>
      <c r="O1393" s="47"/>
      <c r="P1393" s="47"/>
      <c r="Q1393" s="47"/>
      <c r="R1393" s="47"/>
      <c r="S1393" s="47"/>
    </row>
    <row r="1394" spans="1:20" ht="54" customHeight="1" x14ac:dyDescent="0.25">
      <c r="A1394" s="48" t="s">
        <v>33</v>
      </c>
      <c r="B1394" s="48"/>
      <c r="C1394" s="48"/>
      <c r="D1394" s="48"/>
      <c r="E1394" s="48"/>
      <c r="F1394" s="42" t="s">
        <v>24</v>
      </c>
      <c r="G1394" s="42"/>
      <c r="H1394" s="42"/>
      <c r="I1394" s="42"/>
      <c r="J1394" s="42"/>
      <c r="K1394" s="42"/>
      <c r="L1394" s="42"/>
      <c r="M1394" s="42"/>
      <c r="N1394" s="42"/>
      <c r="O1394" s="42"/>
      <c r="P1394" s="42"/>
      <c r="Q1394" s="42"/>
      <c r="R1394" s="42"/>
      <c r="S1394" s="42"/>
    </row>
    <row r="1395" spans="1:20" ht="17.399999999999999" x14ac:dyDescent="0.25">
      <c r="A1395" s="49" t="s">
        <v>34</v>
      </c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49"/>
      <c r="N1395" s="49"/>
      <c r="O1395" s="49"/>
      <c r="P1395" s="49"/>
      <c r="Q1395" s="49"/>
    </row>
    <row r="1396" spans="1:20" ht="4.5" customHeight="1" x14ac:dyDescent="0.25">
      <c r="A1396" s="50"/>
      <c r="B1396" s="50"/>
      <c r="C1396" s="50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</row>
    <row r="1397" spans="1:20" ht="5.25" customHeight="1" x14ac:dyDescent="0.25">
      <c r="A1397" s="50"/>
      <c r="B1397" s="50"/>
      <c r="C1397" s="50"/>
      <c r="D1397" s="50"/>
      <c r="E1397" s="50"/>
      <c r="F1397" s="50"/>
      <c r="G1397" s="50"/>
      <c r="H1397" s="50"/>
      <c r="I1397" s="50"/>
      <c r="J1397" s="50"/>
      <c r="K1397" s="50"/>
      <c r="L1397" s="50"/>
      <c r="M1397" s="50"/>
      <c r="N1397" s="50"/>
      <c r="O1397" s="50"/>
      <c r="P1397" s="50"/>
      <c r="Q1397" s="50"/>
    </row>
    <row r="1398" spans="1:20" ht="16.5" customHeight="1" x14ac:dyDescent="0.25">
      <c r="A1398" s="54" t="s">
        <v>193</v>
      </c>
      <c r="B1398" s="54"/>
      <c r="C1398" s="54"/>
      <c r="D1398" s="54"/>
      <c r="E1398" s="54"/>
      <c r="F1398" s="54"/>
      <c r="G1398" s="58" t="s">
        <v>194</v>
      </c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</row>
    <row r="1399" spans="1:20" ht="16.5" customHeight="1" x14ac:dyDescent="0.25">
      <c r="A1399" s="54" t="s">
        <v>195</v>
      </c>
      <c r="B1399" s="54"/>
      <c r="C1399" s="54"/>
      <c r="D1399" s="54"/>
      <c r="E1399" s="54"/>
      <c r="F1399" s="54"/>
      <c r="G1399" s="8" t="s">
        <v>46</v>
      </c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T1399" s="2"/>
    </row>
    <row r="1400" spans="1:20" ht="16.5" customHeight="1" x14ac:dyDescent="0.25">
      <c r="A1400" s="54" t="s">
        <v>47</v>
      </c>
      <c r="B1400" s="54"/>
      <c r="C1400" s="54"/>
      <c r="D1400" s="54"/>
      <c r="E1400" s="54"/>
      <c r="F1400" s="54"/>
      <c r="G1400" s="58" t="s">
        <v>48</v>
      </c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</row>
    <row r="1401" spans="1:20" ht="5.25" customHeight="1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19"/>
      <c r="K1401" s="19"/>
      <c r="L1401" s="19"/>
      <c r="M1401" s="19"/>
      <c r="N1401" s="19"/>
      <c r="O1401" s="19"/>
      <c r="P1401" s="19"/>
      <c r="Q1401" s="19"/>
    </row>
    <row r="1402" spans="1:20" ht="15" customHeight="1" x14ac:dyDescent="0.25">
      <c r="A1402" s="36" t="s">
        <v>0</v>
      </c>
      <c r="B1402" s="29" t="s">
        <v>1</v>
      </c>
      <c r="C1402" s="30"/>
      <c r="D1402" s="30"/>
      <c r="E1402" s="30"/>
      <c r="F1402" s="30"/>
      <c r="G1402" s="31"/>
      <c r="H1402" s="36" t="s">
        <v>32</v>
      </c>
      <c r="I1402" s="36" t="s">
        <v>39</v>
      </c>
      <c r="J1402" s="55" t="s">
        <v>2</v>
      </c>
      <c r="K1402" s="56"/>
      <c r="L1402" s="56"/>
      <c r="M1402" s="56"/>
      <c r="N1402" s="56"/>
      <c r="O1402" s="56"/>
      <c r="P1402" s="56"/>
      <c r="Q1402" s="57"/>
      <c r="S1402" s="36" t="s">
        <v>38</v>
      </c>
    </row>
    <row r="1403" spans="1:20" ht="24" customHeight="1" x14ac:dyDescent="0.25">
      <c r="A1403" s="37"/>
      <c r="B1403" s="32"/>
      <c r="C1403" s="33"/>
      <c r="D1403" s="33"/>
      <c r="E1403" s="33"/>
      <c r="F1403" s="33"/>
      <c r="G1403" s="34"/>
      <c r="H1403" s="37"/>
      <c r="I1403" s="37"/>
      <c r="J1403" s="7" t="s">
        <v>28</v>
      </c>
      <c r="K1403" s="7" t="s">
        <v>29</v>
      </c>
      <c r="L1403" s="7" t="s">
        <v>30</v>
      </c>
      <c r="M1403" s="7"/>
      <c r="N1403" s="7"/>
      <c r="O1403" s="6" t="s">
        <v>35</v>
      </c>
      <c r="P1403" s="6" t="s">
        <v>36</v>
      </c>
      <c r="Q1403" s="6" t="s">
        <v>37</v>
      </c>
      <c r="S1403" s="37"/>
    </row>
    <row r="1404" spans="1:20" ht="20.25" customHeight="1" x14ac:dyDescent="0.25">
      <c r="A1404" s="27" t="s">
        <v>54</v>
      </c>
      <c r="B1404" s="28"/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</row>
    <row r="1405" spans="1:20" ht="16.5" customHeight="1" x14ac:dyDescent="0.25">
      <c r="A1405" s="9"/>
      <c r="B1405" s="51" t="s">
        <v>55</v>
      </c>
      <c r="C1405" s="52"/>
      <c r="D1405" s="52"/>
      <c r="E1405" s="52"/>
      <c r="F1405" s="52"/>
      <c r="G1405" s="53"/>
      <c r="H1405" s="20"/>
      <c r="I1405" s="9">
        <v>1</v>
      </c>
      <c r="J1405" s="9"/>
      <c r="K1405" s="9"/>
      <c r="L1405" s="9"/>
      <c r="M1405" s="9">
        <f t="shared" ref="M1405:M1413" si="198">I1405*O1405</f>
        <v>8.1</v>
      </c>
      <c r="N1405" s="9">
        <f t="shared" ref="N1405:N1413" si="199">I1405*P1405</f>
        <v>3.5</v>
      </c>
      <c r="O1405" s="9">
        <v>8.1</v>
      </c>
      <c r="P1405" s="9">
        <v>3.5</v>
      </c>
      <c r="Q1405" s="9" t="s">
        <v>9</v>
      </c>
      <c r="R1405" s="1">
        <v>0</v>
      </c>
      <c r="S1405" s="26"/>
    </row>
    <row r="1406" spans="1:20" ht="16.5" customHeight="1" x14ac:dyDescent="0.25">
      <c r="A1406" s="9"/>
      <c r="B1406" s="51" t="s">
        <v>56</v>
      </c>
      <c r="C1406" s="52"/>
      <c r="D1406" s="52"/>
      <c r="E1406" s="52"/>
      <c r="F1406" s="52"/>
      <c r="G1406" s="53"/>
      <c r="H1406" s="20"/>
      <c r="I1406" s="9">
        <v>3</v>
      </c>
      <c r="J1406" s="9"/>
      <c r="K1406" s="9"/>
      <c r="L1406" s="9"/>
      <c r="M1406" s="9">
        <f t="shared" si="198"/>
        <v>25.5</v>
      </c>
      <c r="N1406" s="9">
        <f t="shared" si="199"/>
        <v>11.100000000000001</v>
      </c>
      <c r="O1406" s="9">
        <v>8.5</v>
      </c>
      <c r="P1406" s="9">
        <v>3.7</v>
      </c>
      <c r="Q1406" s="9" t="s">
        <v>10</v>
      </c>
      <c r="R1406" s="1">
        <v>0</v>
      </c>
      <c r="S1406" s="26"/>
    </row>
    <row r="1407" spans="1:20" ht="31.2" customHeight="1" x14ac:dyDescent="0.25">
      <c r="A1407" s="9"/>
      <c r="B1407" s="51" t="s">
        <v>57</v>
      </c>
      <c r="C1407" s="52"/>
      <c r="D1407" s="52"/>
      <c r="E1407" s="52"/>
      <c r="F1407" s="52"/>
      <c r="G1407" s="53"/>
      <c r="H1407" s="20"/>
      <c r="I1407" s="9">
        <v>3</v>
      </c>
      <c r="J1407" s="9"/>
      <c r="K1407" s="9"/>
      <c r="L1407" s="9"/>
      <c r="M1407" s="9">
        <f t="shared" si="198"/>
        <v>22.799999999999997</v>
      </c>
      <c r="N1407" s="9">
        <f t="shared" si="199"/>
        <v>9</v>
      </c>
      <c r="O1407" s="9">
        <v>7.6</v>
      </c>
      <c r="P1407" s="9">
        <v>3</v>
      </c>
      <c r="Q1407" s="9" t="s">
        <v>6</v>
      </c>
      <c r="R1407" s="1">
        <v>0</v>
      </c>
      <c r="S1407" s="26"/>
    </row>
    <row r="1408" spans="1:20" ht="16.5" customHeight="1" x14ac:dyDescent="0.25">
      <c r="A1408" s="9"/>
      <c r="B1408" s="51" t="s">
        <v>58</v>
      </c>
      <c r="C1408" s="52"/>
      <c r="D1408" s="52"/>
      <c r="E1408" s="52"/>
      <c r="F1408" s="52"/>
      <c r="G1408" s="53"/>
      <c r="H1408" s="20"/>
      <c r="I1408" s="9">
        <v>1</v>
      </c>
      <c r="J1408" s="9"/>
      <c r="K1408" s="9"/>
      <c r="L1408" s="9"/>
      <c r="M1408" s="9">
        <f t="shared" si="198"/>
        <v>7.4</v>
      </c>
      <c r="N1408" s="9">
        <f t="shared" si="199"/>
        <v>3</v>
      </c>
      <c r="O1408" s="9">
        <v>7.4</v>
      </c>
      <c r="P1408" s="9">
        <v>3</v>
      </c>
      <c r="Q1408" s="9" t="s">
        <v>6</v>
      </c>
      <c r="R1408" s="1">
        <v>0</v>
      </c>
      <c r="S1408" s="26"/>
    </row>
    <row r="1409" spans="1:19" ht="16.5" customHeight="1" x14ac:dyDescent="0.25">
      <c r="A1409" s="9"/>
      <c r="B1409" s="51" t="s">
        <v>59</v>
      </c>
      <c r="C1409" s="52"/>
      <c r="D1409" s="52"/>
      <c r="E1409" s="52"/>
      <c r="F1409" s="52"/>
      <c r="G1409" s="53"/>
      <c r="H1409" s="20"/>
      <c r="I1409" s="9">
        <v>1</v>
      </c>
      <c r="J1409" s="9"/>
      <c r="K1409" s="9"/>
      <c r="L1409" s="9"/>
      <c r="M1409" s="9">
        <f t="shared" si="198"/>
        <v>5.9</v>
      </c>
      <c r="N1409" s="9">
        <f t="shared" si="199"/>
        <v>2</v>
      </c>
      <c r="O1409" s="9">
        <v>5.9</v>
      </c>
      <c r="P1409" s="9">
        <v>2</v>
      </c>
      <c r="Q1409" s="9" t="s">
        <v>3</v>
      </c>
      <c r="R1409" s="1">
        <v>0</v>
      </c>
      <c r="S1409" s="26"/>
    </row>
    <row r="1410" spans="1:19" ht="16.5" customHeight="1" x14ac:dyDescent="0.25">
      <c r="A1410" s="9"/>
      <c r="B1410" s="51" t="s">
        <v>60</v>
      </c>
      <c r="C1410" s="52"/>
      <c r="D1410" s="52"/>
      <c r="E1410" s="52"/>
      <c r="F1410" s="52"/>
      <c r="G1410" s="53"/>
      <c r="H1410" s="20"/>
      <c r="I1410" s="9">
        <v>3</v>
      </c>
      <c r="J1410" s="9"/>
      <c r="K1410" s="9"/>
      <c r="L1410" s="9"/>
      <c r="M1410" s="9">
        <f t="shared" si="198"/>
        <v>24</v>
      </c>
      <c r="N1410" s="9">
        <f t="shared" si="199"/>
        <v>10.5</v>
      </c>
      <c r="O1410" s="9">
        <v>8</v>
      </c>
      <c r="P1410" s="9">
        <v>3.5</v>
      </c>
      <c r="Q1410" s="9" t="s">
        <v>9</v>
      </c>
      <c r="R1410" s="1">
        <v>0</v>
      </c>
      <c r="S1410" s="26"/>
    </row>
    <row r="1411" spans="1:19" ht="16.5" customHeight="1" x14ac:dyDescent="0.25">
      <c r="A1411" s="9"/>
      <c r="B1411" s="51" t="s">
        <v>61</v>
      </c>
      <c r="C1411" s="52"/>
      <c r="D1411" s="52"/>
      <c r="E1411" s="52"/>
      <c r="F1411" s="52"/>
      <c r="G1411" s="53"/>
      <c r="H1411" s="20"/>
      <c r="I1411" s="9">
        <v>2</v>
      </c>
      <c r="J1411" s="9"/>
      <c r="K1411" s="9"/>
      <c r="L1411" s="9"/>
      <c r="M1411" s="9">
        <f t="shared" si="198"/>
        <v>12.4</v>
      </c>
      <c r="N1411" s="9">
        <f t="shared" si="199"/>
        <v>4</v>
      </c>
      <c r="O1411" s="9">
        <v>6.2</v>
      </c>
      <c r="P1411" s="9">
        <v>2</v>
      </c>
      <c r="Q1411" s="9" t="s">
        <v>3</v>
      </c>
      <c r="R1411" s="1">
        <v>0</v>
      </c>
      <c r="S1411" s="26"/>
    </row>
    <row r="1412" spans="1:19" ht="16.5" hidden="1" customHeight="1" x14ac:dyDescent="0.25">
      <c r="A1412" s="21"/>
      <c r="H1412" s="21"/>
      <c r="I1412" s="21"/>
      <c r="J1412" s="21"/>
      <c r="K1412" s="21"/>
      <c r="L1412" s="21"/>
      <c r="M1412" s="9">
        <f t="shared" si="198"/>
        <v>0</v>
      </c>
      <c r="N1412" s="9">
        <f t="shared" si="199"/>
        <v>0</v>
      </c>
      <c r="O1412" s="21"/>
      <c r="P1412" s="21"/>
      <c r="Q1412" s="21"/>
      <c r="S1412" s="25"/>
    </row>
    <row r="1413" spans="1:19" ht="16.5" customHeight="1" x14ac:dyDescent="0.25">
      <c r="A1413" s="9"/>
      <c r="B1413" s="39" t="s">
        <v>42</v>
      </c>
      <c r="C1413" s="40"/>
      <c r="D1413" s="40"/>
      <c r="E1413" s="40"/>
      <c r="F1413" s="40"/>
      <c r="G1413" s="41"/>
      <c r="H1413" s="23"/>
      <c r="I1413" s="24">
        <f>SUM(I1405:I1412)</f>
        <v>14</v>
      </c>
      <c r="J1413" s="9"/>
      <c r="K1413" s="9"/>
      <c r="L1413" s="9"/>
      <c r="M1413" s="9">
        <f t="shared" si="198"/>
        <v>106.12</v>
      </c>
      <c r="N1413" s="9">
        <f t="shared" si="199"/>
        <v>43.120000000000005</v>
      </c>
      <c r="O1413" s="24">
        <f>ROUND(SUM(M1405:M1412)/I1413,2)</f>
        <v>7.58</v>
      </c>
      <c r="P1413" s="24">
        <f>ROUND(SUM(N1405:N1412)/I1413,2)</f>
        <v>3.08</v>
      </c>
      <c r="Q1413" s="9"/>
      <c r="S1413" s="25"/>
    </row>
    <row r="1414" spans="1:19" ht="20.25" customHeight="1" x14ac:dyDescent="0.25">
      <c r="A1414" s="27" t="s">
        <v>62</v>
      </c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</row>
    <row r="1415" spans="1:19" ht="16.5" customHeight="1" x14ac:dyDescent="0.25">
      <c r="A1415" s="9"/>
      <c r="B1415" s="51" t="s">
        <v>63</v>
      </c>
      <c r="C1415" s="52"/>
      <c r="D1415" s="52"/>
      <c r="E1415" s="52"/>
      <c r="F1415" s="52"/>
      <c r="G1415" s="53"/>
      <c r="H1415" s="20"/>
      <c r="I1415" s="9">
        <v>4</v>
      </c>
      <c r="J1415" s="9"/>
      <c r="K1415" s="9"/>
      <c r="L1415" s="9"/>
      <c r="M1415" s="9">
        <f t="shared" ref="M1415:M1423" si="200">I1415*O1415</f>
        <v>31.6</v>
      </c>
      <c r="N1415" s="9">
        <f t="shared" ref="N1415:N1423" si="201">I1415*P1415</f>
        <v>12</v>
      </c>
      <c r="O1415" s="9">
        <v>7.9</v>
      </c>
      <c r="P1415" s="9">
        <v>3</v>
      </c>
      <c r="Q1415" s="9" t="s">
        <v>6</v>
      </c>
      <c r="R1415" s="1">
        <v>0</v>
      </c>
      <c r="S1415" s="26"/>
    </row>
    <row r="1416" spans="1:19" ht="16.5" customHeight="1" x14ac:dyDescent="0.25">
      <c r="A1416" s="9"/>
      <c r="B1416" s="51" t="s">
        <v>64</v>
      </c>
      <c r="C1416" s="52"/>
      <c r="D1416" s="52"/>
      <c r="E1416" s="52"/>
      <c r="F1416" s="52"/>
      <c r="G1416" s="53"/>
      <c r="H1416" s="20"/>
      <c r="I1416" s="9">
        <v>4</v>
      </c>
      <c r="J1416" s="9"/>
      <c r="K1416" s="9"/>
      <c r="L1416" s="9"/>
      <c r="M1416" s="9">
        <f t="shared" si="200"/>
        <v>8</v>
      </c>
      <c r="N1416" s="9">
        <f t="shared" si="201"/>
        <v>0</v>
      </c>
      <c r="O1416" s="9">
        <v>2</v>
      </c>
      <c r="P1416" s="9">
        <v>0</v>
      </c>
      <c r="Q1416" s="9" t="s">
        <v>7</v>
      </c>
      <c r="R1416" s="1">
        <v>0</v>
      </c>
      <c r="S1416" s="26"/>
    </row>
    <row r="1417" spans="1:19" ht="16.5" customHeight="1" x14ac:dyDescent="0.25">
      <c r="A1417" s="9"/>
      <c r="B1417" s="51" t="s">
        <v>65</v>
      </c>
      <c r="C1417" s="52"/>
      <c r="D1417" s="52"/>
      <c r="E1417" s="52"/>
      <c r="F1417" s="52"/>
      <c r="G1417" s="53"/>
      <c r="H1417" s="20"/>
      <c r="I1417" s="9">
        <v>4</v>
      </c>
      <c r="J1417" s="9"/>
      <c r="K1417" s="9"/>
      <c r="L1417" s="9"/>
      <c r="M1417" s="9">
        <f t="shared" si="200"/>
        <v>28.4</v>
      </c>
      <c r="N1417" s="9">
        <f t="shared" si="201"/>
        <v>12</v>
      </c>
      <c r="O1417" s="9">
        <v>7.1</v>
      </c>
      <c r="P1417" s="9">
        <v>3</v>
      </c>
      <c r="Q1417" s="9" t="s">
        <v>6</v>
      </c>
      <c r="R1417" s="1">
        <v>0</v>
      </c>
      <c r="S1417" s="26"/>
    </row>
    <row r="1418" spans="1:19" ht="16.5" customHeight="1" x14ac:dyDescent="0.25">
      <c r="A1418" s="9"/>
      <c r="B1418" s="51" t="s">
        <v>66</v>
      </c>
      <c r="C1418" s="52"/>
      <c r="D1418" s="52"/>
      <c r="E1418" s="52"/>
      <c r="F1418" s="52"/>
      <c r="G1418" s="53"/>
      <c r="H1418" s="20"/>
      <c r="I1418" s="9">
        <v>1</v>
      </c>
      <c r="J1418" s="9"/>
      <c r="K1418" s="9"/>
      <c r="L1418" s="9"/>
      <c r="M1418" s="9">
        <f t="shared" si="200"/>
        <v>7.5</v>
      </c>
      <c r="N1418" s="9">
        <f t="shared" si="201"/>
        <v>3</v>
      </c>
      <c r="O1418" s="9">
        <v>7.5</v>
      </c>
      <c r="P1418" s="9">
        <v>3</v>
      </c>
      <c r="Q1418" s="9" t="s">
        <v>6</v>
      </c>
      <c r="R1418" s="1">
        <v>0</v>
      </c>
      <c r="S1418" s="26"/>
    </row>
    <row r="1419" spans="1:19" ht="16.5" customHeight="1" x14ac:dyDescent="0.25">
      <c r="A1419" s="9"/>
      <c r="B1419" s="51" t="s">
        <v>67</v>
      </c>
      <c r="C1419" s="52"/>
      <c r="D1419" s="52"/>
      <c r="E1419" s="52"/>
      <c r="F1419" s="52"/>
      <c r="G1419" s="53"/>
      <c r="H1419" s="20"/>
      <c r="I1419" s="9">
        <v>1</v>
      </c>
      <c r="J1419" s="9"/>
      <c r="K1419" s="9"/>
      <c r="L1419" s="9"/>
      <c r="M1419" s="9">
        <f t="shared" si="200"/>
        <v>6.8</v>
      </c>
      <c r="N1419" s="9">
        <f t="shared" si="201"/>
        <v>2.5</v>
      </c>
      <c r="O1419" s="9">
        <v>6.8</v>
      </c>
      <c r="P1419" s="9">
        <v>2.5</v>
      </c>
      <c r="Q1419" s="9" t="s">
        <v>5</v>
      </c>
      <c r="R1419" s="1">
        <v>0</v>
      </c>
      <c r="S1419" s="26"/>
    </row>
    <row r="1420" spans="1:19" ht="16.5" customHeight="1" x14ac:dyDescent="0.25">
      <c r="A1420" s="9"/>
      <c r="B1420" s="51" t="s">
        <v>68</v>
      </c>
      <c r="C1420" s="52"/>
      <c r="D1420" s="52"/>
      <c r="E1420" s="52"/>
      <c r="F1420" s="52"/>
      <c r="G1420" s="53"/>
      <c r="H1420" s="20"/>
      <c r="I1420" s="9">
        <v>1</v>
      </c>
      <c r="J1420" s="9"/>
      <c r="K1420" s="9"/>
      <c r="L1420" s="9"/>
      <c r="M1420" s="9">
        <f t="shared" si="200"/>
        <v>7.2</v>
      </c>
      <c r="N1420" s="9">
        <f t="shared" si="201"/>
        <v>3</v>
      </c>
      <c r="O1420" s="9">
        <v>7.2</v>
      </c>
      <c r="P1420" s="9">
        <v>3</v>
      </c>
      <c r="Q1420" s="9" t="s">
        <v>6</v>
      </c>
      <c r="R1420" s="1">
        <v>0</v>
      </c>
      <c r="S1420" s="26"/>
    </row>
    <row r="1421" spans="1:19" ht="16.5" customHeight="1" x14ac:dyDescent="0.25">
      <c r="A1421" s="9"/>
      <c r="B1421" s="51" t="s">
        <v>69</v>
      </c>
      <c r="C1421" s="52"/>
      <c r="D1421" s="52"/>
      <c r="E1421" s="52"/>
      <c r="F1421" s="52"/>
      <c r="G1421" s="53"/>
      <c r="H1421" s="20"/>
      <c r="I1421" s="9">
        <v>1</v>
      </c>
      <c r="J1421" s="9"/>
      <c r="K1421" s="9"/>
      <c r="L1421" s="9"/>
      <c r="M1421" s="9">
        <f t="shared" si="200"/>
        <v>7.3</v>
      </c>
      <c r="N1421" s="9">
        <f t="shared" si="201"/>
        <v>3</v>
      </c>
      <c r="O1421" s="9">
        <v>7.3</v>
      </c>
      <c r="P1421" s="9">
        <v>3</v>
      </c>
      <c r="Q1421" s="9" t="s">
        <v>6</v>
      </c>
      <c r="R1421" s="1">
        <v>0</v>
      </c>
      <c r="S1421" s="26"/>
    </row>
    <row r="1422" spans="1:19" ht="16.5" hidden="1" customHeight="1" x14ac:dyDescent="0.25">
      <c r="A1422" s="21"/>
      <c r="H1422" s="21"/>
      <c r="I1422" s="21"/>
      <c r="J1422" s="21"/>
      <c r="K1422" s="21"/>
      <c r="L1422" s="21"/>
      <c r="M1422" s="9">
        <f t="shared" si="200"/>
        <v>0</v>
      </c>
      <c r="N1422" s="9">
        <f t="shared" si="201"/>
        <v>0</v>
      </c>
      <c r="O1422" s="21"/>
      <c r="P1422" s="21"/>
      <c r="Q1422" s="21"/>
      <c r="S1422" s="25"/>
    </row>
    <row r="1423" spans="1:19" ht="16.5" customHeight="1" x14ac:dyDescent="0.25">
      <c r="A1423" s="9"/>
      <c r="B1423" s="39" t="s">
        <v>42</v>
      </c>
      <c r="C1423" s="40"/>
      <c r="D1423" s="40"/>
      <c r="E1423" s="40"/>
      <c r="F1423" s="40"/>
      <c r="G1423" s="41"/>
      <c r="H1423" s="23"/>
      <c r="I1423" s="24">
        <f>SUM(I1415:I1422)</f>
        <v>16</v>
      </c>
      <c r="J1423" s="9"/>
      <c r="K1423" s="9"/>
      <c r="L1423" s="9"/>
      <c r="M1423" s="9">
        <f t="shared" si="200"/>
        <v>96.8</v>
      </c>
      <c r="N1423" s="9">
        <f t="shared" si="201"/>
        <v>35.520000000000003</v>
      </c>
      <c r="O1423" s="24">
        <f>ROUND(SUM(M1415:M1422)/I1423,2)</f>
        <v>6.05</v>
      </c>
      <c r="P1423" s="24">
        <f>ROUND(SUM(N1415:N1422)/I1423,2)</f>
        <v>2.2200000000000002</v>
      </c>
      <c r="Q1423" s="9"/>
      <c r="S1423" s="25"/>
    </row>
    <row r="1424" spans="1:19" ht="20.25" customHeight="1" x14ac:dyDescent="0.25">
      <c r="A1424" s="27" t="s">
        <v>141</v>
      </c>
      <c r="B1424" s="28"/>
      <c r="C1424" s="28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</row>
    <row r="1425" spans="1:19" ht="16.5" customHeight="1" x14ac:dyDescent="0.25">
      <c r="A1425" s="9"/>
      <c r="B1425" s="51" t="s">
        <v>64</v>
      </c>
      <c r="C1425" s="52"/>
      <c r="D1425" s="52"/>
      <c r="E1425" s="52"/>
      <c r="F1425" s="52"/>
      <c r="G1425" s="53"/>
      <c r="H1425" s="20"/>
      <c r="I1425" s="9">
        <v>4</v>
      </c>
      <c r="J1425" s="9"/>
      <c r="K1425" s="9"/>
      <c r="L1425" s="9"/>
      <c r="M1425" s="9">
        <f>I1425*O1425</f>
        <v>26</v>
      </c>
      <c r="N1425" s="9">
        <f>I1425*P1425</f>
        <v>10</v>
      </c>
      <c r="O1425" s="9">
        <v>6.5</v>
      </c>
      <c r="P1425" s="9">
        <v>2.5</v>
      </c>
      <c r="Q1425" s="9" t="s">
        <v>5</v>
      </c>
      <c r="R1425" s="1">
        <v>6</v>
      </c>
      <c r="S1425" s="26" t="s">
        <v>134</v>
      </c>
    </row>
    <row r="1426" spans="1:19" ht="16.5" hidden="1" customHeight="1" x14ac:dyDescent="0.25">
      <c r="A1426" s="21"/>
      <c r="H1426" s="21"/>
      <c r="I1426" s="21"/>
      <c r="J1426" s="21"/>
      <c r="K1426" s="21"/>
      <c r="L1426" s="21"/>
      <c r="M1426" s="9">
        <f>I1426*O1426</f>
        <v>0</v>
      </c>
      <c r="N1426" s="9">
        <f>I1426*P1426</f>
        <v>0</v>
      </c>
      <c r="O1426" s="21"/>
      <c r="P1426" s="21"/>
      <c r="Q1426" s="21"/>
      <c r="S1426" s="25"/>
    </row>
    <row r="1427" spans="1:19" ht="16.5" customHeight="1" x14ac:dyDescent="0.25">
      <c r="A1427" s="9"/>
      <c r="B1427" s="39" t="s">
        <v>42</v>
      </c>
      <c r="C1427" s="40"/>
      <c r="D1427" s="40"/>
      <c r="E1427" s="40"/>
      <c r="F1427" s="40"/>
      <c r="G1427" s="41"/>
      <c r="H1427" s="23"/>
      <c r="I1427" s="24">
        <f>SUM(I1425:I1426)</f>
        <v>4</v>
      </c>
      <c r="J1427" s="9"/>
      <c r="K1427" s="9"/>
      <c r="L1427" s="9"/>
      <c r="M1427" s="9">
        <f>I1427*O1427</f>
        <v>26</v>
      </c>
      <c r="N1427" s="9">
        <f>I1427*P1427</f>
        <v>10</v>
      </c>
      <c r="O1427" s="24">
        <f>ROUND(SUM(M1425:M1426)/I1427,2)</f>
        <v>6.5</v>
      </c>
      <c r="P1427" s="24">
        <f>ROUND(SUM(N1425:N1426)/I1427,2)</f>
        <v>2.5</v>
      </c>
      <c r="Q1427" s="9"/>
      <c r="S1427" s="25"/>
    </row>
    <row r="1428" spans="1:19" ht="20.25" customHeight="1" x14ac:dyDescent="0.25">
      <c r="A1428" s="27" t="s">
        <v>70</v>
      </c>
      <c r="B1428" s="28"/>
      <c r="C1428" s="28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</row>
    <row r="1429" spans="1:19" ht="16.5" customHeight="1" x14ac:dyDescent="0.25">
      <c r="A1429" s="9"/>
      <c r="B1429" s="51" t="s">
        <v>72</v>
      </c>
      <c r="C1429" s="52"/>
      <c r="D1429" s="52"/>
      <c r="E1429" s="52"/>
      <c r="F1429" s="52"/>
      <c r="G1429" s="53"/>
      <c r="H1429" s="20"/>
      <c r="I1429" s="9">
        <v>4</v>
      </c>
      <c r="J1429" s="9"/>
      <c r="K1429" s="9"/>
      <c r="L1429" s="9"/>
      <c r="M1429" s="9">
        <f t="shared" ref="M1429:M1438" si="202">I1429*O1429</f>
        <v>28.4</v>
      </c>
      <c r="N1429" s="9">
        <f t="shared" ref="N1429:N1438" si="203">I1429*P1429</f>
        <v>12</v>
      </c>
      <c r="O1429" s="9">
        <v>7.1</v>
      </c>
      <c r="P1429" s="9">
        <v>3</v>
      </c>
      <c r="Q1429" s="9" t="s">
        <v>6</v>
      </c>
      <c r="R1429" s="1">
        <v>0</v>
      </c>
      <c r="S1429" s="26"/>
    </row>
    <row r="1430" spans="1:19" ht="16.5" customHeight="1" x14ac:dyDescent="0.25">
      <c r="A1430" s="9"/>
      <c r="B1430" s="51" t="s">
        <v>73</v>
      </c>
      <c r="C1430" s="52"/>
      <c r="D1430" s="52"/>
      <c r="E1430" s="52"/>
      <c r="F1430" s="52"/>
      <c r="G1430" s="53"/>
      <c r="H1430" s="20"/>
      <c r="I1430" s="9">
        <v>1</v>
      </c>
      <c r="J1430" s="9"/>
      <c r="K1430" s="9"/>
      <c r="L1430" s="9"/>
      <c r="M1430" s="9">
        <f t="shared" si="202"/>
        <v>7.1</v>
      </c>
      <c r="N1430" s="9">
        <f t="shared" si="203"/>
        <v>3</v>
      </c>
      <c r="O1430" s="9">
        <v>7.1</v>
      </c>
      <c r="P1430" s="9">
        <v>3</v>
      </c>
      <c r="Q1430" s="9" t="s">
        <v>6</v>
      </c>
      <c r="R1430" s="1">
        <v>0</v>
      </c>
      <c r="S1430" s="26"/>
    </row>
    <row r="1431" spans="1:19" ht="16.5" customHeight="1" x14ac:dyDescent="0.25">
      <c r="A1431" s="9"/>
      <c r="B1431" s="51" t="s">
        <v>74</v>
      </c>
      <c r="C1431" s="52"/>
      <c r="D1431" s="52"/>
      <c r="E1431" s="52"/>
      <c r="F1431" s="52"/>
      <c r="G1431" s="53"/>
      <c r="H1431" s="20"/>
      <c r="I1431" s="9">
        <v>2</v>
      </c>
      <c r="J1431" s="9"/>
      <c r="K1431" s="9"/>
      <c r="L1431" s="9"/>
      <c r="M1431" s="9">
        <f t="shared" si="202"/>
        <v>15.8</v>
      </c>
      <c r="N1431" s="9">
        <f t="shared" si="203"/>
        <v>6</v>
      </c>
      <c r="O1431" s="9">
        <v>7.9</v>
      </c>
      <c r="P1431" s="9">
        <v>3</v>
      </c>
      <c r="Q1431" s="9" t="s">
        <v>6</v>
      </c>
      <c r="R1431" s="1">
        <v>0</v>
      </c>
      <c r="S1431" s="26"/>
    </row>
    <row r="1432" spans="1:19" ht="16.5" customHeight="1" x14ac:dyDescent="0.25">
      <c r="A1432" s="9"/>
      <c r="B1432" s="51" t="s">
        <v>71</v>
      </c>
      <c r="C1432" s="52"/>
      <c r="D1432" s="52"/>
      <c r="E1432" s="52"/>
      <c r="F1432" s="52"/>
      <c r="G1432" s="53"/>
      <c r="H1432" s="20"/>
      <c r="I1432" s="9">
        <v>4</v>
      </c>
      <c r="J1432" s="9"/>
      <c r="K1432" s="9"/>
      <c r="L1432" s="9"/>
      <c r="M1432" s="9">
        <f t="shared" si="202"/>
        <v>31.6</v>
      </c>
      <c r="N1432" s="9">
        <f t="shared" si="203"/>
        <v>12</v>
      </c>
      <c r="O1432" s="9">
        <v>7.9</v>
      </c>
      <c r="P1432" s="9">
        <v>3</v>
      </c>
      <c r="Q1432" s="9" t="s">
        <v>6</v>
      </c>
      <c r="R1432" s="1">
        <v>0</v>
      </c>
      <c r="S1432" s="26"/>
    </row>
    <row r="1433" spans="1:19" ht="16.5" customHeight="1" x14ac:dyDescent="0.25">
      <c r="A1433" s="9"/>
      <c r="B1433" s="51" t="s">
        <v>76</v>
      </c>
      <c r="C1433" s="52"/>
      <c r="D1433" s="52"/>
      <c r="E1433" s="52"/>
      <c r="F1433" s="52"/>
      <c r="G1433" s="53"/>
      <c r="H1433" s="20"/>
      <c r="I1433" s="9">
        <v>4</v>
      </c>
      <c r="J1433" s="9"/>
      <c r="K1433" s="9"/>
      <c r="L1433" s="9"/>
      <c r="M1433" s="9">
        <f t="shared" si="202"/>
        <v>25.2</v>
      </c>
      <c r="N1433" s="9">
        <f t="shared" si="203"/>
        <v>8</v>
      </c>
      <c r="O1433" s="9">
        <v>6.3</v>
      </c>
      <c r="P1433" s="9">
        <v>2</v>
      </c>
      <c r="Q1433" s="9" t="s">
        <v>3</v>
      </c>
      <c r="R1433" s="1">
        <v>0</v>
      </c>
      <c r="S1433" s="26"/>
    </row>
    <row r="1434" spans="1:19" ht="16.5" customHeight="1" x14ac:dyDescent="0.25">
      <c r="A1434" s="9"/>
      <c r="B1434" s="51" t="s">
        <v>75</v>
      </c>
      <c r="C1434" s="52"/>
      <c r="D1434" s="52"/>
      <c r="E1434" s="52"/>
      <c r="F1434" s="52"/>
      <c r="G1434" s="53"/>
      <c r="H1434" s="20"/>
      <c r="I1434" s="9">
        <v>1</v>
      </c>
      <c r="J1434" s="9"/>
      <c r="K1434" s="9"/>
      <c r="L1434" s="9"/>
      <c r="M1434" s="9">
        <f t="shared" si="202"/>
        <v>5.5</v>
      </c>
      <c r="N1434" s="9">
        <f t="shared" si="203"/>
        <v>2</v>
      </c>
      <c r="O1434" s="9">
        <v>5.5</v>
      </c>
      <c r="P1434" s="9">
        <v>2</v>
      </c>
      <c r="Q1434" s="9" t="s">
        <v>3</v>
      </c>
      <c r="R1434" s="1">
        <v>0</v>
      </c>
      <c r="S1434" s="26"/>
    </row>
    <row r="1435" spans="1:19" ht="16.5" customHeight="1" x14ac:dyDescent="0.25">
      <c r="A1435" s="9"/>
      <c r="B1435" s="51" t="s">
        <v>77</v>
      </c>
      <c r="C1435" s="52"/>
      <c r="D1435" s="52"/>
      <c r="E1435" s="52"/>
      <c r="F1435" s="52"/>
      <c r="G1435" s="53"/>
      <c r="H1435" s="20"/>
      <c r="I1435" s="9">
        <v>3</v>
      </c>
      <c r="J1435" s="9"/>
      <c r="K1435" s="9"/>
      <c r="L1435" s="9"/>
      <c r="M1435" s="9">
        <f t="shared" si="202"/>
        <v>15.600000000000001</v>
      </c>
      <c r="N1435" s="9">
        <f t="shared" si="203"/>
        <v>4.5</v>
      </c>
      <c r="O1435" s="9">
        <v>5.2</v>
      </c>
      <c r="P1435" s="9">
        <v>1.5</v>
      </c>
      <c r="Q1435" s="9" t="s">
        <v>4</v>
      </c>
      <c r="R1435" s="1">
        <v>0</v>
      </c>
      <c r="S1435" s="26"/>
    </row>
    <row r="1436" spans="1:19" ht="16.5" customHeight="1" x14ac:dyDescent="0.25">
      <c r="A1436" s="9"/>
      <c r="B1436" s="51" t="s">
        <v>78</v>
      </c>
      <c r="C1436" s="52"/>
      <c r="D1436" s="52"/>
      <c r="E1436" s="52"/>
      <c r="F1436" s="52"/>
      <c r="G1436" s="53"/>
      <c r="H1436" s="20"/>
      <c r="I1436" s="9">
        <v>4</v>
      </c>
      <c r="J1436" s="9"/>
      <c r="K1436" s="9"/>
      <c r="L1436" s="9"/>
      <c r="M1436" s="9">
        <f t="shared" si="202"/>
        <v>12</v>
      </c>
      <c r="N1436" s="9">
        <f t="shared" si="203"/>
        <v>0</v>
      </c>
      <c r="O1436" s="9">
        <v>3</v>
      </c>
      <c r="P1436" s="9">
        <v>0</v>
      </c>
      <c r="Q1436" s="9" t="s">
        <v>7</v>
      </c>
      <c r="R1436" s="1">
        <v>0</v>
      </c>
      <c r="S1436" s="26"/>
    </row>
    <row r="1437" spans="1:19" ht="16.5" hidden="1" customHeight="1" x14ac:dyDescent="0.25">
      <c r="A1437" s="21"/>
      <c r="H1437" s="21"/>
      <c r="I1437" s="21"/>
      <c r="J1437" s="21"/>
      <c r="K1437" s="21"/>
      <c r="L1437" s="21"/>
      <c r="M1437" s="9">
        <f t="shared" si="202"/>
        <v>0</v>
      </c>
      <c r="N1437" s="9">
        <f t="shared" si="203"/>
        <v>0</v>
      </c>
      <c r="O1437" s="21"/>
      <c r="P1437" s="21"/>
      <c r="Q1437" s="21"/>
      <c r="S1437" s="25"/>
    </row>
    <row r="1438" spans="1:19" ht="16.5" customHeight="1" x14ac:dyDescent="0.25">
      <c r="A1438" s="9"/>
      <c r="B1438" s="39" t="s">
        <v>42</v>
      </c>
      <c r="C1438" s="40"/>
      <c r="D1438" s="40"/>
      <c r="E1438" s="40"/>
      <c r="F1438" s="40"/>
      <c r="G1438" s="41"/>
      <c r="H1438" s="23"/>
      <c r="I1438" s="24">
        <f>SUM(I1429:I1437)</f>
        <v>23</v>
      </c>
      <c r="J1438" s="9"/>
      <c r="K1438" s="9"/>
      <c r="L1438" s="9"/>
      <c r="M1438" s="9">
        <f t="shared" si="202"/>
        <v>141.22</v>
      </c>
      <c r="N1438" s="9">
        <f t="shared" si="203"/>
        <v>47.61</v>
      </c>
      <c r="O1438" s="24">
        <f>ROUND(SUM(M1429:M1437)/I1438,2)</f>
        <v>6.14</v>
      </c>
      <c r="P1438" s="24">
        <f>ROUND(SUM(N1429:N1437)/I1438,2)</f>
        <v>2.0699999999999998</v>
      </c>
      <c r="Q1438" s="9"/>
      <c r="S1438" s="25"/>
    </row>
    <row r="1439" spans="1:19" ht="20.25" customHeight="1" x14ac:dyDescent="0.25">
      <c r="A1439" s="27" t="s">
        <v>162</v>
      </c>
      <c r="B1439" s="28"/>
      <c r="C1439" s="28"/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</row>
    <row r="1440" spans="1:19" ht="16.5" customHeight="1" x14ac:dyDescent="0.25">
      <c r="A1440" s="9"/>
      <c r="B1440" s="51" t="s">
        <v>78</v>
      </c>
      <c r="C1440" s="52"/>
      <c r="D1440" s="52"/>
      <c r="E1440" s="52"/>
      <c r="F1440" s="52"/>
      <c r="G1440" s="53"/>
      <c r="H1440" s="20"/>
      <c r="I1440" s="9">
        <v>4</v>
      </c>
      <c r="J1440" s="9"/>
      <c r="K1440" s="9"/>
      <c r="L1440" s="9"/>
      <c r="M1440" s="9">
        <f>I1440*O1440</f>
        <v>27.6</v>
      </c>
      <c r="N1440" s="9">
        <f>I1440*P1440</f>
        <v>10</v>
      </c>
      <c r="O1440" s="9">
        <v>6.9</v>
      </c>
      <c r="P1440" s="9">
        <v>2.5</v>
      </c>
      <c r="Q1440" s="9" t="s">
        <v>5</v>
      </c>
      <c r="R1440" s="1">
        <v>6</v>
      </c>
      <c r="S1440" s="26" t="s">
        <v>134</v>
      </c>
    </row>
    <row r="1441" spans="1:19" ht="16.5" hidden="1" customHeight="1" x14ac:dyDescent="0.25">
      <c r="A1441" s="21"/>
      <c r="H1441" s="21"/>
      <c r="I1441" s="21"/>
      <c r="J1441" s="21"/>
      <c r="K1441" s="21"/>
      <c r="L1441" s="21"/>
      <c r="M1441" s="9">
        <f>I1441*O1441</f>
        <v>0</v>
      </c>
      <c r="N1441" s="9">
        <f>I1441*P1441</f>
        <v>0</v>
      </c>
      <c r="O1441" s="21"/>
      <c r="P1441" s="21"/>
      <c r="Q1441" s="21"/>
      <c r="S1441" s="25"/>
    </row>
    <row r="1442" spans="1:19" ht="15" customHeight="1" x14ac:dyDescent="0.25">
      <c r="A1442" s="36" t="s">
        <v>0</v>
      </c>
      <c r="B1442" s="29" t="s">
        <v>1</v>
      </c>
      <c r="C1442" s="30"/>
      <c r="D1442" s="30"/>
      <c r="E1442" s="30"/>
      <c r="F1442" s="30"/>
      <c r="G1442" s="31"/>
      <c r="H1442" s="36" t="s">
        <v>32</v>
      </c>
      <c r="I1442" s="36" t="s">
        <v>39</v>
      </c>
      <c r="J1442" s="55" t="s">
        <v>2</v>
      </c>
      <c r="K1442" s="56"/>
      <c r="L1442" s="56"/>
      <c r="M1442" s="56"/>
      <c r="N1442" s="56"/>
      <c r="O1442" s="56"/>
      <c r="P1442" s="56"/>
      <c r="Q1442" s="57"/>
      <c r="S1442" s="36" t="s">
        <v>38</v>
      </c>
    </row>
    <row r="1443" spans="1:19" ht="24" customHeight="1" x14ac:dyDescent="0.25">
      <c r="A1443" s="37"/>
      <c r="B1443" s="32"/>
      <c r="C1443" s="33"/>
      <c r="D1443" s="33"/>
      <c r="E1443" s="33"/>
      <c r="F1443" s="33"/>
      <c r="G1443" s="34"/>
      <c r="H1443" s="37"/>
      <c r="I1443" s="37"/>
      <c r="J1443" s="7" t="s">
        <v>28</v>
      </c>
      <c r="K1443" s="7" t="s">
        <v>29</v>
      </c>
      <c r="L1443" s="7" t="s">
        <v>30</v>
      </c>
      <c r="M1443" s="7"/>
      <c r="N1443" s="7"/>
      <c r="O1443" s="6" t="s">
        <v>35</v>
      </c>
      <c r="P1443" s="6" t="s">
        <v>36</v>
      </c>
      <c r="Q1443" s="6" t="s">
        <v>37</v>
      </c>
      <c r="S1443" s="37"/>
    </row>
    <row r="1444" spans="1:19" ht="16.5" customHeight="1" x14ac:dyDescent="0.25">
      <c r="A1444" s="9"/>
      <c r="B1444" s="39" t="s">
        <v>42</v>
      </c>
      <c r="C1444" s="40"/>
      <c r="D1444" s="40"/>
      <c r="E1444" s="40"/>
      <c r="F1444" s="40"/>
      <c r="G1444" s="41"/>
      <c r="H1444" s="23"/>
      <c r="I1444" s="24">
        <f>SUM(I1440:I1441)</f>
        <v>4</v>
      </c>
      <c r="J1444" s="9"/>
      <c r="K1444" s="9"/>
      <c r="L1444" s="9"/>
      <c r="M1444" s="9">
        <f>I1444*O1444</f>
        <v>27.6</v>
      </c>
      <c r="N1444" s="9">
        <f>I1444*P1444</f>
        <v>10</v>
      </c>
      <c r="O1444" s="24">
        <f>ROUND(SUM(M1440:M1441)/I1444,2)</f>
        <v>6.9</v>
      </c>
      <c r="P1444" s="24">
        <f>ROUND(SUM(N1440:N1441)/I1444,2)</f>
        <v>2.5</v>
      </c>
      <c r="Q1444" s="9"/>
      <c r="S1444" s="25"/>
    </row>
    <row r="1445" spans="1:19" ht="20.25" customHeight="1" x14ac:dyDescent="0.25">
      <c r="A1445" s="27" t="s">
        <v>79</v>
      </c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</row>
    <row r="1446" spans="1:19" ht="16.5" customHeight="1" x14ac:dyDescent="0.25">
      <c r="A1446" s="9"/>
      <c r="B1446" s="51" t="s">
        <v>80</v>
      </c>
      <c r="C1446" s="52"/>
      <c r="D1446" s="52"/>
      <c r="E1446" s="52"/>
      <c r="F1446" s="52"/>
      <c r="G1446" s="53"/>
      <c r="H1446" s="20"/>
      <c r="I1446" s="9">
        <v>3</v>
      </c>
      <c r="J1446" s="9"/>
      <c r="K1446" s="9"/>
      <c r="L1446" s="9"/>
      <c r="M1446" s="9">
        <f t="shared" ref="M1446:M1458" si="204">I1446*O1446</f>
        <v>7.5</v>
      </c>
      <c r="N1446" s="9">
        <f t="shared" ref="N1446:N1458" si="205">I1446*P1446</f>
        <v>0</v>
      </c>
      <c r="O1446" s="9">
        <v>2.5</v>
      </c>
      <c r="P1446" s="9">
        <v>0</v>
      </c>
      <c r="Q1446" s="9" t="s">
        <v>7</v>
      </c>
      <c r="R1446" s="1">
        <v>0</v>
      </c>
      <c r="S1446" s="26"/>
    </row>
    <row r="1447" spans="1:19" ht="16.5" customHeight="1" x14ac:dyDescent="0.25">
      <c r="A1447" s="9"/>
      <c r="B1447" s="51" t="s">
        <v>81</v>
      </c>
      <c r="C1447" s="52"/>
      <c r="D1447" s="52"/>
      <c r="E1447" s="52"/>
      <c r="F1447" s="52"/>
      <c r="G1447" s="53"/>
      <c r="H1447" s="20"/>
      <c r="I1447" s="9">
        <v>1</v>
      </c>
      <c r="J1447" s="9"/>
      <c r="K1447" s="9"/>
      <c r="L1447" s="9"/>
      <c r="M1447" s="9">
        <f t="shared" si="204"/>
        <v>7.8</v>
      </c>
      <c r="N1447" s="9">
        <f t="shared" si="205"/>
        <v>3</v>
      </c>
      <c r="O1447" s="9">
        <v>7.8</v>
      </c>
      <c r="P1447" s="9">
        <v>3</v>
      </c>
      <c r="Q1447" s="9" t="s">
        <v>6</v>
      </c>
      <c r="R1447" s="1">
        <v>0</v>
      </c>
      <c r="S1447" s="26"/>
    </row>
    <row r="1448" spans="1:19" ht="16.5" customHeight="1" x14ac:dyDescent="0.25">
      <c r="A1448" s="9"/>
      <c r="B1448" s="51" t="s">
        <v>82</v>
      </c>
      <c r="C1448" s="52"/>
      <c r="D1448" s="52"/>
      <c r="E1448" s="52"/>
      <c r="F1448" s="52"/>
      <c r="G1448" s="53"/>
      <c r="H1448" s="20"/>
      <c r="I1448" s="9">
        <v>3</v>
      </c>
      <c r="J1448" s="9"/>
      <c r="K1448" s="9"/>
      <c r="L1448" s="9"/>
      <c r="M1448" s="9">
        <f t="shared" si="204"/>
        <v>19.799999999999997</v>
      </c>
      <c r="N1448" s="9">
        <f t="shared" si="205"/>
        <v>7.5</v>
      </c>
      <c r="O1448" s="9">
        <v>6.6</v>
      </c>
      <c r="P1448" s="9">
        <v>2.5</v>
      </c>
      <c r="Q1448" s="9" t="s">
        <v>5</v>
      </c>
      <c r="R1448" s="1">
        <v>0</v>
      </c>
      <c r="S1448" s="26"/>
    </row>
    <row r="1449" spans="1:19" ht="16.5" customHeight="1" x14ac:dyDescent="0.25">
      <c r="A1449" s="9"/>
      <c r="B1449" s="51" t="s">
        <v>83</v>
      </c>
      <c r="C1449" s="52"/>
      <c r="D1449" s="52"/>
      <c r="E1449" s="52"/>
      <c r="F1449" s="52"/>
      <c r="G1449" s="53"/>
      <c r="H1449" s="20"/>
      <c r="I1449" s="9">
        <v>2</v>
      </c>
      <c r="J1449" s="9"/>
      <c r="K1449" s="9"/>
      <c r="L1449" s="9"/>
      <c r="M1449" s="9">
        <f t="shared" si="204"/>
        <v>13.4</v>
      </c>
      <c r="N1449" s="9">
        <f t="shared" si="205"/>
        <v>5</v>
      </c>
      <c r="O1449" s="9">
        <v>6.7</v>
      </c>
      <c r="P1449" s="9">
        <v>2.5</v>
      </c>
      <c r="Q1449" s="9" t="s">
        <v>5</v>
      </c>
      <c r="R1449" s="1">
        <v>0</v>
      </c>
      <c r="S1449" s="26"/>
    </row>
    <row r="1450" spans="1:19" ht="16.5" customHeight="1" x14ac:dyDescent="0.25">
      <c r="A1450" s="9"/>
      <c r="B1450" s="51" t="s">
        <v>84</v>
      </c>
      <c r="C1450" s="52"/>
      <c r="D1450" s="52"/>
      <c r="E1450" s="52"/>
      <c r="F1450" s="52"/>
      <c r="G1450" s="53"/>
      <c r="H1450" s="20"/>
      <c r="I1450" s="9">
        <v>2</v>
      </c>
      <c r="J1450" s="9"/>
      <c r="K1450" s="9"/>
      <c r="L1450" s="9"/>
      <c r="M1450" s="9">
        <f t="shared" si="204"/>
        <v>14.2</v>
      </c>
      <c r="N1450" s="9">
        <f t="shared" si="205"/>
        <v>6</v>
      </c>
      <c r="O1450" s="9">
        <v>7.1</v>
      </c>
      <c r="P1450" s="9">
        <v>3</v>
      </c>
      <c r="Q1450" s="9" t="s">
        <v>6</v>
      </c>
      <c r="R1450" s="1">
        <v>0</v>
      </c>
      <c r="S1450" s="26"/>
    </row>
    <row r="1451" spans="1:19" ht="16.5" customHeight="1" x14ac:dyDescent="0.25">
      <c r="A1451" s="9"/>
      <c r="B1451" s="51" t="s">
        <v>85</v>
      </c>
      <c r="C1451" s="52"/>
      <c r="D1451" s="52"/>
      <c r="E1451" s="52"/>
      <c r="F1451" s="52"/>
      <c r="G1451" s="53"/>
      <c r="H1451" s="20"/>
      <c r="I1451" s="9">
        <v>1</v>
      </c>
      <c r="J1451" s="9"/>
      <c r="K1451" s="9"/>
      <c r="L1451" s="9"/>
      <c r="M1451" s="9">
        <f t="shared" si="204"/>
        <v>7.5</v>
      </c>
      <c r="N1451" s="9">
        <f t="shared" si="205"/>
        <v>3</v>
      </c>
      <c r="O1451" s="9">
        <v>7.5</v>
      </c>
      <c r="P1451" s="9">
        <v>3</v>
      </c>
      <c r="Q1451" s="9" t="s">
        <v>6</v>
      </c>
      <c r="R1451" s="1">
        <v>0</v>
      </c>
      <c r="S1451" s="26"/>
    </row>
    <row r="1452" spans="1:19" ht="16.5" customHeight="1" x14ac:dyDescent="0.25">
      <c r="A1452" s="9"/>
      <c r="B1452" s="51" t="s">
        <v>88</v>
      </c>
      <c r="C1452" s="52"/>
      <c r="D1452" s="52"/>
      <c r="E1452" s="52"/>
      <c r="F1452" s="52"/>
      <c r="G1452" s="53"/>
      <c r="H1452" s="20"/>
      <c r="I1452" s="9">
        <v>4</v>
      </c>
      <c r="J1452" s="9"/>
      <c r="K1452" s="9"/>
      <c r="L1452" s="9"/>
      <c r="M1452" s="9">
        <f t="shared" si="204"/>
        <v>28</v>
      </c>
      <c r="N1452" s="9">
        <f t="shared" si="205"/>
        <v>12</v>
      </c>
      <c r="O1452" s="9">
        <v>7</v>
      </c>
      <c r="P1452" s="9">
        <v>3</v>
      </c>
      <c r="Q1452" s="9" t="s">
        <v>6</v>
      </c>
      <c r="R1452" s="1">
        <v>0</v>
      </c>
      <c r="S1452" s="26"/>
    </row>
    <row r="1453" spans="1:19" ht="16.5" customHeight="1" x14ac:dyDescent="0.25">
      <c r="A1453" s="9"/>
      <c r="B1453" s="51" t="s">
        <v>90</v>
      </c>
      <c r="C1453" s="52"/>
      <c r="D1453" s="52"/>
      <c r="E1453" s="52"/>
      <c r="F1453" s="52"/>
      <c r="G1453" s="53"/>
      <c r="H1453" s="20"/>
      <c r="I1453" s="9">
        <v>2</v>
      </c>
      <c r="J1453" s="9"/>
      <c r="K1453" s="9"/>
      <c r="L1453" s="9"/>
      <c r="M1453" s="9">
        <f t="shared" si="204"/>
        <v>13</v>
      </c>
      <c r="N1453" s="9">
        <f t="shared" si="205"/>
        <v>5</v>
      </c>
      <c r="O1453" s="9">
        <v>6.5</v>
      </c>
      <c r="P1453" s="9">
        <v>2.5</v>
      </c>
      <c r="Q1453" s="9" t="s">
        <v>5</v>
      </c>
      <c r="R1453" s="1">
        <v>0</v>
      </c>
      <c r="S1453" s="26"/>
    </row>
    <row r="1454" spans="1:19" ht="16.5" customHeight="1" x14ac:dyDescent="0.25">
      <c r="A1454" s="9"/>
      <c r="B1454" s="51" t="s">
        <v>86</v>
      </c>
      <c r="C1454" s="52"/>
      <c r="D1454" s="52"/>
      <c r="E1454" s="52"/>
      <c r="F1454" s="52"/>
      <c r="G1454" s="53"/>
      <c r="H1454" s="20"/>
      <c r="I1454" s="9">
        <v>2</v>
      </c>
      <c r="J1454" s="9"/>
      <c r="K1454" s="9"/>
      <c r="L1454" s="9"/>
      <c r="M1454" s="9">
        <f t="shared" si="204"/>
        <v>12.4</v>
      </c>
      <c r="N1454" s="9">
        <f t="shared" si="205"/>
        <v>4</v>
      </c>
      <c r="O1454" s="9">
        <v>6.2</v>
      </c>
      <c r="P1454" s="9">
        <v>2</v>
      </c>
      <c r="Q1454" s="9" t="s">
        <v>3</v>
      </c>
      <c r="R1454" s="1">
        <v>0</v>
      </c>
      <c r="S1454" s="26"/>
    </row>
    <row r="1455" spans="1:19" ht="16.5" customHeight="1" x14ac:dyDescent="0.25">
      <c r="A1455" s="9"/>
      <c r="B1455" s="51" t="s">
        <v>89</v>
      </c>
      <c r="C1455" s="52"/>
      <c r="D1455" s="52"/>
      <c r="E1455" s="52"/>
      <c r="F1455" s="52"/>
      <c r="G1455" s="53"/>
      <c r="H1455" s="20"/>
      <c r="I1455" s="9">
        <v>3</v>
      </c>
      <c r="J1455" s="9"/>
      <c r="K1455" s="9"/>
      <c r="L1455" s="9"/>
      <c r="M1455" s="9">
        <f t="shared" si="204"/>
        <v>23.1</v>
      </c>
      <c r="N1455" s="9">
        <f t="shared" si="205"/>
        <v>9</v>
      </c>
      <c r="O1455" s="9">
        <v>7.7</v>
      </c>
      <c r="P1455" s="9">
        <v>3</v>
      </c>
      <c r="Q1455" s="9" t="s">
        <v>6</v>
      </c>
      <c r="R1455" s="1">
        <v>0</v>
      </c>
      <c r="S1455" s="26"/>
    </row>
    <row r="1456" spans="1:19" ht="16.5" customHeight="1" x14ac:dyDescent="0.25">
      <c r="A1456" s="9"/>
      <c r="B1456" s="51" t="s">
        <v>87</v>
      </c>
      <c r="C1456" s="52"/>
      <c r="D1456" s="52"/>
      <c r="E1456" s="52"/>
      <c r="F1456" s="52"/>
      <c r="G1456" s="53"/>
      <c r="H1456" s="20"/>
      <c r="I1456" s="9">
        <v>3</v>
      </c>
      <c r="J1456" s="9"/>
      <c r="K1456" s="9"/>
      <c r="L1456" s="9"/>
      <c r="M1456" s="9">
        <f t="shared" si="204"/>
        <v>22.5</v>
      </c>
      <c r="N1456" s="9">
        <f t="shared" si="205"/>
        <v>9</v>
      </c>
      <c r="O1456" s="9">
        <v>7.5</v>
      </c>
      <c r="P1456" s="9">
        <v>3</v>
      </c>
      <c r="Q1456" s="9" t="s">
        <v>6</v>
      </c>
      <c r="R1456" s="1">
        <v>0</v>
      </c>
      <c r="S1456" s="26"/>
    </row>
    <row r="1457" spans="1:19" ht="16.5" hidden="1" customHeight="1" x14ac:dyDescent="0.25">
      <c r="A1457" s="21"/>
      <c r="H1457" s="21"/>
      <c r="I1457" s="21"/>
      <c r="J1457" s="21"/>
      <c r="K1457" s="21"/>
      <c r="L1457" s="21"/>
      <c r="M1457" s="9">
        <f t="shared" si="204"/>
        <v>0</v>
      </c>
      <c r="N1457" s="9">
        <f t="shared" si="205"/>
        <v>0</v>
      </c>
      <c r="O1457" s="21"/>
      <c r="P1457" s="21"/>
      <c r="Q1457" s="21"/>
      <c r="S1457" s="25"/>
    </row>
    <row r="1458" spans="1:19" ht="16.5" customHeight="1" x14ac:dyDescent="0.25">
      <c r="A1458" s="9"/>
      <c r="B1458" s="39" t="s">
        <v>42</v>
      </c>
      <c r="C1458" s="40"/>
      <c r="D1458" s="40"/>
      <c r="E1458" s="40"/>
      <c r="F1458" s="40"/>
      <c r="G1458" s="41"/>
      <c r="H1458" s="23"/>
      <c r="I1458" s="24">
        <f>SUM(I1446:I1457)</f>
        <v>26</v>
      </c>
      <c r="J1458" s="9"/>
      <c r="K1458" s="9"/>
      <c r="L1458" s="9"/>
      <c r="M1458" s="9">
        <f t="shared" si="204"/>
        <v>169.26</v>
      </c>
      <c r="N1458" s="9">
        <f t="shared" si="205"/>
        <v>63.44</v>
      </c>
      <c r="O1458" s="24">
        <f>ROUND(SUM(M1446:M1457)/I1458,2)</f>
        <v>6.51</v>
      </c>
      <c r="P1458" s="24">
        <f>ROUND(SUM(N1446:N1457)/I1458,2)</f>
        <v>2.44</v>
      </c>
      <c r="Q1458" s="9"/>
      <c r="S1458" s="25"/>
    </row>
    <row r="1459" spans="1:19" ht="20.25" customHeight="1" x14ac:dyDescent="0.25">
      <c r="A1459" s="27" t="s">
        <v>173</v>
      </c>
      <c r="B1459" s="28"/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</row>
    <row r="1460" spans="1:19" ht="16.5" customHeight="1" x14ac:dyDescent="0.25">
      <c r="A1460" s="9"/>
      <c r="B1460" s="51" t="s">
        <v>80</v>
      </c>
      <c r="C1460" s="52"/>
      <c r="D1460" s="52"/>
      <c r="E1460" s="52"/>
      <c r="F1460" s="52"/>
      <c r="G1460" s="53"/>
      <c r="H1460" s="20"/>
      <c r="I1460" s="9">
        <v>3</v>
      </c>
      <c r="J1460" s="9"/>
      <c r="K1460" s="9"/>
      <c r="L1460" s="9"/>
      <c r="M1460" s="9">
        <f>I1460*O1460</f>
        <v>18.299999999999997</v>
      </c>
      <c r="N1460" s="9">
        <f>I1460*P1460</f>
        <v>6</v>
      </c>
      <c r="O1460" s="9">
        <v>6.1</v>
      </c>
      <c r="P1460" s="9">
        <v>2</v>
      </c>
      <c r="Q1460" s="9" t="s">
        <v>3</v>
      </c>
      <c r="R1460" s="1">
        <v>6</v>
      </c>
      <c r="S1460" s="26" t="s">
        <v>134</v>
      </c>
    </row>
    <row r="1461" spans="1:19" ht="16.5" hidden="1" customHeight="1" x14ac:dyDescent="0.25">
      <c r="A1461" s="21"/>
      <c r="H1461" s="21"/>
      <c r="I1461" s="21"/>
      <c r="J1461" s="21"/>
      <c r="K1461" s="21"/>
      <c r="L1461" s="21"/>
      <c r="M1461" s="9">
        <f>I1461*O1461</f>
        <v>0</v>
      </c>
      <c r="N1461" s="9">
        <f>I1461*P1461</f>
        <v>0</v>
      </c>
      <c r="O1461" s="21"/>
      <c r="P1461" s="21"/>
      <c r="Q1461" s="21"/>
      <c r="S1461" s="25"/>
    </row>
    <row r="1462" spans="1:19" ht="16.5" customHeight="1" x14ac:dyDescent="0.25">
      <c r="A1462" s="9"/>
      <c r="B1462" s="39" t="s">
        <v>42</v>
      </c>
      <c r="C1462" s="40"/>
      <c r="D1462" s="40"/>
      <c r="E1462" s="40"/>
      <c r="F1462" s="40"/>
      <c r="G1462" s="41"/>
      <c r="H1462" s="23"/>
      <c r="I1462" s="24">
        <f>SUM(I1460:I1461)</f>
        <v>3</v>
      </c>
      <c r="J1462" s="9"/>
      <c r="K1462" s="9"/>
      <c r="L1462" s="9"/>
      <c r="M1462" s="9">
        <f>I1462*O1462</f>
        <v>18.299999999999997</v>
      </c>
      <c r="N1462" s="9">
        <f>I1462*P1462</f>
        <v>6</v>
      </c>
      <c r="O1462" s="24">
        <f>ROUND(SUM(M1460:M1461)/I1462,2)</f>
        <v>6.1</v>
      </c>
      <c r="P1462" s="24">
        <f>ROUND(SUM(N1460:N1461)/I1462,2)</f>
        <v>2</v>
      </c>
      <c r="Q1462" s="9"/>
      <c r="S1462" s="25"/>
    </row>
    <row r="1463" spans="1:19" ht="20.25" customHeight="1" x14ac:dyDescent="0.25">
      <c r="A1463" s="27" t="s">
        <v>91</v>
      </c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</row>
    <row r="1464" spans="1:19" ht="16.5" customHeight="1" x14ac:dyDescent="0.25">
      <c r="A1464" s="9"/>
      <c r="B1464" s="51" t="s">
        <v>93</v>
      </c>
      <c r="C1464" s="52"/>
      <c r="D1464" s="52"/>
      <c r="E1464" s="52"/>
      <c r="F1464" s="52"/>
      <c r="G1464" s="53"/>
      <c r="H1464" s="20"/>
      <c r="I1464" s="9">
        <v>3</v>
      </c>
      <c r="J1464" s="9"/>
      <c r="K1464" s="9"/>
      <c r="L1464" s="9"/>
      <c r="M1464" s="9">
        <f t="shared" ref="M1464:M1475" si="206">I1464*O1464</f>
        <v>21.9</v>
      </c>
      <c r="N1464" s="9">
        <f t="shared" ref="N1464:N1475" si="207">I1464*P1464</f>
        <v>9</v>
      </c>
      <c r="O1464" s="9">
        <v>7.3</v>
      </c>
      <c r="P1464" s="9">
        <v>3</v>
      </c>
      <c r="Q1464" s="9" t="s">
        <v>6</v>
      </c>
      <c r="R1464" s="1">
        <v>0</v>
      </c>
      <c r="S1464" s="26"/>
    </row>
    <row r="1465" spans="1:19" ht="16.5" customHeight="1" x14ac:dyDescent="0.25">
      <c r="A1465" s="9"/>
      <c r="B1465" s="51" t="s">
        <v>94</v>
      </c>
      <c r="C1465" s="52"/>
      <c r="D1465" s="52"/>
      <c r="E1465" s="52"/>
      <c r="F1465" s="52"/>
      <c r="G1465" s="53"/>
      <c r="H1465" s="20"/>
      <c r="I1465" s="9">
        <v>3</v>
      </c>
      <c r="J1465" s="9"/>
      <c r="K1465" s="9"/>
      <c r="L1465" s="9"/>
      <c r="M1465" s="9">
        <f t="shared" si="206"/>
        <v>24.900000000000002</v>
      </c>
      <c r="N1465" s="9">
        <f t="shared" si="207"/>
        <v>10.5</v>
      </c>
      <c r="O1465" s="9">
        <v>8.3000000000000007</v>
      </c>
      <c r="P1465" s="9">
        <v>3.5</v>
      </c>
      <c r="Q1465" s="9" t="s">
        <v>9</v>
      </c>
      <c r="R1465" s="1">
        <v>0</v>
      </c>
      <c r="S1465" s="26"/>
    </row>
    <row r="1466" spans="1:19" ht="16.5" customHeight="1" x14ac:dyDescent="0.25">
      <c r="A1466" s="9"/>
      <c r="B1466" s="51" t="s">
        <v>95</v>
      </c>
      <c r="C1466" s="52"/>
      <c r="D1466" s="52"/>
      <c r="E1466" s="52"/>
      <c r="F1466" s="52"/>
      <c r="G1466" s="53"/>
      <c r="H1466" s="20"/>
      <c r="I1466" s="9">
        <v>1</v>
      </c>
      <c r="J1466" s="9"/>
      <c r="K1466" s="9"/>
      <c r="L1466" s="9"/>
      <c r="M1466" s="9">
        <f t="shared" si="206"/>
        <v>7.8</v>
      </c>
      <c r="N1466" s="9">
        <f t="shared" si="207"/>
        <v>3</v>
      </c>
      <c r="O1466" s="9">
        <v>7.8</v>
      </c>
      <c r="P1466" s="9">
        <v>3</v>
      </c>
      <c r="Q1466" s="9" t="s">
        <v>6</v>
      </c>
      <c r="R1466" s="1">
        <v>0</v>
      </c>
      <c r="S1466" s="26"/>
    </row>
    <row r="1467" spans="1:19" ht="16.5" customHeight="1" x14ac:dyDescent="0.25">
      <c r="A1467" s="9"/>
      <c r="B1467" s="51" t="s">
        <v>92</v>
      </c>
      <c r="C1467" s="52"/>
      <c r="D1467" s="52"/>
      <c r="E1467" s="52"/>
      <c r="F1467" s="52"/>
      <c r="G1467" s="53"/>
      <c r="H1467" s="20"/>
      <c r="I1467" s="9">
        <v>1</v>
      </c>
      <c r="J1467" s="9"/>
      <c r="K1467" s="9"/>
      <c r="L1467" s="9"/>
      <c r="M1467" s="9">
        <f t="shared" si="206"/>
        <v>7.2</v>
      </c>
      <c r="N1467" s="9">
        <f t="shared" si="207"/>
        <v>3</v>
      </c>
      <c r="O1467" s="9">
        <v>7.2</v>
      </c>
      <c r="P1467" s="9">
        <v>3</v>
      </c>
      <c r="Q1467" s="9" t="s">
        <v>6</v>
      </c>
      <c r="R1467" s="1">
        <v>0</v>
      </c>
      <c r="S1467" s="26"/>
    </row>
    <row r="1468" spans="1:19" ht="16.5" customHeight="1" x14ac:dyDescent="0.25">
      <c r="A1468" s="9"/>
      <c r="B1468" s="51" t="s">
        <v>101</v>
      </c>
      <c r="C1468" s="52"/>
      <c r="D1468" s="52"/>
      <c r="E1468" s="52"/>
      <c r="F1468" s="52"/>
      <c r="G1468" s="53"/>
      <c r="H1468" s="20"/>
      <c r="I1468" s="9">
        <v>4</v>
      </c>
      <c r="J1468" s="9"/>
      <c r="K1468" s="9"/>
      <c r="L1468" s="9"/>
      <c r="M1468" s="9">
        <f t="shared" si="206"/>
        <v>32.4</v>
      </c>
      <c r="N1468" s="9">
        <f t="shared" si="207"/>
        <v>14</v>
      </c>
      <c r="O1468" s="9">
        <v>8.1</v>
      </c>
      <c r="P1468" s="9">
        <v>3.5</v>
      </c>
      <c r="Q1468" s="9" t="s">
        <v>9</v>
      </c>
      <c r="R1468" s="1">
        <v>0</v>
      </c>
      <c r="S1468" s="26"/>
    </row>
    <row r="1469" spans="1:19" ht="16.5" customHeight="1" x14ac:dyDescent="0.25">
      <c r="A1469" s="9"/>
      <c r="B1469" s="51" t="s">
        <v>96</v>
      </c>
      <c r="C1469" s="52"/>
      <c r="D1469" s="52"/>
      <c r="E1469" s="52"/>
      <c r="F1469" s="52"/>
      <c r="G1469" s="53"/>
      <c r="H1469" s="20"/>
      <c r="I1469" s="9">
        <v>1</v>
      </c>
      <c r="J1469" s="9"/>
      <c r="K1469" s="9"/>
      <c r="L1469" s="9"/>
      <c r="M1469" s="9">
        <f t="shared" si="206"/>
        <v>7.7</v>
      </c>
      <c r="N1469" s="9">
        <f t="shared" si="207"/>
        <v>3</v>
      </c>
      <c r="O1469" s="9">
        <v>7.7</v>
      </c>
      <c r="P1469" s="9">
        <v>3</v>
      </c>
      <c r="Q1469" s="9" t="s">
        <v>6</v>
      </c>
      <c r="R1469" s="1">
        <v>0</v>
      </c>
      <c r="S1469" s="26"/>
    </row>
    <row r="1470" spans="1:19" ht="16.5" customHeight="1" x14ac:dyDescent="0.25">
      <c r="A1470" s="9"/>
      <c r="B1470" s="51" t="s">
        <v>98</v>
      </c>
      <c r="C1470" s="52"/>
      <c r="D1470" s="52"/>
      <c r="E1470" s="52"/>
      <c r="F1470" s="52"/>
      <c r="G1470" s="53"/>
      <c r="H1470" s="20"/>
      <c r="I1470" s="9">
        <v>2</v>
      </c>
      <c r="J1470" s="9"/>
      <c r="K1470" s="9"/>
      <c r="L1470" s="9"/>
      <c r="M1470" s="9">
        <f t="shared" si="206"/>
        <v>14.6</v>
      </c>
      <c r="N1470" s="9">
        <f t="shared" si="207"/>
        <v>6</v>
      </c>
      <c r="O1470" s="9">
        <v>7.3</v>
      </c>
      <c r="P1470" s="9">
        <v>3</v>
      </c>
      <c r="Q1470" s="9" t="s">
        <v>6</v>
      </c>
      <c r="R1470" s="1">
        <v>0</v>
      </c>
      <c r="S1470" s="26"/>
    </row>
    <row r="1471" spans="1:19" ht="16.5" customHeight="1" x14ac:dyDescent="0.25">
      <c r="A1471" s="9"/>
      <c r="B1471" s="51" t="s">
        <v>99</v>
      </c>
      <c r="C1471" s="52"/>
      <c r="D1471" s="52"/>
      <c r="E1471" s="52"/>
      <c r="F1471" s="52"/>
      <c r="G1471" s="53"/>
      <c r="H1471" s="20"/>
      <c r="I1471" s="9">
        <v>2</v>
      </c>
      <c r="J1471" s="9"/>
      <c r="K1471" s="9"/>
      <c r="L1471" s="9"/>
      <c r="M1471" s="9">
        <f t="shared" si="206"/>
        <v>18.399999999999999</v>
      </c>
      <c r="N1471" s="9">
        <f t="shared" si="207"/>
        <v>8</v>
      </c>
      <c r="O1471" s="9">
        <v>9.1999999999999993</v>
      </c>
      <c r="P1471" s="9">
        <v>4</v>
      </c>
      <c r="Q1471" s="9" t="s">
        <v>12</v>
      </c>
      <c r="R1471" s="1">
        <v>0</v>
      </c>
      <c r="S1471" s="26"/>
    </row>
    <row r="1472" spans="1:19" ht="16.5" customHeight="1" x14ac:dyDescent="0.25">
      <c r="A1472" s="9"/>
      <c r="B1472" s="51" t="s">
        <v>100</v>
      </c>
      <c r="C1472" s="52"/>
      <c r="D1472" s="52"/>
      <c r="E1472" s="52"/>
      <c r="F1472" s="52"/>
      <c r="G1472" s="53"/>
      <c r="H1472" s="20"/>
      <c r="I1472" s="9">
        <v>2</v>
      </c>
      <c r="J1472" s="9"/>
      <c r="K1472" s="9"/>
      <c r="L1472" s="9"/>
      <c r="M1472" s="9">
        <f t="shared" si="206"/>
        <v>15.6</v>
      </c>
      <c r="N1472" s="9">
        <f t="shared" si="207"/>
        <v>6</v>
      </c>
      <c r="O1472" s="9">
        <v>7.8</v>
      </c>
      <c r="P1472" s="9">
        <v>3</v>
      </c>
      <c r="Q1472" s="9" t="s">
        <v>6</v>
      </c>
      <c r="R1472" s="1">
        <v>0</v>
      </c>
      <c r="S1472" s="26"/>
    </row>
    <row r="1473" spans="1:19" ht="16.5" customHeight="1" x14ac:dyDescent="0.25">
      <c r="A1473" s="9"/>
      <c r="B1473" s="51" t="s">
        <v>97</v>
      </c>
      <c r="C1473" s="52"/>
      <c r="D1473" s="52"/>
      <c r="E1473" s="52"/>
      <c r="F1473" s="52"/>
      <c r="G1473" s="53"/>
      <c r="H1473" s="20"/>
      <c r="I1473" s="9">
        <v>2</v>
      </c>
      <c r="J1473" s="9"/>
      <c r="K1473" s="9"/>
      <c r="L1473" s="9"/>
      <c r="M1473" s="9">
        <f t="shared" si="206"/>
        <v>14</v>
      </c>
      <c r="N1473" s="9">
        <f t="shared" si="207"/>
        <v>6</v>
      </c>
      <c r="O1473" s="9">
        <v>7</v>
      </c>
      <c r="P1473" s="9">
        <v>3</v>
      </c>
      <c r="Q1473" s="9" t="s">
        <v>6</v>
      </c>
      <c r="R1473" s="1">
        <v>0</v>
      </c>
      <c r="S1473" s="26"/>
    </row>
    <row r="1474" spans="1:19" ht="16.5" hidden="1" customHeight="1" x14ac:dyDescent="0.25">
      <c r="A1474" s="21"/>
      <c r="H1474" s="21"/>
      <c r="I1474" s="21"/>
      <c r="J1474" s="21"/>
      <c r="K1474" s="21"/>
      <c r="L1474" s="21"/>
      <c r="M1474" s="9">
        <f t="shared" si="206"/>
        <v>0</v>
      </c>
      <c r="N1474" s="9">
        <f t="shared" si="207"/>
        <v>0</v>
      </c>
      <c r="O1474" s="21"/>
      <c r="P1474" s="21"/>
      <c r="Q1474" s="21"/>
      <c r="S1474" s="25"/>
    </row>
    <row r="1475" spans="1:19" ht="16.5" customHeight="1" x14ac:dyDescent="0.25">
      <c r="A1475" s="9"/>
      <c r="B1475" s="39" t="s">
        <v>42</v>
      </c>
      <c r="C1475" s="40"/>
      <c r="D1475" s="40"/>
      <c r="E1475" s="40"/>
      <c r="F1475" s="40"/>
      <c r="G1475" s="41"/>
      <c r="H1475" s="23"/>
      <c r="I1475" s="24">
        <f>SUM(I1464:I1474)</f>
        <v>21</v>
      </c>
      <c r="J1475" s="9"/>
      <c r="K1475" s="9"/>
      <c r="L1475" s="9"/>
      <c r="M1475" s="9">
        <f t="shared" si="206"/>
        <v>164.43</v>
      </c>
      <c r="N1475" s="9">
        <f t="shared" si="207"/>
        <v>68.459999999999994</v>
      </c>
      <c r="O1475" s="24">
        <f>ROUND(SUM(M1464:M1474)/I1475,2)</f>
        <v>7.83</v>
      </c>
      <c r="P1475" s="24">
        <f>ROUND(SUM(N1464:N1474)/I1475,2)</f>
        <v>3.26</v>
      </c>
      <c r="Q1475" s="9"/>
      <c r="S1475" s="25"/>
    </row>
    <row r="1476" spans="1:19" ht="20.25" customHeight="1" x14ac:dyDescent="0.25">
      <c r="A1476" s="27" t="s">
        <v>102</v>
      </c>
      <c r="B1476" s="28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</row>
    <row r="1477" spans="1:19" ht="16.5" customHeight="1" x14ac:dyDescent="0.25">
      <c r="A1477" s="9"/>
      <c r="B1477" s="51" t="s">
        <v>103</v>
      </c>
      <c r="C1477" s="52"/>
      <c r="D1477" s="52"/>
      <c r="E1477" s="52"/>
      <c r="F1477" s="52"/>
      <c r="G1477" s="53"/>
      <c r="H1477" s="20"/>
      <c r="I1477" s="9">
        <v>1</v>
      </c>
      <c r="J1477" s="9"/>
      <c r="K1477" s="9"/>
      <c r="L1477" s="9"/>
      <c r="M1477" s="9">
        <f t="shared" ref="M1477:M1488" si="208">I1477*O1477</f>
        <v>5.7</v>
      </c>
      <c r="N1477" s="9">
        <f t="shared" ref="N1477:N1488" si="209">I1477*P1477</f>
        <v>2</v>
      </c>
      <c r="O1477" s="9">
        <v>5.7</v>
      </c>
      <c r="P1477" s="9">
        <v>2</v>
      </c>
      <c r="Q1477" s="9" t="s">
        <v>3</v>
      </c>
      <c r="R1477" s="1">
        <v>0</v>
      </c>
      <c r="S1477" s="26"/>
    </row>
    <row r="1478" spans="1:19" ht="16.5" customHeight="1" x14ac:dyDescent="0.25">
      <c r="A1478" s="9"/>
      <c r="B1478" s="51" t="s">
        <v>104</v>
      </c>
      <c r="C1478" s="52"/>
      <c r="D1478" s="52"/>
      <c r="E1478" s="52"/>
      <c r="F1478" s="52"/>
      <c r="G1478" s="53"/>
      <c r="H1478" s="20"/>
      <c r="I1478" s="9">
        <v>3</v>
      </c>
      <c r="J1478" s="9"/>
      <c r="K1478" s="9"/>
      <c r="L1478" s="9"/>
      <c r="M1478" s="9">
        <f t="shared" si="208"/>
        <v>21</v>
      </c>
      <c r="N1478" s="9">
        <f t="shared" si="209"/>
        <v>9</v>
      </c>
      <c r="O1478" s="9">
        <v>7</v>
      </c>
      <c r="P1478" s="9">
        <v>3</v>
      </c>
      <c r="Q1478" s="9" t="s">
        <v>6</v>
      </c>
      <c r="R1478" s="1">
        <v>0</v>
      </c>
      <c r="S1478" s="26"/>
    </row>
    <row r="1479" spans="1:19" ht="16.5" customHeight="1" x14ac:dyDescent="0.25">
      <c r="A1479" s="9"/>
      <c r="B1479" s="51" t="s">
        <v>105</v>
      </c>
      <c r="C1479" s="52"/>
      <c r="D1479" s="52"/>
      <c r="E1479" s="52"/>
      <c r="F1479" s="52"/>
      <c r="G1479" s="53"/>
      <c r="H1479" s="20"/>
      <c r="I1479" s="9">
        <v>3</v>
      </c>
      <c r="J1479" s="9"/>
      <c r="K1479" s="9"/>
      <c r="L1479" s="9"/>
      <c r="M1479" s="9">
        <f t="shared" si="208"/>
        <v>23.4</v>
      </c>
      <c r="N1479" s="9">
        <f t="shared" si="209"/>
        <v>9</v>
      </c>
      <c r="O1479" s="9">
        <v>7.8</v>
      </c>
      <c r="P1479" s="9">
        <v>3</v>
      </c>
      <c r="Q1479" s="9" t="s">
        <v>6</v>
      </c>
      <c r="R1479" s="1">
        <v>0</v>
      </c>
      <c r="S1479" s="26"/>
    </row>
    <row r="1480" spans="1:19" ht="16.5" customHeight="1" x14ac:dyDescent="0.25">
      <c r="A1480" s="9"/>
      <c r="B1480" s="51" t="s">
        <v>106</v>
      </c>
      <c r="C1480" s="52"/>
      <c r="D1480" s="52"/>
      <c r="E1480" s="52"/>
      <c r="F1480" s="52"/>
      <c r="G1480" s="53"/>
      <c r="H1480" s="20"/>
      <c r="I1480" s="9">
        <v>3</v>
      </c>
      <c r="J1480" s="9"/>
      <c r="K1480" s="9"/>
      <c r="L1480" s="9"/>
      <c r="M1480" s="9">
        <f t="shared" si="208"/>
        <v>25.200000000000003</v>
      </c>
      <c r="N1480" s="9">
        <f t="shared" si="209"/>
        <v>10.5</v>
      </c>
      <c r="O1480" s="9">
        <v>8.4</v>
      </c>
      <c r="P1480" s="9">
        <v>3.5</v>
      </c>
      <c r="Q1480" s="9" t="s">
        <v>9</v>
      </c>
      <c r="R1480" s="1">
        <v>0</v>
      </c>
      <c r="S1480" s="26"/>
    </row>
    <row r="1481" spans="1:19" ht="16.5" customHeight="1" x14ac:dyDescent="0.25">
      <c r="A1481" s="9"/>
      <c r="B1481" s="51" t="s">
        <v>107</v>
      </c>
      <c r="C1481" s="52"/>
      <c r="D1481" s="52"/>
      <c r="E1481" s="52"/>
      <c r="F1481" s="52"/>
      <c r="G1481" s="53"/>
      <c r="H1481" s="20"/>
      <c r="I1481" s="9">
        <v>2</v>
      </c>
      <c r="J1481" s="9"/>
      <c r="K1481" s="9"/>
      <c r="L1481" s="9"/>
      <c r="M1481" s="9">
        <f t="shared" si="208"/>
        <v>14</v>
      </c>
      <c r="N1481" s="9">
        <f t="shared" si="209"/>
        <v>6</v>
      </c>
      <c r="O1481" s="9">
        <v>7</v>
      </c>
      <c r="P1481" s="9">
        <v>3</v>
      </c>
      <c r="Q1481" s="9" t="s">
        <v>6</v>
      </c>
      <c r="R1481" s="1">
        <v>0</v>
      </c>
      <c r="S1481" s="26"/>
    </row>
    <row r="1482" spans="1:19" ht="16.5" customHeight="1" x14ac:dyDescent="0.25">
      <c r="A1482" s="9"/>
      <c r="B1482" s="51" t="s">
        <v>108</v>
      </c>
      <c r="C1482" s="52"/>
      <c r="D1482" s="52"/>
      <c r="E1482" s="52"/>
      <c r="F1482" s="52"/>
      <c r="G1482" s="53"/>
      <c r="H1482" s="20"/>
      <c r="I1482" s="9">
        <v>2</v>
      </c>
      <c r="J1482" s="9"/>
      <c r="K1482" s="9"/>
      <c r="L1482" s="9"/>
      <c r="M1482" s="9">
        <f t="shared" si="208"/>
        <v>13.6</v>
      </c>
      <c r="N1482" s="9">
        <f t="shared" si="209"/>
        <v>5</v>
      </c>
      <c r="O1482" s="9">
        <v>6.8</v>
      </c>
      <c r="P1482" s="9">
        <v>2.5</v>
      </c>
      <c r="Q1482" s="9" t="s">
        <v>5</v>
      </c>
      <c r="R1482" s="1">
        <v>0</v>
      </c>
      <c r="S1482" s="26"/>
    </row>
    <row r="1483" spans="1:19" ht="16.5" customHeight="1" x14ac:dyDescent="0.25">
      <c r="A1483" s="9"/>
      <c r="B1483" s="51" t="s">
        <v>109</v>
      </c>
      <c r="C1483" s="52"/>
      <c r="D1483" s="52"/>
      <c r="E1483" s="52"/>
      <c r="F1483" s="52"/>
      <c r="G1483" s="53"/>
      <c r="H1483" s="20"/>
      <c r="I1483" s="9">
        <v>2</v>
      </c>
      <c r="J1483" s="9"/>
      <c r="K1483" s="9"/>
      <c r="L1483" s="9"/>
      <c r="M1483" s="9">
        <f t="shared" si="208"/>
        <v>15.4</v>
      </c>
      <c r="N1483" s="9">
        <f t="shared" si="209"/>
        <v>6</v>
      </c>
      <c r="O1483" s="9">
        <v>7.7</v>
      </c>
      <c r="P1483" s="9">
        <v>3</v>
      </c>
      <c r="Q1483" s="9" t="s">
        <v>6</v>
      </c>
      <c r="R1483" s="1">
        <v>0</v>
      </c>
      <c r="S1483" s="26"/>
    </row>
    <row r="1484" spans="1:19" ht="16.5" customHeight="1" x14ac:dyDescent="0.25">
      <c r="A1484" s="9"/>
      <c r="B1484" s="51" t="s">
        <v>110</v>
      </c>
      <c r="C1484" s="52"/>
      <c r="D1484" s="52"/>
      <c r="E1484" s="52"/>
      <c r="F1484" s="52"/>
      <c r="G1484" s="53"/>
      <c r="H1484" s="20"/>
      <c r="I1484" s="9">
        <v>4</v>
      </c>
      <c r="J1484" s="9"/>
      <c r="K1484" s="9"/>
      <c r="L1484" s="9"/>
      <c r="M1484" s="9">
        <f t="shared" si="208"/>
        <v>26.4</v>
      </c>
      <c r="N1484" s="9">
        <f t="shared" si="209"/>
        <v>10</v>
      </c>
      <c r="O1484" s="9">
        <v>6.6</v>
      </c>
      <c r="P1484" s="9">
        <v>2.5</v>
      </c>
      <c r="Q1484" s="9" t="s">
        <v>5</v>
      </c>
      <c r="R1484" s="1">
        <v>0</v>
      </c>
      <c r="S1484" s="26"/>
    </row>
    <row r="1485" spans="1:19" ht="16.5" customHeight="1" x14ac:dyDescent="0.25">
      <c r="A1485" s="9"/>
      <c r="B1485" s="51" t="s">
        <v>111</v>
      </c>
      <c r="C1485" s="52"/>
      <c r="D1485" s="52"/>
      <c r="E1485" s="52"/>
      <c r="F1485" s="52"/>
      <c r="G1485" s="53"/>
      <c r="H1485" s="20"/>
      <c r="I1485" s="9">
        <v>2</v>
      </c>
      <c r="J1485" s="9"/>
      <c r="K1485" s="9"/>
      <c r="L1485" s="9"/>
      <c r="M1485" s="9">
        <f t="shared" si="208"/>
        <v>15.2</v>
      </c>
      <c r="N1485" s="9">
        <f t="shared" si="209"/>
        <v>6</v>
      </c>
      <c r="O1485" s="9">
        <v>7.6</v>
      </c>
      <c r="P1485" s="9">
        <v>3</v>
      </c>
      <c r="Q1485" s="9" t="s">
        <v>6</v>
      </c>
      <c r="R1485" s="1">
        <v>0</v>
      </c>
      <c r="S1485" s="26"/>
    </row>
    <row r="1486" spans="1:19" ht="16.5" customHeight="1" x14ac:dyDescent="0.25">
      <c r="A1486" s="9"/>
      <c r="B1486" s="51" t="s">
        <v>112</v>
      </c>
      <c r="C1486" s="52"/>
      <c r="D1486" s="52"/>
      <c r="E1486" s="52"/>
      <c r="F1486" s="52"/>
      <c r="G1486" s="53"/>
      <c r="H1486" s="20"/>
      <c r="I1486" s="9">
        <v>3</v>
      </c>
      <c r="J1486" s="9"/>
      <c r="K1486" s="9"/>
      <c r="L1486" s="9"/>
      <c r="M1486" s="9">
        <f t="shared" si="208"/>
        <v>23.4</v>
      </c>
      <c r="N1486" s="9">
        <f t="shared" si="209"/>
        <v>9</v>
      </c>
      <c r="O1486" s="9">
        <v>7.8</v>
      </c>
      <c r="P1486" s="9">
        <v>3</v>
      </c>
      <c r="Q1486" s="9" t="s">
        <v>6</v>
      </c>
      <c r="R1486" s="1">
        <v>0</v>
      </c>
      <c r="S1486" s="26"/>
    </row>
    <row r="1487" spans="1:19" ht="16.5" hidden="1" customHeight="1" x14ac:dyDescent="0.25">
      <c r="A1487" s="21"/>
      <c r="H1487" s="21"/>
      <c r="I1487" s="21"/>
      <c r="J1487" s="21"/>
      <c r="K1487" s="21"/>
      <c r="L1487" s="21"/>
      <c r="M1487" s="9">
        <f t="shared" si="208"/>
        <v>0</v>
      </c>
      <c r="N1487" s="9">
        <f t="shared" si="209"/>
        <v>0</v>
      </c>
      <c r="O1487" s="21"/>
      <c r="P1487" s="21"/>
      <c r="Q1487" s="21"/>
      <c r="S1487" s="25"/>
    </row>
    <row r="1488" spans="1:19" ht="16.5" customHeight="1" x14ac:dyDescent="0.25">
      <c r="A1488" s="9"/>
      <c r="B1488" s="39" t="s">
        <v>42</v>
      </c>
      <c r="C1488" s="40"/>
      <c r="D1488" s="40"/>
      <c r="E1488" s="40"/>
      <c r="F1488" s="40"/>
      <c r="G1488" s="41"/>
      <c r="H1488" s="23"/>
      <c r="I1488" s="24">
        <f>SUM(I1477:I1487)</f>
        <v>25</v>
      </c>
      <c r="J1488" s="9"/>
      <c r="K1488" s="9"/>
      <c r="L1488" s="9"/>
      <c r="M1488" s="9">
        <f t="shared" si="208"/>
        <v>183.25</v>
      </c>
      <c r="N1488" s="9">
        <f t="shared" si="209"/>
        <v>72.5</v>
      </c>
      <c r="O1488" s="24">
        <f>ROUND(SUM(M1477:M1487)/I1488,2)</f>
        <v>7.33</v>
      </c>
      <c r="P1488" s="24">
        <f>ROUND(SUM(N1477:N1487)/I1488,2)</f>
        <v>2.9</v>
      </c>
      <c r="Q1488" s="9"/>
      <c r="S1488" s="25"/>
    </row>
    <row r="1489" spans="1:19" ht="20.25" customHeight="1" x14ac:dyDescent="0.25">
      <c r="A1489" s="27" t="s">
        <v>113</v>
      </c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</row>
    <row r="1490" spans="1:19" ht="16.5" customHeight="1" x14ac:dyDescent="0.25">
      <c r="A1490" s="9"/>
      <c r="B1490" s="51" t="s">
        <v>114</v>
      </c>
      <c r="C1490" s="52"/>
      <c r="D1490" s="52"/>
      <c r="E1490" s="52"/>
      <c r="F1490" s="52"/>
      <c r="G1490" s="53"/>
      <c r="H1490" s="20"/>
      <c r="I1490" s="9">
        <v>3</v>
      </c>
      <c r="J1490" s="9"/>
      <c r="K1490" s="9"/>
      <c r="L1490" s="9"/>
      <c r="M1490" s="9">
        <f t="shared" ref="M1490:M1498" si="210">I1490*O1490</f>
        <v>0</v>
      </c>
      <c r="N1490" s="9">
        <f t="shared" ref="N1490:N1498" si="211">I1490*P1490</f>
        <v>0</v>
      </c>
      <c r="O1490" s="9"/>
      <c r="P1490" s="9"/>
      <c r="Q1490" s="9"/>
      <c r="R1490" s="1">
        <v>0</v>
      </c>
      <c r="S1490" s="26"/>
    </row>
    <row r="1491" spans="1:19" ht="16.5" customHeight="1" x14ac:dyDescent="0.25">
      <c r="A1491" s="9"/>
      <c r="B1491" s="51" t="s">
        <v>115</v>
      </c>
      <c r="C1491" s="52"/>
      <c r="D1491" s="52"/>
      <c r="E1491" s="52"/>
      <c r="F1491" s="52"/>
      <c r="G1491" s="53"/>
      <c r="H1491" s="20"/>
      <c r="I1491" s="9">
        <v>3</v>
      </c>
      <c r="J1491" s="9"/>
      <c r="K1491" s="9"/>
      <c r="L1491" s="9"/>
      <c r="M1491" s="9">
        <f t="shared" si="210"/>
        <v>0</v>
      </c>
      <c r="N1491" s="9">
        <f t="shared" si="211"/>
        <v>0</v>
      </c>
      <c r="O1491" s="9"/>
      <c r="P1491" s="9"/>
      <c r="Q1491" s="9"/>
      <c r="R1491" s="1">
        <v>0</v>
      </c>
      <c r="S1491" s="26"/>
    </row>
    <row r="1492" spans="1:19" ht="16.5" customHeight="1" x14ac:dyDescent="0.25">
      <c r="A1492" s="9"/>
      <c r="B1492" s="51" t="s">
        <v>116</v>
      </c>
      <c r="C1492" s="52"/>
      <c r="D1492" s="52"/>
      <c r="E1492" s="52"/>
      <c r="F1492" s="52"/>
      <c r="G1492" s="53"/>
      <c r="H1492" s="20"/>
      <c r="I1492" s="9">
        <v>3</v>
      </c>
      <c r="J1492" s="9"/>
      <c r="K1492" s="9"/>
      <c r="L1492" s="9"/>
      <c r="M1492" s="9">
        <f t="shared" si="210"/>
        <v>0</v>
      </c>
      <c r="N1492" s="9">
        <f t="shared" si="211"/>
        <v>0</v>
      </c>
      <c r="O1492" s="9"/>
      <c r="P1492" s="9"/>
      <c r="Q1492" s="9"/>
      <c r="R1492" s="1">
        <v>0</v>
      </c>
      <c r="S1492" s="26"/>
    </row>
    <row r="1493" spans="1:19" ht="16.5" customHeight="1" x14ac:dyDescent="0.25">
      <c r="A1493" s="9"/>
      <c r="B1493" s="51" t="s">
        <v>120</v>
      </c>
      <c r="C1493" s="52"/>
      <c r="D1493" s="52"/>
      <c r="E1493" s="52"/>
      <c r="F1493" s="52"/>
      <c r="G1493" s="53"/>
      <c r="H1493" s="20"/>
      <c r="I1493" s="9">
        <v>2</v>
      </c>
      <c r="J1493" s="9"/>
      <c r="K1493" s="9"/>
      <c r="L1493" s="9"/>
      <c r="M1493" s="9">
        <f t="shared" si="210"/>
        <v>10</v>
      </c>
      <c r="N1493" s="9">
        <f t="shared" si="211"/>
        <v>3</v>
      </c>
      <c r="O1493" s="9">
        <v>5</v>
      </c>
      <c r="P1493" s="9">
        <v>1.5</v>
      </c>
      <c r="Q1493" s="9" t="s">
        <v>4</v>
      </c>
      <c r="R1493" s="1">
        <v>0</v>
      </c>
      <c r="S1493" s="26"/>
    </row>
    <row r="1494" spans="1:19" ht="16.5" customHeight="1" x14ac:dyDescent="0.25">
      <c r="A1494" s="9"/>
      <c r="B1494" s="51" t="s">
        <v>118</v>
      </c>
      <c r="C1494" s="52"/>
      <c r="D1494" s="52"/>
      <c r="E1494" s="52"/>
      <c r="F1494" s="52"/>
      <c r="G1494" s="53"/>
      <c r="H1494" s="20"/>
      <c r="I1494" s="9">
        <v>3</v>
      </c>
      <c r="J1494" s="9"/>
      <c r="K1494" s="9"/>
      <c r="L1494" s="9"/>
      <c r="M1494" s="9">
        <f t="shared" si="210"/>
        <v>0</v>
      </c>
      <c r="N1494" s="9">
        <f t="shared" si="211"/>
        <v>0</v>
      </c>
      <c r="O1494" s="9"/>
      <c r="P1494" s="9"/>
      <c r="Q1494" s="9"/>
      <c r="R1494" s="1">
        <v>0</v>
      </c>
      <c r="S1494" s="26"/>
    </row>
    <row r="1495" spans="1:19" ht="16.5" customHeight="1" x14ac:dyDescent="0.25">
      <c r="A1495" s="9"/>
      <c r="B1495" s="51" t="s">
        <v>119</v>
      </c>
      <c r="C1495" s="52"/>
      <c r="D1495" s="52"/>
      <c r="E1495" s="52"/>
      <c r="F1495" s="52"/>
      <c r="G1495" s="53"/>
      <c r="H1495" s="20"/>
      <c r="I1495" s="9">
        <v>3</v>
      </c>
      <c r="J1495" s="9"/>
      <c r="K1495" s="9"/>
      <c r="L1495" s="9"/>
      <c r="M1495" s="9">
        <f t="shared" si="210"/>
        <v>0</v>
      </c>
      <c r="N1495" s="9">
        <f t="shared" si="211"/>
        <v>0</v>
      </c>
      <c r="O1495" s="9"/>
      <c r="P1495" s="9"/>
      <c r="Q1495" s="9"/>
      <c r="R1495" s="1">
        <v>0</v>
      </c>
      <c r="S1495" s="26"/>
    </row>
    <row r="1496" spans="1:19" ht="16.5" customHeight="1" x14ac:dyDescent="0.25">
      <c r="A1496" s="9"/>
      <c r="B1496" s="51" t="s">
        <v>117</v>
      </c>
      <c r="C1496" s="52"/>
      <c r="D1496" s="52"/>
      <c r="E1496" s="52"/>
      <c r="F1496" s="52"/>
      <c r="G1496" s="53"/>
      <c r="H1496" s="20"/>
      <c r="I1496" s="9">
        <v>1</v>
      </c>
      <c r="J1496" s="9"/>
      <c r="K1496" s="9"/>
      <c r="L1496" s="9"/>
      <c r="M1496" s="9">
        <f t="shared" si="210"/>
        <v>5.5</v>
      </c>
      <c r="N1496" s="9">
        <f t="shared" si="211"/>
        <v>2</v>
      </c>
      <c r="O1496" s="9">
        <v>5.5</v>
      </c>
      <c r="P1496" s="9">
        <v>2</v>
      </c>
      <c r="Q1496" s="9" t="s">
        <v>3</v>
      </c>
      <c r="R1496" s="1">
        <v>0</v>
      </c>
      <c r="S1496" s="26"/>
    </row>
    <row r="1497" spans="1:19" ht="16.5" hidden="1" customHeight="1" x14ac:dyDescent="0.25">
      <c r="A1497" s="21"/>
      <c r="H1497" s="21"/>
      <c r="I1497" s="21"/>
      <c r="J1497" s="21"/>
      <c r="K1497" s="21"/>
      <c r="L1497" s="21"/>
      <c r="M1497" s="9">
        <f t="shared" si="210"/>
        <v>0</v>
      </c>
      <c r="N1497" s="9">
        <f t="shared" si="211"/>
        <v>0</v>
      </c>
      <c r="O1497" s="21"/>
      <c r="P1497" s="21"/>
      <c r="Q1497" s="21"/>
      <c r="S1497" s="25"/>
    </row>
    <row r="1498" spans="1:19" ht="16.5" customHeight="1" x14ac:dyDescent="0.25">
      <c r="A1498" s="9"/>
      <c r="B1498" s="39" t="s">
        <v>42</v>
      </c>
      <c r="C1498" s="40"/>
      <c r="D1498" s="40"/>
      <c r="E1498" s="40"/>
      <c r="F1498" s="40"/>
      <c r="G1498" s="41"/>
      <c r="H1498" s="23"/>
      <c r="I1498" s="24">
        <f>SUM(I1490:I1497)</f>
        <v>18</v>
      </c>
      <c r="J1498" s="9"/>
      <c r="K1498" s="9"/>
      <c r="L1498" s="9"/>
      <c r="M1498" s="9">
        <f t="shared" si="210"/>
        <v>15.48</v>
      </c>
      <c r="N1498" s="9">
        <f t="shared" si="211"/>
        <v>5.0400000000000009</v>
      </c>
      <c r="O1498" s="24">
        <f>ROUND(SUM(M1490:M1497)/I1498,2)</f>
        <v>0.86</v>
      </c>
      <c r="P1498" s="24">
        <f>ROUND(SUM(N1490:N1497)/I1498,2)</f>
        <v>0.28000000000000003</v>
      </c>
      <c r="Q1498" s="9"/>
      <c r="S1498" s="25"/>
    </row>
    <row r="1499" spans="1:19" ht="16.5" customHeight="1" x14ac:dyDescent="0.25">
      <c r="A1499" s="21"/>
      <c r="B1499" s="22"/>
      <c r="C1499" s="22"/>
      <c r="D1499" s="22"/>
      <c r="E1499" s="22"/>
      <c r="F1499" s="22"/>
      <c r="G1499" s="22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</row>
    <row r="1501" spans="1:19" ht="18" x14ac:dyDescent="0.25">
      <c r="A1501" s="35" t="s">
        <v>196</v>
      </c>
      <c r="B1501" s="35"/>
      <c r="C1501" s="35"/>
      <c r="D1501" s="35"/>
      <c r="E1501" s="35"/>
      <c r="F1501" s="35"/>
      <c r="G1501" s="35"/>
      <c r="H1501" s="35"/>
      <c r="I1501" s="35"/>
      <c r="J1501" s="35"/>
      <c r="K1501" s="35"/>
      <c r="L1501" s="35"/>
      <c r="M1501" s="35"/>
      <c r="N1501" s="35"/>
      <c r="O1501" s="35"/>
      <c r="P1501" s="35"/>
      <c r="Q1501" s="35"/>
      <c r="R1501" s="35"/>
      <c r="S1501" s="35"/>
    </row>
    <row r="1502" spans="1:19" ht="18" x14ac:dyDescent="0.25">
      <c r="A1502" s="35" t="s">
        <v>197</v>
      </c>
      <c r="B1502" s="35"/>
      <c r="C1502" s="35"/>
      <c r="D1502" s="35"/>
      <c r="E1502" s="35"/>
      <c r="F1502" s="35"/>
      <c r="G1502" s="35"/>
      <c r="H1502" s="35"/>
      <c r="I1502" s="35"/>
      <c r="J1502" s="35"/>
      <c r="K1502" s="35"/>
      <c r="L1502" s="35"/>
      <c r="M1502" s="35"/>
      <c r="N1502" s="35"/>
      <c r="O1502" s="35"/>
      <c r="P1502" s="35"/>
      <c r="Q1502" s="35"/>
      <c r="R1502" s="35"/>
      <c r="S1502" s="35"/>
    </row>
    <row r="1503" spans="1:19" ht="18" x14ac:dyDescent="0.25">
      <c r="A1503" s="35" t="s">
        <v>198</v>
      </c>
      <c r="B1503" s="35"/>
      <c r="C1503" s="35"/>
      <c r="D1503" s="35"/>
      <c r="E1503" s="35"/>
      <c r="F1503" s="35"/>
      <c r="G1503" s="35"/>
      <c r="H1503" s="35"/>
      <c r="I1503" s="35"/>
      <c r="J1503" s="35"/>
      <c r="K1503" s="35"/>
      <c r="L1503" s="35"/>
      <c r="M1503" s="35"/>
      <c r="N1503" s="35"/>
      <c r="O1503" s="35"/>
      <c r="P1503" s="35"/>
      <c r="Q1503" s="35"/>
      <c r="R1503" s="35"/>
      <c r="S1503" s="35"/>
    </row>
    <row r="1504" spans="1:19" ht="18" x14ac:dyDescent="0.25">
      <c r="A1504" s="45" t="s">
        <v>148</v>
      </c>
      <c r="B1504" s="45"/>
      <c r="C1504" s="45"/>
      <c r="D1504" s="45"/>
      <c r="E1504" s="45"/>
      <c r="F1504" s="45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</row>
    <row r="1505" spans="1:19" ht="19.5" customHeight="1" x14ac:dyDescent="0.25">
      <c r="A1505" s="17"/>
      <c r="B1505" s="17"/>
      <c r="C1505" s="8"/>
      <c r="D1505" s="18"/>
      <c r="E1505" s="10"/>
      <c r="F1505" s="11"/>
      <c r="G1505" s="46" t="s">
        <v>49</v>
      </c>
      <c r="H1505" s="46"/>
      <c r="I1505" s="46"/>
      <c r="J1505" s="46"/>
      <c r="K1505" s="46"/>
      <c r="L1505" s="46"/>
      <c r="M1505" s="46"/>
      <c r="N1505" s="46"/>
      <c r="O1505" s="46"/>
      <c r="P1505" s="46"/>
      <c r="Q1505" s="46"/>
      <c r="R1505" s="46"/>
      <c r="S1505" s="46"/>
    </row>
    <row r="1506" spans="1:19" ht="31.5" customHeight="1" x14ac:dyDescent="0.3">
      <c r="A1506" s="8"/>
      <c r="B1506" s="8"/>
      <c r="C1506" s="8"/>
      <c r="D1506" s="8"/>
      <c r="E1506" s="8"/>
      <c r="F1506" s="8"/>
      <c r="G1506" s="8"/>
      <c r="H1506" s="12"/>
      <c r="I1506" s="42" t="s">
        <v>40</v>
      </c>
      <c r="J1506" s="43"/>
      <c r="K1506" s="43"/>
      <c r="L1506" s="43"/>
      <c r="M1506" s="43"/>
      <c r="N1506" s="43"/>
      <c r="O1506" s="43"/>
      <c r="P1506" s="43"/>
      <c r="Q1506" s="43"/>
      <c r="R1506" s="43"/>
      <c r="S1506" s="43"/>
    </row>
    <row r="1507" spans="1:19" ht="16.8" x14ac:dyDescent="0.3">
      <c r="A1507" s="8"/>
      <c r="B1507" s="8"/>
      <c r="C1507" s="8"/>
      <c r="D1507" s="8"/>
      <c r="E1507" s="8"/>
      <c r="F1507" s="8"/>
      <c r="G1507" s="8"/>
      <c r="H1507" s="12"/>
      <c r="I1507" s="12"/>
      <c r="J1507" s="12"/>
      <c r="K1507" s="12"/>
      <c r="L1507" s="8"/>
      <c r="M1507" s="8"/>
      <c r="N1507" s="8"/>
      <c r="O1507" s="8"/>
      <c r="P1507" s="8"/>
      <c r="Q1507" s="8"/>
    </row>
    <row r="1508" spans="1:19" ht="33" customHeight="1" x14ac:dyDescent="0.3">
      <c r="A1508" s="8"/>
      <c r="B1508" s="8"/>
      <c r="C1508" s="8"/>
      <c r="D1508" s="8"/>
      <c r="E1508" s="8"/>
      <c r="F1508" s="8"/>
      <c r="G1508" s="8"/>
      <c r="H1508" s="12"/>
      <c r="I1508" s="12"/>
      <c r="J1508" s="12"/>
      <c r="K1508" s="12"/>
      <c r="L1508" s="8"/>
      <c r="M1508" s="8"/>
      <c r="N1508" s="8"/>
      <c r="O1508" s="8"/>
      <c r="P1508" s="8"/>
      <c r="Q1508" s="8"/>
    </row>
    <row r="1509" spans="1:19" ht="11.25" customHeight="1" x14ac:dyDescent="0.3">
      <c r="A1509" s="8"/>
      <c r="B1509" s="8"/>
      <c r="C1509" s="8"/>
      <c r="D1509" s="8"/>
      <c r="E1509" s="8"/>
      <c r="F1509" s="8"/>
      <c r="G1509" s="8"/>
      <c r="H1509" s="12"/>
      <c r="I1509" s="12"/>
      <c r="J1509" s="12"/>
      <c r="K1509" s="12"/>
      <c r="L1509" s="8"/>
      <c r="M1509" s="8"/>
      <c r="N1509" s="8"/>
      <c r="O1509" s="8"/>
      <c r="P1509" s="8"/>
      <c r="Q1509" s="8"/>
    </row>
    <row r="1510" spans="1:19" ht="17.399999999999999" x14ac:dyDescent="0.3">
      <c r="A1510" s="8"/>
      <c r="B1510" s="8"/>
      <c r="C1510" s="8"/>
      <c r="D1510" s="8"/>
      <c r="E1510" s="8"/>
      <c r="F1510" s="8"/>
      <c r="G1510" s="47" t="s">
        <v>41</v>
      </c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  <c r="S1510" s="47"/>
    </row>
    <row r="1511" spans="1:19" ht="16.5" hidden="1" customHeight="1" x14ac:dyDescent="0.3">
      <c r="A1511" s="8"/>
      <c r="B1511" s="13" t="s">
        <v>27</v>
      </c>
      <c r="C1511" s="13" t="s">
        <v>31</v>
      </c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</row>
    <row r="1512" spans="1:19" ht="13.5" hidden="1" customHeight="1" x14ac:dyDescent="0.3">
      <c r="A1512" s="12"/>
      <c r="B1512" s="13"/>
      <c r="C1512" s="44" t="s">
        <v>26</v>
      </c>
      <c r="D1512" s="44"/>
      <c r="E1512" s="44"/>
      <c r="F1512" s="44"/>
      <c r="G1512" s="44"/>
      <c r="H1512" s="44"/>
      <c r="I1512" s="44"/>
      <c r="J1512" s="44"/>
      <c r="K1512" s="44"/>
      <c r="L1512" s="44"/>
      <c r="M1512" s="44"/>
      <c r="N1512" s="44"/>
      <c r="O1512" s="44"/>
      <c r="P1512" s="44"/>
      <c r="Q1512" s="44"/>
    </row>
    <row r="1513" spans="1:19" ht="13.5" hidden="1" customHeight="1" x14ac:dyDescent="0.25">
      <c r="A1513" s="38" t="s">
        <v>11</v>
      </c>
      <c r="B1513" s="38"/>
      <c r="C1513" s="14" t="s">
        <v>12</v>
      </c>
      <c r="D1513" s="14" t="s">
        <v>10</v>
      </c>
      <c r="E1513" s="14" t="s">
        <v>9</v>
      </c>
      <c r="F1513" s="14" t="s">
        <v>6</v>
      </c>
      <c r="G1513" s="14" t="s">
        <v>5</v>
      </c>
      <c r="H1513" s="14" t="s">
        <v>3</v>
      </c>
      <c r="I1513" s="14" t="s">
        <v>4</v>
      </c>
      <c r="J1513" s="14" t="s">
        <v>8</v>
      </c>
      <c r="K1513" s="14" t="s">
        <v>7</v>
      </c>
      <c r="L1513" s="14" t="s">
        <v>4</v>
      </c>
      <c r="M1513" s="14"/>
      <c r="N1513" s="14"/>
      <c r="O1513" s="14" t="s">
        <v>8</v>
      </c>
      <c r="P1513" s="14" t="s">
        <v>7</v>
      </c>
      <c r="Q1513" s="8"/>
    </row>
    <row r="1514" spans="1:19" ht="13.5" hidden="1" customHeight="1" x14ac:dyDescent="0.25">
      <c r="A1514" s="38" t="s">
        <v>13</v>
      </c>
      <c r="B1514" s="38"/>
      <c r="C1514" s="14">
        <v>4</v>
      </c>
      <c r="D1514" s="14">
        <v>3.7</v>
      </c>
      <c r="E1514" s="14">
        <v>3.5</v>
      </c>
      <c r="F1514" s="14">
        <v>3</v>
      </c>
      <c r="G1514" s="14">
        <v>2.5</v>
      </c>
      <c r="H1514" s="14">
        <v>2</v>
      </c>
      <c r="I1514" s="14">
        <v>1.5</v>
      </c>
      <c r="J1514" s="14">
        <v>1</v>
      </c>
      <c r="K1514" s="14">
        <v>0</v>
      </c>
      <c r="L1514" s="14">
        <v>1.5</v>
      </c>
      <c r="M1514" s="14"/>
      <c r="N1514" s="14"/>
      <c r="O1514" s="14">
        <v>1</v>
      </c>
      <c r="P1514" s="14">
        <v>0</v>
      </c>
      <c r="Q1514" s="8"/>
      <c r="R1514" s="5"/>
      <c r="S1514" s="5"/>
    </row>
    <row r="1515" spans="1:19" ht="13.5" hidden="1" customHeight="1" x14ac:dyDescent="0.25">
      <c r="A1515" s="38" t="s">
        <v>14</v>
      </c>
      <c r="B1515" s="38"/>
      <c r="C1515" s="15" t="s">
        <v>23</v>
      </c>
      <c r="D1515" s="14" t="s">
        <v>15</v>
      </c>
      <c r="E1515" s="14" t="s">
        <v>16</v>
      </c>
      <c r="F1515" s="14" t="s">
        <v>17</v>
      </c>
      <c r="G1515" s="14" t="s">
        <v>18</v>
      </c>
      <c r="H1515" s="14" t="s">
        <v>19</v>
      </c>
      <c r="I1515" s="14" t="s">
        <v>20</v>
      </c>
      <c r="J1515" s="14" t="s">
        <v>21</v>
      </c>
      <c r="K1515" s="14" t="s">
        <v>22</v>
      </c>
      <c r="L1515" s="14" t="s">
        <v>20</v>
      </c>
      <c r="M1515" s="14"/>
      <c r="N1515" s="14"/>
      <c r="O1515" s="14" t="s">
        <v>21</v>
      </c>
      <c r="P1515" s="14" t="s">
        <v>22</v>
      </c>
      <c r="Q1515" s="8"/>
      <c r="R1515" s="5"/>
      <c r="S1515" s="5"/>
    </row>
    <row r="1516" spans="1:19" ht="13.5" hidden="1" customHeight="1" x14ac:dyDescent="0.25">
      <c r="A1516" s="16"/>
      <c r="B1516" s="38" t="s">
        <v>25</v>
      </c>
      <c r="C1516" s="38"/>
      <c r="D1516" s="38"/>
      <c r="E1516" s="38"/>
      <c r="F1516" s="38"/>
      <c r="G1516" s="38"/>
      <c r="H1516" s="38"/>
      <c r="I1516" s="38"/>
      <c r="J1516" s="38"/>
      <c r="K1516" s="38"/>
      <c r="L1516" s="38"/>
      <c r="M1516" s="38"/>
      <c r="N1516" s="38"/>
      <c r="O1516" s="38"/>
      <c r="P1516" s="38"/>
      <c r="Q1516" s="38"/>
      <c r="R1516" s="4"/>
      <c r="S1516" s="4"/>
    </row>
    <row r="1517" spans="1:19" ht="13.5" hidden="1" customHeight="1" x14ac:dyDescent="0.25">
      <c r="A1517" s="16"/>
      <c r="B1517" s="38"/>
      <c r="C1517" s="38"/>
      <c r="D1517" s="38"/>
      <c r="E1517" s="38"/>
      <c r="F1517" s="38"/>
      <c r="G1517" s="38"/>
      <c r="H1517" s="38"/>
      <c r="I1517" s="38"/>
      <c r="J1517" s="38"/>
      <c r="K1517" s="38"/>
      <c r="L1517" s="38"/>
      <c r="M1517" s="38"/>
      <c r="N1517" s="38"/>
      <c r="O1517" s="38"/>
      <c r="P1517" s="38"/>
      <c r="Q1517" s="38"/>
      <c r="R1517" s="4"/>
      <c r="S1517" s="4"/>
    </row>
    <row r="1518" spans="1:19" ht="16.8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</row>
  </sheetData>
  <sheetProtection selectLockedCells="1" selectUnlockedCells="1"/>
  <mergeCells count="1476">
    <mergeCell ref="H1442:H1443"/>
    <mergeCell ref="S1333:S1334"/>
    <mergeCell ref="I1333:I1334"/>
    <mergeCell ref="A1333:A1334"/>
    <mergeCell ref="J1333:Q1333"/>
    <mergeCell ref="H1333:H1334"/>
    <mergeCell ref="B1442:G1443"/>
    <mergeCell ref="S1442:S1443"/>
    <mergeCell ref="I1442:I1443"/>
    <mergeCell ref="A1442:A1443"/>
    <mergeCell ref="J1442:Q1442"/>
    <mergeCell ref="H1123:H1124"/>
    <mergeCell ref="B1228:G1229"/>
    <mergeCell ref="S1228:S1229"/>
    <mergeCell ref="I1228:I1229"/>
    <mergeCell ref="A1228:A1229"/>
    <mergeCell ref="J1228:Q1228"/>
    <mergeCell ref="H1228:H1229"/>
    <mergeCell ref="S1018:S1019"/>
    <mergeCell ref="I1018:I1019"/>
    <mergeCell ref="A1018:A1019"/>
    <mergeCell ref="J1018:Q1018"/>
    <mergeCell ref="H1018:H1019"/>
    <mergeCell ref="B1123:G1124"/>
    <mergeCell ref="S1123:S1124"/>
    <mergeCell ref="I1123:I1124"/>
    <mergeCell ref="A1123:A1124"/>
    <mergeCell ref="J1123:Q1123"/>
    <mergeCell ref="H804:H805"/>
    <mergeCell ref="B909:G910"/>
    <mergeCell ref="S909:S910"/>
    <mergeCell ref="I909:I910"/>
    <mergeCell ref="A909:A910"/>
    <mergeCell ref="J909:Q909"/>
    <mergeCell ref="H909:H910"/>
    <mergeCell ref="S695:S696"/>
    <mergeCell ref="I695:I696"/>
    <mergeCell ref="A695:A696"/>
    <mergeCell ref="J695:Q695"/>
    <mergeCell ref="H695:H696"/>
    <mergeCell ref="B804:G805"/>
    <mergeCell ref="S804:S805"/>
    <mergeCell ref="I804:I805"/>
    <mergeCell ref="A804:A805"/>
    <mergeCell ref="J804:Q804"/>
    <mergeCell ref="H477:H478"/>
    <mergeCell ref="B590:G591"/>
    <mergeCell ref="S590:S591"/>
    <mergeCell ref="I590:I591"/>
    <mergeCell ref="A590:A591"/>
    <mergeCell ref="J590:Q590"/>
    <mergeCell ref="H590:H591"/>
    <mergeCell ref="S368:S369"/>
    <mergeCell ref="I368:I369"/>
    <mergeCell ref="A368:A369"/>
    <mergeCell ref="J368:Q368"/>
    <mergeCell ref="H368:H369"/>
    <mergeCell ref="B477:G478"/>
    <mergeCell ref="S477:S478"/>
    <mergeCell ref="I477:I478"/>
    <mergeCell ref="A477:A478"/>
    <mergeCell ref="J477:Q477"/>
    <mergeCell ref="I154:I155"/>
    <mergeCell ref="A154:A155"/>
    <mergeCell ref="J154:Q154"/>
    <mergeCell ref="H154:H155"/>
    <mergeCell ref="B259:G260"/>
    <mergeCell ref="S259:S260"/>
    <mergeCell ref="I259:I260"/>
    <mergeCell ref="A259:A260"/>
    <mergeCell ref="J259:Q259"/>
    <mergeCell ref="H259:H260"/>
    <mergeCell ref="B1495:G1495"/>
    <mergeCell ref="B1496:G1496"/>
    <mergeCell ref="B49:G50"/>
    <mergeCell ref="S49:S50"/>
    <mergeCell ref="I49:I50"/>
    <mergeCell ref="A49:A50"/>
    <mergeCell ref="J49:Q49"/>
    <mergeCell ref="H49:H50"/>
    <mergeCell ref="B154:G155"/>
    <mergeCell ref="S154:S155"/>
    <mergeCell ref="B1485:G1485"/>
    <mergeCell ref="B1486:G1486"/>
    <mergeCell ref="B1491:G1491"/>
    <mergeCell ref="B1492:G1492"/>
    <mergeCell ref="B1493:G1493"/>
    <mergeCell ref="B1494:G1494"/>
    <mergeCell ref="B1479:G1479"/>
    <mergeCell ref="B1480:G1480"/>
    <mergeCell ref="B1481:G1481"/>
    <mergeCell ref="B1482:G1482"/>
    <mergeCell ref="B1483:G1483"/>
    <mergeCell ref="B1484:G1484"/>
    <mergeCell ref="B1469:G1469"/>
    <mergeCell ref="B1470:G1470"/>
    <mergeCell ref="B1471:G1471"/>
    <mergeCell ref="B1472:G1472"/>
    <mergeCell ref="B1473:G1473"/>
    <mergeCell ref="B1478:G1478"/>
    <mergeCell ref="B1455:G1455"/>
    <mergeCell ref="B1456:G1456"/>
    <mergeCell ref="B1465:G1465"/>
    <mergeCell ref="B1466:G1466"/>
    <mergeCell ref="B1467:G1467"/>
    <mergeCell ref="B1468:G1468"/>
    <mergeCell ref="B1449:G1449"/>
    <mergeCell ref="B1450:G1450"/>
    <mergeCell ref="B1451:G1451"/>
    <mergeCell ref="B1452:G1452"/>
    <mergeCell ref="B1453:G1453"/>
    <mergeCell ref="B1454:G1454"/>
    <mergeCell ref="B1420:G1420"/>
    <mergeCell ref="B1421:G1421"/>
    <mergeCell ref="B1430:G1430"/>
    <mergeCell ref="B1431:G1431"/>
    <mergeCell ref="B1432:G1432"/>
    <mergeCell ref="B1433:G1433"/>
    <mergeCell ref="B1410:G1410"/>
    <mergeCell ref="B1411:G1411"/>
    <mergeCell ref="B1416:G1416"/>
    <mergeCell ref="B1417:G1417"/>
    <mergeCell ref="B1418:G1418"/>
    <mergeCell ref="B1419:G1419"/>
    <mergeCell ref="B1498:G1498"/>
    <mergeCell ref="B1415:G1415"/>
    <mergeCell ref="B1425:G1425"/>
    <mergeCell ref="B1429:G1429"/>
    <mergeCell ref="B1440:G1440"/>
    <mergeCell ref="B1446:G1446"/>
    <mergeCell ref="B1460:G1460"/>
    <mergeCell ref="B1464:G1464"/>
    <mergeCell ref="B1477:G1477"/>
    <mergeCell ref="B1490:G1490"/>
    <mergeCell ref="A1489:S1489"/>
    <mergeCell ref="B1423:G1423"/>
    <mergeCell ref="B1427:G1427"/>
    <mergeCell ref="B1438:G1438"/>
    <mergeCell ref="B1444:G1444"/>
    <mergeCell ref="B1458:G1458"/>
    <mergeCell ref="B1462:G1462"/>
    <mergeCell ref="B1475:G1475"/>
    <mergeCell ref="B1488:G1488"/>
    <mergeCell ref="B1434:G1434"/>
    <mergeCell ref="A1428:S1428"/>
    <mergeCell ref="A1439:S1439"/>
    <mergeCell ref="A1445:S1445"/>
    <mergeCell ref="A1459:S1459"/>
    <mergeCell ref="A1463:S1463"/>
    <mergeCell ref="A1476:S1476"/>
    <mergeCell ref="B1435:G1435"/>
    <mergeCell ref="B1436:G1436"/>
    <mergeCell ref="B1447:G1447"/>
    <mergeCell ref="B1448:G1448"/>
    <mergeCell ref="B1376:G1376"/>
    <mergeCell ref="B1377:G1377"/>
    <mergeCell ref="B1378:G1378"/>
    <mergeCell ref="B1379:G1379"/>
    <mergeCell ref="A1414:S1414"/>
    <mergeCell ref="A1424:S1424"/>
    <mergeCell ref="B1406:G1406"/>
    <mergeCell ref="B1407:G1407"/>
    <mergeCell ref="B1408:G1408"/>
    <mergeCell ref="B1409:G1409"/>
    <mergeCell ref="B1366:G1366"/>
    <mergeCell ref="B1367:G1367"/>
    <mergeCell ref="B1368:G1368"/>
    <mergeCell ref="B1369:G1369"/>
    <mergeCell ref="B1374:G1374"/>
    <mergeCell ref="B1375:G1375"/>
    <mergeCell ref="B1356:G1356"/>
    <mergeCell ref="B1361:G1361"/>
    <mergeCell ref="B1362:G1362"/>
    <mergeCell ref="B1363:G1363"/>
    <mergeCell ref="B1364:G1364"/>
    <mergeCell ref="B1365:G1365"/>
    <mergeCell ref="B1350:G1350"/>
    <mergeCell ref="B1351:G1351"/>
    <mergeCell ref="B1352:G1352"/>
    <mergeCell ref="B1353:G1353"/>
    <mergeCell ref="B1354:G1354"/>
    <mergeCell ref="B1355:G1355"/>
    <mergeCell ref="B1340:G1340"/>
    <mergeCell ref="B1341:G1341"/>
    <mergeCell ref="B1342:G1342"/>
    <mergeCell ref="B1343:G1343"/>
    <mergeCell ref="B1348:G1348"/>
    <mergeCell ref="B1349:G1349"/>
    <mergeCell ref="B1332:G1332"/>
    <mergeCell ref="B1335:G1335"/>
    <mergeCell ref="B1336:G1336"/>
    <mergeCell ref="B1337:G1337"/>
    <mergeCell ref="B1338:G1338"/>
    <mergeCell ref="B1339:G1339"/>
    <mergeCell ref="B1333:G1334"/>
    <mergeCell ref="B1318:G1318"/>
    <mergeCell ref="B1319:G1319"/>
    <mergeCell ref="B1320:G1320"/>
    <mergeCell ref="B1321:G1321"/>
    <mergeCell ref="B1322:G1322"/>
    <mergeCell ref="B1323:G1323"/>
    <mergeCell ref="B1301:G1301"/>
    <mergeCell ref="B1302:G1302"/>
    <mergeCell ref="B1307:G1307"/>
    <mergeCell ref="B1308:G1308"/>
    <mergeCell ref="B1309:G1309"/>
    <mergeCell ref="B1310:G1310"/>
    <mergeCell ref="B1381:G1381"/>
    <mergeCell ref="B1306:G1306"/>
    <mergeCell ref="B1316:G1316"/>
    <mergeCell ref="B1327:G1327"/>
    <mergeCell ref="B1331:G1331"/>
    <mergeCell ref="B1347:G1347"/>
    <mergeCell ref="B1360:G1360"/>
    <mergeCell ref="B1373:G1373"/>
    <mergeCell ref="B1311:G1311"/>
    <mergeCell ref="B1312:G1312"/>
    <mergeCell ref="A1346:S1346"/>
    <mergeCell ref="A1359:S1359"/>
    <mergeCell ref="A1372:S1372"/>
    <mergeCell ref="B1314:G1314"/>
    <mergeCell ref="B1325:G1325"/>
    <mergeCell ref="B1329:G1329"/>
    <mergeCell ref="B1345:G1345"/>
    <mergeCell ref="B1358:G1358"/>
    <mergeCell ref="B1371:G1371"/>
    <mergeCell ref="B1317:G1317"/>
    <mergeCell ref="B1269:G1269"/>
    <mergeCell ref="B1270:G1270"/>
    <mergeCell ref="A1305:S1305"/>
    <mergeCell ref="A1315:S1315"/>
    <mergeCell ref="A1326:S1326"/>
    <mergeCell ref="A1330:S1330"/>
    <mergeCell ref="B1297:G1297"/>
    <mergeCell ref="B1298:G1298"/>
    <mergeCell ref="B1299:G1299"/>
    <mergeCell ref="B1300:G1300"/>
    <mergeCell ref="B1259:G1259"/>
    <mergeCell ref="B1260:G1260"/>
    <mergeCell ref="B1265:G1265"/>
    <mergeCell ref="B1266:G1266"/>
    <mergeCell ref="B1267:G1267"/>
    <mergeCell ref="B1268:G1268"/>
    <mergeCell ref="B1253:G1253"/>
    <mergeCell ref="B1254:G1254"/>
    <mergeCell ref="B1255:G1255"/>
    <mergeCell ref="B1256:G1256"/>
    <mergeCell ref="B1257:G1257"/>
    <mergeCell ref="B1258:G1258"/>
    <mergeCell ref="B1243:G1243"/>
    <mergeCell ref="B1244:G1244"/>
    <mergeCell ref="B1245:G1245"/>
    <mergeCell ref="B1246:G1246"/>
    <mergeCell ref="B1247:G1247"/>
    <mergeCell ref="B1252:G1252"/>
    <mergeCell ref="B1233:G1233"/>
    <mergeCell ref="B1234:G1234"/>
    <mergeCell ref="B1239:G1239"/>
    <mergeCell ref="B1240:G1240"/>
    <mergeCell ref="B1241:G1241"/>
    <mergeCell ref="B1242:G1242"/>
    <mergeCell ref="B1225:G1225"/>
    <mergeCell ref="B1226:G1226"/>
    <mergeCell ref="B1227:G1227"/>
    <mergeCell ref="B1230:G1230"/>
    <mergeCell ref="B1231:G1231"/>
    <mergeCell ref="B1232:G1232"/>
    <mergeCell ref="B1215:G1215"/>
    <mergeCell ref="B1216:G1216"/>
    <mergeCell ref="B1217:G1217"/>
    <mergeCell ref="B1218:G1218"/>
    <mergeCell ref="B1223:G1223"/>
    <mergeCell ref="B1224:G1224"/>
    <mergeCell ref="B1196:G1196"/>
    <mergeCell ref="B1197:G1197"/>
    <mergeCell ref="B1202:G1202"/>
    <mergeCell ref="B1203:G1203"/>
    <mergeCell ref="B1204:G1204"/>
    <mergeCell ref="B1205:G1205"/>
    <mergeCell ref="B1272:G1272"/>
    <mergeCell ref="B1201:G1201"/>
    <mergeCell ref="B1211:G1211"/>
    <mergeCell ref="B1222:G1222"/>
    <mergeCell ref="B1238:G1238"/>
    <mergeCell ref="B1251:G1251"/>
    <mergeCell ref="B1264:G1264"/>
    <mergeCell ref="B1206:G1206"/>
    <mergeCell ref="B1207:G1207"/>
    <mergeCell ref="B1212:G1212"/>
    <mergeCell ref="A1237:S1237"/>
    <mergeCell ref="A1250:S1250"/>
    <mergeCell ref="A1263:S1263"/>
    <mergeCell ref="B1209:G1209"/>
    <mergeCell ref="B1220:G1220"/>
    <mergeCell ref="B1236:G1236"/>
    <mergeCell ref="B1249:G1249"/>
    <mergeCell ref="B1262:G1262"/>
    <mergeCell ref="B1213:G1213"/>
    <mergeCell ref="B1214:G1214"/>
    <mergeCell ref="B1163:G1163"/>
    <mergeCell ref="B1164:G1164"/>
    <mergeCell ref="B1165:G1165"/>
    <mergeCell ref="A1200:S1200"/>
    <mergeCell ref="A1210:S1210"/>
    <mergeCell ref="A1221:S1221"/>
    <mergeCell ref="B1192:G1192"/>
    <mergeCell ref="B1193:G1193"/>
    <mergeCell ref="B1194:G1194"/>
    <mergeCell ref="B1195:G1195"/>
    <mergeCell ref="B1153:G1153"/>
    <mergeCell ref="B1154:G1154"/>
    <mergeCell ref="B1155:G1155"/>
    <mergeCell ref="B1160:G1160"/>
    <mergeCell ref="B1161:G1161"/>
    <mergeCell ref="B1162:G1162"/>
    <mergeCell ref="B1147:G1147"/>
    <mergeCell ref="B1148:G1148"/>
    <mergeCell ref="B1149:G1149"/>
    <mergeCell ref="B1150:G1150"/>
    <mergeCell ref="B1151:G1151"/>
    <mergeCell ref="B1152:G1152"/>
    <mergeCell ref="B1137:G1137"/>
    <mergeCell ref="B1138:G1138"/>
    <mergeCell ref="B1139:G1139"/>
    <mergeCell ref="B1140:G1140"/>
    <mergeCell ref="B1141:G1141"/>
    <mergeCell ref="B1142:G1142"/>
    <mergeCell ref="B1127:G1127"/>
    <mergeCell ref="B1128:G1128"/>
    <mergeCell ref="B1129:G1129"/>
    <mergeCell ref="B1134:G1134"/>
    <mergeCell ref="B1135:G1135"/>
    <mergeCell ref="B1136:G1136"/>
    <mergeCell ref="B1119:G1119"/>
    <mergeCell ref="B1120:G1120"/>
    <mergeCell ref="B1121:G1121"/>
    <mergeCell ref="B1122:G1122"/>
    <mergeCell ref="B1125:G1125"/>
    <mergeCell ref="B1126:G1126"/>
    <mergeCell ref="B1109:G1109"/>
    <mergeCell ref="B1110:G1110"/>
    <mergeCell ref="B1111:G1111"/>
    <mergeCell ref="B1112:G1112"/>
    <mergeCell ref="B1113:G1113"/>
    <mergeCell ref="B1118:G1118"/>
    <mergeCell ref="B1099:G1099"/>
    <mergeCell ref="B1100:G1100"/>
    <mergeCell ref="B1101:G1101"/>
    <mergeCell ref="B1102:G1102"/>
    <mergeCell ref="B1107:G1107"/>
    <mergeCell ref="B1108:G1108"/>
    <mergeCell ref="B1087:G1087"/>
    <mergeCell ref="B1088:G1088"/>
    <mergeCell ref="B1089:G1089"/>
    <mergeCell ref="B1090:G1090"/>
    <mergeCell ref="B1091:G1091"/>
    <mergeCell ref="B1092:G1092"/>
    <mergeCell ref="B1157:G1157"/>
    <mergeCell ref="B1167:G1167"/>
    <mergeCell ref="B1096:G1096"/>
    <mergeCell ref="B1106:G1106"/>
    <mergeCell ref="B1117:G1117"/>
    <mergeCell ref="B1133:G1133"/>
    <mergeCell ref="B1146:G1146"/>
    <mergeCell ref="B1159:G1159"/>
    <mergeCell ref="B1097:G1097"/>
    <mergeCell ref="B1098:G1098"/>
    <mergeCell ref="A1095:S1095"/>
    <mergeCell ref="A1105:S1105"/>
    <mergeCell ref="A1116:S1116"/>
    <mergeCell ref="A1132:S1132"/>
    <mergeCell ref="A1145:S1145"/>
    <mergeCell ref="A1158:S1158"/>
    <mergeCell ref="B1104:G1104"/>
    <mergeCell ref="B1115:G1115"/>
    <mergeCell ref="B1131:G1131"/>
    <mergeCell ref="B1144:G1144"/>
    <mergeCell ref="B1055:G1055"/>
    <mergeCell ref="B1056:G1056"/>
    <mergeCell ref="B1057:G1057"/>
    <mergeCell ref="B1058:G1058"/>
    <mergeCell ref="B1059:G1059"/>
    <mergeCell ref="B1060:G1060"/>
    <mergeCell ref="B1045:G1045"/>
    <mergeCell ref="B1046:G1046"/>
    <mergeCell ref="B1047:G1047"/>
    <mergeCell ref="B1048:G1048"/>
    <mergeCell ref="B1049:G1049"/>
    <mergeCell ref="B1050:G1050"/>
    <mergeCell ref="B1035:G1035"/>
    <mergeCell ref="B1036:G1036"/>
    <mergeCell ref="B1037:G1037"/>
    <mergeCell ref="B1042:G1042"/>
    <mergeCell ref="B1043:G1043"/>
    <mergeCell ref="B1044:G1044"/>
    <mergeCell ref="B1029:G1029"/>
    <mergeCell ref="B1030:G1030"/>
    <mergeCell ref="B1031:G1031"/>
    <mergeCell ref="B1032:G1032"/>
    <mergeCell ref="B1033:G1033"/>
    <mergeCell ref="B1034:G1034"/>
    <mergeCell ref="B1017:G1017"/>
    <mergeCell ref="B1020:G1020"/>
    <mergeCell ref="B1021:G1021"/>
    <mergeCell ref="B1022:G1022"/>
    <mergeCell ref="B1023:G1023"/>
    <mergeCell ref="B1024:G1024"/>
    <mergeCell ref="B1018:G1019"/>
    <mergeCell ref="B1007:G1007"/>
    <mergeCell ref="B1008:G1008"/>
    <mergeCell ref="B1013:G1013"/>
    <mergeCell ref="B1014:G1014"/>
    <mergeCell ref="B1015:G1015"/>
    <mergeCell ref="B1016:G1016"/>
    <mergeCell ref="B986:G986"/>
    <mergeCell ref="B987:G987"/>
    <mergeCell ref="B992:G992"/>
    <mergeCell ref="B993:G993"/>
    <mergeCell ref="B994:G994"/>
    <mergeCell ref="B995:G995"/>
    <mergeCell ref="B1062:G1062"/>
    <mergeCell ref="B991:G991"/>
    <mergeCell ref="B1001:G1001"/>
    <mergeCell ref="B1012:G1012"/>
    <mergeCell ref="B1028:G1028"/>
    <mergeCell ref="B1041:G1041"/>
    <mergeCell ref="B1054:G1054"/>
    <mergeCell ref="B996:G996"/>
    <mergeCell ref="B997:G997"/>
    <mergeCell ref="B1002:G1002"/>
    <mergeCell ref="A1053:S1053"/>
    <mergeCell ref="B999:G999"/>
    <mergeCell ref="B1010:G1010"/>
    <mergeCell ref="B1026:G1026"/>
    <mergeCell ref="B1039:G1039"/>
    <mergeCell ref="B1052:G1052"/>
    <mergeCell ref="B1003:G1003"/>
    <mergeCell ref="B1004:G1004"/>
    <mergeCell ref="B1005:G1005"/>
    <mergeCell ref="B1006:G1006"/>
    <mergeCell ref="B955:G955"/>
    <mergeCell ref="A990:S990"/>
    <mergeCell ref="A1000:S1000"/>
    <mergeCell ref="A1011:S1011"/>
    <mergeCell ref="A1027:S1027"/>
    <mergeCell ref="A1040:S1040"/>
    <mergeCell ref="B982:G982"/>
    <mergeCell ref="B983:G983"/>
    <mergeCell ref="B984:G984"/>
    <mergeCell ref="B985:G985"/>
    <mergeCell ref="B945:G945"/>
    <mergeCell ref="B950:G950"/>
    <mergeCell ref="B951:G951"/>
    <mergeCell ref="B952:G952"/>
    <mergeCell ref="B953:G953"/>
    <mergeCell ref="B954:G954"/>
    <mergeCell ref="B939:G939"/>
    <mergeCell ref="B940:G940"/>
    <mergeCell ref="B941:G941"/>
    <mergeCell ref="B942:G942"/>
    <mergeCell ref="B943:G943"/>
    <mergeCell ref="B944:G944"/>
    <mergeCell ref="B929:G929"/>
    <mergeCell ref="B930:G930"/>
    <mergeCell ref="B931:G931"/>
    <mergeCell ref="B932:G932"/>
    <mergeCell ref="B937:G937"/>
    <mergeCell ref="B938:G938"/>
    <mergeCell ref="B915:G915"/>
    <mergeCell ref="B924:G924"/>
    <mergeCell ref="B925:G925"/>
    <mergeCell ref="B926:G926"/>
    <mergeCell ref="B927:G927"/>
    <mergeCell ref="B928:G928"/>
    <mergeCell ref="B907:G907"/>
    <mergeCell ref="B908:G908"/>
    <mergeCell ref="B911:G911"/>
    <mergeCell ref="B912:G912"/>
    <mergeCell ref="B913:G913"/>
    <mergeCell ref="B914:G914"/>
    <mergeCell ref="B897:G897"/>
    <mergeCell ref="B898:G898"/>
    <mergeCell ref="B899:G899"/>
    <mergeCell ref="B904:G904"/>
    <mergeCell ref="B905:G905"/>
    <mergeCell ref="B906:G906"/>
    <mergeCell ref="B887:G887"/>
    <mergeCell ref="B888:G888"/>
    <mergeCell ref="B893:G893"/>
    <mergeCell ref="B894:G894"/>
    <mergeCell ref="B895:G895"/>
    <mergeCell ref="B896:G896"/>
    <mergeCell ref="B936:G936"/>
    <mergeCell ref="B949:G949"/>
    <mergeCell ref="B873:G873"/>
    <mergeCell ref="B874:G874"/>
    <mergeCell ref="B875:G875"/>
    <mergeCell ref="B876:G876"/>
    <mergeCell ref="B877:G877"/>
    <mergeCell ref="B878:G878"/>
    <mergeCell ref="B883:G883"/>
    <mergeCell ref="B884:G884"/>
    <mergeCell ref="B917:G917"/>
    <mergeCell ref="B921:G921"/>
    <mergeCell ref="B934:G934"/>
    <mergeCell ref="B947:G947"/>
    <mergeCell ref="B957:G957"/>
    <mergeCell ref="B882:G882"/>
    <mergeCell ref="B892:G892"/>
    <mergeCell ref="B903:G903"/>
    <mergeCell ref="B919:G919"/>
    <mergeCell ref="B923:G923"/>
    <mergeCell ref="B848:G848"/>
    <mergeCell ref="B849:G849"/>
    <mergeCell ref="B850:G850"/>
    <mergeCell ref="A881:S881"/>
    <mergeCell ref="A891:S891"/>
    <mergeCell ref="A902:S902"/>
    <mergeCell ref="B890:G890"/>
    <mergeCell ref="B901:G901"/>
    <mergeCell ref="B885:G885"/>
    <mergeCell ref="B886:G886"/>
    <mergeCell ref="B838:G838"/>
    <mergeCell ref="B839:G839"/>
    <mergeCell ref="B840:G840"/>
    <mergeCell ref="B845:G845"/>
    <mergeCell ref="B846:G846"/>
    <mergeCell ref="B847:G847"/>
    <mergeCell ref="B832:G832"/>
    <mergeCell ref="B833:G833"/>
    <mergeCell ref="B834:G834"/>
    <mergeCell ref="B835:G835"/>
    <mergeCell ref="B836:G836"/>
    <mergeCell ref="B837:G837"/>
    <mergeCell ref="B822:G822"/>
    <mergeCell ref="B823:G823"/>
    <mergeCell ref="B824:G824"/>
    <mergeCell ref="B825:G825"/>
    <mergeCell ref="B826:G826"/>
    <mergeCell ref="B827:G827"/>
    <mergeCell ref="B812:G812"/>
    <mergeCell ref="B813:G813"/>
    <mergeCell ref="B814:G814"/>
    <mergeCell ref="B819:G819"/>
    <mergeCell ref="B820:G820"/>
    <mergeCell ref="B821:G821"/>
    <mergeCell ref="B806:G806"/>
    <mergeCell ref="B807:G807"/>
    <mergeCell ref="B808:G808"/>
    <mergeCell ref="B809:G809"/>
    <mergeCell ref="B810:G810"/>
    <mergeCell ref="B811:G811"/>
    <mergeCell ref="B772:G772"/>
    <mergeCell ref="B773:G773"/>
    <mergeCell ref="B778:G778"/>
    <mergeCell ref="B779:G779"/>
    <mergeCell ref="B780:G780"/>
    <mergeCell ref="B781:G781"/>
    <mergeCell ref="B852:G852"/>
    <mergeCell ref="B777:G777"/>
    <mergeCell ref="B787:G787"/>
    <mergeCell ref="B798:G798"/>
    <mergeCell ref="B802:G802"/>
    <mergeCell ref="B818:G818"/>
    <mergeCell ref="B831:G831"/>
    <mergeCell ref="B844:G844"/>
    <mergeCell ref="B782:G782"/>
    <mergeCell ref="B783:G783"/>
    <mergeCell ref="B785:G785"/>
    <mergeCell ref="B796:G796"/>
    <mergeCell ref="B800:G800"/>
    <mergeCell ref="B816:G816"/>
    <mergeCell ref="B829:G829"/>
    <mergeCell ref="B842:G842"/>
    <mergeCell ref="B788:G788"/>
    <mergeCell ref="B789:G789"/>
    <mergeCell ref="B790:G790"/>
    <mergeCell ref="B791:G791"/>
    <mergeCell ref="A786:S786"/>
    <mergeCell ref="A797:S797"/>
    <mergeCell ref="A801:S801"/>
    <mergeCell ref="A817:S817"/>
    <mergeCell ref="A830:S830"/>
    <mergeCell ref="A843:S843"/>
    <mergeCell ref="B792:G792"/>
    <mergeCell ref="B793:G793"/>
    <mergeCell ref="B794:G794"/>
    <mergeCell ref="B803:G803"/>
    <mergeCell ref="B737:G737"/>
    <mergeCell ref="B738:G738"/>
    <mergeCell ref="B739:G739"/>
    <mergeCell ref="B740:G740"/>
    <mergeCell ref="B741:G741"/>
    <mergeCell ref="A776:S776"/>
    <mergeCell ref="B768:G768"/>
    <mergeCell ref="B769:G769"/>
    <mergeCell ref="B770:G770"/>
    <mergeCell ref="B771:G771"/>
    <mergeCell ref="B727:G727"/>
    <mergeCell ref="B728:G728"/>
    <mergeCell ref="B729:G729"/>
    <mergeCell ref="B730:G730"/>
    <mergeCell ref="B731:G731"/>
    <mergeCell ref="B736:G736"/>
    <mergeCell ref="B717:G717"/>
    <mergeCell ref="B718:G718"/>
    <mergeCell ref="B723:G723"/>
    <mergeCell ref="B724:G724"/>
    <mergeCell ref="B725:G725"/>
    <mergeCell ref="B726:G726"/>
    <mergeCell ref="B711:G711"/>
    <mergeCell ref="B712:G712"/>
    <mergeCell ref="B713:G713"/>
    <mergeCell ref="B714:G714"/>
    <mergeCell ref="B715:G715"/>
    <mergeCell ref="B716:G716"/>
    <mergeCell ref="B701:G701"/>
    <mergeCell ref="B702:G702"/>
    <mergeCell ref="B703:G703"/>
    <mergeCell ref="B704:G704"/>
    <mergeCell ref="B705:G705"/>
    <mergeCell ref="B710:G710"/>
    <mergeCell ref="B685:G685"/>
    <mergeCell ref="B694:G694"/>
    <mergeCell ref="B697:G697"/>
    <mergeCell ref="B698:G698"/>
    <mergeCell ref="B699:G699"/>
    <mergeCell ref="B700:G700"/>
    <mergeCell ref="B695:G696"/>
    <mergeCell ref="B679:G679"/>
    <mergeCell ref="B680:G680"/>
    <mergeCell ref="B681:G681"/>
    <mergeCell ref="B682:G682"/>
    <mergeCell ref="B683:G683"/>
    <mergeCell ref="B684:G684"/>
    <mergeCell ref="B663:G663"/>
    <mergeCell ref="B664:G664"/>
    <mergeCell ref="B669:G669"/>
    <mergeCell ref="B670:G670"/>
    <mergeCell ref="B671:G671"/>
    <mergeCell ref="B672:G672"/>
    <mergeCell ref="B743:G743"/>
    <mergeCell ref="B668:G668"/>
    <mergeCell ref="B678:G678"/>
    <mergeCell ref="B689:G689"/>
    <mergeCell ref="B693:G693"/>
    <mergeCell ref="B709:G709"/>
    <mergeCell ref="B722:G722"/>
    <mergeCell ref="B735:G735"/>
    <mergeCell ref="B673:G673"/>
    <mergeCell ref="B674:G674"/>
    <mergeCell ref="A692:S692"/>
    <mergeCell ref="A708:S708"/>
    <mergeCell ref="A721:S721"/>
    <mergeCell ref="A734:S734"/>
    <mergeCell ref="B676:G676"/>
    <mergeCell ref="B687:G687"/>
    <mergeCell ref="B691:G691"/>
    <mergeCell ref="B707:G707"/>
    <mergeCell ref="B720:G720"/>
    <mergeCell ref="B733:G733"/>
    <mergeCell ref="B630:G630"/>
    <mergeCell ref="B631:G631"/>
    <mergeCell ref="B632:G632"/>
    <mergeCell ref="A667:S667"/>
    <mergeCell ref="A677:S677"/>
    <mergeCell ref="A688:S688"/>
    <mergeCell ref="B659:G659"/>
    <mergeCell ref="B660:G660"/>
    <mergeCell ref="B661:G661"/>
    <mergeCell ref="B662:G662"/>
    <mergeCell ref="B620:G620"/>
    <mergeCell ref="B621:G621"/>
    <mergeCell ref="B622:G622"/>
    <mergeCell ref="B627:G627"/>
    <mergeCell ref="B628:G628"/>
    <mergeCell ref="B629:G629"/>
    <mergeCell ref="B614:G614"/>
    <mergeCell ref="B615:G615"/>
    <mergeCell ref="B616:G616"/>
    <mergeCell ref="B617:G617"/>
    <mergeCell ref="B618:G618"/>
    <mergeCell ref="B619:G619"/>
    <mergeCell ref="B604:G604"/>
    <mergeCell ref="B605:G605"/>
    <mergeCell ref="B606:G606"/>
    <mergeCell ref="B607:G607"/>
    <mergeCell ref="B608:G608"/>
    <mergeCell ref="B609:G609"/>
    <mergeCell ref="B594:G594"/>
    <mergeCell ref="B595:G595"/>
    <mergeCell ref="B596:G596"/>
    <mergeCell ref="B601:G601"/>
    <mergeCell ref="B602:G602"/>
    <mergeCell ref="B603:G603"/>
    <mergeCell ref="B586:G586"/>
    <mergeCell ref="B587:G587"/>
    <mergeCell ref="B588:G588"/>
    <mergeCell ref="B589:G589"/>
    <mergeCell ref="B592:G592"/>
    <mergeCell ref="B593:G593"/>
    <mergeCell ref="B576:G576"/>
    <mergeCell ref="B577:G577"/>
    <mergeCell ref="B578:G578"/>
    <mergeCell ref="B579:G579"/>
    <mergeCell ref="B580:G580"/>
    <mergeCell ref="B585:G585"/>
    <mergeCell ref="B566:G566"/>
    <mergeCell ref="B567:G567"/>
    <mergeCell ref="B568:G568"/>
    <mergeCell ref="B569:G569"/>
    <mergeCell ref="B574:G574"/>
    <mergeCell ref="B575:G575"/>
    <mergeCell ref="B554:G554"/>
    <mergeCell ref="B555:G555"/>
    <mergeCell ref="B556:G556"/>
    <mergeCell ref="B557:G557"/>
    <mergeCell ref="B558:G558"/>
    <mergeCell ref="B559:G559"/>
    <mergeCell ref="B624:G624"/>
    <mergeCell ref="B634:G634"/>
    <mergeCell ref="B563:G563"/>
    <mergeCell ref="B573:G573"/>
    <mergeCell ref="B584:G584"/>
    <mergeCell ref="B600:G600"/>
    <mergeCell ref="B613:G613"/>
    <mergeCell ref="B626:G626"/>
    <mergeCell ref="B564:G564"/>
    <mergeCell ref="B565:G565"/>
    <mergeCell ref="A562:S562"/>
    <mergeCell ref="A572:S572"/>
    <mergeCell ref="A583:S583"/>
    <mergeCell ref="A599:S599"/>
    <mergeCell ref="A612:S612"/>
    <mergeCell ref="A625:S625"/>
    <mergeCell ref="B571:G571"/>
    <mergeCell ref="B582:G582"/>
    <mergeCell ref="B598:G598"/>
    <mergeCell ref="B611:G611"/>
    <mergeCell ref="B522:G522"/>
    <mergeCell ref="B523:G523"/>
    <mergeCell ref="B524:G524"/>
    <mergeCell ref="B525:G525"/>
    <mergeCell ref="B526:G526"/>
    <mergeCell ref="B527:G527"/>
    <mergeCell ref="B512:G512"/>
    <mergeCell ref="B513:G513"/>
    <mergeCell ref="B514:G514"/>
    <mergeCell ref="B515:G515"/>
    <mergeCell ref="B516:G516"/>
    <mergeCell ref="B517:G517"/>
    <mergeCell ref="B502:G502"/>
    <mergeCell ref="B503:G503"/>
    <mergeCell ref="B504:G504"/>
    <mergeCell ref="B509:G509"/>
    <mergeCell ref="B510:G510"/>
    <mergeCell ref="B511:G511"/>
    <mergeCell ref="B496:G496"/>
    <mergeCell ref="B497:G497"/>
    <mergeCell ref="B498:G498"/>
    <mergeCell ref="B499:G499"/>
    <mergeCell ref="B500:G500"/>
    <mergeCell ref="B501:G501"/>
    <mergeCell ref="B486:G486"/>
    <mergeCell ref="B487:G487"/>
    <mergeCell ref="B488:G488"/>
    <mergeCell ref="B489:G489"/>
    <mergeCell ref="B490:G490"/>
    <mergeCell ref="B491:G491"/>
    <mergeCell ref="B456:G456"/>
    <mergeCell ref="B469:G469"/>
    <mergeCell ref="B470:G470"/>
    <mergeCell ref="B471:G471"/>
    <mergeCell ref="B472:G472"/>
    <mergeCell ref="B473:G473"/>
    <mergeCell ref="B445:G445"/>
    <mergeCell ref="B446:G446"/>
    <mergeCell ref="B451:G451"/>
    <mergeCell ref="B452:G452"/>
    <mergeCell ref="B453:G453"/>
    <mergeCell ref="B454:G454"/>
    <mergeCell ref="B529:G529"/>
    <mergeCell ref="B450:G450"/>
    <mergeCell ref="B460:G460"/>
    <mergeCell ref="B464:G464"/>
    <mergeCell ref="B468:G468"/>
    <mergeCell ref="B481:G481"/>
    <mergeCell ref="B495:G495"/>
    <mergeCell ref="B508:G508"/>
    <mergeCell ref="B521:G521"/>
    <mergeCell ref="B455:G455"/>
    <mergeCell ref="A520:S520"/>
    <mergeCell ref="B458:G458"/>
    <mergeCell ref="B462:G462"/>
    <mergeCell ref="B466:G466"/>
    <mergeCell ref="B479:G479"/>
    <mergeCell ref="B493:G493"/>
    <mergeCell ref="B506:G506"/>
    <mergeCell ref="B519:G519"/>
    <mergeCell ref="B474:G474"/>
    <mergeCell ref="B475:G475"/>
    <mergeCell ref="A459:S459"/>
    <mergeCell ref="A463:S463"/>
    <mergeCell ref="A467:S467"/>
    <mergeCell ref="A480:S480"/>
    <mergeCell ref="A494:S494"/>
    <mergeCell ref="A507:S507"/>
    <mergeCell ref="B482:G482"/>
    <mergeCell ref="B483:G483"/>
    <mergeCell ref="B484:G484"/>
    <mergeCell ref="B485:G485"/>
    <mergeCell ref="B410:G410"/>
    <mergeCell ref="B411:G411"/>
    <mergeCell ref="B412:G412"/>
    <mergeCell ref="B413:G413"/>
    <mergeCell ref="B414:G414"/>
    <mergeCell ref="A449:S449"/>
    <mergeCell ref="B441:G441"/>
    <mergeCell ref="B442:G442"/>
    <mergeCell ref="B443:G443"/>
    <mergeCell ref="B444:G444"/>
    <mergeCell ref="B400:G400"/>
    <mergeCell ref="B401:G401"/>
    <mergeCell ref="B402:G402"/>
    <mergeCell ref="B403:G403"/>
    <mergeCell ref="B404:G404"/>
    <mergeCell ref="B409:G409"/>
    <mergeCell ref="B390:G390"/>
    <mergeCell ref="B391:G391"/>
    <mergeCell ref="B396:G396"/>
    <mergeCell ref="B397:G397"/>
    <mergeCell ref="B398:G398"/>
    <mergeCell ref="B399:G399"/>
    <mergeCell ref="B384:G384"/>
    <mergeCell ref="B385:G385"/>
    <mergeCell ref="B386:G386"/>
    <mergeCell ref="B387:G387"/>
    <mergeCell ref="B388:G388"/>
    <mergeCell ref="B389:G389"/>
    <mergeCell ref="B374:G374"/>
    <mergeCell ref="B375:G375"/>
    <mergeCell ref="B376:G376"/>
    <mergeCell ref="B377:G377"/>
    <mergeCell ref="B378:G378"/>
    <mergeCell ref="B383:G383"/>
    <mergeCell ref="B362:G362"/>
    <mergeCell ref="B367:G367"/>
    <mergeCell ref="B370:G370"/>
    <mergeCell ref="B371:G371"/>
    <mergeCell ref="B372:G372"/>
    <mergeCell ref="B373:G373"/>
    <mergeCell ref="B368:G369"/>
    <mergeCell ref="B356:G356"/>
    <mergeCell ref="B357:G357"/>
    <mergeCell ref="B358:G358"/>
    <mergeCell ref="B359:G359"/>
    <mergeCell ref="B360:G360"/>
    <mergeCell ref="B361:G361"/>
    <mergeCell ref="B336:G336"/>
    <mergeCell ref="B337:G337"/>
    <mergeCell ref="B342:G342"/>
    <mergeCell ref="B343:G343"/>
    <mergeCell ref="B344:G344"/>
    <mergeCell ref="B345:G345"/>
    <mergeCell ref="B416:G416"/>
    <mergeCell ref="B341:G341"/>
    <mergeCell ref="B351:G351"/>
    <mergeCell ref="B355:G355"/>
    <mergeCell ref="B366:G366"/>
    <mergeCell ref="B382:G382"/>
    <mergeCell ref="B395:G395"/>
    <mergeCell ref="B408:G408"/>
    <mergeCell ref="B346:G346"/>
    <mergeCell ref="B347:G347"/>
    <mergeCell ref="A365:S365"/>
    <mergeCell ref="A381:S381"/>
    <mergeCell ref="A394:S394"/>
    <mergeCell ref="A407:S407"/>
    <mergeCell ref="B349:G349"/>
    <mergeCell ref="B353:G353"/>
    <mergeCell ref="B364:G364"/>
    <mergeCell ref="B380:G380"/>
    <mergeCell ref="B393:G393"/>
    <mergeCell ref="B406:G406"/>
    <mergeCell ref="B303:G303"/>
    <mergeCell ref="B304:G304"/>
    <mergeCell ref="B305:G305"/>
    <mergeCell ref="A340:S340"/>
    <mergeCell ref="A350:S350"/>
    <mergeCell ref="A354:S354"/>
    <mergeCell ref="B332:G332"/>
    <mergeCell ref="B333:G333"/>
    <mergeCell ref="B334:G334"/>
    <mergeCell ref="B335:G335"/>
    <mergeCell ref="B293:G293"/>
    <mergeCell ref="B294:G294"/>
    <mergeCell ref="B295:G295"/>
    <mergeCell ref="B300:G300"/>
    <mergeCell ref="B301:G301"/>
    <mergeCell ref="B302:G302"/>
    <mergeCell ref="B287:G287"/>
    <mergeCell ref="B288:G288"/>
    <mergeCell ref="B289:G289"/>
    <mergeCell ref="B290:G290"/>
    <mergeCell ref="B291:G291"/>
    <mergeCell ref="B292:G292"/>
    <mergeCell ref="B273:G273"/>
    <mergeCell ref="B274:G274"/>
    <mergeCell ref="B275:G275"/>
    <mergeCell ref="B276:G276"/>
    <mergeCell ref="B277:G277"/>
    <mergeCell ref="B278:G278"/>
    <mergeCell ref="B263:G263"/>
    <mergeCell ref="B264:G264"/>
    <mergeCell ref="B265:G265"/>
    <mergeCell ref="B270:G270"/>
    <mergeCell ref="B271:G271"/>
    <mergeCell ref="B272:G272"/>
    <mergeCell ref="B255:G255"/>
    <mergeCell ref="B256:G256"/>
    <mergeCell ref="B257:G257"/>
    <mergeCell ref="B258:G258"/>
    <mergeCell ref="B261:G261"/>
    <mergeCell ref="B262:G262"/>
    <mergeCell ref="B245:G245"/>
    <mergeCell ref="B246:G246"/>
    <mergeCell ref="B247:G247"/>
    <mergeCell ref="B248:G248"/>
    <mergeCell ref="B249:G249"/>
    <mergeCell ref="B254:G254"/>
    <mergeCell ref="B227:G227"/>
    <mergeCell ref="B228:G228"/>
    <mergeCell ref="B233:G233"/>
    <mergeCell ref="B234:G234"/>
    <mergeCell ref="B235:G235"/>
    <mergeCell ref="B236:G236"/>
    <mergeCell ref="B307:G307"/>
    <mergeCell ref="B232:G232"/>
    <mergeCell ref="B242:G242"/>
    <mergeCell ref="B253:G253"/>
    <mergeCell ref="B269:G269"/>
    <mergeCell ref="B282:G282"/>
    <mergeCell ref="B286:G286"/>
    <mergeCell ref="B299:G299"/>
    <mergeCell ref="B237:G237"/>
    <mergeCell ref="B238:G238"/>
    <mergeCell ref="A285:S285"/>
    <mergeCell ref="A298:S298"/>
    <mergeCell ref="B240:G240"/>
    <mergeCell ref="B251:G251"/>
    <mergeCell ref="B267:G267"/>
    <mergeCell ref="B280:G280"/>
    <mergeCell ref="B284:G284"/>
    <mergeCell ref="B297:G297"/>
    <mergeCell ref="B243:G243"/>
    <mergeCell ref="B244:G244"/>
    <mergeCell ref="B195:G195"/>
    <mergeCell ref="B196:G196"/>
    <mergeCell ref="A231:S231"/>
    <mergeCell ref="A241:S241"/>
    <mergeCell ref="A252:S252"/>
    <mergeCell ref="A268:S268"/>
    <mergeCell ref="B223:G223"/>
    <mergeCell ref="B224:G224"/>
    <mergeCell ref="B225:G225"/>
    <mergeCell ref="B226:G226"/>
    <mergeCell ref="B185:G185"/>
    <mergeCell ref="B186:G186"/>
    <mergeCell ref="B191:G191"/>
    <mergeCell ref="B192:G192"/>
    <mergeCell ref="B193:G193"/>
    <mergeCell ref="B194:G194"/>
    <mergeCell ref="B179:G179"/>
    <mergeCell ref="B180:G180"/>
    <mergeCell ref="B181:G181"/>
    <mergeCell ref="B182:G182"/>
    <mergeCell ref="B183:G183"/>
    <mergeCell ref="B184:G184"/>
    <mergeCell ref="B169:G169"/>
    <mergeCell ref="B170:G170"/>
    <mergeCell ref="B171:G171"/>
    <mergeCell ref="B172:G172"/>
    <mergeCell ref="B173:G173"/>
    <mergeCell ref="B178:G178"/>
    <mergeCell ref="B159:G159"/>
    <mergeCell ref="B160:G160"/>
    <mergeCell ref="B165:G165"/>
    <mergeCell ref="B166:G166"/>
    <mergeCell ref="B167:G167"/>
    <mergeCell ref="B168:G168"/>
    <mergeCell ref="B151:G151"/>
    <mergeCell ref="B152:G152"/>
    <mergeCell ref="B153:G153"/>
    <mergeCell ref="B156:G156"/>
    <mergeCell ref="B157:G157"/>
    <mergeCell ref="B158:G158"/>
    <mergeCell ref="B141:G141"/>
    <mergeCell ref="B142:G142"/>
    <mergeCell ref="B143:G143"/>
    <mergeCell ref="B144:G144"/>
    <mergeCell ref="B149:G149"/>
    <mergeCell ref="B150:G150"/>
    <mergeCell ref="B131:G131"/>
    <mergeCell ref="B132:G132"/>
    <mergeCell ref="B133:G133"/>
    <mergeCell ref="B138:G138"/>
    <mergeCell ref="B139:G139"/>
    <mergeCell ref="B140:G140"/>
    <mergeCell ref="B190:G190"/>
    <mergeCell ref="B118:G118"/>
    <mergeCell ref="B119:G119"/>
    <mergeCell ref="B120:G120"/>
    <mergeCell ref="B121:G121"/>
    <mergeCell ref="B122:G122"/>
    <mergeCell ref="B123:G123"/>
    <mergeCell ref="B128:G128"/>
    <mergeCell ref="B129:G129"/>
    <mergeCell ref="B130:G130"/>
    <mergeCell ref="B91:G91"/>
    <mergeCell ref="A126:S126"/>
    <mergeCell ref="A136:S136"/>
    <mergeCell ref="A147:S147"/>
    <mergeCell ref="A163:S163"/>
    <mergeCell ref="A176:S176"/>
    <mergeCell ref="B135:G135"/>
    <mergeCell ref="B146:G146"/>
    <mergeCell ref="B162:G162"/>
    <mergeCell ref="B175:G175"/>
    <mergeCell ref="B81:G81"/>
    <mergeCell ref="B86:G86"/>
    <mergeCell ref="B87:G87"/>
    <mergeCell ref="B88:G88"/>
    <mergeCell ref="B89:G89"/>
    <mergeCell ref="B90:G90"/>
    <mergeCell ref="B75:G75"/>
    <mergeCell ref="B76:G76"/>
    <mergeCell ref="B77:G77"/>
    <mergeCell ref="B78:G78"/>
    <mergeCell ref="B79:G79"/>
    <mergeCell ref="B80:G80"/>
    <mergeCell ref="B65:G65"/>
    <mergeCell ref="B66:G66"/>
    <mergeCell ref="B67:G67"/>
    <mergeCell ref="B68:G68"/>
    <mergeCell ref="B73:G73"/>
    <mergeCell ref="B74:G74"/>
    <mergeCell ref="B55:G55"/>
    <mergeCell ref="B60:G60"/>
    <mergeCell ref="B61:G61"/>
    <mergeCell ref="B62:G62"/>
    <mergeCell ref="B63:G63"/>
    <mergeCell ref="B64:G64"/>
    <mergeCell ref="B47:G47"/>
    <mergeCell ref="B48:G48"/>
    <mergeCell ref="B51:G51"/>
    <mergeCell ref="B52:G52"/>
    <mergeCell ref="B53:G53"/>
    <mergeCell ref="B54:G54"/>
    <mergeCell ref="B37:G37"/>
    <mergeCell ref="B38:G38"/>
    <mergeCell ref="B39:G39"/>
    <mergeCell ref="B44:G44"/>
    <mergeCell ref="B45:G45"/>
    <mergeCell ref="B46:G46"/>
    <mergeCell ref="B26:G26"/>
    <mergeCell ref="B27:G27"/>
    <mergeCell ref="B28:G28"/>
    <mergeCell ref="B33:G33"/>
    <mergeCell ref="B34:G34"/>
    <mergeCell ref="B35:G35"/>
    <mergeCell ref="B13:G13"/>
    <mergeCell ref="B14:G14"/>
    <mergeCell ref="B15:G15"/>
    <mergeCell ref="B16:G16"/>
    <mergeCell ref="B17:G17"/>
    <mergeCell ref="B18:G18"/>
    <mergeCell ref="B93:G93"/>
    <mergeCell ref="B22:G22"/>
    <mergeCell ref="B32:G32"/>
    <mergeCell ref="B43:G43"/>
    <mergeCell ref="B59:G59"/>
    <mergeCell ref="B72:G72"/>
    <mergeCell ref="B85:G85"/>
    <mergeCell ref="B23:G23"/>
    <mergeCell ref="B24:G24"/>
    <mergeCell ref="B25:G25"/>
    <mergeCell ref="A42:S42"/>
    <mergeCell ref="A58:S58"/>
    <mergeCell ref="A71:S71"/>
    <mergeCell ref="A84:S84"/>
    <mergeCell ref="B30:G30"/>
    <mergeCell ref="B41:G41"/>
    <mergeCell ref="B57:G57"/>
    <mergeCell ref="B70:G70"/>
    <mergeCell ref="B83:G83"/>
    <mergeCell ref="B36:G36"/>
    <mergeCell ref="A866:F866"/>
    <mergeCell ref="A975:F975"/>
    <mergeCell ref="A1080:F1080"/>
    <mergeCell ref="A1185:F1185"/>
    <mergeCell ref="A1290:F1290"/>
    <mergeCell ref="A1399:F1399"/>
    <mergeCell ref="A918:S918"/>
    <mergeCell ref="A922:S922"/>
    <mergeCell ref="A935:S935"/>
    <mergeCell ref="A948:S948"/>
    <mergeCell ref="G1186:S1186"/>
    <mergeCell ref="G1291:S1291"/>
    <mergeCell ref="G1400:S1400"/>
    <mergeCell ref="A111:F111"/>
    <mergeCell ref="A216:F216"/>
    <mergeCell ref="A325:F325"/>
    <mergeCell ref="A434:F434"/>
    <mergeCell ref="A547:F547"/>
    <mergeCell ref="A652:F652"/>
    <mergeCell ref="A761:F761"/>
    <mergeCell ref="G1398:S1398"/>
    <mergeCell ref="G112:S112"/>
    <mergeCell ref="G217:S217"/>
    <mergeCell ref="G326:S326"/>
    <mergeCell ref="G435:S435"/>
    <mergeCell ref="G548:S548"/>
    <mergeCell ref="G653:S653"/>
    <mergeCell ref="G762:S762"/>
    <mergeCell ref="G867:S867"/>
    <mergeCell ref="G976:S976"/>
    <mergeCell ref="H1402:H1403"/>
    <mergeCell ref="G110:S110"/>
    <mergeCell ref="G215:S215"/>
    <mergeCell ref="G324:S324"/>
    <mergeCell ref="G433:S433"/>
    <mergeCell ref="G546:S546"/>
    <mergeCell ref="G651:S651"/>
    <mergeCell ref="G760:S760"/>
    <mergeCell ref="G865:S865"/>
    <mergeCell ref="G974:S974"/>
    <mergeCell ref="H764:H765"/>
    <mergeCell ref="H869:H870"/>
    <mergeCell ref="H978:H979"/>
    <mergeCell ref="H1083:H1084"/>
    <mergeCell ref="H1188:H1189"/>
    <mergeCell ref="H1293:H1294"/>
    <mergeCell ref="G1079:S1079"/>
    <mergeCell ref="G1184:S1184"/>
    <mergeCell ref="G1289:S1289"/>
    <mergeCell ref="G1081:S1081"/>
    <mergeCell ref="H114:H115"/>
    <mergeCell ref="H219:H220"/>
    <mergeCell ref="H328:H329"/>
    <mergeCell ref="H437:H438"/>
    <mergeCell ref="H550:H551"/>
    <mergeCell ref="H655:H656"/>
    <mergeCell ref="A189:S189"/>
    <mergeCell ref="B188:G188"/>
    <mergeCell ref="B198:G198"/>
    <mergeCell ref="B127:G127"/>
    <mergeCell ref="A112:F112"/>
    <mergeCell ref="A217:F217"/>
    <mergeCell ref="A326:F326"/>
    <mergeCell ref="A435:F435"/>
    <mergeCell ref="A548:F548"/>
    <mergeCell ref="A653:F653"/>
    <mergeCell ref="B137:G137"/>
    <mergeCell ref="B148:G148"/>
    <mergeCell ref="B164:G164"/>
    <mergeCell ref="B177:G177"/>
    <mergeCell ref="A759:Q759"/>
    <mergeCell ref="A864:Q864"/>
    <mergeCell ref="A973:Q973"/>
    <mergeCell ref="A1078:Q1078"/>
    <mergeCell ref="A1183:Q1183"/>
    <mergeCell ref="A1288:Q1288"/>
    <mergeCell ref="A762:F762"/>
    <mergeCell ref="A867:F867"/>
    <mergeCell ref="A976:F976"/>
    <mergeCell ref="A1081:F1081"/>
    <mergeCell ref="J869:Q869"/>
    <mergeCell ref="J978:Q978"/>
    <mergeCell ref="J1083:Q1083"/>
    <mergeCell ref="J1188:Q1188"/>
    <mergeCell ref="J1293:Q1293"/>
    <mergeCell ref="J1402:Q1402"/>
    <mergeCell ref="A1397:Q1397"/>
    <mergeCell ref="A1186:F1186"/>
    <mergeCell ref="A1291:F1291"/>
    <mergeCell ref="A1400:F1400"/>
    <mergeCell ref="F1180:S1180"/>
    <mergeCell ref="F1285:S1285"/>
    <mergeCell ref="F1394:S1394"/>
    <mergeCell ref="J114:Q114"/>
    <mergeCell ref="J219:Q219"/>
    <mergeCell ref="J328:Q328"/>
    <mergeCell ref="J437:Q437"/>
    <mergeCell ref="J550:Q550"/>
    <mergeCell ref="J655:Q655"/>
    <mergeCell ref="J764:Q764"/>
    <mergeCell ref="A1398:F1398"/>
    <mergeCell ref="F106:S106"/>
    <mergeCell ref="F211:S211"/>
    <mergeCell ref="F320:S320"/>
    <mergeCell ref="F429:S429"/>
    <mergeCell ref="F542:S542"/>
    <mergeCell ref="F647:S647"/>
    <mergeCell ref="F756:S756"/>
    <mergeCell ref="F861:S861"/>
    <mergeCell ref="F970:S970"/>
    <mergeCell ref="A1402:A1403"/>
    <mergeCell ref="A110:F110"/>
    <mergeCell ref="A215:F215"/>
    <mergeCell ref="A324:F324"/>
    <mergeCell ref="A433:F433"/>
    <mergeCell ref="A546:F546"/>
    <mergeCell ref="A651:F651"/>
    <mergeCell ref="A760:F760"/>
    <mergeCell ref="A865:F865"/>
    <mergeCell ref="A974:F974"/>
    <mergeCell ref="A764:A765"/>
    <mergeCell ref="A869:A870"/>
    <mergeCell ref="A978:A979"/>
    <mergeCell ref="A1083:A1084"/>
    <mergeCell ref="A1188:A1189"/>
    <mergeCell ref="A1293:A1294"/>
    <mergeCell ref="A1079:F1079"/>
    <mergeCell ref="A1184:F1184"/>
    <mergeCell ref="A1289:F1289"/>
    <mergeCell ref="F1075:S1075"/>
    <mergeCell ref="B981:G981"/>
    <mergeCell ref="B1086:G1086"/>
    <mergeCell ref="B1191:G1191"/>
    <mergeCell ref="B1296:G1296"/>
    <mergeCell ref="B1405:G1405"/>
    <mergeCell ref="A114:A115"/>
    <mergeCell ref="A219:A220"/>
    <mergeCell ref="A328:A329"/>
    <mergeCell ref="A437:A438"/>
    <mergeCell ref="A550:A551"/>
    <mergeCell ref="A1077:Q1077"/>
    <mergeCell ref="A1182:Q1182"/>
    <mergeCell ref="A1287:Q1287"/>
    <mergeCell ref="A1396:Q1396"/>
    <mergeCell ref="B117:G117"/>
    <mergeCell ref="B222:G222"/>
    <mergeCell ref="B331:G331"/>
    <mergeCell ref="B440:G440"/>
    <mergeCell ref="B553:G553"/>
    <mergeCell ref="B658:G658"/>
    <mergeCell ref="A1286:Q1286"/>
    <mergeCell ref="A1395:Q1395"/>
    <mergeCell ref="A108:Q108"/>
    <mergeCell ref="A213:Q213"/>
    <mergeCell ref="A322:Q322"/>
    <mergeCell ref="A431:Q431"/>
    <mergeCell ref="A544:Q544"/>
    <mergeCell ref="A649:Q649"/>
    <mergeCell ref="A758:Q758"/>
    <mergeCell ref="A863:Q863"/>
    <mergeCell ref="A107:Q107"/>
    <mergeCell ref="A212:Q212"/>
    <mergeCell ref="A321:Q321"/>
    <mergeCell ref="A430:Q430"/>
    <mergeCell ref="A543:Q543"/>
    <mergeCell ref="A648:Q648"/>
    <mergeCell ref="A109:Q109"/>
    <mergeCell ref="A214:Q214"/>
    <mergeCell ref="A323:Q323"/>
    <mergeCell ref="A432:Q432"/>
    <mergeCell ref="A861:E861"/>
    <mergeCell ref="A970:E970"/>
    <mergeCell ref="A1075:E1075"/>
    <mergeCell ref="A1180:E1180"/>
    <mergeCell ref="A1285:E1285"/>
    <mergeCell ref="A1394:E1394"/>
    <mergeCell ref="A862:Q862"/>
    <mergeCell ref="A971:Q971"/>
    <mergeCell ref="A1076:Q1076"/>
    <mergeCell ref="A1181:Q1181"/>
    <mergeCell ref="A211:E211"/>
    <mergeCell ref="A320:E320"/>
    <mergeCell ref="A429:E429"/>
    <mergeCell ref="A542:E542"/>
    <mergeCell ref="A647:E647"/>
    <mergeCell ref="A756:E756"/>
    <mergeCell ref="A655:A656"/>
    <mergeCell ref="A545:Q545"/>
    <mergeCell ref="A650:Q650"/>
    <mergeCell ref="A281:S281"/>
    <mergeCell ref="I437:I438"/>
    <mergeCell ref="I550:I551"/>
    <mergeCell ref="I655:I656"/>
    <mergeCell ref="I764:I765"/>
    <mergeCell ref="I869:I870"/>
    <mergeCell ref="I978:I979"/>
    <mergeCell ref="A757:Q757"/>
    <mergeCell ref="A972:Q972"/>
    <mergeCell ref="B767:G767"/>
    <mergeCell ref="B872:G872"/>
    <mergeCell ref="G969:S969"/>
    <mergeCell ref="G1074:S1074"/>
    <mergeCell ref="G1179:S1179"/>
    <mergeCell ref="G1284:S1284"/>
    <mergeCell ref="G1393:S1393"/>
    <mergeCell ref="G1510:S1510"/>
    <mergeCell ref="I1083:I1084"/>
    <mergeCell ref="I1188:I1189"/>
    <mergeCell ref="I1293:I1294"/>
    <mergeCell ref="I1402:I1403"/>
    <mergeCell ref="G1279:S1279"/>
    <mergeCell ref="G1388:S1388"/>
    <mergeCell ref="G1505:S1505"/>
    <mergeCell ref="G210:S210"/>
    <mergeCell ref="G319:S319"/>
    <mergeCell ref="G428:S428"/>
    <mergeCell ref="G541:S541"/>
    <mergeCell ref="G646:S646"/>
    <mergeCell ref="G755:S755"/>
    <mergeCell ref="G860:S860"/>
    <mergeCell ref="A1387:S1387"/>
    <mergeCell ref="A1504:S1504"/>
    <mergeCell ref="G205:S205"/>
    <mergeCell ref="G314:S314"/>
    <mergeCell ref="G423:S423"/>
    <mergeCell ref="G536:S536"/>
    <mergeCell ref="G641:S641"/>
    <mergeCell ref="G750:S750"/>
    <mergeCell ref="G855:S855"/>
    <mergeCell ref="G964:S964"/>
    <mergeCell ref="I1389:S1389"/>
    <mergeCell ref="I1506:S1506"/>
    <mergeCell ref="A204:S204"/>
    <mergeCell ref="A313:S313"/>
    <mergeCell ref="A422:S422"/>
    <mergeCell ref="A535:S535"/>
    <mergeCell ref="A640:S640"/>
    <mergeCell ref="A749:S749"/>
    <mergeCell ref="A963:S963"/>
    <mergeCell ref="A1068:S1068"/>
    <mergeCell ref="I751:S751"/>
    <mergeCell ref="I856:S856"/>
    <mergeCell ref="I965:S965"/>
    <mergeCell ref="I1070:S1070"/>
    <mergeCell ref="I1175:S1175"/>
    <mergeCell ref="I1280:S1280"/>
    <mergeCell ref="A1173:S1173"/>
    <mergeCell ref="A1278:S1278"/>
    <mergeCell ref="G1069:S1069"/>
    <mergeCell ref="G1174:S1174"/>
    <mergeCell ref="B989:G989"/>
    <mergeCell ref="B1094:G1094"/>
    <mergeCell ref="B1199:G1199"/>
    <mergeCell ref="B1304:G1304"/>
    <mergeCell ref="B1413:G1413"/>
    <mergeCell ref="I206:S206"/>
    <mergeCell ref="I315:S315"/>
    <mergeCell ref="I424:S424"/>
    <mergeCell ref="I537:S537"/>
    <mergeCell ref="I642:S642"/>
    <mergeCell ref="A1384:S1384"/>
    <mergeCell ref="A1501:S1501"/>
    <mergeCell ref="B125:G125"/>
    <mergeCell ref="B230:G230"/>
    <mergeCell ref="B339:G339"/>
    <mergeCell ref="B448:G448"/>
    <mergeCell ref="B561:G561"/>
    <mergeCell ref="B666:G666"/>
    <mergeCell ref="B775:G775"/>
    <mergeCell ref="B880:G880"/>
    <mergeCell ref="S1402:S1403"/>
    <mergeCell ref="A201:S201"/>
    <mergeCell ref="A310:S310"/>
    <mergeCell ref="A419:S419"/>
    <mergeCell ref="A532:S532"/>
    <mergeCell ref="A637:S637"/>
    <mergeCell ref="A746:S746"/>
    <mergeCell ref="A960:S960"/>
    <mergeCell ref="A1065:S1065"/>
    <mergeCell ref="A1170:S1170"/>
    <mergeCell ref="A1502:S1502"/>
    <mergeCell ref="S114:S115"/>
    <mergeCell ref="S219:S220"/>
    <mergeCell ref="S328:S329"/>
    <mergeCell ref="S437:S438"/>
    <mergeCell ref="S550:S551"/>
    <mergeCell ref="S655:S656"/>
    <mergeCell ref="S764:S765"/>
    <mergeCell ref="S869:S870"/>
    <mergeCell ref="S978:S979"/>
    <mergeCell ref="A747:S747"/>
    <mergeCell ref="A961:S961"/>
    <mergeCell ref="A1066:S1066"/>
    <mergeCell ref="A1171:S1171"/>
    <mergeCell ref="A1276:S1276"/>
    <mergeCell ref="A1385:S1385"/>
    <mergeCell ref="S1083:S1084"/>
    <mergeCell ref="S1188:S1189"/>
    <mergeCell ref="S1293:S1294"/>
    <mergeCell ref="A1275:S1275"/>
    <mergeCell ref="A1067:S1067"/>
    <mergeCell ref="A1172:S1172"/>
    <mergeCell ref="A1277:S1277"/>
    <mergeCell ref="A1386:S1386"/>
    <mergeCell ref="A1503:S1503"/>
    <mergeCell ref="A202:S202"/>
    <mergeCell ref="A311:S311"/>
    <mergeCell ref="A420:S420"/>
    <mergeCell ref="A533:S533"/>
    <mergeCell ref="A638:S638"/>
    <mergeCell ref="B1083:G1084"/>
    <mergeCell ref="B1188:G1189"/>
    <mergeCell ref="B1293:G1294"/>
    <mergeCell ref="B1402:G1403"/>
    <mergeCell ref="A203:S203"/>
    <mergeCell ref="A312:S312"/>
    <mergeCell ref="A421:S421"/>
    <mergeCell ref="A534:S534"/>
    <mergeCell ref="A639:S639"/>
    <mergeCell ref="A748:S748"/>
    <mergeCell ref="A1085:S1085"/>
    <mergeCell ref="A1190:S1190"/>
    <mergeCell ref="A1295:S1295"/>
    <mergeCell ref="A1404:S1404"/>
    <mergeCell ref="B114:G115"/>
    <mergeCell ref="B219:G220"/>
    <mergeCell ref="B328:G329"/>
    <mergeCell ref="B437:G438"/>
    <mergeCell ref="B550:G551"/>
    <mergeCell ref="B655:G656"/>
    <mergeCell ref="A439:S439"/>
    <mergeCell ref="A552:S552"/>
    <mergeCell ref="A657:S657"/>
    <mergeCell ref="A766:S766"/>
    <mergeCell ref="A871:S871"/>
    <mergeCell ref="A980:S980"/>
    <mergeCell ref="B764:G765"/>
    <mergeCell ref="B869:G870"/>
    <mergeCell ref="B978:G979"/>
    <mergeCell ref="A962:S962"/>
    <mergeCell ref="G5:S5"/>
    <mergeCell ref="G7:S7"/>
    <mergeCell ref="A6:F6"/>
    <mergeCell ref="A116:S116"/>
    <mergeCell ref="A221:S221"/>
    <mergeCell ref="A330:S330"/>
    <mergeCell ref="I114:I115"/>
    <mergeCell ref="I219:I220"/>
    <mergeCell ref="I328:I329"/>
    <mergeCell ref="A106:E106"/>
    <mergeCell ref="A1:E1"/>
    <mergeCell ref="A2:Q2"/>
    <mergeCell ref="A3:Q3"/>
    <mergeCell ref="B12:G12"/>
    <mergeCell ref="A9:A10"/>
    <mergeCell ref="A5:F5"/>
    <mergeCell ref="F1:S1"/>
    <mergeCell ref="J9:Q9"/>
    <mergeCell ref="A4:Q4"/>
    <mergeCell ref="A7:F7"/>
    <mergeCell ref="B1516:Q1517"/>
    <mergeCell ref="A1513:B1513"/>
    <mergeCell ref="A1515:B1515"/>
    <mergeCell ref="B20:G20"/>
    <mergeCell ref="I101:S101"/>
    <mergeCell ref="A1514:B1514"/>
    <mergeCell ref="C1512:Q1512"/>
    <mergeCell ref="A99:S99"/>
    <mergeCell ref="G100:S100"/>
    <mergeCell ref="G105:S105"/>
    <mergeCell ref="A11:S11"/>
    <mergeCell ref="B9:G10"/>
    <mergeCell ref="A98:S98"/>
    <mergeCell ref="A97:S97"/>
    <mergeCell ref="S9:S10"/>
    <mergeCell ref="A96:S96"/>
    <mergeCell ref="I9:I10"/>
    <mergeCell ref="H9:H10"/>
    <mergeCell ref="A21:S21"/>
    <mergeCell ref="A31:S31"/>
  </mergeCells>
  <phoneticPr fontId="7" type="noConversion"/>
  <conditionalFormatting sqref="B12:G18 B117:G123 B222:G228 B331:G337 B440:G446 B553:G559 B658:G664 B767:G773 B872:G878 B981:G987 B1086:G1092 B1191:G1197 B1296:G1302 B1405:G1411 B22:G28 B32:G39 B43:G55 B59:G68 B72:G81 B85:G91 B127:G133 B137:G144 B148:G160 B164:G173 B177:G186 B190:G196 B232:G238 B242:G249 B253:G265 B269:G278 B282:G282 B286:G295 B299:G305 B341:G347 B351:G351 B355:G362 B366:G378 B382:G391 B395:G404 B408:G414 B450:G456 B460:G460 B464:G464 B468:G475 B481:G491 B495:G504 B508:G517 B521:G527 B563:G569 B573:G580 B584:G596 B600:G609 B613:G622 B626:G632 B668:G674 B678:G685 B689:G689 B693:G705 B709:G718 B722:G731 B735:G741 B777:G783 B787:G794 B798:G798 B802:G814 B818:G827 B831:G840 B844:G850 B882:G888 B892:G899 B903:G915 B919:G919 B923:G932 B936:G945 B949:G955 B991:G997 B1001:G1008 B1012:G1024 B1028:G1037 B1041:G1050 B1054:G1060 B1096:G1102 B1106:G1113 B1117:G1129 B1133:G1142 B1146:G1155 B1159:G1165 B1201:G1207 B1211:G1218 B1222:G1234 B1238:G1247 B1251:G1260 B1264:G1270 B1306:G1312 B1316:G1323 B1327:G1327 B1331:G1343 B1347:G1356 B1360:G1369 B1373:G1379 B1415:G1421 B1425:G1425 B1429:G1436 B1440:G1440 B1446:G1456 B1460:G1460 B1464:G1473 B1477:G1486 B1490:G1496">
    <cfRule type="expression" dxfId="4" priority="1" stopIfTrue="1">
      <formula>$R12=5</formula>
    </cfRule>
    <cfRule type="expression" dxfId="3" priority="2" stopIfTrue="1">
      <formula>$R12=4</formula>
    </cfRule>
    <cfRule type="expression" dxfId="2" priority="3" stopIfTrue="1">
      <formula>$R12=3</formula>
    </cfRule>
    <cfRule type="expression" dxfId="1" priority="4" stopIfTrue="1">
      <formula>$R12=2</formula>
    </cfRule>
    <cfRule type="expression" dxfId="0" priority="5" stopIfTrue="1">
      <formula>$R12=1</formula>
    </cfRule>
  </conditionalFormatting>
  <printOptions horizontalCentered="1"/>
  <pageMargins left="0.51181102362204722" right="0.51181102362204722" top="0.51181102362204722" bottom="0.51181102362204722" header="0" footer="0"/>
  <pageSetup paperSize="9" fitToWidth="0" fitToHeight="0" orientation="portrait" horizontalDpi="200" verticalDpi="200" r:id="rId1"/>
  <rowBreaks count="27" manualBreakCount="27">
    <brk id="48" max="16383" man="1"/>
    <brk id="105" max="16383" man="1"/>
    <brk id="153" max="16383" man="1"/>
    <brk id="210" max="16383" man="1"/>
    <brk id="258" max="16383" man="1"/>
    <brk id="319" max="16383" man="1"/>
    <brk id="367" max="16383" man="1"/>
    <brk id="428" max="16383" man="1"/>
    <brk id="476" max="16383" man="1"/>
    <brk id="541" max="16383" man="1"/>
    <brk id="589" max="16383" man="1"/>
    <brk id="646" max="16383" man="1"/>
    <brk id="694" max="16383" man="1"/>
    <brk id="755" max="16383" man="1"/>
    <brk id="803" max="16383" man="1"/>
    <brk id="860" max="16383" man="1"/>
    <brk id="908" max="16383" man="1"/>
    <brk id="969" max="16383" man="1"/>
    <brk id="1017" max="16383" man="1"/>
    <brk id="1074" max="16383" man="1"/>
    <brk id="1122" max="16383" man="1"/>
    <brk id="1179" max="16383" man="1"/>
    <brk id="1227" max="16383" man="1"/>
    <brk id="1284" max="16383" man="1"/>
    <brk id="1332" max="16383" man="1"/>
    <brk id="1393" max="16383" man="1"/>
    <brk id="14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BangDiem</vt:lpstr>
      <vt:lpstr>__Diem__</vt:lpstr>
      <vt:lpstr>__DTB__</vt:lpstr>
      <vt:lpstr>__HocKy__</vt:lpstr>
      <vt:lpstr>__SV__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HOANGHIEN</dc:creator>
  <cp:lastModifiedBy>Admin</cp:lastModifiedBy>
  <cp:lastPrinted>2022-03-29T15:18:22Z</cp:lastPrinted>
  <dcterms:created xsi:type="dcterms:W3CDTF">2014-05-20T16:15:47Z</dcterms:created>
  <dcterms:modified xsi:type="dcterms:W3CDTF">2026-06-23T02:13:29Z</dcterms:modified>
</cp:coreProperties>
</file>