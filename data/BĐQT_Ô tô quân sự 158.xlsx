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_cuu_diem_web\data\"/>
    </mc:Choice>
  </mc:AlternateContent>
  <xr:revisionPtr revIDLastSave="0" documentId="8_{393513C4-CC2F-418A-AEB6-069C560A8726}" xr6:coauthVersionLast="47" xr6:coauthVersionMax="47" xr10:uidLastSave="{00000000-0000-0000-0000-000000000000}"/>
  <bookViews>
    <workbookView xWindow="-108" yWindow="-108" windowWidth="23256" windowHeight="12576" xr2:uid="{8A03D7CA-A88C-4374-8B58-6B37B770DE21}"/>
  </bookViews>
  <sheets>
    <sheet name="BangDiem" sheetId="1" r:id="rId1"/>
  </sheets>
  <definedNames>
    <definedName name="__Diem__">BangDiem!$A$12:$Q$12</definedName>
    <definedName name="__DTB__">BangDiem!#REF!</definedName>
    <definedName name="__HocKy__">BangDiem!$A$11:$Q$19</definedName>
    <definedName name="__SV__">BangDiem!$A$1:$T$133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I19" i="1"/>
  <c r="O19" i="1" s="1"/>
  <c r="M19" i="1"/>
  <c r="M21" i="1"/>
  <c r="N21" i="1"/>
  <c r="M22" i="1"/>
  <c r="N22" i="1"/>
  <c r="M23" i="1"/>
  <c r="N23" i="1"/>
  <c r="M24" i="1"/>
  <c r="N24" i="1"/>
  <c r="M25" i="1"/>
  <c r="N25" i="1"/>
  <c r="M26" i="1"/>
  <c r="N26" i="1"/>
  <c r="I27" i="1"/>
  <c r="P27" i="1"/>
  <c r="M29" i="1"/>
  <c r="N29" i="1"/>
  <c r="M30" i="1"/>
  <c r="N30" i="1"/>
  <c r="P31" i="1" s="1"/>
  <c r="I31" i="1"/>
  <c r="O31" i="1" s="1"/>
  <c r="M33" i="1"/>
  <c r="N33" i="1"/>
  <c r="M34" i="1"/>
  <c r="N34" i="1"/>
  <c r="P35" i="1" s="1"/>
  <c r="N35" i="1" s="1"/>
  <c r="I35" i="1"/>
  <c r="M35" i="1" s="1"/>
  <c r="O35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51" i="1"/>
  <c r="N51" i="1"/>
  <c r="M52" i="1"/>
  <c r="N52" i="1"/>
  <c r="I53" i="1"/>
  <c r="M55" i="1"/>
  <c r="N55" i="1"/>
  <c r="M56" i="1"/>
  <c r="N56" i="1"/>
  <c r="I57" i="1"/>
  <c r="P57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I71" i="1"/>
  <c r="O71" i="1" s="1"/>
  <c r="M73" i="1"/>
  <c r="N73" i="1"/>
  <c r="M74" i="1"/>
  <c r="N74" i="1"/>
  <c r="M75" i="1"/>
  <c r="N75" i="1"/>
  <c r="I76" i="1"/>
  <c r="P76" i="1"/>
  <c r="M78" i="1"/>
  <c r="N78" i="1"/>
  <c r="M79" i="1"/>
  <c r="N79" i="1"/>
  <c r="P90" i="1" s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I90" i="1"/>
  <c r="O90" i="1" s="1"/>
  <c r="M92" i="1"/>
  <c r="N92" i="1"/>
  <c r="M93" i="1"/>
  <c r="N93" i="1"/>
  <c r="P94" i="1" s="1"/>
  <c r="N94" i="1" s="1"/>
  <c r="I94" i="1"/>
  <c r="M94" i="1" s="1"/>
  <c r="O94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I108" i="1"/>
  <c r="M110" i="1"/>
  <c r="N110" i="1"/>
  <c r="P113" i="1" s="1"/>
  <c r="N113" i="1" s="1"/>
  <c r="M111" i="1"/>
  <c r="N111" i="1"/>
  <c r="M112" i="1"/>
  <c r="N112" i="1"/>
  <c r="I113" i="1"/>
  <c r="M113" i="1" s="1"/>
  <c r="O113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I125" i="1"/>
  <c r="M145" i="1"/>
  <c r="N145" i="1"/>
  <c r="P153" i="1" s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I153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I163" i="1"/>
  <c r="O163" i="1" s="1"/>
  <c r="P163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I175" i="1"/>
  <c r="M175" i="1" s="1"/>
  <c r="O175" i="1"/>
  <c r="M177" i="1"/>
  <c r="N177" i="1"/>
  <c r="M178" i="1"/>
  <c r="N178" i="1"/>
  <c r="M179" i="1"/>
  <c r="N179" i="1"/>
  <c r="M180" i="1"/>
  <c r="N180" i="1"/>
  <c r="M181" i="1"/>
  <c r="N181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I190" i="1"/>
  <c r="O190" i="1" s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I204" i="1"/>
  <c r="M204" i="1" s="1"/>
  <c r="O204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I218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I229" i="1"/>
  <c r="M229" i="1" s="1"/>
  <c r="O229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I261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I271" i="1"/>
  <c r="P271" i="1"/>
  <c r="M273" i="1"/>
  <c r="N273" i="1"/>
  <c r="M274" i="1"/>
  <c r="N274" i="1"/>
  <c r="P283" i="1" s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I283" i="1"/>
  <c r="O283" i="1" s="1"/>
  <c r="M285" i="1"/>
  <c r="N285" i="1"/>
  <c r="M286" i="1"/>
  <c r="N286" i="1"/>
  <c r="M287" i="1"/>
  <c r="N287" i="1"/>
  <c r="M288" i="1"/>
  <c r="N288" i="1"/>
  <c r="P298" i="1" s="1"/>
  <c r="M289" i="1"/>
  <c r="N289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I298" i="1"/>
  <c r="M300" i="1"/>
  <c r="N300" i="1"/>
  <c r="M301" i="1"/>
  <c r="N301" i="1"/>
  <c r="I302" i="1"/>
  <c r="O302" i="1"/>
  <c r="P302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I316" i="1"/>
  <c r="M316" i="1" s="1"/>
  <c r="O316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I330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I341" i="1"/>
  <c r="M341" i="1" s="1"/>
  <c r="O341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I373" i="1"/>
  <c r="M375" i="1"/>
  <c r="N375" i="1"/>
  <c r="P383" i="1" s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I383" i="1"/>
  <c r="M385" i="1"/>
  <c r="N385" i="1"/>
  <c r="M386" i="1"/>
  <c r="N386" i="1"/>
  <c r="I387" i="1"/>
  <c r="O387" i="1"/>
  <c r="P387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I399" i="1"/>
  <c r="M399" i="1" s="1"/>
  <c r="O399" i="1"/>
  <c r="M401" i="1"/>
  <c r="N401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I414" i="1"/>
  <c r="O414" i="1"/>
  <c r="P414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I428" i="1"/>
  <c r="M428" i="1" s="1"/>
  <c r="O428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I442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I453" i="1"/>
  <c r="M453" i="1" s="1"/>
  <c r="O453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I485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I495" i="1"/>
  <c r="M497" i="1"/>
  <c r="N497" i="1"/>
  <c r="M498" i="1"/>
  <c r="N498" i="1"/>
  <c r="I499" i="1"/>
  <c r="O499" i="1" s="1"/>
  <c r="P499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I511" i="1"/>
  <c r="M511" i="1" s="1"/>
  <c r="O511" i="1"/>
  <c r="M513" i="1"/>
  <c r="N513" i="1"/>
  <c r="P526" i="1" s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I526" i="1"/>
  <c r="O526" i="1" s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I540" i="1"/>
  <c r="M540" i="1" s="1"/>
  <c r="O540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I554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I565" i="1"/>
  <c r="M565" i="1" s="1"/>
  <c r="O565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I597" i="1"/>
  <c r="M599" i="1"/>
  <c r="N599" i="1"/>
  <c r="P607" i="1" s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I607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I619" i="1"/>
  <c r="O619" i="1" s="1"/>
  <c r="P619" i="1"/>
  <c r="M621" i="1"/>
  <c r="N621" i="1"/>
  <c r="M622" i="1"/>
  <c r="N622" i="1"/>
  <c r="M623" i="1"/>
  <c r="N623" i="1"/>
  <c r="M624" i="1"/>
  <c r="N624" i="1"/>
  <c r="M625" i="1"/>
  <c r="N625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I634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I648" i="1"/>
  <c r="O648" i="1" s="1"/>
  <c r="P648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I662" i="1"/>
  <c r="M662" i="1" s="1"/>
  <c r="O662" i="1"/>
  <c r="M664" i="1"/>
  <c r="N664" i="1"/>
  <c r="P673" i="1" s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I673" i="1"/>
  <c r="O673" i="1" s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I705" i="1"/>
  <c r="M705" i="1" s="1"/>
  <c r="O705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I715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I727" i="1"/>
  <c r="P727" i="1"/>
  <c r="M729" i="1"/>
  <c r="N729" i="1"/>
  <c r="M730" i="1"/>
  <c r="N730" i="1"/>
  <c r="P731" i="1" s="1"/>
  <c r="I731" i="1"/>
  <c r="O731" i="1" s="1"/>
  <c r="M733" i="1"/>
  <c r="N733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I746" i="1"/>
  <c r="P746" i="1"/>
  <c r="M748" i="1"/>
  <c r="N748" i="1"/>
  <c r="M749" i="1"/>
  <c r="N749" i="1"/>
  <c r="P750" i="1" s="1"/>
  <c r="I750" i="1"/>
  <c r="O750" i="1" s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I764" i="1"/>
  <c r="P764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I778" i="1"/>
  <c r="O778" i="1"/>
  <c r="M778" i="1" s="1"/>
  <c r="M780" i="1"/>
  <c r="N780" i="1"/>
  <c r="M781" i="1"/>
  <c r="N781" i="1"/>
  <c r="I782" i="1"/>
  <c r="P782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I793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I825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I835" i="1"/>
  <c r="M835" i="1"/>
  <c r="O835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I847" i="1"/>
  <c r="N847" i="1"/>
  <c r="O847" i="1"/>
  <c r="P847" i="1"/>
  <c r="M849" i="1"/>
  <c r="N849" i="1"/>
  <c r="M850" i="1"/>
  <c r="N850" i="1"/>
  <c r="M851" i="1"/>
  <c r="N851" i="1"/>
  <c r="I852" i="1"/>
  <c r="P852" i="1" s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I867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I881" i="1"/>
  <c r="M881" i="1"/>
  <c r="O881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I895" i="1"/>
  <c r="N895" i="1"/>
  <c r="O895" i="1"/>
  <c r="P895" i="1"/>
  <c r="M897" i="1"/>
  <c r="N897" i="1"/>
  <c r="P899" i="1" s="1"/>
  <c r="N899" i="1" s="1"/>
  <c r="M898" i="1"/>
  <c r="O899" i="1" s="1"/>
  <c r="N898" i="1"/>
  <c r="I899" i="1"/>
  <c r="M899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I910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I938" i="1"/>
  <c r="O938" i="1"/>
  <c r="M938" i="1" s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I948" i="1"/>
  <c r="M950" i="1"/>
  <c r="N950" i="1"/>
  <c r="M951" i="1"/>
  <c r="N951" i="1"/>
  <c r="I952" i="1"/>
  <c r="P952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I964" i="1"/>
  <c r="M966" i="1"/>
  <c r="N966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I979" i="1"/>
  <c r="M979" i="1"/>
  <c r="O979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I993" i="1"/>
  <c r="N993" i="1"/>
  <c r="O993" i="1"/>
  <c r="P993" i="1"/>
  <c r="M995" i="1"/>
  <c r="N995" i="1"/>
  <c r="P997" i="1" s="1"/>
  <c r="N997" i="1" s="1"/>
  <c r="M996" i="1"/>
  <c r="O997" i="1" s="1"/>
  <c r="N996" i="1"/>
  <c r="I997" i="1"/>
  <c r="M997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I1011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I1022" i="1"/>
  <c r="O1022" i="1"/>
  <c r="M1022" i="1" s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I1054" i="1"/>
  <c r="P1054" i="1" s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I1064" i="1"/>
  <c r="P1064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I1076" i="1"/>
  <c r="M1078" i="1"/>
  <c r="N1078" i="1"/>
  <c r="M1079" i="1"/>
  <c r="N1079" i="1"/>
  <c r="M1080" i="1"/>
  <c r="N1080" i="1"/>
  <c r="M1081" i="1"/>
  <c r="N1081" i="1"/>
  <c r="M1082" i="1"/>
  <c r="N1082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I1091" i="1"/>
  <c r="O1091" i="1"/>
  <c r="M1091" i="1" s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I1105" i="1"/>
  <c r="N1105" i="1"/>
  <c r="O1105" i="1"/>
  <c r="P1105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I1119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I1130" i="1"/>
  <c r="O1130" i="1" s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I1162" i="1"/>
  <c r="M1162" i="1" s="1"/>
  <c r="O1162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I1172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I1184" i="1"/>
  <c r="P1184" i="1"/>
  <c r="M1186" i="1"/>
  <c r="N1186" i="1"/>
  <c r="M1187" i="1"/>
  <c r="N1187" i="1"/>
  <c r="M1188" i="1"/>
  <c r="N1188" i="1"/>
  <c r="M1189" i="1"/>
  <c r="N1189" i="1"/>
  <c r="M1190" i="1"/>
  <c r="N1190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I1199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I1213" i="1"/>
  <c r="P1213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I1227" i="1"/>
  <c r="O1227" i="1" s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I1238" i="1"/>
  <c r="P1238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I1270" i="1"/>
  <c r="O1270" i="1" s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I1280" i="1"/>
  <c r="M1280" i="1" s="1"/>
  <c r="O1280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I1292" i="1"/>
  <c r="M1294" i="1"/>
  <c r="N1294" i="1"/>
  <c r="M1295" i="1"/>
  <c r="N1295" i="1"/>
  <c r="M1296" i="1"/>
  <c r="N1296" i="1"/>
  <c r="M1297" i="1"/>
  <c r="N1297" i="1"/>
  <c r="M1298" i="1"/>
  <c r="N1298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I1307" i="1"/>
  <c r="M1307" i="1" s="1"/>
  <c r="O1307" i="1"/>
  <c r="M1309" i="1"/>
  <c r="N1309" i="1"/>
  <c r="M1310" i="1"/>
  <c r="O1321" i="1" s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I1321" i="1"/>
  <c r="M1321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I1335" i="1"/>
  <c r="O1335" i="1" s="1"/>
  <c r="M1335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I1346" i="1"/>
  <c r="O1346" i="1"/>
  <c r="M1346" i="1" s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I1378" i="1"/>
  <c r="P1378" i="1"/>
  <c r="N1378" i="1" s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I1388" i="1"/>
  <c r="M1388" i="1" s="1"/>
  <c r="O1388" i="1"/>
  <c r="P1388" i="1"/>
  <c r="M1390" i="1"/>
  <c r="N1390" i="1"/>
  <c r="M1391" i="1"/>
  <c r="N1391" i="1"/>
  <c r="P1400" i="1" s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I1400" i="1"/>
  <c r="O1400" i="1"/>
  <c r="M1402" i="1"/>
  <c r="N1402" i="1"/>
  <c r="M1403" i="1"/>
  <c r="N1403" i="1"/>
  <c r="M1404" i="1"/>
  <c r="N1404" i="1"/>
  <c r="M1405" i="1"/>
  <c r="N1405" i="1"/>
  <c r="M1406" i="1"/>
  <c r="N1406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I1415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I1429" i="1"/>
  <c r="P1429" i="1" s="1"/>
  <c r="N1429" i="1" s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O1443" i="1" s="1"/>
  <c r="M1443" i="1" s="1"/>
  <c r="N1442" i="1"/>
  <c r="I1443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I1454" i="1"/>
  <c r="O1454" i="1"/>
  <c r="M1478" i="1"/>
  <c r="N1478" i="1"/>
  <c r="P1486" i="1" s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I1486" i="1"/>
  <c r="N1486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I1496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I1508" i="1"/>
  <c r="M1510" i="1"/>
  <c r="N1510" i="1"/>
  <c r="M1511" i="1"/>
  <c r="N1511" i="1"/>
  <c r="M1512" i="1"/>
  <c r="N1512" i="1"/>
  <c r="M1513" i="1"/>
  <c r="N1513" i="1"/>
  <c r="M1514" i="1"/>
  <c r="N1514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I1523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I1537" i="1"/>
  <c r="P1537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I1551" i="1"/>
  <c r="M1551" i="1" s="1"/>
  <c r="O1551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I1562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I1594" i="1"/>
  <c r="O1594" i="1"/>
  <c r="M1596" i="1"/>
  <c r="N1596" i="1"/>
  <c r="P1604" i="1" s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I1604" i="1"/>
  <c r="O1604" i="1" s="1"/>
  <c r="M1604" i="1" s="1"/>
  <c r="N1604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I1616" i="1"/>
  <c r="M1618" i="1"/>
  <c r="N1618" i="1"/>
  <c r="M1619" i="1"/>
  <c r="N1619" i="1"/>
  <c r="M1620" i="1"/>
  <c r="N1620" i="1"/>
  <c r="M1621" i="1"/>
  <c r="N1621" i="1"/>
  <c r="M1622" i="1"/>
  <c r="N1622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I1631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I1645" i="1"/>
  <c r="P1645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I1659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I1670" i="1"/>
  <c r="P1670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I1702" i="1"/>
  <c r="P1702" i="1" s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I1712" i="1"/>
  <c r="M1712" i="1" s="1"/>
  <c r="O1712" i="1"/>
  <c r="M1714" i="1"/>
  <c r="N1714" i="1"/>
  <c r="P1716" i="1" s="1"/>
  <c r="M1715" i="1"/>
  <c r="O1716" i="1" s="1"/>
  <c r="M1716" i="1" s="1"/>
  <c r="N1715" i="1"/>
  <c r="I1716" i="1"/>
  <c r="N1716" i="1"/>
  <c r="M1718" i="1"/>
  <c r="N1718" i="1"/>
  <c r="M1719" i="1"/>
  <c r="N1719" i="1"/>
  <c r="I1720" i="1"/>
  <c r="P1720" i="1"/>
  <c r="M1722" i="1"/>
  <c r="N1722" i="1"/>
  <c r="M1723" i="1"/>
  <c r="N1723" i="1"/>
  <c r="I1724" i="1"/>
  <c r="P1724" i="1" s="1"/>
  <c r="M1726" i="1"/>
  <c r="N1726" i="1"/>
  <c r="M1727" i="1"/>
  <c r="N1727" i="1"/>
  <c r="M1728" i="1"/>
  <c r="N1728" i="1"/>
  <c r="M1729" i="1"/>
  <c r="N1729" i="1"/>
  <c r="M1730" i="1"/>
  <c r="N1730" i="1"/>
  <c r="M1733" i="1"/>
  <c r="N1733" i="1"/>
  <c r="M1734" i="1"/>
  <c r="N1734" i="1"/>
  <c r="M1735" i="1"/>
  <c r="N1735" i="1"/>
  <c r="M1736" i="1"/>
  <c r="N1736" i="1"/>
  <c r="M1737" i="1"/>
  <c r="N1737" i="1"/>
  <c r="I1738" i="1"/>
  <c r="M1738" i="1" s="1"/>
  <c r="O1738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I1751" i="1"/>
  <c r="P1751" i="1" s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I1765" i="1"/>
  <c r="M1765" i="1" s="1"/>
  <c r="O1765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I1779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I1790" i="1"/>
  <c r="M1790" i="1" s="1"/>
  <c r="O1790" i="1"/>
  <c r="M1659" i="1" l="1"/>
  <c r="M964" i="1"/>
  <c r="N964" i="1"/>
  <c r="O964" i="1"/>
  <c r="P964" i="1"/>
  <c r="P634" i="1"/>
  <c r="N634" i="1" s="1"/>
  <c r="P19" i="1"/>
  <c r="N19" i="1" s="1"/>
  <c r="P1779" i="1"/>
  <c r="N1779" i="1" s="1"/>
  <c r="P1443" i="1"/>
  <c r="N1443" i="1" s="1"/>
  <c r="P229" i="1"/>
  <c r="N229" i="1" s="1"/>
  <c r="P1790" i="1"/>
  <c r="N1790" i="1" s="1"/>
  <c r="P1765" i="1"/>
  <c r="N1765" i="1" s="1"/>
  <c r="P1738" i="1"/>
  <c r="N1738" i="1" s="1"/>
  <c r="P1712" i="1"/>
  <c r="N1712" i="1" s="1"/>
  <c r="P1659" i="1"/>
  <c r="N1659" i="1" s="1"/>
  <c r="O1631" i="1"/>
  <c r="M1631" i="1" s="1"/>
  <c r="M1594" i="1"/>
  <c r="M1537" i="1"/>
  <c r="O1537" i="1"/>
  <c r="N1537" i="1"/>
  <c r="N1496" i="1"/>
  <c r="O1486" i="1"/>
  <c r="M1486" i="1" s="1"/>
  <c r="M1454" i="1"/>
  <c r="P1270" i="1"/>
  <c r="M910" i="1"/>
  <c r="N910" i="1"/>
  <c r="O910" i="1"/>
  <c r="P910" i="1"/>
  <c r="P495" i="1"/>
  <c r="N495" i="1" s="1"/>
  <c r="O1779" i="1"/>
  <c r="M1779" i="1" s="1"/>
  <c r="N1751" i="1"/>
  <c r="N1724" i="1"/>
  <c r="N1702" i="1"/>
  <c r="M1562" i="1"/>
  <c r="N1562" i="1"/>
  <c r="O1562" i="1"/>
  <c r="O1508" i="1"/>
  <c r="M1508" i="1" s="1"/>
  <c r="N1508" i="1"/>
  <c r="P1130" i="1"/>
  <c r="P71" i="1"/>
  <c r="N71" i="1" s="1"/>
  <c r="P1631" i="1"/>
  <c r="N1631" i="1" s="1"/>
  <c r="P1551" i="1"/>
  <c r="N1551" i="1" s="1"/>
  <c r="P1292" i="1"/>
  <c r="N1292" i="1" s="1"/>
  <c r="P442" i="1"/>
  <c r="N442" i="1" s="1"/>
  <c r="P428" i="1"/>
  <c r="N428" i="1" s="1"/>
  <c r="P261" i="1"/>
  <c r="N261" i="1" s="1"/>
  <c r="O1751" i="1"/>
  <c r="M1751" i="1" s="1"/>
  <c r="O1724" i="1"/>
  <c r="M1724" i="1" s="1"/>
  <c r="N1720" i="1"/>
  <c r="O1720" i="1"/>
  <c r="M1720" i="1" s="1"/>
  <c r="O1702" i="1"/>
  <c r="M1702" i="1" s="1"/>
  <c r="N1670" i="1"/>
  <c r="O1670" i="1"/>
  <c r="M1670" i="1" s="1"/>
  <c r="O1659" i="1"/>
  <c r="N1645" i="1"/>
  <c r="O1645" i="1"/>
  <c r="M1645" i="1" s="1"/>
  <c r="P1594" i="1"/>
  <c r="N1594" i="1" s="1"/>
  <c r="P1562" i="1"/>
  <c r="P1508" i="1"/>
  <c r="P1454" i="1"/>
  <c r="N1454" i="1" s="1"/>
  <c r="N1400" i="1"/>
  <c r="P1346" i="1"/>
  <c r="N1346" i="1" s="1"/>
  <c r="P1321" i="1"/>
  <c r="N1321" i="1" s="1"/>
  <c r="P1227" i="1"/>
  <c r="P1172" i="1"/>
  <c r="N1172" i="1" s="1"/>
  <c r="P1076" i="1"/>
  <c r="O948" i="1"/>
  <c r="M948" i="1"/>
  <c r="N948" i="1"/>
  <c r="P948" i="1"/>
  <c r="O793" i="1"/>
  <c r="M793" i="1" s="1"/>
  <c r="P190" i="1"/>
  <c r="N190" i="1" s="1"/>
  <c r="P175" i="1"/>
  <c r="N175" i="1" s="1"/>
  <c r="P1616" i="1"/>
  <c r="N1616" i="1" s="1"/>
  <c r="N1064" i="1"/>
  <c r="M1064" i="1"/>
  <c r="O1064" i="1"/>
  <c r="P1011" i="1"/>
  <c r="N1011" i="1" s="1"/>
  <c r="P565" i="1"/>
  <c r="N565" i="1" s="1"/>
  <c r="P511" i="1"/>
  <c r="N511" i="1" s="1"/>
  <c r="P341" i="1"/>
  <c r="N341" i="1" s="1"/>
  <c r="P125" i="1"/>
  <c r="N125" i="1" s="1"/>
  <c r="O1616" i="1"/>
  <c r="M1616" i="1" s="1"/>
  <c r="O1523" i="1"/>
  <c r="M1523" i="1" s="1"/>
  <c r="O1496" i="1"/>
  <c r="M1496" i="1" s="1"/>
  <c r="P1415" i="1"/>
  <c r="N1415" i="1" s="1"/>
  <c r="P1335" i="1"/>
  <c r="N1238" i="1"/>
  <c r="O1238" i="1"/>
  <c r="M1238" i="1" s="1"/>
  <c r="N1213" i="1"/>
  <c r="O1213" i="1"/>
  <c r="M1213" i="1" s="1"/>
  <c r="P1199" i="1"/>
  <c r="N1199" i="1" s="1"/>
  <c r="N1184" i="1"/>
  <c r="O1184" i="1"/>
  <c r="M1184" i="1" s="1"/>
  <c r="O1119" i="1"/>
  <c r="M1119" i="1" s="1"/>
  <c r="P1091" i="1"/>
  <c r="P1022" i="1"/>
  <c r="N1022" i="1" s="1"/>
  <c r="N952" i="1"/>
  <c r="O952" i="1"/>
  <c r="M952" i="1" s="1"/>
  <c r="P867" i="1"/>
  <c r="N867" i="1" s="1"/>
  <c r="P825" i="1"/>
  <c r="N825" i="1" s="1"/>
  <c r="O782" i="1"/>
  <c r="M782" i="1"/>
  <c r="N782" i="1"/>
  <c r="N764" i="1"/>
  <c r="O764" i="1"/>
  <c r="M764" i="1" s="1"/>
  <c r="P485" i="1"/>
  <c r="N485" i="1" s="1"/>
  <c r="P453" i="1"/>
  <c r="N453" i="1" s="1"/>
  <c r="P218" i="1"/>
  <c r="N218" i="1" s="1"/>
  <c r="P204" i="1"/>
  <c r="N204" i="1" s="1"/>
  <c r="P1523" i="1"/>
  <c r="N1523" i="1" s="1"/>
  <c r="P1496" i="1"/>
  <c r="M1429" i="1"/>
  <c r="P1307" i="1"/>
  <c r="N1307" i="1" s="1"/>
  <c r="P1280" i="1"/>
  <c r="N1280" i="1" s="1"/>
  <c r="P1162" i="1"/>
  <c r="N1162" i="1" s="1"/>
  <c r="P662" i="1"/>
  <c r="N662" i="1" s="1"/>
  <c r="P597" i="1"/>
  <c r="N597" i="1" s="1"/>
  <c r="P373" i="1"/>
  <c r="N373" i="1" s="1"/>
  <c r="O1429" i="1"/>
  <c r="O1415" i="1"/>
  <c r="M1415" i="1" s="1"/>
  <c r="M1400" i="1"/>
  <c r="N1388" i="1"/>
  <c r="O1378" i="1"/>
  <c r="M1378" i="1" s="1"/>
  <c r="N1335" i="1"/>
  <c r="O1292" i="1"/>
  <c r="M1292" i="1" s="1"/>
  <c r="M1270" i="1"/>
  <c r="N1270" i="1"/>
  <c r="M1227" i="1"/>
  <c r="N1227" i="1"/>
  <c r="O1199" i="1"/>
  <c r="M1199" i="1" s="1"/>
  <c r="O1172" i="1"/>
  <c r="M1172" i="1" s="1"/>
  <c r="M1130" i="1"/>
  <c r="N1130" i="1"/>
  <c r="P1119" i="1"/>
  <c r="N1119" i="1" s="1"/>
  <c r="N1076" i="1"/>
  <c r="O1076" i="1"/>
  <c r="M1076" i="1" s="1"/>
  <c r="O1054" i="1"/>
  <c r="M1054" i="1" s="1"/>
  <c r="N1054" i="1"/>
  <c r="P979" i="1"/>
  <c r="N979" i="1" s="1"/>
  <c r="P881" i="1"/>
  <c r="N852" i="1"/>
  <c r="O852" i="1"/>
  <c r="M852" i="1" s="1"/>
  <c r="P835" i="1"/>
  <c r="P715" i="1"/>
  <c r="N715" i="1" s="1"/>
  <c r="P705" i="1"/>
  <c r="N705" i="1" s="1"/>
  <c r="P554" i="1"/>
  <c r="N554" i="1" s="1"/>
  <c r="P540" i="1"/>
  <c r="N540" i="1" s="1"/>
  <c r="P399" i="1"/>
  <c r="N399" i="1" s="1"/>
  <c r="P330" i="1"/>
  <c r="N330" i="1" s="1"/>
  <c r="P316" i="1"/>
  <c r="N316" i="1" s="1"/>
  <c r="P108" i="1"/>
  <c r="N108" i="1" s="1"/>
  <c r="P53" i="1"/>
  <c r="N53" i="1" s="1"/>
  <c r="M1105" i="1"/>
  <c r="N1091" i="1"/>
  <c r="O1011" i="1"/>
  <c r="M1011" i="1" s="1"/>
  <c r="M993" i="1"/>
  <c r="M895" i="1"/>
  <c r="N881" i="1"/>
  <c r="O867" i="1"/>
  <c r="M867" i="1" s="1"/>
  <c r="M847" i="1"/>
  <c r="N835" i="1"/>
  <c r="O825" i="1"/>
  <c r="M825" i="1" s="1"/>
  <c r="N746" i="1"/>
  <c r="O746" i="1"/>
  <c r="M746" i="1" s="1"/>
  <c r="N727" i="1"/>
  <c r="O727" i="1"/>
  <c r="M727" i="1" s="1"/>
  <c r="O634" i="1"/>
  <c r="M634" i="1" s="1"/>
  <c r="N607" i="1"/>
  <c r="O607" i="1"/>
  <c r="M607" i="1" s="1"/>
  <c r="O495" i="1"/>
  <c r="M495" i="1" s="1"/>
  <c r="N383" i="1"/>
  <c r="O383" i="1"/>
  <c r="M383" i="1" s="1"/>
  <c r="N298" i="1"/>
  <c r="O298" i="1"/>
  <c r="M298" i="1" s="1"/>
  <c r="N271" i="1"/>
  <c r="O271" i="1"/>
  <c r="M271" i="1" s="1"/>
  <c r="N153" i="1"/>
  <c r="O153" i="1"/>
  <c r="M153" i="1" s="1"/>
  <c r="N76" i="1"/>
  <c r="O76" i="1"/>
  <c r="M76" i="1" s="1"/>
  <c r="N57" i="1"/>
  <c r="O57" i="1"/>
  <c r="M57" i="1" s="1"/>
  <c r="N27" i="1"/>
  <c r="O27" i="1"/>
  <c r="M27" i="1" s="1"/>
  <c r="P938" i="1"/>
  <c r="N938" i="1" s="1"/>
  <c r="P793" i="1"/>
  <c r="N793" i="1" s="1"/>
  <c r="P778" i="1"/>
  <c r="N778" i="1" s="1"/>
  <c r="M750" i="1"/>
  <c r="N750" i="1"/>
  <c r="M731" i="1"/>
  <c r="N731" i="1"/>
  <c r="O715" i="1"/>
  <c r="M715" i="1" s="1"/>
  <c r="M673" i="1"/>
  <c r="N673" i="1"/>
  <c r="M648" i="1"/>
  <c r="N648" i="1"/>
  <c r="M619" i="1"/>
  <c r="N619" i="1"/>
  <c r="O597" i="1"/>
  <c r="M597" i="1" s="1"/>
  <c r="O554" i="1"/>
  <c r="M554" i="1" s="1"/>
  <c r="M526" i="1"/>
  <c r="N526" i="1"/>
  <c r="M499" i="1"/>
  <c r="N499" i="1"/>
  <c r="O485" i="1"/>
  <c r="M485" i="1" s="1"/>
  <c r="O442" i="1"/>
  <c r="M442" i="1" s="1"/>
  <c r="M414" i="1"/>
  <c r="N414" i="1"/>
  <c r="M387" i="1"/>
  <c r="N387" i="1"/>
  <c r="O373" i="1"/>
  <c r="M373" i="1" s="1"/>
  <c r="O330" i="1"/>
  <c r="M330" i="1" s="1"/>
  <c r="M302" i="1"/>
  <c r="N302" i="1"/>
  <c r="M283" i="1"/>
  <c r="N283" i="1"/>
  <c r="O261" i="1"/>
  <c r="M261" i="1" s="1"/>
  <c r="O218" i="1"/>
  <c r="M218" i="1" s="1"/>
  <c r="M190" i="1"/>
  <c r="M163" i="1"/>
  <c r="N163" i="1"/>
  <c r="O125" i="1"/>
  <c r="M125" i="1" s="1"/>
  <c r="O108" i="1"/>
  <c r="M108" i="1" s="1"/>
  <c r="M90" i="1"/>
  <c r="N90" i="1"/>
  <c r="M71" i="1"/>
  <c r="O53" i="1"/>
  <c r="M53" i="1" s="1"/>
  <c r="M31" i="1"/>
  <c r="N31" i="1"/>
</calcChain>
</file>

<file path=xl/sharedStrings.xml><?xml version="1.0" encoding="utf-8"?>
<sst xmlns="http://schemas.openxmlformats.org/spreadsheetml/2006/main" count="3128" uniqueCount="206">
  <si>
    <t>TT</t>
  </si>
  <si>
    <t>Tên môn học</t>
  </si>
  <si>
    <t>Điểm môn học</t>
  </si>
  <si>
    <t>C</t>
  </si>
  <si>
    <t>D+</t>
  </si>
  <si>
    <t>C+</t>
  </si>
  <si>
    <t>B</t>
  </si>
  <si>
    <t>F</t>
  </si>
  <si>
    <t>D</t>
  </si>
  <si>
    <t>B+</t>
  </si>
  <si>
    <t>A</t>
  </si>
  <si>
    <t>Điểm chữ</t>
  </si>
  <si>
    <t>A+</t>
  </si>
  <si>
    <t>Điểm số</t>
  </si>
  <si>
    <t>Thang 10</t>
  </si>
  <si>
    <t>8.5-8.9</t>
  </si>
  <si>
    <t>8.0-8.4</t>
  </si>
  <si>
    <t>7.0-7.9</t>
  </si>
  <si>
    <t>6.5-6.9</t>
  </si>
  <si>
    <t>5.5-6.4</t>
  </si>
  <si>
    <t>5.0-5.4</t>
  </si>
  <si>
    <t>4-4.9</t>
  </si>
  <si>
    <t>&lt;4.0</t>
  </si>
  <si>
    <t>9 - 10</t>
  </si>
  <si>
    <t>CỘNG HÒA XÃ HỘI CHỦ NGHĨA VIỆT NAM
Độc lập - Tự do - Hạnh phúc</t>
  </si>
  <si>
    <t>• Xuất sắc: từ 3.60 đến 4.0; Giỏi: từ 3.20 đến 3.59; Khá: từ 2.50 đến 3.19; Trung bình khá: từ 2.30 đến 2.49; 
Trung bình: từ 2.00 đến 2.29</t>
  </si>
  <si>
    <t>Hệ thống thang điểm và phân loại tốt nghiệp được quy định như sau:</t>
  </si>
  <si>
    <t>Ghi chú:</t>
  </si>
  <si>
    <t>Điểm 0.1</t>
  </si>
  <si>
    <t>Điểm 0.2</t>
  </si>
  <si>
    <t>Điểm 0.7</t>
  </si>
  <si>
    <t>Các Học phần in nghiêng là môn điều kiện, đậm nghiêng là môn học lại</t>
  </si>
  <si>
    <t>Mã MH</t>
  </si>
  <si>
    <r>
      <t xml:space="preserve">HỌC VIỆN KỸ THUẬT QUÂN SỰ
</t>
    </r>
    <r>
      <rPr>
        <b/>
        <sz val="13"/>
        <color indexed="8"/>
        <rFont val="Times New Roman"/>
        <family val="1"/>
      </rPr>
      <t>PHÒNG ĐÀO TẠO</t>
    </r>
  </si>
  <si>
    <t>KẾT QUẢ HỌC TẬP</t>
  </si>
  <si>
    <t>Hệ 10</t>
  </si>
  <si>
    <t>Hệ 4</t>
  </si>
  <si>
    <t>Hệ chữ</t>
  </si>
  <si>
    <t>Ghi chú</t>
  </si>
  <si>
    <t>Số TC</t>
  </si>
  <si>
    <t>KT. TRƯỞNG PHÒNG
PHÓ TRƯỞNG PHÒNG</t>
  </si>
  <si>
    <t>Đại tá, TS Nguyễn Văn Bình</t>
  </si>
  <si>
    <t xml:space="preserve">Trung bình học kỳ </t>
  </si>
  <si>
    <r>
      <t xml:space="preserve">Họ và tên: </t>
    </r>
    <r>
      <rPr>
        <b/>
        <sz val="13"/>
        <color indexed="8"/>
        <rFont val="Times New Roman"/>
        <family val="1"/>
      </rPr>
      <t>Hoàng Anh</t>
    </r>
  </si>
  <si>
    <t>Ngày sinh: 02/11/2003</t>
  </si>
  <si>
    <t>Mã SV: 2021010395</t>
  </si>
  <si>
    <t>Hình thức đào tạo: Chính quy</t>
  </si>
  <si>
    <t>Ngành: Kỹ thuật cơ khí</t>
  </si>
  <si>
    <t>Lớp: Ô tô quân sự 158</t>
  </si>
  <si>
    <t>Hà Nội, ngày 9 tháng 1 năm 2026</t>
  </si>
  <si>
    <t>Học kỳ 1 Năm học 2022 - 2023</t>
  </si>
  <si>
    <t>Thể thao quân sự</t>
  </si>
  <si>
    <t>Giáo dục chính trị</t>
  </si>
  <si>
    <t>Hiểu biết về địch, công tác tham mưu và chiến thuật BB</t>
  </si>
  <si>
    <t>Kỹ thuật chiến đấu bộ binh</t>
  </si>
  <si>
    <t>Hậu cần, kỹ thuật</t>
  </si>
  <si>
    <t>Điều lệnh</t>
  </si>
  <si>
    <t>Học kỳ 2 năm học 2022 - 2023</t>
  </si>
  <si>
    <t>Hỏa khí đi cùng</t>
  </si>
  <si>
    <t>Phòng chống vũ khí hủy diệt và CHCN</t>
  </si>
  <si>
    <t>Triết học Mác - Lênin</t>
  </si>
  <si>
    <t>Địa hình quân sự và công tác tham mưu + BTL</t>
  </si>
  <si>
    <t>Chiến thuật trung đội bộ binh</t>
  </si>
  <si>
    <t>Học kỳ hè năm học 2022 - 2023</t>
  </si>
  <si>
    <t>TL</t>
  </si>
  <si>
    <t>Học kỳ thi lại HK2 năm học 2022 - 2023</t>
  </si>
  <si>
    <t>CT</t>
  </si>
  <si>
    <t>Học kỳ 1 năm học 2023 - 2024</t>
  </si>
  <si>
    <t>Nhà nước, pháp luật</t>
  </si>
  <si>
    <t>Phương pháp nghiên cứu khoa học</t>
  </si>
  <si>
    <t>Lôgíc học</t>
  </si>
  <si>
    <t>Lịch sử và đường lối quân sự</t>
  </si>
  <si>
    <t>Vật lý đại cương 2 (LT)</t>
  </si>
  <si>
    <t>Giải tích 2</t>
  </si>
  <si>
    <t>Công nghệ thông tin</t>
  </si>
  <si>
    <t>Chủ nghĩa xã hội khoa học + TL</t>
  </si>
  <si>
    <t>Kinh tế chính trị Mác - Lênin</t>
  </si>
  <si>
    <t>Thể thao quân sự 2</t>
  </si>
  <si>
    <t>Hình giải tích và Đại số tuyến tính</t>
  </si>
  <si>
    <t>Đạo đức học</t>
  </si>
  <si>
    <t>Hình họa và vẽ kỹ thuật cơ khí + BTL</t>
  </si>
  <si>
    <t>Học kỳ thi lại đợt 1 năm học 2023 - 2024</t>
  </si>
  <si>
    <t>Học kỳ 2 2023 - 2024</t>
  </si>
  <si>
    <t>Thể dục thể thao 3 (Bơi bao gói và PPCĐ)</t>
  </si>
  <si>
    <t>Lý thuyết xác suất thống kê</t>
  </si>
  <si>
    <t>an</t>
  </si>
  <si>
    <t>Cơ sở lý thuyết hóa học (LT)</t>
  </si>
  <si>
    <t>Vật lý đại cương 1 (LT)</t>
  </si>
  <si>
    <t>Giáo dục học quân sự</t>
  </si>
  <si>
    <t>Kỹ thuật điện</t>
  </si>
  <si>
    <t>Tâm lý học quân sự</t>
  </si>
  <si>
    <t>Giải tích 1</t>
  </si>
  <si>
    <t>Cơ lý thuyết + BTL</t>
  </si>
  <si>
    <t>Công tác quản lý bộ đội + BTL</t>
  </si>
  <si>
    <t>Học kỳ hè năm học 2023 - 2024</t>
  </si>
  <si>
    <t>Thí nghiệm cơ sở lý thuyết hóa học</t>
  </si>
  <si>
    <t>Học kỳ 1 năm học 2024 - 2025</t>
  </si>
  <si>
    <t>Dân tộc học và tôn giáo học</t>
  </si>
  <si>
    <t>Nguyên lý máy + BTL</t>
  </si>
  <si>
    <t>CAD + Bài tập lớn</t>
  </si>
  <si>
    <t>Thực tập điện</t>
  </si>
  <si>
    <t>Thực tập cơ khí 1</t>
  </si>
  <si>
    <t>Kỹ thuật nhiệt</t>
  </si>
  <si>
    <t>Dung sai + BTL</t>
  </si>
  <si>
    <t>Tư tưởng Hồ Chí Minh + TL</t>
  </si>
  <si>
    <t>Sức bền vật liệu + BTL</t>
  </si>
  <si>
    <t>Học kỳ phụ (1) Học kỳ 1 năm học 2024 - 2025</t>
  </si>
  <si>
    <t>Học kỳ 2 năm học 2024 - 2025</t>
  </si>
  <si>
    <t>Chiến thuật đại đội, tiểu đoàn bộ binh</t>
  </si>
  <si>
    <t>Cơ sở văn hoá Việt Nam</t>
  </si>
  <si>
    <t>Công nghệ kim loại</t>
  </si>
  <si>
    <t>Vật liệu học</t>
  </si>
  <si>
    <t>Cấu tạo ô tô quân sự</t>
  </si>
  <si>
    <t>Chi tiết máy</t>
  </si>
  <si>
    <t>Nguyên lý động cơ đốt trong</t>
  </si>
  <si>
    <t>Hậu cần tài chính quân đội</t>
  </si>
  <si>
    <t>Kỹ thuật điện tử</t>
  </si>
  <si>
    <t>Thủy lực và máy thủy lực</t>
  </si>
  <si>
    <t>Thực tập cơ khí 2</t>
  </si>
  <si>
    <t>Học kỳ hè HK2 - Năm học 2024 - 2025</t>
  </si>
  <si>
    <t>Học kỳ 1 năm học 2025 - 2026</t>
  </si>
  <si>
    <t>Tiếng Nga B11</t>
  </si>
  <si>
    <t>Chiến thuật trung, sư đoàn bộ binh</t>
  </si>
  <si>
    <t>Kết cấu tính toán động cơ đốt trong + ĐAMH</t>
  </si>
  <si>
    <t>Lịch sử Đảng cộng sản Việt Nam</t>
  </si>
  <si>
    <t>Kỹ thuật điều khiển tự động (Cho KTCK)</t>
  </si>
  <si>
    <t>Cơ sở công nghệ chế tạo máy</t>
  </si>
  <si>
    <t>Đồ án chi tiết máy</t>
  </si>
  <si>
    <t>Đại cương hệ thống điều khiển động cơ đốt trong</t>
  </si>
  <si>
    <r>
      <t xml:space="preserve">Họ và tên: </t>
    </r>
    <r>
      <rPr>
        <b/>
        <sz val="13"/>
        <color indexed="8"/>
        <rFont val="Times New Roman"/>
        <family val="1"/>
      </rPr>
      <t>Đỗ Thành Đạt</t>
    </r>
  </si>
  <si>
    <t>Ngày sinh: 10/09/2004</t>
  </si>
  <si>
    <t>Mã SV: 2022010072</t>
  </si>
  <si>
    <r>
      <t xml:space="preserve">Tổng tín chỉ: </t>
    </r>
    <r>
      <rPr>
        <b/>
        <sz val="14"/>
        <color indexed="8"/>
        <rFont val="Times New Roman"/>
        <family val="1"/>
      </rPr>
      <t>151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</si>
  <si>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7.2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</si>
  <si>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2.87</t>
    </r>
  </si>
  <si>
    <r>
      <t xml:space="preserve">Xếp loại: </t>
    </r>
    <r>
      <rPr>
        <b/>
        <sz val="14"/>
        <rFont val="Times New Roman"/>
        <family val="1"/>
      </rPr>
      <t>Khá</t>
    </r>
  </si>
  <si>
    <t>Vật lý đại cương 1 (Cơ - Điện - Từ)</t>
  </si>
  <si>
    <r>
      <t xml:space="preserve">Họ và tên: </t>
    </r>
    <r>
      <rPr>
        <b/>
        <sz val="13"/>
        <color indexed="8"/>
        <rFont val="Times New Roman"/>
        <family val="1"/>
      </rPr>
      <t>Nguyễn Hoàng Hiệp</t>
    </r>
  </si>
  <si>
    <t>Ngày sinh: 29/07/2004</t>
  </si>
  <si>
    <t>Mã SV: 2022010141</t>
  </si>
  <si>
    <r>
      <t xml:space="preserve">Tổng tín chỉ: </t>
    </r>
    <r>
      <rPr>
        <b/>
        <sz val="14"/>
        <color indexed="8"/>
        <rFont val="Times New Roman"/>
        <family val="1"/>
      </rPr>
      <t>152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</si>
  <si>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</t>
    </r>
  </si>
  <si>
    <r>
      <t xml:space="preserve">Họ và tên: </t>
    </r>
    <r>
      <rPr>
        <b/>
        <sz val="13"/>
        <color indexed="8"/>
        <rFont val="Times New Roman"/>
        <family val="1"/>
      </rPr>
      <t>Lê Minh Quang</t>
    </r>
  </si>
  <si>
    <t>Ngày sinh: 03/08/2004</t>
  </si>
  <si>
    <t>Mã SV: 2022010342</t>
  </si>
  <si>
    <r>
      <t xml:space="preserve">Tổng tín chỉ: </t>
    </r>
    <r>
      <rPr>
        <b/>
        <sz val="14"/>
        <color indexed="8"/>
        <rFont val="Times New Roman"/>
        <family val="1"/>
      </rPr>
      <t>155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</si>
  <si>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6.69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</si>
  <si>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2.53</t>
    </r>
  </si>
  <si>
    <r>
      <t xml:space="preserve">Xếp loại: </t>
    </r>
    <r>
      <rPr>
        <b/>
        <sz val="14"/>
        <rFont val="Times New Roman"/>
        <family val="1"/>
      </rPr>
      <t>Trung bình Khá</t>
    </r>
  </si>
  <si>
    <r>
      <t xml:space="preserve">Họ và tên: </t>
    </r>
    <r>
      <rPr>
        <b/>
        <sz val="13"/>
        <color indexed="8"/>
        <rFont val="Times New Roman"/>
        <family val="1"/>
      </rPr>
      <t>Nguyễn Văn Quyền</t>
    </r>
  </si>
  <si>
    <t>Ngày sinh: 10/07/2003</t>
  </si>
  <si>
    <t>Mã SV: 2022010351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</si>
  <si>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7.41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</si>
  <si>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2.94</t>
    </r>
  </si>
  <si>
    <r>
      <t xml:space="preserve">Họ và tên: </t>
    </r>
    <r>
      <rPr>
        <b/>
        <sz val="13"/>
        <color indexed="8"/>
        <rFont val="Times New Roman"/>
        <family val="1"/>
      </rPr>
      <t>Trần Phước Sinh</t>
    </r>
  </si>
  <si>
    <t>Ngày sinh: 01/06/2004</t>
  </si>
  <si>
    <t>Mã SV: 2022010362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</si>
  <si>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</si>
  <si>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2.95</t>
    </r>
  </si>
  <si>
    <r>
      <t xml:space="preserve">Họ và tên: </t>
    </r>
    <r>
      <rPr>
        <b/>
        <sz val="13"/>
        <color indexed="8"/>
        <rFont val="Times New Roman"/>
        <family val="1"/>
      </rPr>
      <t>Dương Hoàng Thao</t>
    </r>
  </si>
  <si>
    <t>Ngày sinh: 14/09/2004</t>
  </si>
  <si>
    <t>Mã SV: 2022010411</t>
  </si>
  <si>
    <r>
      <t xml:space="preserve">Tổng tín chỉ: </t>
    </r>
    <r>
      <rPr>
        <b/>
        <sz val="14"/>
        <color indexed="8"/>
        <rFont val="Times New Roman"/>
        <family val="1"/>
      </rPr>
      <t>161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</si>
  <si>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6.56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</si>
  <si>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2.36</t>
    </r>
  </si>
  <si>
    <r>
      <t xml:space="preserve">Họ và tên: </t>
    </r>
    <r>
      <rPr>
        <b/>
        <sz val="13"/>
        <color indexed="8"/>
        <rFont val="Times New Roman"/>
        <family val="1"/>
      </rPr>
      <t>Vương Trung Kiên</t>
    </r>
  </si>
  <si>
    <t>Ngày sinh: 28/03/2004</t>
  </si>
  <si>
    <t>Mã SV: 2022010216</t>
  </si>
  <si>
    <r>
      <t xml:space="preserve">Họ và tên: </t>
    </r>
    <r>
      <rPr>
        <b/>
        <sz val="13"/>
        <color indexed="8"/>
        <rFont val="Times New Roman"/>
        <family val="1"/>
      </rPr>
      <t>Phạm Thành Lộc</t>
    </r>
  </si>
  <si>
    <t>Ngày sinh: 09/11/2004</t>
  </si>
  <si>
    <t>Mã SV: 2022010240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</si>
  <si>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6.86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</si>
  <si>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2.62</t>
    </r>
  </si>
  <si>
    <r>
      <t xml:space="preserve">Họ và tên: </t>
    </r>
    <r>
      <rPr>
        <b/>
        <sz val="13"/>
        <color indexed="8"/>
        <rFont val="Times New Roman"/>
        <family val="1"/>
      </rPr>
      <t>Nguyễn Đăng Phương</t>
    </r>
  </si>
  <si>
    <t>Ngày sinh: 02/06/2004</t>
  </si>
  <si>
    <t>Mã SV: 2022010324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</si>
  <si>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7.34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</si>
  <si>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</t>
    </r>
  </si>
  <si>
    <r>
      <t xml:space="preserve">Họ và tên: </t>
    </r>
    <r>
      <rPr>
        <b/>
        <sz val="13"/>
        <color indexed="8"/>
        <rFont val="Times New Roman"/>
        <family val="1"/>
      </rPr>
      <t>Phạm Thế Anh</t>
    </r>
  </si>
  <si>
    <t>Ngày sinh: 29/12/2004</t>
  </si>
  <si>
    <t>Mã SV: 2022010014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</si>
  <si>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</t>
    </r>
  </si>
  <si>
    <r>
      <t xml:space="preserve">Họ và tên: </t>
    </r>
    <r>
      <rPr>
        <b/>
        <sz val="13"/>
        <color indexed="8"/>
        <rFont val="Times New Roman"/>
        <family val="1"/>
      </rPr>
      <t>Chu Trần Phương Duy</t>
    </r>
  </si>
  <si>
    <t>Ngày sinh: 23/11/2004</t>
  </si>
  <si>
    <t>Mã SV: 2022010117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</si>
  <si>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7.42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</si>
  <si>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</t>
    </r>
  </si>
  <si>
    <r>
      <t xml:space="preserve">Họ và tên: </t>
    </r>
    <r>
      <rPr>
        <b/>
        <sz val="13"/>
        <color indexed="8"/>
        <rFont val="Times New Roman"/>
        <family val="1"/>
      </rPr>
      <t>Đặng Văn Duy</t>
    </r>
  </si>
  <si>
    <t>Ngày sinh: 04/02/2004</t>
  </si>
  <si>
    <t>Mã SV: 2022010121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</si>
  <si>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6.55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</si>
  <si>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2.4</t>
    </r>
  </si>
  <si>
    <r>
      <t xml:space="preserve">Họ và tên: </t>
    </r>
    <r>
      <rPr>
        <b/>
        <sz val="13"/>
        <color indexed="8"/>
        <rFont val="Times New Roman"/>
        <family val="1"/>
      </rPr>
      <t>Phạm Thiện Hải</t>
    </r>
  </si>
  <si>
    <t>Ngày sinh: 17/08/2003</t>
  </si>
  <si>
    <t>Mã SV: 2022010127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</si>
  <si>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7.14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</si>
  <si>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2.77</t>
    </r>
  </si>
  <si>
    <r>
      <t xml:space="preserve">Họ và tên: </t>
    </r>
    <r>
      <rPr>
        <b/>
        <sz val="13"/>
        <color indexed="8"/>
        <rFont val="Times New Roman"/>
        <family val="1"/>
      </rPr>
      <t>Nguyễn Văn Hiệp</t>
    </r>
  </si>
  <si>
    <t>Ngày sinh: 13/09/2004</t>
  </si>
  <si>
    <t>Mã SV: 2022010142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</si>
  <si>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7.13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</si>
  <si>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2.78</t>
    </r>
  </si>
  <si>
    <r>
      <t xml:space="preserve">Họ và tên: </t>
    </r>
    <r>
      <rPr>
        <b/>
        <sz val="13"/>
        <color indexed="8"/>
        <rFont val="Times New Roman"/>
        <family val="1"/>
      </rPr>
      <t>Trần Duy Khánh</t>
    </r>
  </si>
  <si>
    <t>Ngày sinh: 04/01/2004</t>
  </si>
  <si>
    <t>Mã SV: 2022010207</t>
  </si>
  <si>
    <t>Học kỳ phụ/thi lại HK1 năm học 2022 - 2023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</si>
</sst>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</font>
    <font>
      <b/>
      <sz val="14"/>
      <color indexed="8"/>
      <name val="Times New Roman"/>
      <family val="1"/>
    </font>
    <font>
      <sz val="13"/>
      <color indexed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3"/>
      <color rgb="FF000000"/>
      <name val="Times New Roman"/>
      <family val="1"/>
    </font>
    <font>
      <b/>
      <sz val="13"/>
      <color rgb="FFB21EA0"/>
      <name val="Times New Roman"/>
      <family val="1"/>
    </font>
    <font>
      <b/>
      <sz val="13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9" fillId="0" borderId="2" xfId="0" applyNumberFormat="1" applyFont="1" applyBorder="1" applyAlignment="1">
      <alignment vertical="justify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0000FF"/>
      </font>
    </dxf>
    <dxf>
      <font>
        <b val="0"/>
        <i/>
      </font>
    </dxf>
    <dxf>
      <font>
        <b/>
        <i val="0"/>
      </font>
    </dxf>
    <dxf>
      <font>
        <color rgb="FFFF66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0</xdr:row>
      <xdr:rowOff>541020</xdr:rowOff>
    </xdr:from>
    <xdr:to>
      <xdr:col>3</xdr:col>
      <xdr:colOff>327660</xdr:colOff>
      <xdr:row>0</xdr:row>
      <xdr:rowOff>541020</xdr:rowOff>
    </xdr:to>
    <xdr:cxnSp macro="">
      <xdr:nvCxnSpPr>
        <xdr:cNvPr id="1545" name="Straight Connector 6">
          <a:extLst>
            <a:ext uri="{FF2B5EF4-FFF2-40B4-BE49-F238E27FC236}">
              <a16:creationId xmlns:a16="http://schemas.microsoft.com/office/drawing/2014/main" id="{AE215275-E4B8-91B4-28F2-7FF935AD4168}"/>
            </a:ext>
          </a:extLst>
        </xdr:cNvPr>
        <xdr:cNvCxnSpPr>
          <a:cxnSpLocks noChangeShapeType="1"/>
        </xdr:cNvCxnSpPr>
      </xdr:nvCxnSpPr>
      <xdr:spPr bwMode="auto">
        <a:xfrm>
          <a:off x="624840" y="541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0</xdr:row>
      <xdr:rowOff>541020</xdr:rowOff>
    </xdr:from>
    <xdr:to>
      <xdr:col>16</xdr:col>
      <xdr:colOff>106680</xdr:colOff>
      <xdr:row>0</xdr:row>
      <xdr:rowOff>541020</xdr:rowOff>
    </xdr:to>
    <xdr:cxnSp macro="">
      <xdr:nvCxnSpPr>
        <xdr:cNvPr id="1546" name="Straight Connector 26">
          <a:extLst>
            <a:ext uri="{FF2B5EF4-FFF2-40B4-BE49-F238E27FC236}">
              <a16:creationId xmlns:a16="http://schemas.microsoft.com/office/drawing/2014/main" id="{78C66496-2E57-07E8-3C82-D37F3BB87499}"/>
            </a:ext>
          </a:extLst>
        </xdr:cNvPr>
        <xdr:cNvCxnSpPr>
          <a:cxnSpLocks noChangeShapeType="1"/>
        </xdr:cNvCxnSpPr>
      </xdr:nvCxnSpPr>
      <xdr:spPr bwMode="auto">
        <a:xfrm>
          <a:off x="3649980" y="541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133</xdr:row>
      <xdr:rowOff>541020</xdr:rowOff>
    </xdr:from>
    <xdr:to>
      <xdr:col>3</xdr:col>
      <xdr:colOff>327660</xdr:colOff>
      <xdr:row>133</xdr:row>
      <xdr:rowOff>541020</xdr:rowOff>
    </xdr:to>
    <xdr:cxnSp macro="">
      <xdr:nvCxnSpPr>
        <xdr:cNvPr id="1547" name="Straight Connector 6">
          <a:extLst>
            <a:ext uri="{FF2B5EF4-FFF2-40B4-BE49-F238E27FC236}">
              <a16:creationId xmlns:a16="http://schemas.microsoft.com/office/drawing/2014/main" id="{B66394F4-61B2-96B8-B43A-B04C795F399D}"/>
            </a:ext>
          </a:extLst>
        </xdr:cNvPr>
        <xdr:cNvCxnSpPr>
          <a:cxnSpLocks noChangeShapeType="1"/>
        </xdr:cNvCxnSpPr>
      </xdr:nvCxnSpPr>
      <xdr:spPr bwMode="auto">
        <a:xfrm>
          <a:off x="624840" y="266014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133</xdr:row>
      <xdr:rowOff>541020</xdr:rowOff>
    </xdr:from>
    <xdr:to>
      <xdr:col>16</xdr:col>
      <xdr:colOff>106680</xdr:colOff>
      <xdr:row>133</xdr:row>
      <xdr:rowOff>541020</xdr:rowOff>
    </xdr:to>
    <xdr:cxnSp macro="">
      <xdr:nvCxnSpPr>
        <xdr:cNvPr id="1548" name="Straight Connector 26">
          <a:extLst>
            <a:ext uri="{FF2B5EF4-FFF2-40B4-BE49-F238E27FC236}">
              <a16:creationId xmlns:a16="http://schemas.microsoft.com/office/drawing/2014/main" id="{6723F973-1B7E-67FF-9598-60AF68F03529}"/>
            </a:ext>
          </a:extLst>
        </xdr:cNvPr>
        <xdr:cNvCxnSpPr>
          <a:cxnSpLocks noChangeShapeType="1"/>
        </xdr:cNvCxnSpPr>
      </xdr:nvCxnSpPr>
      <xdr:spPr bwMode="auto">
        <a:xfrm>
          <a:off x="3649980" y="266014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241</xdr:row>
      <xdr:rowOff>541020</xdr:rowOff>
    </xdr:from>
    <xdr:to>
      <xdr:col>3</xdr:col>
      <xdr:colOff>327660</xdr:colOff>
      <xdr:row>241</xdr:row>
      <xdr:rowOff>541020</xdr:rowOff>
    </xdr:to>
    <xdr:cxnSp macro="">
      <xdr:nvCxnSpPr>
        <xdr:cNvPr id="1549" name="Straight Connector 6">
          <a:extLst>
            <a:ext uri="{FF2B5EF4-FFF2-40B4-BE49-F238E27FC236}">
              <a16:creationId xmlns:a16="http://schemas.microsoft.com/office/drawing/2014/main" id="{CBB53AC4-C588-4435-011F-139888752629}"/>
            </a:ext>
          </a:extLst>
        </xdr:cNvPr>
        <xdr:cNvCxnSpPr>
          <a:cxnSpLocks noChangeShapeType="1"/>
        </xdr:cNvCxnSpPr>
      </xdr:nvCxnSpPr>
      <xdr:spPr bwMode="auto">
        <a:xfrm>
          <a:off x="624840" y="485698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241</xdr:row>
      <xdr:rowOff>541020</xdr:rowOff>
    </xdr:from>
    <xdr:to>
      <xdr:col>16</xdr:col>
      <xdr:colOff>106680</xdr:colOff>
      <xdr:row>241</xdr:row>
      <xdr:rowOff>541020</xdr:rowOff>
    </xdr:to>
    <xdr:cxnSp macro="">
      <xdr:nvCxnSpPr>
        <xdr:cNvPr id="1550" name="Straight Connector 26">
          <a:extLst>
            <a:ext uri="{FF2B5EF4-FFF2-40B4-BE49-F238E27FC236}">
              <a16:creationId xmlns:a16="http://schemas.microsoft.com/office/drawing/2014/main" id="{A3D255EF-9AC6-3FD7-C075-8ABA4E1F9A74}"/>
            </a:ext>
          </a:extLst>
        </xdr:cNvPr>
        <xdr:cNvCxnSpPr>
          <a:cxnSpLocks noChangeShapeType="1"/>
        </xdr:cNvCxnSpPr>
      </xdr:nvCxnSpPr>
      <xdr:spPr bwMode="auto">
        <a:xfrm>
          <a:off x="3649980" y="485698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353</xdr:row>
      <xdr:rowOff>541020</xdr:rowOff>
    </xdr:from>
    <xdr:to>
      <xdr:col>3</xdr:col>
      <xdr:colOff>327660</xdr:colOff>
      <xdr:row>353</xdr:row>
      <xdr:rowOff>541020</xdr:rowOff>
    </xdr:to>
    <xdr:cxnSp macro="">
      <xdr:nvCxnSpPr>
        <xdr:cNvPr id="1551" name="Straight Connector 6">
          <a:extLst>
            <a:ext uri="{FF2B5EF4-FFF2-40B4-BE49-F238E27FC236}">
              <a16:creationId xmlns:a16="http://schemas.microsoft.com/office/drawing/2014/main" id="{A7ECE4D6-9A5B-8B85-5A84-AF89C439177D}"/>
            </a:ext>
          </a:extLst>
        </xdr:cNvPr>
        <xdr:cNvCxnSpPr>
          <a:cxnSpLocks noChangeShapeType="1"/>
        </xdr:cNvCxnSpPr>
      </xdr:nvCxnSpPr>
      <xdr:spPr bwMode="auto">
        <a:xfrm>
          <a:off x="624840" y="712012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353</xdr:row>
      <xdr:rowOff>541020</xdr:rowOff>
    </xdr:from>
    <xdr:to>
      <xdr:col>16</xdr:col>
      <xdr:colOff>106680</xdr:colOff>
      <xdr:row>353</xdr:row>
      <xdr:rowOff>541020</xdr:rowOff>
    </xdr:to>
    <xdr:cxnSp macro="">
      <xdr:nvCxnSpPr>
        <xdr:cNvPr id="1552" name="Straight Connector 26">
          <a:extLst>
            <a:ext uri="{FF2B5EF4-FFF2-40B4-BE49-F238E27FC236}">
              <a16:creationId xmlns:a16="http://schemas.microsoft.com/office/drawing/2014/main" id="{5320B30E-E4AF-702A-4C9F-DEE31F50AE8F}"/>
            </a:ext>
          </a:extLst>
        </xdr:cNvPr>
        <xdr:cNvCxnSpPr>
          <a:cxnSpLocks noChangeShapeType="1"/>
        </xdr:cNvCxnSpPr>
      </xdr:nvCxnSpPr>
      <xdr:spPr bwMode="auto">
        <a:xfrm>
          <a:off x="3649980" y="712012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465</xdr:row>
      <xdr:rowOff>541020</xdr:rowOff>
    </xdr:from>
    <xdr:to>
      <xdr:col>3</xdr:col>
      <xdr:colOff>327660</xdr:colOff>
      <xdr:row>465</xdr:row>
      <xdr:rowOff>541020</xdr:rowOff>
    </xdr:to>
    <xdr:cxnSp macro="">
      <xdr:nvCxnSpPr>
        <xdr:cNvPr id="1553" name="Straight Connector 6">
          <a:extLst>
            <a:ext uri="{FF2B5EF4-FFF2-40B4-BE49-F238E27FC236}">
              <a16:creationId xmlns:a16="http://schemas.microsoft.com/office/drawing/2014/main" id="{005084CA-276A-2AC6-0C88-8339A8EF6E0A}"/>
            </a:ext>
          </a:extLst>
        </xdr:cNvPr>
        <xdr:cNvCxnSpPr>
          <a:cxnSpLocks noChangeShapeType="1"/>
        </xdr:cNvCxnSpPr>
      </xdr:nvCxnSpPr>
      <xdr:spPr bwMode="auto">
        <a:xfrm>
          <a:off x="624840" y="938326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465</xdr:row>
      <xdr:rowOff>541020</xdr:rowOff>
    </xdr:from>
    <xdr:to>
      <xdr:col>16</xdr:col>
      <xdr:colOff>106680</xdr:colOff>
      <xdr:row>465</xdr:row>
      <xdr:rowOff>541020</xdr:rowOff>
    </xdr:to>
    <xdr:cxnSp macro="">
      <xdr:nvCxnSpPr>
        <xdr:cNvPr id="1554" name="Straight Connector 26">
          <a:extLst>
            <a:ext uri="{FF2B5EF4-FFF2-40B4-BE49-F238E27FC236}">
              <a16:creationId xmlns:a16="http://schemas.microsoft.com/office/drawing/2014/main" id="{EACDA580-C4E4-0B8D-2520-C60183DD1304}"/>
            </a:ext>
          </a:extLst>
        </xdr:cNvPr>
        <xdr:cNvCxnSpPr>
          <a:cxnSpLocks noChangeShapeType="1"/>
        </xdr:cNvCxnSpPr>
      </xdr:nvCxnSpPr>
      <xdr:spPr bwMode="auto">
        <a:xfrm>
          <a:off x="3649980" y="938326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577</xdr:row>
      <xdr:rowOff>541020</xdr:rowOff>
    </xdr:from>
    <xdr:to>
      <xdr:col>3</xdr:col>
      <xdr:colOff>327660</xdr:colOff>
      <xdr:row>577</xdr:row>
      <xdr:rowOff>541020</xdr:rowOff>
    </xdr:to>
    <xdr:cxnSp macro="">
      <xdr:nvCxnSpPr>
        <xdr:cNvPr id="1555" name="Straight Connector 6">
          <a:extLst>
            <a:ext uri="{FF2B5EF4-FFF2-40B4-BE49-F238E27FC236}">
              <a16:creationId xmlns:a16="http://schemas.microsoft.com/office/drawing/2014/main" id="{F3459514-4636-1CD8-0AD9-F8606E46F59B}"/>
            </a:ext>
          </a:extLst>
        </xdr:cNvPr>
        <xdr:cNvCxnSpPr>
          <a:cxnSpLocks noChangeShapeType="1"/>
        </xdr:cNvCxnSpPr>
      </xdr:nvCxnSpPr>
      <xdr:spPr bwMode="auto">
        <a:xfrm>
          <a:off x="624840" y="1164640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577</xdr:row>
      <xdr:rowOff>541020</xdr:rowOff>
    </xdr:from>
    <xdr:to>
      <xdr:col>16</xdr:col>
      <xdr:colOff>106680</xdr:colOff>
      <xdr:row>577</xdr:row>
      <xdr:rowOff>541020</xdr:rowOff>
    </xdr:to>
    <xdr:cxnSp macro="">
      <xdr:nvCxnSpPr>
        <xdr:cNvPr id="1556" name="Straight Connector 26">
          <a:extLst>
            <a:ext uri="{FF2B5EF4-FFF2-40B4-BE49-F238E27FC236}">
              <a16:creationId xmlns:a16="http://schemas.microsoft.com/office/drawing/2014/main" id="{C50E8BFE-33FE-EF6F-B68D-75AD0BB2D123}"/>
            </a:ext>
          </a:extLst>
        </xdr:cNvPr>
        <xdr:cNvCxnSpPr>
          <a:cxnSpLocks noChangeShapeType="1"/>
        </xdr:cNvCxnSpPr>
      </xdr:nvCxnSpPr>
      <xdr:spPr bwMode="auto">
        <a:xfrm>
          <a:off x="3649980" y="1164640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685</xdr:row>
      <xdr:rowOff>541020</xdr:rowOff>
    </xdr:from>
    <xdr:to>
      <xdr:col>3</xdr:col>
      <xdr:colOff>327660</xdr:colOff>
      <xdr:row>685</xdr:row>
      <xdr:rowOff>541020</xdr:rowOff>
    </xdr:to>
    <xdr:cxnSp macro="">
      <xdr:nvCxnSpPr>
        <xdr:cNvPr id="1557" name="Straight Connector 6">
          <a:extLst>
            <a:ext uri="{FF2B5EF4-FFF2-40B4-BE49-F238E27FC236}">
              <a16:creationId xmlns:a16="http://schemas.microsoft.com/office/drawing/2014/main" id="{8F9CD25D-B917-C207-0253-C5CA91BA9372}"/>
            </a:ext>
          </a:extLst>
        </xdr:cNvPr>
        <xdr:cNvCxnSpPr>
          <a:cxnSpLocks noChangeShapeType="1"/>
        </xdr:cNvCxnSpPr>
      </xdr:nvCxnSpPr>
      <xdr:spPr bwMode="auto">
        <a:xfrm>
          <a:off x="624840" y="1384325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685</xdr:row>
      <xdr:rowOff>541020</xdr:rowOff>
    </xdr:from>
    <xdr:to>
      <xdr:col>16</xdr:col>
      <xdr:colOff>106680</xdr:colOff>
      <xdr:row>685</xdr:row>
      <xdr:rowOff>541020</xdr:rowOff>
    </xdr:to>
    <xdr:cxnSp macro="">
      <xdr:nvCxnSpPr>
        <xdr:cNvPr id="1558" name="Straight Connector 26">
          <a:extLst>
            <a:ext uri="{FF2B5EF4-FFF2-40B4-BE49-F238E27FC236}">
              <a16:creationId xmlns:a16="http://schemas.microsoft.com/office/drawing/2014/main" id="{702CE6E5-BC7F-5897-4CE4-891794059411}"/>
            </a:ext>
          </a:extLst>
        </xdr:cNvPr>
        <xdr:cNvCxnSpPr>
          <a:cxnSpLocks noChangeShapeType="1"/>
        </xdr:cNvCxnSpPr>
      </xdr:nvCxnSpPr>
      <xdr:spPr bwMode="auto">
        <a:xfrm>
          <a:off x="3649980" y="1384325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805</xdr:row>
      <xdr:rowOff>541020</xdr:rowOff>
    </xdr:from>
    <xdr:to>
      <xdr:col>3</xdr:col>
      <xdr:colOff>327660</xdr:colOff>
      <xdr:row>805</xdr:row>
      <xdr:rowOff>541020</xdr:rowOff>
    </xdr:to>
    <xdr:cxnSp macro="">
      <xdr:nvCxnSpPr>
        <xdr:cNvPr id="1559" name="Straight Connector 6">
          <a:extLst>
            <a:ext uri="{FF2B5EF4-FFF2-40B4-BE49-F238E27FC236}">
              <a16:creationId xmlns:a16="http://schemas.microsoft.com/office/drawing/2014/main" id="{2521BEA5-492E-280B-F6D7-C1B24335A4CE}"/>
            </a:ext>
          </a:extLst>
        </xdr:cNvPr>
        <xdr:cNvCxnSpPr>
          <a:cxnSpLocks noChangeShapeType="1"/>
        </xdr:cNvCxnSpPr>
      </xdr:nvCxnSpPr>
      <xdr:spPr bwMode="auto">
        <a:xfrm>
          <a:off x="624840" y="1623898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805</xdr:row>
      <xdr:rowOff>541020</xdr:rowOff>
    </xdr:from>
    <xdr:to>
      <xdr:col>16</xdr:col>
      <xdr:colOff>106680</xdr:colOff>
      <xdr:row>805</xdr:row>
      <xdr:rowOff>541020</xdr:rowOff>
    </xdr:to>
    <xdr:cxnSp macro="">
      <xdr:nvCxnSpPr>
        <xdr:cNvPr id="1560" name="Straight Connector 26">
          <a:extLst>
            <a:ext uri="{FF2B5EF4-FFF2-40B4-BE49-F238E27FC236}">
              <a16:creationId xmlns:a16="http://schemas.microsoft.com/office/drawing/2014/main" id="{C6FE819F-E13B-FCB8-F630-F2A10B301D20}"/>
            </a:ext>
          </a:extLst>
        </xdr:cNvPr>
        <xdr:cNvCxnSpPr>
          <a:cxnSpLocks noChangeShapeType="1"/>
        </xdr:cNvCxnSpPr>
      </xdr:nvCxnSpPr>
      <xdr:spPr bwMode="auto">
        <a:xfrm>
          <a:off x="3649980" y="1623898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918</xdr:row>
      <xdr:rowOff>541020</xdr:rowOff>
    </xdr:from>
    <xdr:to>
      <xdr:col>3</xdr:col>
      <xdr:colOff>327660</xdr:colOff>
      <xdr:row>918</xdr:row>
      <xdr:rowOff>541020</xdr:rowOff>
    </xdr:to>
    <xdr:cxnSp macro="">
      <xdr:nvCxnSpPr>
        <xdr:cNvPr id="1561" name="Straight Connector 6">
          <a:extLst>
            <a:ext uri="{FF2B5EF4-FFF2-40B4-BE49-F238E27FC236}">
              <a16:creationId xmlns:a16="http://schemas.microsoft.com/office/drawing/2014/main" id="{BBC32FBB-492D-BCA3-1FC9-5C2DB764DA94}"/>
            </a:ext>
          </a:extLst>
        </xdr:cNvPr>
        <xdr:cNvCxnSpPr>
          <a:cxnSpLocks noChangeShapeType="1"/>
        </xdr:cNvCxnSpPr>
      </xdr:nvCxnSpPr>
      <xdr:spPr bwMode="auto">
        <a:xfrm>
          <a:off x="624840" y="1849755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918</xdr:row>
      <xdr:rowOff>541020</xdr:rowOff>
    </xdr:from>
    <xdr:to>
      <xdr:col>16</xdr:col>
      <xdr:colOff>106680</xdr:colOff>
      <xdr:row>918</xdr:row>
      <xdr:rowOff>541020</xdr:rowOff>
    </xdr:to>
    <xdr:cxnSp macro="">
      <xdr:nvCxnSpPr>
        <xdr:cNvPr id="1562" name="Straight Connector 26">
          <a:extLst>
            <a:ext uri="{FF2B5EF4-FFF2-40B4-BE49-F238E27FC236}">
              <a16:creationId xmlns:a16="http://schemas.microsoft.com/office/drawing/2014/main" id="{0AEB8CCE-37EF-88FA-D348-0A29EA006EC7}"/>
            </a:ext>
          </a:extLst>
        </xdr:cNvPr>
        <xdr:cNvCxnSpPr>
          <a:cxnSpLocks noChangeShapeType="1"/>
        </xdr:cNvCxnSpPr>
      </xdr:nvCxnSpPr>
      <xdr:spPr bwMode="auto">
        <a:xfrm>
          <a:off x="3649980" y="1849755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1034</xdr:row>
      <xdr:rowOff>541020</xdr:rowOff>
    </xdr:from>
    <xdr:to>
      <xdr:col>3</xdr:col>
      <xdr:colOff>327660</xdr:colOff>
      <xdr:row>1034</xdr:row>
      <xdr:rowOff>541020</xdr:rowOff>
    </xdr:to>
    <xdr:cxnSp macro="">
      <xdr:nvCxnSpPr>
        <xdr:cNvPr id="1563" name="Straight Connector 6">
          <a:extLst>
            <a:ext uri="{FF2B5EF4-FFF2-40B4-BE49-F238E27FC236}">
              <a16:creationId xmlns:a16="http://schemas.microsoft.com/office/drawing/2014/main" id="{3362177E-4A04-7204-B21B-ED75A8364169}"/>
            </a:ext>
          </a:extLst>
        </xdr:cNvPr>
        <xdr:cNvCxnSpPr>
          <a:cxnSpLocks noChangeShapeType="1"/>
        </xdr:cNvCxnSpPr>
      </xdr:nvCxnSpPr>
      <xdr:spPr bwMode="auto">
        <a:xfrm>
          <a:off x="624840" y="2082698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1034</xdr:row>
      <xdr:rowOff>541020</xdr:rowOff>
    </xdr:from>
    <xdr:to>
      <xdr:col>16</xdr:col>
      <xdr:colOff>106680</xdr:colOff>
      <xdr:row>1034</xdr:row>
      <xdr:rowOff>541020</xdr:rowOff>
    </xdr:to>
    <xdr:cxnSp macro="">
      <xdr:nvCxnSpPr>
        <xdr:cNvPr id="1564" name="Straight Connector 26">
          <a:extLst>
            <a:ext uri="{FF2B5EF4-FFF2-40B4-BE49-F238E27FC236}">
              <a16:creationId xmlns:a16="http://schemas.microsoft.com/office/drawing/2014/main" id="{54276534-4E05-1001-91FF-8A59DBC6F5FB}"/>
            </a:ext>
          </a:extLst>
        </xdr:cNvPr>
        <xdr:cNvCxnSpPr>
          <a:cxnSpLocks noChangeShapeType="1"/>
        </xdr:cNvCxnSpPr>
      </xdr:nvCxnSpPr>
      <xdr:spPr bwMode="auto">
        <a:xfrm>
          <a:off x="3649980" y="2082698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1142</xdr:row>
      <xdr:rowOff>541020</xdr:rowOff>
    </xdr:from>
    <xdr:to>
      <xdr:col>3</xdr:col>
      <xdr:colOff>327660</xdr:colOff>
      <xdr:row>1142</xdr:row>
      <xdr:rowOff>541020</xdr:rowOff>
    </xdr:to>
    <xdr:cxnSp macro="">
      <xdr:nvCxnSpPr>
        <xdr:cNvPr id="1565" name="Straight Connector 6">
          <a:extLst>
            <a:ext uri="{FF2B5EF4-FFF2-40B4-BE49-F238E27FC236}">
              <a16:creationId xmlns:a16="http://schemas.microsoft.com/office/drawing/2014/main" id="{7663DB74-48A5-E7FC-38F2-4FA14447E320}"/>
            </a:ext>
          </a:extLst>
        </xdr:cNvPr>
        <xdr:cNvCxnSpPr>
          <a:cxnSpLocks noChangeShapeType="1"/>
        </xdr:cNvCxnSpPr>
      </xdr:nvCxnSpPr>
      <xdr:spPr bwMode="auto">
        <a:xfrm>
          <a:off x="624840" y="2302383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1142</xdr:row>
      <xdr:rowOff>541020</xdr:rowOff>
    </xdr:from>
    <xdr:to>
      <xdr:col>16</xdr:col>
      <xdr:colOff>106680</xdr:colOff>
      <xdr:row>1142</xdr:row>
      <xdr:rowOff>541020</xdr:rowOff>
    </xdr:to>
    <xdr:cxnSp macro="">
      <xdr:nvCxnSpPr>
        <xdr:cNvPr id="1566" name="Straight Connector 26">
          <a:extLst>
            <a:ext uri="{FF2B5EF4-FFF2-40B4-BE49-F238E27FC236}">
              <a16:creationId xmlns:a16="http://schemas.microsoft.com/office/drawing/2014/main" id="{346E525A-1073-BFA3-AB45-385FCD9A3796}"/>
            </a:ext>
          </a:extLst>
        </xdr:cNvPr>
        <xdr:cNvCxnSpPr>
          <a:cxnSpLocks noChangeShapeType="1"/>
        </xdr:cNvCxnSpPr>
      </xdr:nvCxnSpPr>
      <xdr:spPr bwMode="auto">
        <a:xfrm>
          <a:off x="3649980" y="2302383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1250</xdr:row>
      <xdr:rowOff>541020</xdr:rowOff>
    </xdr:from>
    <xdr:to>
      <xdr:col>3</xdr:col>
      <xdr:colOff>327660</xdr:colOff>
      <xdr:row>1250</xdr:row>
      <xdr:rowOff>541020</xdr:rowOff>
    </xdr:to>
    <xdr:cxnSp macro="">
      <xdr:nvCxnSpPr>
        <xdr:cNvPr id="1567" name="Straight Connector 6">
          <a:extLst>
            <a:ext uri="{FF2B5EF4-FFF2-40B4-BE49-F238E27FC236}">
              <a16:creationId xmlns:a16="http://schemas.microsoft.com/office/drawing/2014/main" id="{DC221190-84F4-3B3E-5C8D-EAE644ED4F5D}"/>
            </a:ext>
          </a:extLst>
        </xdr:cNvPr>
        <xdr:cNvCxnSpPr>
          <a:cxnSpLocks noChangeShapeType="1"/>
        </xdr:cNvCxnSpPr>
      </xdr:nvCxnSpPr>
      <xdr:spPr bwMode="auto">
        <a:xfrm>
          <a:off x="624840" y="2522067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1250</xdr:row>
      <xdr:rowOff>541020</xdr:rowOff>
    </xdr:from>
    <xdr:to>
      <xdr:col>16</xdr:col>
      <xdr:colOff>106680</xdr:colOff>
      <xdr:row>1250</xdr:row>
      <xdr:rowOff>541020</xdr:rowOff>
    </xdr:to>
    <xdr:cxnSp macro="">
      <xdr:nvCxnSpPr>
        <xdr:cNvPr id="1568" name="Straight Connector 26">
          <a:extLst>
            <a:ext uri="{FF2B5EF4-FFF2-40B4-BE49-F238E27FC236}">
              <a16:creationId xmlns:a16="http://schemas.microsoft.com/office/drawing/2014/main" id="{28BF7E68-C4C5-5A7D-2976-3F6CBB335EEC}"/>
            </a:ext>
          </a:extLst>
        </xdr:cNvPr>
        <xdr:cNvCxnSpPr>
          <a:cxnSpLocks noChangeShapeType="1"/>
        </xdr:cNvCxnSpPr>
      </xdr:nvCxnSpPr>
      <xdr:spPr bwMode="auto">
        <a:xfrm>
          <a:off x="3649980" y="2522067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1358</xdr:row>
      <xdr:rowOff>541020</xdr:rowOff>
    </xdr:from>
    <xdr:to>
      <xdr:col>3</xdr:col>
      <xdr:colOff>327660</xdr:colOff>
      <xdr:row>1358</xdr:row>
      <xdr:rowOff>541020</xdr:rowOff>
    </xdr:to>
    <xdr:cxnSp macro="">
      <xdr:nvCxnSpPr>
        <xdr:cNvPr id="1569" name="Straight Connector 6">
          <a:extLst>
            <a:ext uri="{FF2B5EF4-FFF2-40B4-BE49-F238E27FC236}">
              <a16:creationId xmlns:a16="http://schemas.microsoft.com/office/drawing/2014/main" id="{E4724258-6060-18C3-37BE-F5353D588BA6}"/>
            </a:ext>
          </a:extLst>
        </xdr:cNvPr>
        <xdr:cNvCxnSpPr>
          <a:cxnSpLocks noChangeShapeType="1"/>
        </xdr:cNvCxnSpPr>
      </xdr:nvCxnSpPr>
      <xdr:spPr bwMode="auto">
        <a:xfrm>
          <a:off x="624840" y="2741752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1358</xdr:row>
      <xdr:rowOff>541020</xdr:rowOff>
    </xdr:from>
    <xdr:to>
      <xdr:col>16</xdr:col>
      <xdr:colOff>106680</xdr:colOff>
      <xdr:row>1358</xdr:row>
      <xdr:rowOff>541020</xdr:rowOff>
    </xdr:to>
    <xdr:cxnSp macro="">
      <xdr:nvCxnSpPr>
        <xdr:cNvPr id="1570" name="Straight Connector 26">
          <a:extLst>
            <a:ext uri="{FF2B5EF4-FFF2-40B4-BE49-F238E27FC236}">
              <a16:creationId xmlns:a16="http://schemas.microsoft.com/office/drawing/2014/main" id="{54F6DE37-3C6D-D563-7919-504DCF7D10B6}"/>
            </a:ext>
          </a:extLst>
        </xdr:cNvPr>
        <xdr:cNvCxnSpPr>
          <a:cxnSpLocks noChangeShapeType="1"/>
        </xdr:cNvCxnSpPr>
      </xdr:nvCxnSpPr>
      <xdr:spPr bwMode="auto">
        <a:xfrm>
          <a:off x="3649980" y="2741752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1466</xdr:row>
      <xdr:rowOff>541020</xdr:rowOff>
    </xdr:from>
    <xdr:to>
      <xdr:col>3</xdr:col>
      <xdr:colOff>327660</xdr:colOff>
      <xdr:row>1466</xdr:row>
      <xdr:rowOff>541020</xdr:rowOff>
    </xdr:to>
    <xdr:cxnSp macro="">
      <xdr:nvCxnSpPr>
        <xdr:cNvPr id="1571" name="Straight Connector 6">
          <a:extLst>
            <a:ext uri="{FF2B5EF4-FFF2-40B4-BE49-F238E27FC236}">
              <a16:creationId xmlns:a16="http://schemas.microsoft.com/office/drawing/2014/main" id="{6F565124-4270-5516-E09A-3BADFECDA7C2}"/>
            </a:ext>
          </a:extLst>
        </xdr:cNvPr>
        <xdr:cNvCxnSpPr>
          <a:cxnSpLocks noChangeShapeType="1"/>
        </xdr:cNvCxnSpPr>
      </xdr:nvCxnSpPr>
      <xdr:spPr bwMode="auto">
        <a:xfrm>
          <a:off x="624840" y="2961436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1466</xdr:row>
      <xdr:rowOff>541020</xdr:rowOff>
    </xdr:from>
    <xdr:to>
      <xdr:col>16</xdr:col>
      <xdr:colOff>106680</xdr:colOff>
      <xdr:row>1466</xdr:row>
      <xdr:rowOff>541020</xdr:rowOff>
    </xdr:to>
    <xdr:cxnSp macro="">
      <xdr:nvCxnSpPr>
        <xdr:cNvPr id="1572" name="Straight Connector 26">
          <a:extLst>
            <a:ext uri="{FF2B5EF4-FFF2-40B4-BE49-F238E27FC236}">
              <a16:creationId xmlns:a16="http://schemas.microsoft.com/office/drawing/2014/main" id="{71202A44-0E28-0B66-2F1F-FFE73473D8C4}"/>
            </a:ext>
          </a:extLst>
        </xdr:cNvPr>
        <xdr:cNvCxnSpPr>
          <a:cxnSpLocks noChangeShapeType="1"/>
        </xdr:cNvCxnSpPr>
      </xdr:nvCxnSpPr>
      <xdr:spPr bwMode="auto">
        <a:xfrm>
          <a:off x="3649980" y="2961436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1574</xdr:row>
      <xdr:rowOff>541020</xdr:rowOff>
    </xdr:from>
    <xdr:to>
      <xdr:col>3</xdr:col>
      <xdr:colOff>327660</xdr:colOff>
      <xdr:row>1574</xdr:row>
      <xdr:rowOff>541020</xdr:rowOff>
    </xdr:to>
    <xdr:cxnSp macro="">
      <xdr:nvCxnSpPr>
        <xdr:cNvPr id="1573" name="Straight Connector 6">
          <a:extLst>
            <a:ext uri="{FF2B5EF4-FFF2-40B4-BE49-F238E27FC236}">
              <a16:creationId xmlns:a16="http://schemas.microsoft.com/office/drawing/2014/main" id="{30D22A84-3F2A-CE5D-D6C0-45F6D5B358E9}"/>
            </a:ext>
          </a:extLst>
        </xdr:cNvPr>
        <xdr:cNvCxnSpPr>
          <a:cxnSpLocks noChangeShapeType="1"/>
        </xdr:cNvCxnSpPr>
      </xdr:nvCxnSpPr>
      <xdr:spPr bwMode="auto">
        <a:xfrm>
          <a:off x="624840" y="3181121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1574</xdr:row>
      <xdr:rowOff>541020</xdr:rowOff>
    </xdr:from>
    <xdr:to>
      <xdr:col>16</xdr:col>
      <xdr:colOff>106680</xdr:colOff>
      <xdr:row>1574</xdr:row>
      <xdr:rowOff>541020</xdr:rowOff>
    </xdr:to>
    <xdr:cxnSp macro="">
      <xdr:nvCxnSpPr>
        <xdr:cNvPr id="1574" name="Straight Connector 26">
          <a:extLst>
            <a:ext uri="{FF2B5EF4-FFF2-40B4-BE49-F238E27FC236}">
              <a16:creationId xmlns:a16="http://schemas.microsoft.com/office/drawing/2014/main" id="{41543A69-DB27-2CD6-614A-863A889D387B}"/>
            </a:ext>
          </a:extLst>
        </xdr:cNvPr>
        <xdr:cNvCxnSpPr>
          <a:cxnSpLocks noChangeShapeType="1"/>
        </xdr:cNvCxnSpPr>
      </xdr:nvCxnSpPr>
      <xdr:spPr bwMode="auto">
        <a:xfrm>
          <a:off x="3649980" y="3181121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1682</xdr:row>
      <xdr:rowOff>541020</xdr:rowOff>
    </xdr:from>
    <xdr:to>
      <xdr:col>3</xdr:col>
      <xdr:colOff>327660</xdr:colOff>
      <xdr:row>1682</xdr:row>
      <xdr:rowOff>541020</xdr:rowOff>
    </xdr:to>
    <xdr:cxnSp macro="">
      <xdr:nvCxnSpPr>
        <xdr:cNvPr id="1575" name="Straight Connector 6">
          <a:extLst>
            <a:ext uri="{FF2B5EF4-FFF2-40B4-BE49-F238E27FC236}">
              <a16:creationId xmlns:a16="http://schemas.microsoft.com/office/drawing/2014/main" id="{D5809AAE-91E0-F496-7C5A-4FCA61EDA79E}"/>
            </a:ext>
          </a:extLst>
        </xdr:cNvPr>
        <xdr:cNvCxnSpPr>
          <a:cxnSpLocks noChangeShapeType="1"/>
        </xdr:cNvCxnSpPr>
      </xdr:nvCxnSpPr>
      <xdr:spPr bwMode="auto">
        <a:xfrm>
          <a:off x="624840" y="3400806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1682</xdr:row>
      <xdr:rowOff>541020</xdr:rowOff>
    </xdr:from>
    <xdr:to>
      <xdr:col>16</xdr:col>
      <xdr:colOff>106680</xdr:colOff>
      <xdr:row>1682</xdr:row>
      <xdr:rowOff>541020</xdr:rowOff>
    </xdr:to>
    <xdr:cxnSp macro="">
      <xdr:nvCxnSpPr>
        <xdr:cNvPr id="1576" name="Straight Connector 26">
          <a:extLst>
            <a:ext uri="{FF2B5EF4-FFF2-40B4-BE49-F238E27FC236}">
              <a16:creationId xmlns:a16="http://schemas.microsoft.com/office/drawing/2014/main" id="{024014D9-A644-47A1-4031-446266148419}"/>
            </a:ext>
          </a:extLst>
        </xdr:cNvPr>
        <xdr:cNvCxnSpPr>
          <a:cxnSpLocks noChangeShapeType="1"/>
        </xdr:cNvCxnSpPr>
      </xdr:nvCxnSpPr>
      <xdr:spPr bwMode="auto">
        <a:xfrm>
          <a:off x="3649980" y="3400806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8969-DBB5-490A-8068-DB4C8BD4418F}">
  <dimension ref="A1:T1806"/>
  <sheetViews>
    <sheetView tabSelected="1" view="pageBreakPreview" zoomScaleNormal="85" zoomScaleSheetLayoutView="100" workbookViewId="0">
      <selection sqref="A1:E1"/>
    </sheetView>
  </sheetViews>
  <sheetFormatPr defaultColWidth="9.109375" defaultRowHeight="13.8" x14ac:dyDescent="0.25"/>
  <cols>
    <col min="1" max="1" width="5" style="3" customWidth="1"/>
    <col min="2" max="3" width="7.88671875" style="3" customWidth="1"/>
    <col min="4" max="4" width="8.6640625" style="3" customWidth="1"/>
    <col min="5" max="5" width="5.6640625" style="3" customWidth="1"/>
    <col min="6" max="6" width="7.5546875" style="3" customWidth="1"/>
    <col min="7" max="7" width="10.5546875" style="3" customWidth="1"/>
    <col min="8" max="8" width="4.109375" style="3" hidden="1" customWidth="1"/>
    <col min="9" max="9" width="4.33203125" style="3" customWidth="1"/>
    <col min="10" max="10" width="3.88671875" style="3" hidden="1" customWidth="1"/>
    <col min="11" max="11" width="0.109375" style="3" hidden="1" customWidth="1"/>
    <col min="12" max="12" width="4.6640625" style="3" hidden="1" customWidth="1"/>
    <col min="13" max="13" width="4.88671875" style="3" hidden="1" customWidth="1"/>
    <col min="14" max="14" width="5.6640625" style="3" hidden="1" customWidth="1"/>
    <col min="15" max="15" width="7.33203125" style="3" customWidth="1"/>
    <col min="16" max="16" width="7.44140625" style="3" customWidth="1"/>
    <col min="17" max="17" width="8.6640625" style="3" customWidth="1"/>
    <col min="18" max="18" width="0" style="1" hidden="1" customWidth="1"/>
    <col min="19" max="19" width="5.44140625" style="1" customWidth="1"/>
    <col min="20" max="16384" width="9.109375" style="1"/>
  </cols>
  <sheetData>
    <row r="1" spans="1:20" ht="54" customHeight="1" x14ac:dyDescent="0.25">
      <c r="A1" s="46" t="s">
        <v>33</v>
      </c>
      <c r="B1" s="46"/>
      <c r="C1" s="46"/>
      <c r="D1" s="46"/>
      <c r="E1" s="46"/>
      <c r="F1" s="41" t="s">
        <v>24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20" ht="17.399999999999999" x14ac:dyDescent="0.25">
      <c r="A2" s="47" t="s">
        <v>34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20" ht="4.5" customHeight="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20" ht="5.2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spans="1:20" ht="16.5" customHeight="1" x14ac:dyDescent="0.25">
      <c r="A5" s="52" t="s">
        <v>43</v>
      </c>
      <c r="B5" s="52"/>
      <c r="C5" s="52"/>
      <c r="D5" s="52"/>
      <c r="E5" s="52"/>
      <c r="F5" s="52"/>
      <c r="G5" s="56" t="s">
        <v>44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</row>
    <row r="6" spans="1:20" ht="16.5" customHeight="1" x14ac:dyDescent="0.25">
      <c r="A6" s="52" t="s">
        <v>45</v>
      </c>
      <c r="B6" s="52"/>
      <c r="C6" s="52"/>
      <c r="D6" s="52"/>
      <c r="E6" s="52"/>
      <c r="F6" s="52"/>
      <c r="G6" s="8" t="s">
        <v>46</v>
      </c>
      <c r="H6" s="8"/>
      <c r="I6" s="8"/>
      <c r="J6" s="8"/>
      <c r="K6" s="8"/>
      <c r="L6" s="8"/>
      <c r="M6" s="8"/>
      <c r="N6" s="8"/>
      <c r="O6" s="8"/>
      <c r="P6" s="8"/>
      <c r="Q6" s="8"/>
      <c r="T6" s="2"/>
    </row>
    <row r="7" spans="1:20" ht="16.5" customHeight="1" x14ac:dyDescent="0.25">
      <c r="A7" s="52" t="s">
        <v>47</v>
      </c>
      <c r="B7" s="52"/>
      <c r="C7" s="52"/>
      <c r="D7" s="52"/>
      <c r="E7" s="52"/>
      <c r="F7" s="52"/>
      <c r="G7" s="56" t="s">
        <v>48</v>
      </c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</row>
    <row r="8" spans="1:20" ht="5.25" customHeight="1" x14ac:dyDescent="0.25">
      <c r="A8" s="8"/>
      <c r="B8" s="8"/>
      <c r="C8" s="8"/>
      <c r="D8" s="8"/>
      <c r="E8" s="8"/>
      <c r="F8" s="8"/>
      <c r="G8" s="8"/>
      <c r="H8" s="8"/>
      <c r="I8" s="8"/>
      <c r="J8" s="19"/>
      <c r="K8" s="19"/>
      <c r="L8" s="19"/>
      <c r="M8" s="19"/>
      <c r="N8" s="19"/>
      <c r="O8" s="19"/>
      <c r="P8" s="19"/>
      <c r="Q8" s="19"/>
    </row>
    <row r="9" spans="1:20" ht="15" customHeight="1" x14ac:dyDescent="0.25">
      <c r="A9" s="35" t="s">
        <v>0</v>
      </c>
      <c r="B9" s="29" t="s">
        <v>1</v>
      </c>
      <c r="C9" s="30"/>
      <c r="D9" s="30"/>
      <c r="E9" s="30"/>
      <c r="F9" s="30"/>
      <c r="G9" s="31"/>
      <c r="H9" s="35" t="s">
        <v>32</v>
      </c>
      <c r="I9" s="35" t="s">
        <v>39</v>
      </c>
      <c r="J9" s="53" t="s">
        <v>2</v>
      </c>
      <c r="K9" s="54"/>
      <c r="L9" s="54"/>
      <c r="M9" s="54"/>
      <c r="N9" s="54"/>
      <c r="O9" s="54"/>
      <c r="P9" s="54"/>
      <c r="Q9" s="55"/>
      <c r="S9" s="35" t="s">
        <v>38</v>
      </c>
    </row>
    <row r="10" spans="1:20" ht="24" customHeight="1" x14ac:dyDescent="0.25">
      <c r="A10" s="36"/>
      <c r="B10" s="32"/>
      <c r="C10" s="33"/>
      <c r="D10" s="33"/>
      <c r="E10" s="33"/>
      <c r="F10" s="33"/>
      <c r="G10" s="34"/>
      <c r="H10" s="36"/>
      <c r="I10" s="36"/>
      <c r="J10" s="7" t="s">
        <v>28</v>
      </c>
      <c r="K10" s="7" t="s">
        <v>29</v>
      </c>
      <c r="L10" s="7" t="s">
        <v>30</v>
      </c>
      <c r="M10" s="7"/>
      <c r="N10" s="7"/>
      <c r="O10" s="6" t="s">
        <v>35</v>
      </c>
      <c r="P10" s="6" t="s">
        <v>36</v>
      </c>
      <c r="Q10" s="6" t="s">
        <v>37</v>
      </c>
      <c r="S10" s="36"/>
    </row>
    <row r="11" spans="1:20" ht="20.25" customHeight="1" x14ac:dyDescent="0.25">
      <c r="A11" s="27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ht="16.5" customHeight="1" x14ac:dyDescent="0.25">
      <c r="A12" s="9"/>
      <c r="B12" s="49" t="s">
        <v>51</v>
      </c>
      <c r="C12" s="50"/>
      <c r="D12" s="50"/>
      <c r="E12" s="50"/>
      <c r="F12" s="50"/>
      <c r="G12" s="51"/>
      <c r="H12" s="20"/>
      <c r="I12" s="9">
        <v>1</v>
      </c>
      <c r="J12" s="9"/>
      <c r="K12" s="9"/>
      <c r="L12" s="9"/>
      <c r="M12" s="9">
        <f t="shared" ref="M12:M19" si="0">I12*O12</f>
        <v>8</v>
      </c>
      <c r="N12" s="9">
        <f t="shared" ref="N12:N19" si="1">I12*P12</f>
        <v>3.5</v>
      </c>
      <c r="O12" s="9">
        <v>8</v>
      </c>
      <c r="P12" s="9">
        <v>3.5</v>
      </c>
      <c r="Q12" s="9" t="s">
        <v>9</v>
      </c>
      <c r="R12" s="1">
        <v>0</v>
      </c>
      <c r="S12" s="26"/>
    </row>
    <row r="13" spans="1:20" ht="16.5" customHeight="1" x14ac:dyDescent="0.25">
      <c r="A13" s="9"/>
      <c r="B13" s="49" t="s">
        <v>52</v>
      </c>
      <c r="C13" s="50"/>
      <c r="D13" s="50"/>
      <c r="E13" s="50"/>
      <c r="F13" s="50"/>
      <c r="G13" s="51"/>
      <c r="H13" s="20"/>
      <c r="I13" s="9">
        <v>1</v>
      </c>
      <c r="J13" s="9"/>
      <c r="K13" s="9"/>
      <c r="L13" s="9"/>
      <c r="M13" s="9">
        <f t="shared" si="0"/>
        <v>8</v>
      </c>
      <c r="N13" s="9">
        <f t="shared" si="1"/>
        <v>3.5</v>
      </c>
      <c r="O13" s="9">
        <v>8</v>
      </c>
      <c r="P13" s="9">
        <v>3.5</v>
      </c>
      <c r="Q13" s="9" t="s">
        <v>9</v>
      </c>
      <c r="R13" s="1">
        <v>0</v>
      </c>
      <c r="S13" s="26"/>
    </row>
    <row r="14" spans="1:20" ht="31.2" customHeight="1" x14ac:dyDescent="0.25">
      <c r="A14" s="9"/>
      <c r="B14" s="49" t="s">
        <v>53</v>
      </c>
      <c r="C14" s="50"/>
      <c r="D14" s="50"/>
      <c r="E14" s="50"/>
      <c r="F14" s="50"/>
      <c r="G14" s="51"/>
      <c r="H14" s="20"/>
      <c r="I14" s="9">
        <v>3</v>
      </c>
      <c r="J14" s="9"/>
      <c r="K14" s="9"/>
      <c r="L14" s="9"/>
      <c r="M14" s="9">
        <f t="shared" si="0"/>
        <v>24</v>
      </c>
      <c r="N14" s="9">
        <f t="shared" si="1"/>
        <v>10.5</v>
      </c>
      <c r="O14" s="9">
        <v>8</v>
      </c>
      <c r="P14" s="9">
        <v>3.5</v>
      </c>
      <c r="Q14" s="9" t="s">
        <v>9</v>
      </c>
      <c r="R14" s="1">
        <v>0</v>
      </c>
      <c r="S14" s="26"/>
    </row>
    <row r="15" spans="1:20" ht="16.5" customHeight="1" x14ac:dyDescent="0.25">
      <c r="A15" s="9"/>
      <c r="B15" s="49" t="s">
        <v>54</v>
      </c>
      <c r="C15" s="50"/>
      <c r="D15" s="50"/>
      <c r="E15" s="50"/>
      <c r="F15" s="50"/>
      <c r="G15" s="51"/>
      <c r="H15" s="20"/>
      <c r="I15" s="9">
        <v>3</v>
      </c>
      <c r="J15" s="9"/>
      <c r="K15" s="9"/>
      <c r="L15" s="9"/>
      <c r="M15" s="9">
        <f t="shared" si="0"/>
        <v>24.299999999999997</v>
      </c>
      <c r="N15" s="9">
        <f t="shared" si="1"/>
        <v>10.5</v>
      </c>
      <c r="O15" s="9">
        <v>8.1</v>
      </c>
      <c r="P15" s="9">
        <v>3.5</v>
      </c>
      <c r="Q15" s="9" t="s">
        <v>9</v>
      </c>
      <c r="R15" s="1">
        <v>0</v>
      </c>
      <c r="S15" s="26"/>
    </row>
    <row r="16" spans="1:20" ht="16.5" customHeight="1" x14ac:dyDescent="0.25">
      <c r="A16" s="9"/>
      <c r="B16" s="49" t="s">
        <v>55</v>
      </c>
      <c r="C16" s="50"/>
      <c r="D16" s="50"/>
      <c r="E16" s="50"/>
      <c r="F16" s="50"/>
      <c r="G16" s="51"/>
      <c r="H16" s="20"/>
      <c r="I16" s="9">
        <v>1</v>
      </c>
      <c r="J16" s="9"/>
      <c r="K16" s="9"/>
      <c r="L16" s="9"/>
      <c r="M16" s="9">
        <f t="shared" si="0"/>
        <v>8</v>
      </c>
      <c r="N16" s="9">
        <f t="shared" si="1"/>
        <v>3.5</v>
      </c>
      <c r="O16" s="9">
        <v>8</v>
      </c>
      <c r="P16" s="9">
        <v>3.5</v>
      </c>
      <c r="Q16" s="9" t="s">
        <v>9</v>
      </c>
      <c r="R16" s="1">
        <v>0</v>
      </c>
      <c r="S16" s="26"/>
    </row>
    <row r="17" spans="1:19" ht="16.5" customHeight="1" x14ac:dyDescent="0.25">
      <c r="A17" s="9"/>
      <c r="B17" s="49" t="s">
        <v>56</v>
      </c>
      <c r="C17" s="50"/>
      <c r="D17" s="50"/>
      <c r="E17" s="50"/>
      <c r="F17" s="50"/>
      <c r="G17" s="51"/>
      <c r="H17" s="20"/>
      <c r="I17" s="9">
        <v>2</v>
      </c>
      <c r="J17" s="9"/>
      <c r="K17" s="9"/>
      <c r="L17" s="9"/>
      <c r="M17" s="9">
        <f t="shared" si="0"/>
        <v>16.2</v>
      </c>
      <c r="N17" s="9">
        <f t="shared" si="1"/>
        <v>7</v>
      </c>
      <c r="O17" s="9">
        <v>8.1</v>
      </c>
      <c r="P17" s="9">
        <v>3.5</v>
      </c>
      <c r="Q17" s="9" t="s">
        <v>9</v>
      </c>
      <c r="R17" s="1">
        <v>0</v>
      </c>
      <c r="S17" s="26"/>
    </row>
    <row r="18" spans="1:19" ht="16.5" hidden="1" customHeight="1" x14ac:dyDescent="0.25">
      <c r="A18" s="21"/>
      <c r="H18" s="21"/>
      <c r="I18" s="21"/>
      <c r="J18" s="21"/>
      <c r="K18" s="21"/>
      <c r="L18" s="21"/>
      <c r="M18" s="9">
        <f t="shared" si="0"/>
        <v>0</v>
      </c>
      <c r="N18" s="9">
        <f t="shared" si="1"/>
        <v>0</v>
      </c>
      <c r="O18" s="21"/>
      <c r="P18" s="21"/>
      <c r="Q18" s="21"/>
      <c r="S18" s="25"/>
    </row>
    <row r="19" spans="1:19" ht="16.5" customHeight="1" x14ac:dyDescent="0.25">
      <c r="A19" s="9"/>
      <c r="B19" s="38" t="s">
        <v>42</v>
      </c>
      <c r="C19" s="39"/>
      <c r="D19" s="39"/>
      <c r="E19" s="39"/>
      <c r="F19" s="39"/>
      <c r="G19" s="40"/>
      <c r="H19" s="23"/>
      <c r="I19" s="24">
        <f>SUM(I12:I18)</f>
        <v>11</v>
      </c>
      <c r="J19" s="9"/>
      <c r="K19" s="9"/>
      <c r="L19" s="9"/>
      <c r="M19" s="9">
        <f t="shared" si="0"/>
        <v>88.550000000000011</v>
      </c>
      <c r="N19" s="9">
        <f t="shared" si="1"/>
        <v>38.5</v>
      </c>
      <c r="O19" s="24">
        <f>ROUND(SUM(M12:M18)/I19,2)</f>
        <v>8.0500000000000007</v>
      </c>
      <c r="P19" s="24">
        <f>ROUND(SUM(N12:N18)/I19,2)</f>
        <v>3.5</v>
      </c>
      <c r="Q19" s="9"/>
      <c r="S19" s="25"/>
    </row>
    <row r="20" spans="1:19" ht="20.25" customHeight="1" x14ac:dyDescent="0.25">
      <c r="A20" s="27" t="s">
        <v>57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ht="16.5" customHeight="1" x14ac:dyDescent="0.25">
      <c r="A21" s="9"/>
      <c r="B21" s="49" t="s">
        <v>58</v>
      </c>
      <c r="C21" s="50"/>
      <c r="D21" s="50"/>
      <c r="E21" s="50"/>
      <c r="F21" s="50"/>
      <c r="G21" s="51"/>
      <c r="H21" s="20"/>
      <c r="I21" s="9">
        <v>1</v>
      </c>
      <c r="J21" s="9"/>
      <c r="K21" s="9"/>
      <c r="L21" s="9"/>
      <c r="M21" s="9">
        <f t="shared" ref="M21:M27" si="2">I21*O21</f>
        <v>6.2</v>
      </c>
      <c r="N21" s="9">
        <f t="shared" ref="N21:N27" si="3">I21*P21</f>
        <v>2</v>
      </c>
      <c r="O21" s="9">
        <v>6.2</v>
      </c>
      <c r="P21" s="9">
        <v>2</v>
      </c>
      <c r="Q21" s="9" t="s">
        <v>3</v>
      </c>
      <c r="R21" s="1">
        <v>0</v>
      </c>
      <c r="S21" s="26"/>
    </row>
    <row r="22" spans="1:19" ht="16.5" customHeight="1" x14ac:dyDescent="0.25">
      <c r="A22" s="9"/>
      <c r="B22" s="49" t="s">
        <v>59</v>
      </c>
      <c r="C22" s="50"/>
      <c r="D22" s="50"/>
      <c r="E22" s="50"/>
      <c r="F22" s="50"/>
      <c r="G22" s="51"/>
      <c r="H22" s="20"/>
      <c r="I22" s="9">
        <v>1</v>
      </c>
      <c r="J22" s="9"/>
      <c r="K22" s="9"/>
      <c r="L22" s="9"/>
      <c r="M22" s="9">
        <f t="shared" si="2"/>
        <v>5.6</v>
      </c>
      <c r="N22" s="9">
        <f t="shared" si="3"/>
        <v>2</v>
      </c>
      <c r="O22" s="9">
        <v>5.6</v>
      </c>
      <c r="P22" s="9">
        <v>2</v>
      </c>
      <c r="Q22" s="9" t="s">
        <v>3</v>
      </c>
      <c r="R22" s="1">
        <v>0</v>
      </c>
      <c r="S22" s="26"/>
    </row>
    <row r="23" spans="1:19" ht="16.5" customHeight="1" x14ac:dyDescent="0.25">
      <c r="A23" s="9"/>
      <c r="B23" s="49" t="s">
        <v>60</v>
      </c>
      <c r="C23" s="50"/>
      <c r="D23" s="50"/>
      <c r="E23" s="50"/>
      <c r="F23" s="50"/>
      <c r="G23" s="51"/>
      <c r="H23" s="20"/>
      <c r="I23" s="9">
        <v>4</v>
      </c>
      <c r="J23" s="9"/>
      <c r="K23" s="9"/>
      <c r="L23" s="9"/>
      <c r="M23" s="9">
        <f t="shared" si="2"/>
        <v>26</v>
      </c>
      <c r="N23" s="9">
        <f t="shared" si="3"/>
        <v>10</v>
      </c>
      <c r="O23" s="9">
        <v>6.5</v>
      </c>
      <c r="P23" s="9">
        <v>2.5</v>
      </c>
      <c r="Q23" s="9" t="s">
        <v>5</v>
      </c>
      <c r="R23" s="1">
        <v>0</v>
      </c>
      <c r="S23" s="26"/>
    </row>
    <row r="24" spans="1:19" ht="16.5" customHeight="1" x14ac:dyDescent="0.25">
      <c r="A24" s="9"/>
      <c r="B24" s="49" t="s">
        <v>61</v>
      </c>
      <c r="C24" s="50"/>
      <c r="D24" s="50"/>
      <c r="E24" s="50"/>
      <c r="F24" s="50"/>
      <c r="G24" s="51"/>
      <c r="H24" s="20"/>
      <c r="I24" s="9">
        <v>1</v>
      </c>
      <c r="J24" s="9"/>
      <c r="K24" s="9"/>
      <c r="L24" s="9"/>
      <c r="M24" s="9">
        <f t="shared" si="2"/>
        <v>7</v>
      </c>
      <c r="N24" s="9">
        <f t="shared" si="3"/>
        <v>3</v>
      </c>
      <c r="O24" s="9">
        <v>7</v>
      </c>
      <c r="P24" s="9">
        <v>3</v>
      </c>
      <c r="Q24" s="9" t="s">
        <v>6</v>
      </c>
      <c r="R24" s="1">
        <v>0</v>
      </c>
      <c r="S24" s="26"/>
    </row>
    <row r="25" spans="1:19" ht="16.5" customHeight="1" x14ac:dyDescent="0.25">
      <c r="A25" s="9"/>
      <c r="B25" s="49" t="s">
        <v>62</v>
      </c>
      <c r="C25" s="50"/>
      <c r="D25" s="50"/>
      <c r="E25" s="50"/>
      <c r="F25" s="50"/>
      <c r="G25" s="51"/>
      <c r="H25" s="20"/>
      <c r="I25" s="9">
        <v>1</v>
      </c>
      <c r="J25" s="9"/>
      <c r="K25" s="9"/>
      <c r="L25" s="9"/>
      <c r="M25" s="9">
        <f t="shared" si="2"/>
        <v>6.7</v>
      </c>
      <c r="N25" s="9">
        <f t="shared" si="3"/>
        <v>2.5</v>
      </c>
      <c r="O25" s="9">
        <v>6.7</v>
      </c>
      <c r="P25" s="9">
        <v>2.5</v>
      </c>
      <c r="Q25" s="9" t="s">
        <v>5</v>
      </c>
      <c r="R25" s="1">
        <v>0</v>
      </c>
      <c r="S25" s="26"/>
    </row>
    <row r="26" spans="1:19" ht="16.5" hidden="1" customHeight="1" x14ac:dyDescent="0.25">
      <c r="A26" s="21"/>
      <c r="H26" s="21"/>
      <c r="I26" s="21"/>
      <c r="J26" s="21"/>
      <c r="K26" s="21"/>
      <c r="L26" s="21"/>
      <c r="M26" s="9">
        <f t="shared" si="2"/>
        <v>0</v>
      </c>
      <c r="N26" s="9">
        <f t="shared" si="3"/>
        <v>0</v>
      </c>
      <c r="O26" s="21"/>
      <c r="P26" s="21"/>
      <c r="Q26" s="21"/>
      <c r="S26" s="25"/>
    </row>
    <row r="27" spans="1:19" ht="16.5" customHeight="1" x14ac:dyDescent="0.25">
      <c r="A27" s="9"/>
      <c r="B27" s="38" t="s">
        <v>42</v>
      </c>
      <c r="C27" s="39"/>
      <c r="D27" s="39"/>
      <c r="E27" s="39"/>
      <c r="F27" s="39"/>
      <c r="G27" s="40"/>
      <c r="H27" s="23"/>
      <c r="I27" s="24">
        <f>SUM(I21:I26)</f>
        <v>8</v>
      </c>
      <c r="J27" s="9"/>
      <c r="K27" s="9"/>
      <c r="L27" s="9"/>
      <c r="M27" s="9">
        <f t="shared" si="2"/>
        <v>51.52</v>
      </c>
      <c r="N27" s="9">
        <f t="shared" si="3"/>
        <v>19.52</v>
      </c>
      <c r="O27" s="24">
        <f>ROUND(SUM(M21:M26)/I27,2)</f>
        <v>6.44</v>
      </c>
      <c r="P27" s="24">
        <f>ROUND(SUM(N21:N26)/I27,2)</f>
        <v>2.44</v>
      </c>
      <c r="Q27" s="9"/>
      <c r="S27" s="25"/>
    </row>
    <row r="28" spans="1:19" ht="20.25" customHeight="1" x14ac:dyDescent="0.25">
      <c r="A28" s="27" t="s">
        <v>63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ht="16.5" customHeight="1" x14ac:dyDescent="0.25">
      <c r="A29" s="9"/>
      <c r="B29" s="49" t="s">
        <v>51</v>
      </c>
      <c r="C29" s="50"/>
      <c r="D29" s="50"/>
      <c r="E29" s="50"/>
      <c r="F29" s="50"/>
      <c r="G29" s="51"/>
      <c r="H29" s="20"/>
      <c r="I29" s="9">
        <v>1</v>
      </c>
      <c r="J29" s="9"/>
      <c r="K29" s="9"/>
      <c r="L29" s="9"/>
      <c r="M29" s="9">
        <f>I29*O29</f>
        <v>8</v>
      </c>
      <c r="N29" s="9">
        <f>I29*P29</f>
        <v>3.5</v>
      </c>
      <c r="O29" s="9">
        <v>8</v>
      </c>
      <c r="P29" s="9">
        <v>3.5</v>
      </c>
      <c r="Q29" s="9" t="s">
        <v>9</v>
      </c>
      <c r="R29" s="1">
        <v>6</v>
      </c>
      <c r="S29" s="26" t="s">
        <v>64</v>
      </c>
    </row>
    <row r="30" spans="1:19" ht="16.5" hidden="1" customHeight="1" x14ac:dyDescent="0.25">
      <c r="A30" s="21"/>
      <c r="H30" s="21"/>
      <c r="I30" s="21"/>
      <c r="J30" s="21"/>
      <c r="K30" s="21"/>
      <c r="L30" s="21"/>
      <c r="M30" s="9">
        <f>I30*O30</f>
        <v>0</v>
      </c>
      <c r="N30" s="9">
        <f>I30*P30</f>
        <v>0</v>
      </c>
      <c r="O30" s="21"/>
      <c r="P30" s="21"/>
      <c r="Q30" s="21"/>
      <c r="S30" s="25"/>
    </row>
    <row r="31" spans="1:19" ht="16.5" customHeight="1" x14ac:dyDescent="0.25">
      <c r="A31" s="9"/>
      <c r="B31" s="38" t="s">
        <v>42</v>
      </c>
      <c r="C31" s="39"/>
      <c r="D31" s="39"/>
      <c r="E31" s="39"/>
      <c r="F31" s="39"/>
      <c r="G31" s="40"/>
      <c r="H31" s="23"/>
      <c r="I31" s="24">
        <f>SUM(I29:I30)</f>
        <v>1</v>
      </c>
      <c r="J31" s="9"/>
      <c r="K31" s="9"/>
      <c r="L31" s="9"/>
      <c r="M31" s="9">
        <f>I31*O31</f>
        <v>8</v>
      </c>
      <c r="N31" s="9">
        <f>I31*P31</f>
        <v>3.5</v>
      </c>
      <c r="O31" s="24">
        <f>ROUND(SUM(M29:M30)/I31,2)</f>
        <v>8</v>
      </c>
      <c r="P31" s="24">
        <f>ROUND(SUM(N29:N30)/I31,2)</f>
        <v>3.5</v>
      </c>
      <c r="Q31" s="9"/>
      <c r="S31" s="25"/>
    </row>
    <row r="32" spans="1:19" ht="20.25" customHeight="1" x14ac:dyDescent="0.25">
      <c r="A32" s="27" t="s">
        <v>65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1:19" ht="16.5" customHeight="1" x14ac:dyDescent="0.25">
      <c r="A33" s="9"/>
      <c r="B33" s="49" t="s">
        <v>51</v>
      </c>
      <c r="C33" s="50"/>
      <c r="D33" s="50"/>
      <c r="E33" s="50"/>
      <c r="F33" s="50"/>
      <c r="G33" s="51"/>
      <c r="H33" s="20"/>
      <c r="I33" s="9">
        <v>1</v>
      </c>
      <c r="J33" s="9"/>
      <c r="K33" s="9"/>
      <c r="L33" s="9"/>
      <c r="M33" s="9">
        <f>I33*O33</f>
        <v>8</v>
      </c>
      <c r="N33" s="9">
        <f>I33*P33</f>
        <v>3.5</v>
      </c>
      <c r="O33" s="9">
        <v>8</v>
      </c>
      <c r="P33" s="9">
        <v>3.5</v>
      </c>
      <c r="Q33" s="9" t="s">
        <v>9</v>
      </c>
      <c r="R33" s="1">
        <v>5</v>
      </c>
      <c r="S33" s="26" t="s">
        <v>66</v>
      </c>
    </row>
    <row r="34" spans="1:19" ht="16.5" hidden="1" customHeight="1" x14ac:dyDescent="0.25">
      <c r="A34" s="21"/>
      <c r="H34" s="21"/>
      <c r="I34" s="21"/>
      <c r="J34" s="21"/>
      <c r="K34" s="21"/>
      <c r="L34" s="21"/>
      <c r="M34" s="9">
        <f>I34*O34</f>
        <v>0</v>
      </c>
      <c r="N34" s="9">
        <f>I34*P34</f>
        <v>0</v>
      </c>
      <c r="O34" s="21"/>
      <c r="P34" s="21"/>
      <c r="Q34" s="21"/>
      <c r="S34" s="25"/>
    </row>
    <row r="35" spans="1:19" ht="16.5" customHeight="1" x14ac:dyDescent="0.25">
      <c r="A35" s="9"/>
      <c r="B35" s="38" t="s">
        <v>42</v>
      </c>
      <c r="C35" s="39"/>
      <c r="D35" s="39"/>
      <c r="E35" s="39"/>
      <c r="F35" s="39"/>
      <c r="G35" s="40"/>
      <c r="H35" s="23"/>
      <c r="I35" s="24">
        <f>SUM(I33:I34)</f>
        <v>1</v>
      </c>
      <c r="J35" s="9"/>
      <c r="K35" s="9"/>
      <c r="L35" s="9"/>
      <c r="M35" s="9">
        <f>I35*O35</f>
        <v>8</v>
      </c>
      <c r="N35" s="9">
        <f>I35*P35</f>
        <v>3.5</v>
      </c>
      <c r="O35" s="24">
        <f>ROUND(SUM(M33:M34)/I35,2)</f>
        <v>8</v>
      </c>
      <c r="P35" s="24">
        <f>ROUND(SUM(N33:N34)/I35,2)</f>
        <v>3.5</v>
      </c>
      <c r="Q35" s="9"/>
      <c r="S35" s="25"/>
    </row>
    <row r="36" spans="1:19" ht="20.25" customHeight="1" x14ac:dyDescent="0.25">
      <c r="A36" s="27" t="s">
        <v>67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spans="1:19" ht="16.5" customHeight="1" x14ac:dyDescent="0.25">
      <c r="A37" s="9"/>
      <c r="B37" s="49" t="s">
        <v>68</v>
      </c>
      <c r="C37" s="50"/>
      <c r="D37" s="50"/>
      <c r="E37" s="50"/>
      <c r="F37" s="50"/>
      <c r="G37" s="51"/>
      <c r="H37" s="20"/>
      <c r="I37" s="9">
        <v>3</v>
      </c>
      <c r="J37" s="9"/>
      <c r="K37" s="9"/>
      <c r="L37" s="9"/>
      <c r="M37" s="9">
        <f t="shared" ref="M37:M48" si="4">I37*O37</f>
        <v>21.9</v>
      </c>
      <c r="N37" s="9">
        <f t="shared" ref="N37:N48" si="5">I37*P37</f>
        <v>9</v>
      </c>
      <c r="O37" s="9">
        <v>7.3</v>
      </c>
      <c r="P37" s="9">
        <v>3</v>
      </c>
      <c r="Q37" s="9" t="s">
        <v>6</v>
      </c>
      <c r="R37" s="1">
        <v>0</v>
      </c>
      <c r="S37" s="26"/>
    </row>
    <row r="38" spans="1:19" ht="16.5" customHeight="1" x14ac:dyDescent="0.25">
      <c r="A38" s="9"/>
      <c r="B38" s="49" t="s">
        <v>69</v>
      </c>
      <c r="C38" s="50"/>
      <c r="D38" s="50"/>
      <c r="E38" s="50"/>
      <c r="F38" s="50"/>
      <c r="G38" s="51"/>
      <c r="H38" s="20"/>
      <c r="I38" s="9">
        <v>1</v>
      </c>
      <c r="J38" s="9"/>
      <c r="K38" s="9"/>
      <c r="L38" s="9"/>
      <c r="M38" s="9">
        <f t="shared" si="4"/>
        <v>0</v>
      </c>
      <c r="N38" s="9">
        <f t="shared" si="5"/>
        <v>0</v>
      </c>
      <c r="O38" s="9"/>
      <c r="P38" s="9"/>
      <c r="Q38" s="9"/>
      <c r="R38" s="1">
        <v>0</v>
      </c>
      <c r="S38" s="26"/>
    </row>
    <row r="39" spans="1:19" ht="16.5" customHeight="1" x14ac:dyDescent="0.25">
      <c r="A39" s="9"/>
      <c r="B39" s="49" t="s">
        <v>70</v>
      </c>
      <c r="C39" s="50"/>
      <c r="D39" s="50"/>
      <c r="E39" s="50"/>
      <c r="F39" s="50"/>
      <c r="G39" s="51"/>
      <c r="H39" s="20"/>
      <c r="I39" s="9">
        <v>2</v>
      </c>
      <c r="J39" s="9"/>
      <c r="K39" s="9"/>
      <c r="L39" s="9"/>
      <c r="M39" s="9">
        <f t="shared" si="4"/>
        <v>13</v>
      </c>
      <c r="N39" s="9">
        <f t="shared" si="5"/>
        <v>5</v>
      </c>
      <c r="O39" s="9">
        <v>6.5</v>
      </c>
      <c r="P39" s="9">
        <v>2.5</v>
      </c>
      <c r="Q39" s="9" t="s">
        <v>5</v>
      </c>
      <c r="R39" s="1">
        <v>0</v>
      </c>
      <c r="S39" s="26"/>
    </row>
    <row r="40" spans="1:19" ht="16.5" customHeight="1" x14ac:dyDescent="0.25">
      <c r="A40" s="9"/>
      <c r="B40" s="49" t="s">
        <v>71</v>
      </c>
      <c r="C40" s="50"/>
      <c r="D40" s="50"/>
      <c r="E40" s="50"/>
      <c r="F40" s="50"/>
      <c r="G40" s="51"/>
      <c r="H40" s="20"/>
      <c r="I40" s="9">
        <v>1</v>
      </c>
      <c r="J40" s="9"/>
      <c r="K40" s="9"/>
      <c r="L40" s="9"/>
      <c r="M40" s="9">
        <f t="shared" si="4"/>
        <v>7.6</v>
      </c>
      <c r="N40" s="9">
        <f t="shared" si="5"/>
        <v>3</v>
      </c>
      <c r="O40" s="9">
        <v>7.6</v>
      </c>
      <c r="P40" s="9">
        <v>3</v>
      </c>
      <c r="Q40" s="9" t="s">
        <v>6</v>
      </c>
      <c r="R40" s="1">
        <v>0</v>
      </c>
      <c r="S40" s="26"/>
    </row>
    <row r="41" spans="1:19" ht="16.5" customHeight="1" x14ac:dyDescent="0.25">
      <c r="A41" s="9"/>
      <c r="B41" s="49" t="s">
        <v>72</v>
      </c>
      <c r="C41" s="50"/>
      <c r="D41" s="50"/>
      <c r="E41" s="50"/>
      <c r="F41" s="50"/>
      <c r="G41" s="51"/>
      <c r="H41" s="20"/>
      <c r="I41" s="9">
        <v>4</v>
      </c>
      <c r="J41" s="9"/>
      <c r="K41" s="9"/>
      <c r="L41" s="9"/>
      <c r="M41" s="9">
        <f t="shared" si="4"/>
        <v>20</v>
      </c>
      <c r="N41" s="9">
        <f t="shared" si="5"/>
        <v>6</v>
      </c>
      <c r="O41" s="9">
        <v>5</v>
      </c>
      <c r="P41" s="9">
        <v>1.5</v>
      </c>
      <c r="Q41" s="9" t="s">
        <v>4</v>
      </c>
      <c r="R41" s="1">
        <v>0</v>
      </c>
      <c r="S41" s="26"/>
    </row>
    <row r="42" spans="1:19" ht="16.5" customHeight="1" x14ac:dyDescent="0.25">
      <c r="A42" s="9"/>
      <c r="B42" s="49" t="s">
        <v>73</v>
      </c>
      <c r="C42" s="50"/>
      <c r="D42" s="50"/>
      <c r="E42" s="50"/>
      <c r="F42" s="50"/>
      <c r="G42" s="51"/>
      <c r="H42" s="20"/>
      <c r="I42" s="9">
        <v>4</v>
      </c>
      <c r="J42" s="9"/>
      <c r="K42" s="9"/>
      <c r="L42" s="9"/>
      <c r="M42" s="9">
        <f t="shared" si="4"/>
        <v>8</v>
      </c>
      <c r="N42" s="9">
        <f t="shared" si="5"/>
        <v>0</v>
      </c>
      <c r="O42" s="9">
        <v>2</v>
      </c>
      <c r="P42" s="9">
        <v>0</v>
      </c>
      <c r="Q42" s="9" t="s">
        <v>7</v>
      </c>
      <c r="R42" s="1">
        <v>0</v>
      </c>
      <c r="S42" s="26"/>
    </row>
    <row r="43" spans="1:19" ht="16.5" customHeight="1" x14ac:dyDescent="0.25">
      <c r="A43" s="9"/>
      <c r="B43" s="49" t="s">
        <v>74</v>
      </c>
      <c r="C43" s="50"/>
      <c r="D43" s="50"/>
      <c r="E43" s="50"/>
      <c r="F43" s="50"/>
      <c r="G43" s="51"/>
      <c r="H43" s="20"/>
      <c r="I43" s="9">
        <v>3</v>
      </c>
      <c r="J43" s="9"/>
      <c r="K43" s="9"/>
      <c r="L43" s="9"/>
      <c r="M43" s="9">
        <f t="shared" si="4"/>
        <v>15.899999999999999</v>
      </c>
      <c r="N43" s="9">
        <f t="shared" si="5"/>
        <v>4.5</v>
      </c>
      <c r="O43" s="9">
        <v>5.3</v>
      </c>
      <c r="P43" s="9">
        <v>1.5</v>
      </c>
      <c r="Q43" s="9" t="s">
        <v>4</v>
      </c>
      <c r="R43" s="1">
        <v>0</v>
      </c>
      <c r="S43" s="26"/>
    </row>
    <row r="44" spans="1:19" ht="16.5" customHeight="1" x14ac:dyDescent="0.25">
      <c r="A44" s="9"/>
      <c r="B44" s="49" t="s">
        <v>75</v>
      </c>
      <c r="C44" s="50"/>
      <c r="D44" s="50"/>
      <c r="E44" s="50"/>
      <c r="F44" s="50"/>
      <c r="G44" s="51"/>
      <c r="H44" s="20"/>
      <c r="I44" s="9">
        <v>3</v>
      </c>
      <c r="J44" s="9"/>
      <c r="K44" s="9"/>
      <c r="L44" s="9"/>
      <c r="M44" s="9">
        <f t="shared" si="4"/>
        <v>0</v>
      </c>
      <c r="N44" s="9">
        <f t="shared" si="5"/>
        <v>0</v>
      </c>
      <c r="O44" s="9"/>
      <c r="P44" s="9"/>
      <c r="Q44" s="9"/>
      <c r="R44" s="1">
        <v>0</v>
      </c>
      <c r="S44" s="26"/>
    </row>
    <row r="45" spans="1:19" ht="16.5" customHeight="1" x14ac:dyDescent="0.25">
      <c r="A45" s="9"/>
      <c r="B45" s="49" t="s">
        <v>76</v>
      </c>
      <c r="C45" s="50"/>
      <c r="D45" s="50"/>
      <c r="E45" s="50"/>
      <c r="F45" s="50"/>
      <c r="G45" s="51"/>
      <c r="H45" s="20"/>
      <c r="I45" s="9">
        <v>4</v>
      </c>
      <c r="J45" s="9"/>
      <c r="K45" s="9"/>
      <c r="L45" s="9"/>
      <c r="M45" s="9">
        <f t="shared" si="4"/>
        <v>27.2</v>
      </c>
      <c r="N45" s="9">
        <f t="shared" si="5"/>
        <v>10</v>
      </c>
      <c r="O45" s="9">
        <v>6.8</v>
      </c>
      <c r="P45" s="9">
        <v>2.5</v>
      </c>
      <c r="Q45" s="9" t="s">
        <v>5</v>
      </c>
      <c r="R45" s="1">
        <v>0</v>
      </c>
      <c r="S45" s="26"/>
    </row>
    <row r="46" spans="1:19" ht="16.5" customHeight="1" x14ac:dyDescent="0.25">
      <c r="A46" s="9"/>
      <c r="B46" s="49" t="s">
        <v>77</v>
      </c>
      <c r="C46" s="50"/>
      <c r="D46" s="50"/>
      <c r="E46" s="50"/>
      <c r="F46" s="50"/>
      <c r="G46" s="51"/>
      <c r="H46" s="20"/>
      <c r="I46" s="9">
        <v>1</v>
      </c>
      <c r="J46" s="9"/>
      <c r="K46" s="9"/>
      <c r="L46" s="9"/>
      <c r="M46" s="9">
        <f t="shared" si="4"/>
        <v>4.5999999999999996</v>
      </c>
      <c r="N46" s="9">
        <f t="shared" si="5"/>
        <v>1</v>
      </c>
      <c r="O46" s="9">
        <v>4.5999999999999996</v>
      </c>
      <c r="P46" s="9">
        <v>1</v>
      </c>
      <c r="Q46" s="9" t="s">
        <v>8</v>
      </c>
      <c r="R46" s="1">
        <v>0</v>
      </c>
      <c r="S46" s="26"/>
    </row>
    <row r="47" spans="1:19" ht="16.5" customHeight="1" x14ac:dyDescent="0.25">
      <c r="A47" s="9"/>
      <c r="B47" s="49" t="s">
        <v>78</v>
      </c>
      <c r="C47" s="50"/>
      <c r="D47" s="50"/>
      <c r="E47" s="50"/>
      <c r="F47" s="50"/>
      <c r="G47" s="51"/>
      <c r="H47" s="20"/>
      <c r="I47" s="9">
        <v>3</v>
      </c>
      <c r="J47" s="9"/>
      <c r="K47" s="9"/>
      <c r="L47" s="9"/>
      <c r="M47" s="9">
        <f t="shared" si="4"/>
        <v>14.399999999999999</v>
      </c>
      <c r="N47" s="9">
        <f t="shared" si="5"/>
        <v>3</v>
      </c>
      <c r="O47" s="9">
        <v>4.8</v>
      </c>
      <c r="P47" s="9">
        <v>1</v>
      </c>
      <c r="Q47" s="9" t="s">
        <v>8</v>
      </c>
      <c r="R47" s="1">
        <v>0</v>
      </c>
      <c r="S47" s="26"/>
    </row>
    <row r="48" spans="1:19" ht="16.5" customHeight="1" x14ac:dyDescent="0.25">
      <c r="A48" s="9"/>
      <c r="B48" s="49" t="s">
        <v>79</v>
      </c>
      <c r="C48" s="50"/>
      <c r="D48" s="50"/>
      <c r="E48" s="50"/>
      <c r="F48" s="50"/>
      <c r="G48" s="51"/>
      <c r="H48" s="20"/>
      <c r="I48" s="9">
        <v>2</v>
      </c>
      <c r="J48" s="9"/>
      <c r="K48" s="9"/>
      <c r="L48" s="9"/>
      <c r="M48" s="9">
        <f t="shared" si="4"/>
        <v>13.8</v>
      </c>
      <c r="N48" s="9">
        <f t="shared" si="5"/>
        <v>5</v>
      </c>
      <c r="O48" s="9">
        <v>6.9</v>
      </c>
      <c r="P48" s="9">
        <v>2.5</v>
      </c>
      <c r="Q48" s="9" t="s">
        <v>5</v>
      </c>
      <c r="R48" s="1">
        <v>0</v>
      </c>
      <c r="S48" s="26"/>
    </row>
    <row r="49" spans="1:19" ht="15" customHeight="1" x14ac:dyDescent="0.25">
      <c r="A49" s="35" t="s">
        <v>0</v>
      </c>
      <c r="B49" s="29" t="s">
        <v>1</v>
      </c>
      <c r="C49" s="30"/>
      <c r="D49" s="30"/>
      <c r="E49" s="30"/>
      <c r="F49" s="30"/>
      <c r="G49" s="31"/>
      <c r="H49" s="35" t="s">
        <v>32</v>
      </c>
      <c r="I49" s="35" t="s">
        <v>39</v>
      </c>
      <c r="J49" s="53" t="s">
        <v>2</v>
      </c>
      <c r="K49" s="54"/>
      <c r="L49" s="54"/>
      <c r="M49" s="54"/>
      <c r="N49" s="54"/>
      <c r="O49" s="54"/>
      <c r="P49" s="54"/>
      <c r="Q49" s="55"/>
      <c r="S49" s="35" t="s">
        <v>38</v>
      </c>
    </row>
    <row r="50" spans="1:19" ht="24" customHeight="1" x14ac:dyDescent="0.25">
      <c r="A50" s="36"/>
      <c r="B50" s="32"/>
      <c r="C50" s="33"/>
      <c r="D50" s="33"/>
      <c r="E50" s="33"/>
      <c r="F50" s="33"/>
      <c r="G50" s="34"/>
      <c r="H50" s="36"/>
      <c r="I50" s="36"/>
      <c r="J50" s="7" t="s">
        <v>28</v>
      </c>
      <c r="K50" s="7" t="s">
        <v>29</v>
      </c>
      <c r="L50" s="7" t="s">
        <v>30</v>
      </c>
      <c r="M50" s="7"/>
      <c r="N50" s="7"/>
      <c r="O50" s="6" t="s">
        <v>35</v>
      </c>
      <c r="P50" s="6" t="s">
        <v>36</v>
      </c>
      <c r="Q50" s="6" t="s">
        <v>37</v>
      </c>
      <c r="S50" s="36"/>
    </row>
    <row r="51" spans="1:19" ht="16.5" customHeight="1" x14ac:dyDescent="0.25">
      <c r="A51" s="9"/>
      <c r="B51" s="49" t="s">
        <v>80</v>
      </c>
      <c r="C51" s="50"/>
      <c r="D51" s="50"/>
      <c r="E51" s="50"/>
      <c r="F51" s="50"/>
      <c r="G51" s="51"/>
      <c r="H51" s="20"/>
      <c r="I51" s="9">
        <v>4</v>
      </c>
      <c r="J51" s="9"/>
      <c r="K51" s="9"/>
      <c r="L51" s="9"/>
      <c r="M51" s="9">
        <f>I51*O51</f>
        <v>24.8</v>
      </c>
      <c r="N51" s="9">
        <f>I51*P51</f>
        <v>8</v>
      </c>
      <c r="O51" s="9">
        <v>6.2</v>
      </c>
      <c r="P51" s="9">
        <v>2</v>
      </c>
      <c r="Q51" s="9" t="s">
        <v>3</v>
      </c>
      <c r="R51" s="1">
        <v>0</v>
      </c>
      <c r="S51" s="26"/>
    </row>
    <row r="52" spans="1:19" ht="16.5" hidden="1" customHeight="1" x14ac:dyDescent="0.25">
      <c r="A52" s="21"/>
      <c r="H52" s="21"/>
      <c r="I52" s="21"/>
      <c r="J52" s="21"/>
      <c r="K52" s="21"/>
      <c r="L52" s="21"/>
      <c r="M52" s="9">
        <f>I52*O52</f>
        <v>0</v>
      </c>
      <c r="N52" s="9">
        <f>I52*P52</f>
        <v>0</v>
      </c>
      <c r="O52" s="21"/>
      <c r="P52" s="21"/>
      <c r="Q52" s="21"/>
      <c r="S52" s="25"/>
    </row>
    <row r="53" spans="1:19" ht="16.5" customHeight="1" x14ac:dyDescent="0.25">
      <c r="A53" s="9"/>
      <c r="B53" s="38" t="s">
        <v>42</v>
      </c>
      <c r="C53" s="39"/>
      <c r="D53" s="39"/>
      <c r="E53" s="39"/>
      <c r="F53" s="39"/>
      <c r="G53" s="40"/>
      <c r="H53" s="23"/>
      <c r="I53" s="24">
        <f>SUM(I37:I52)</f>
        <v>35</v>
      </c>
      <c r="J53" s="9"/>
      <c r="K53" s="9"/>
      <c r="L53" s="9"/>
      <c r="M53" s="9">
        <f>I53*O53</f>
        <v>171.14999999999998</v>
      </c>
      <c r="N53" s="9">
        <f>I53*P53</f>
        <v>54.6</v>
      </c>
      <c r="O53" s="24">
        <f>ROUND(SUM(M37:M52)/I53,2)</f>
        <v>4.8899999999999997</v>
      </c>
      <c r="P53" s="24">
        <f>ROUND(SUM(N37:N52)/I53,2)</f>
        <v>1.56</v>
      </c>
      <c r="Q53" s="9"/>
      <c r="S53" s="25"/>
    </row>
    <row r="54" spans="1:19" ht="20.25" customHeight="1" x14ac:dyDescent="0.25">
      <c r="A54" s="27" t="s">
        <v>81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spans="1:19" ht="16.5" customHeight="1" x14ac:dyDescent="0.25">
      <c r="A55" s="9"/>
      <c r="B55" s="49" t="s">
        <v>73</v>
      </c>
      <c r="C55" s="50"/>
      <c r="D55" s="50"/>
      <c r="E55" s="50"/>
      <c r="F55" s="50"/>
      <c r="G55" s="51"/>
      <c r="H55" s="20"/>
      <c r="I55" s="9">
        <v>4</v>
      </c>
      <c r="J55" s="9"/>
      <c r="K55" s="9"/>
      <c r="L55" s="9"/>
      <c r="M55" s="9">
        <f>I55*O55</f>
        <v>21.2</v>
      </c>
      <c r="N55" s="9">
        <f>I55*P55</f>
        <v>6</v>
      </c>
      <c r="O55" s="9">
        <v>5.3</v>
      </c>
      <c r="P55" s="9">
        <v>1.5</v>
      </c>
      <c r="Q55" s="9" t="s">
        <v>4</v>
      </c>
      <c r="R55" s="1">
        <v>6</v>
      </c>
      <c r="S55" s="26" t="s">
        <v>64</v>
      </c>
    </row>
    <row r="56" spans="1:19" ht="16.5" hidden="1" customHeight="1" x14ac:dyDescent="0.25">
      <c r="A56" s="21"/>
      <c r="H56" s="21"/>
      <c r="I56" s="21"/>
      <c r="J56" s="21"/>
      <c r="K56" s="21"/>
      <c r="L56" s="21"/>
      <c r="M56" s="9">
        <f>I56*O56</f>
        <v>0</v>
      </c>
      <c r="N56" s="9">
        <f>I56*P56</f>
        <v>0</v>
      </c>
      <c r="O56" s="21"/>
      <c r="P56" s="21"/>
      <c r="Q56" s="21"/>
      <c r="S56" s="25"/>
    </row>
    <row r="57" spans="1:19" ht="16.5" customHeight="1" x14ac:dyDescent="0.25">
      <c r="A57" s="9"/>
      <c r="B57" s="38" t="s">
        <v>42</v>
      </c>
      <c r="C57" s="39"/>
      <c r="D57" s="39"/>
      <c r="E57" s="39"/>
      <c r="F57" s="39"/>
      <c r="G57" s="40"/>
      <c r="H57" s="23"/>
      <c r="I57" s="24">
        <f>SUM(I55:I56)</f>
        <v>4</v>
      </c>
      <c r="J57" s="9"/>
      <c r="K57" s="9"/>
      <c r="L57" s="9"/>
      <c r="M57" s="9">
        <f>I57*O57</f>
        <v>21.2</v>
      </c>
      <c r="N57" s="9">
        <f>I57*P57</f>
        <v>6</v>
      </c>
      <c r="O57" s="24">
        <f>ROUND(SUM(M55:M56)/I57,2)</f>
        <v>5.3</v>
      </c>
      <c r="P57" s="24">
        <f>ROUND(SUM(N55:N56)/I57,2)</f>
        <v>1.5</v>
      </c>
      <c r="Q57" s="9"/>
      <c r="S57" s="25"/>
    </row>
    <row r="58" spans="1:19" ht="20.25" customHeight="1" x14ac:dyDescent="0.25">
      <c r="A58" s="27" t="s">
        <v>82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spans="1:19" ht="16.5" customHeight="1" x14ac:dyDescent="0.25">
      <c r="A59" s="9"/>
      <c r="B59" s="49" t="s">
        <v>83</v>
      </c>
      <c r="C59" s="50"/>
      <c r="D59" s="50"/>
      <c r="E59" s="50"/>
      <c r="F59" s="50"/>
      <c r="G59" s="51"/>
      <c r="H59" s="20"/>
      <c r="I59" s="9">
        <v>1</v>
      </c>
      <c r="J59" s="9"/>
      <c r="K59" s="9"/>
      <c r="L59" s="9"/>
      <c r="M59" s="9">
        <f t="shared" ref="M59:M71" si="6">I59*O59</f>
        <v>6.7</v>
      </c>
      <c r="N59" s="9">
        <f t="shared" ref="N59:N71" si="7">I59*P59</f>
        <v>2.5</v>
      </c>
      <c r="O59" s="9">
        <v>6.7</v>
      </c>
      <c r="P59" s="9">
        <v>2.5</v>
      </c>
      <c r="Q59" s="9" t="s">
        <v>5</v>
      </c>
      <c r="R59" s="1">
        <v>0</v>
      </c>
      <c r="S59" s="26"/>
    </row>
    <row r="60" spans="1:19" ht="16.5" customHeight="1" x14ac:dyDescent="0.25">
      <c r="A60" s="9"/>
      <c r="B60" s="49" t="s">
        <v>75</v>
      </c>
      <c r="C60" s="50"/>
      <c r="D60" s="50"/>
      <c r="E60" s="50"/>
      <c r="F60" s="50"/>
      <c r="G60" s="51"/>
      <c r="H60" s="20"/>
      <c r="I60" s="9">
        <v>3</v>
      </c>
      <c r="J60" s="9"/>
      <c r="K60" s="9"/>
      <c r="L60" s="9"/>
      <c r="M60" s="9">
        <f t="shared" si="6"/>
        <v>22.200000000000003</v>
      </c>
      <c r="N60" s="9">
        <f t="shared" si="7"/>
        <v>9</v>
      </c>
      <c r="O60" s="9">
        <v>7.4</v>
      </c>
      <c r="P60" s="9">
        <v>3</v>
      </c>
      <c r="Q60" s="9" t="s">
        <v>6</v>
      </c>
      <c r="R60" s="1">
        <v>0</v>
      </c>
      <c r="S60" s="26"/>
    </row>
    <row r="61" spans="1:19" ht="16.5" customHeight="1" x14ac:dyDescent="0.25">
      <c r="A61" s="9"/>
      <c r="B61" s="49" t="s">
        <v>84</v>
      </c>
      <c r="C61" s="50"/>
      <c r="D61" s="50"/>
      <c r="E61" s="50"/>
      <c r="F61" s="50"/>
      <c r="G61" s="51"/>
      <c r="H61" s="20"/>
      <c r="I61" s="9">
        <v>3</v>
      </c>
      <c r="J61" s="9"/>
      <c r="K61" s="9"/>
      <c r="L61" s="9"/>
      <c r="M61" s="9">
        <f t="shared" si="6"/>
        <v>17.100000000000001</v>
      </c>
      <c r="N61" s="9">
        <f t="shared" si="7"/>
        <v>6</v>
      </c>
      <c r="O61" s="9">
        <v>5.7</v>
      </c>
      <c r="P61" s="9">
        <v>2</v>
      </c>
      <c r="Q61" s="9" t="s">
        <v>3</v>
      </c>
      <c r="S61" s="26" t="s">
        <v>85</v>
      </c>
    </row>
    <row r="62" spans="1:19" ht="16.5" customHeight="1" x14ac:dyDescent="0.25">
      <c r="A62" s="9"/>
      <c r="B62" s="49" t="s">
        <v>86</v>
      </c>
      <c r="C62" s="50"/>
      <c r="D62" s="50"/>
      <c r="E62" s="50"/>
      <c r="F62" s="50"/>
      <c r="G62" s="51"/>
      <c r="H62" s="20"/>
      <c r="I62" s="9">
        <v>3</v>
      </c>
      <c r="J62" s="9"/>
      <c r="K62" s="9"/>
      <c r="L62" s="9"/>
      <c r="M62" s="9">
        <f t="shared" si="6"/>
        <v>15.899999999999999</v>
      </c>
      <c r="N62" s="9">
        <f t="shared" si="7"/>
        <v>4.5</v>
      </c>
      <c r="O62" s="9">
        <v>5.3</v>
      </c>
      <c r="P62" s="9">
        <v>1.5</v>
      </c>
      <c r="Q62" s="9" t="s">
        <v>4</v>
      </c>
      <c r="S62" s="26" t="s">
        <v>85</v>
      </c>
    </row>
    <row r="63" spans="1:19" ht="16.5" customHeight="1" x14ac:dyDescent="0.25">
      <c r="A63" s="9"/>
      <c r="B63" s="49" t="s">
        <v>87</v>
      </c>
      <c r="C63" s="50"/>
      <c r="D63" s="50"/>
      <c r="E63" s="50"/>
      <c r="F63" s="50"/>
      <c r="G63" s="51"/>
      <c r="H63" s="20"/>
      <c r="I63" s="9">
        <v>4</v>
      </c>
      <c r="J63" s="9"/>
      <c r="K63" s="9"/>
      <c r="L63" s="9"/>
      <c r="M63" s="9">
        <f t="shared" si="6"/>
        <v>30</v>
      </c>
      <c r="N63" s="9">
        <f t="shared" si="7"/>
        <v>12</v>
      </c>
      <c r="O63" s="9">
        <v>7.5</v>
      </c>
      <c r="P63" s="9">
        <v>3</v>
      </c>
      <c r="Q63" s="9" t="s">
        <v>6</v>
      </c>
      <c r="S63" s="26" t="s">
        <v>85</v>
      </c>
    </row>
    <row r="64" spans="1:19" ht="16.5" customHeight="1" x14ac:dyDescent="0.25">
      <c r="A64" s="9"/>
      <c r="B64" s="49" t="s">
        <v>88</v>
      </c>
      <c r="C64" s="50"/>
      <c r="D64" s="50"/>
      <c r="E64" s="50"/>
      <c r="F64" s="50"/>
      <c r="G64" s="51"/>
      <c r="H64" s="20"/>
      <c r="I64" s="9">
        <v>2</v>
      </c>
      <c r="J64" s="9"/>
      <c r="K64" s="9"/>
      <c r="L64" s="9"/>
      <c r="M64" s="9">
        <f t="shared" si="6"/>
        <v>14.2</v>
      </c>
      <c r="N64" s="9">
        <f t="shared" si="7"/>
        <v>6</v>
      </c>
      <c r="O64" s="9">
        <v>7.1</v>
      </c>
      <c r="P64" s="9">
        <v>3</v>
      </c>
      <c r="Q64" s="9" t="s">
        <v>6</v>
      </c>
      <c r="S64" s="26" t="s">
        <v>85</v>
      </c>
    </row>
    <row r="65" spans="1:19" ht="16.5" customHeight="1" x14ac:dyDescent="0.25">
      <c r="A65" s="9"/>
      <c r="B65" s="49" t="s">
        <v>89</v>
      </c>
      <c r="C65" s="50"/>
      <c r="D65" s="50"/>
      <c r="E65" s="50"/>
      <c r="F65" s="50"/>
      <c r="G65" s="51"/>
      <c r="H65" s="20"/>
      <c r="I65" s="9">
        <v>2</v>
      </c>
      <c r="J65" s="9"/>
      <c r="K65" s="9"/>
      <c r="L65" s="9"/>
      <c r="M65" s="9">
        <f t="shared" si="6"/>
        <v>15.2</v>
      </c>
      <c r="N65" s="9">
        <f t="shared" si="7"/>
        <v>6</v>
      </c>
      <c r="O65" s="9">
        <v>7.6</v>
      </c>
      <c r="P65" s="9">
        <v>3</v>
      </c>
      <c r="Q65" s="9" t="s">
        <v>6</v>
      </c>
      <c r="S65" s="26" t="s">
        <v>85</v>
      </c>
    </row>
    <row r="66" spans="1:19" ht="16.5" customHeight="1" x14ac:dyDescent="0.25">
      <c r="A66" s="9"/>
      <c r="B66" s="49" t="s">
        <v>90</v>
      </c>
      <c r="C66" s="50"/>
      <c r="D66" s="50"/>
      <c r="E66" s="50"/>
      <c r="F66" s="50"/>
      <c r="G66" s="51"/>
      <c r="H66" s="20"/>
      <c r="I66" s="9">
        <v>2</v>
      </c>
      <c r="J66" s="9"/>
      <c r="K66" s="9"/>
      <c r="L66" s="9"/>
      <c r="M66" s="9">
        <f t="shared" si="6"/>
        <v>14.6</v>
      </c>
      <c r="N66" s="9">
        <f t="shared" si="7"/>
        <v>6</v>
      </c>
      <c r="O66" s="9">
        <v>7.3</v>
      </c>
      <c r="P66" s="9">
        <v>3</v>
      </c>
      <c r="Q66" s="9" t="s">
        <v>6</v>
      </c>
      <c r="S66" s="26" t="s">
        <v>85</v>
      </c>
    </row>
    <row r="67" spans="1:19" ht="16.5" customHeight="1" x14ac:dyDescent="0.25">
      <c r="A67" s="9"/>
      <c r="B67" s="49" t="s">
        <v>91</v>
      </c>
      <c r="C67" s="50"/>
      <c r="D67" s="50"/>
      <c r="E67" s="50"/>
      <c r="F67" s="50"/>
      <c r="G67" s="51"/>
      <c r="H67" s="20"/>
      <c r="I67" s="9">
        <v>3</v>
      </c>
      <c r="J67" s="9"/>
      <c r="K67" s="9"/>
      <c r="L67" s="9"/>
      <c r="M67" s="9">
        <f t="shared" si="6"/>
        <v>17.700000000000003</v>
      </c>
      <c r="N67" s="9">
        <f t="shared" si="7"/>
        <v>6</v>
      </c>
      <c r="O67" s="9">
        <v>5.9</v>
      </c>
      <c r="P67" s="9">
        <v>2</v>
      </c>
      <c r="Q67" s="9" t="s">
        <v>3</v>
      </c>
      <c r="S67" s="26" t="s">
        <v>85</v>
      </c>
    </row>
    <row r="68" spans="1:19" ht="16.5" customHeight="1" x14ac:dyDescent="0.25">
      <c r="A68" s="9"/>
      <c r="B68" s="49" t="s">
        <v>92</v>
      </c>
      <c r="C68" s="50"/>
      <c r="D68" s="50"/>
      <c r="E68" s="50"/>
      <c r="F68" s="50"/>
      <c r="G68" s="51"/>
      <c r="H68" s="20"/>
      <c r="I68" s="9">
        <v>4</v>
      </c>
      <c r="J68" s="9"/>
      <c r="K68" s="9"/>
      <c r="L68" s="9"/>
      <c r="M68" s="9">
        <f t="shared" si="6"/>
        <v>8</v>
      </c>
      <c r="N68" s="9">
        <f t="shared" si="7"/>
        <v>0</v>
      </c>
      <c r="O68" s="9">
        <v>2</v>
      </c>
      <c r="P68" s="9">
        <v>0</v>
      </c>
      <c r="Q68" s="9" t="s">
        <v>7</v>
      </c>
      <c r="S68" s="26" t="s">
        <v>85</v>
      </c>
    </row>
    <row r="69" spans="1:19" ht="16.5" customHeight="1" x14ac:dyDescent="0.25">
      <c r="A69" s="9"/>
      <c r="B69" s="49" t="s">
        <v>93</v>
      </c>
      <c r="C69" s="50"/>
      <c r="D69" s="50"/>
      <c r="E69" s="50"/>
      <c r="F69" s="50"/>
      <c r="G69" s="51"/>
      <c r="H69" s="20"/>
      <c r="I69" s="9">
        <v>2</v>
      </c>
      <c r="J69" s="9"/>
      <c r="K69" s="9"/>
      <c r="L69" s="9"/>
      <c r="M69" s="9">
        <f t="shared" si="6"/>
        <v>0</v>
      </c>
      <c r="N69" s="9">
        <f t="shared" si="7"/>
        <v>0</v>
      </c>
      <c r="O69" s="9"/>
      <c r="P69" s="9"/>
      <c r="Q69" s="9"/>
      <c r="S69" s="26" t="s">
        <v>85</v>
      </c>
    </row>
    <row r="70" spans="1:19" ht="16.5" hidden="1" customHeight="1" x14ac:dyDescent="0.25">
      <c r="A70" s="21"/>
      <c r="H70" s="21"/>
      <c r="I70" s="21"/>
      <c r="J70" s="21"/>
      <c r="K70" s="21"/>
      <c r="L70" s="21"/>
      <c r="M70" s="9">
        <f t="shared" si="6"/>
        <v>0</v>
      </c>
      <c r="N70" s="9">
        <f t="shared" si="7"/>
        <v>0</v>
      </c>
      <c r="O70" s="21"/>
      <c r="P70" s="21"/>
      <c r="Q70" s="21"/>
      <c r="S70" s="25"/>
    </row>
    <row r="71" spans="1:19" ht="16.5" customHeight="1" x14ac:dyDescent="0.25">
      <c r="A71" s="9"/>
      <c r="B71" s="38" t="s">
        <v>42</v>
      </c>
      <c r="C71" s="39"/>
      <c r="D71" s="39"/>
      <c r="E71" s="39"/>
      <c r="F71" s="39"/>
      <c r="G71" s="40"/>
      <c r="H71" s="23"/>
      <c r="I71" s="24">
        <f>SUM(I59:I70)</f>
        <v>29</v>
      </c>
      <c r="J71" s="9"/>
      <c r="K71" s="9"/>
      <c r="L71" s="9"/>
      <c r="M71" s="9">
        <f t="shared" si="6"/>
        <v>161.53</v>
      </c>
      <c r="N71" s="9">
        <f t="shared" si="7"/>
        <v>58</v>
      </c>
      <c r="O71" s="24">
        <f>ROUND(SUM(M59:M70)/I71,2)</f>
        <v>5.57</v>
      </c>
      <c r="P71" s="24">
        <f>ROUND(SUM(N59:N70)/I71,2)</f>
        <v>2</v>
      </c>
      <c r="Q71" s="9"/>
      <c r="S71" s="25"/>
    </row>
    <row r="72" spans="1:19" ht="20.25" customHeight="1" x14ac:dyDescent="0.25">
      <c r="A72" s="27" t="s">
        <v>94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</row>
    <row r="73" spans="1:19" ht="16.5" customHeight="1" x14ac:dyDescent="0.25">
      <c r="A73" s="9"/>
      <c r="B73" s="49" t="s">
        <v>92</v>
      </c>
      <c r="C73" s="50"/>
      <c r="D73" s="50"/>
      <c r="E73" s="50"/>
      <c r="F73" s="50"/>
      <c r="G73" s="51"/>
      <c r="H73" s="20"/>
      <c r="I73" s="9">
        <v>4</v>
      </c>
      <c r="J73" s="9"/>
      <c r="K73" s="9"/>
      <c r="L73" s="9"/>
      <c r="M73" s="9">
        <f>I73*O73</f>
        <v>24</v>
      </c>
      <c r="N73" s="9">
        <f>I73*P73</f>
        <v>8</v>
      </c>
      <c r="O73" s="9">
        <v>6</v>
      </c>
      <c r="P73" s="9">
        <v>2</v>
      </c>
      <c r="Q73" s="9" t="s">
        <v>3</v>
      </c>
      <c r="S73" s="26" t="s">
        <v>85</v>
      </c>
    </row>
    <row r="74" spans="1:19" ht="16.5" customHeight="1" x14ac:dyDescent="0.25">
      <c r="A74" s="9"/>
      <c r="B74" s="49" t="s">
        <v>95</v>
      </c>
      <c r="C74" s="50"/>
      <c r="D74" s="50"/>
      <c r="E74" s="50"/>
      <c r="F74" s="50"/>
      <c r="G74" s="51"/>
      <c r="H74" s="20"/>
      <c r="I74" s="9">
        <v>1</v>
      </c>
      <c r="J74" s="9"/>
      <c r="K74" s="9"/>
      <c r="L74" s="9"/>
      <c r="M74" s="9">
        <f>I74*O74</f>
        <v>7.5</v>
      </c>
      <c r="N74" s="9">
        <f>I74*P74</f>
        <v>3</v>
      </c>
      <c r="O74" s="9">
        <v>7.5</v>
      </c>
      <c r="P74" s="9">
        <v>3</v>
      </c>
      <c r="Q74" s="9" t="s">
        <v>6</v>
      </c>
      <c r="S74" s="26" t="s">
        <v>85</v>
      </c>
    </row>
    <row r="75" spans="1:19" ht="16.5" hidden="1" customHeight="1" x14ac:dyDescent="0.25">
      <c r="A75" s="21"/>
      <c r="H75" s="21"/>
      <c r="I75" s="21"/>
      <c r="J75" s="21"/>
      <c r="K75" s="21"/>
      <c r="L75" s="21"/>
      <c r="M75" s="9">
        <f>I75*O75</f>
        <v>0</v>
      </c>
      <c r="N75" s="9">
        <f>I75*P75</f>
        <v>0</v>
      </c>
      <c r="O75" s="21"/>
      <c r="P75" s="21"/>
      <c r="Q75" s="21"/>
      <c r="S75" s="25"/>
    </row>
    <row r="76" spans="1:19" ht="16.5" customHeight="1" x14ac:dyDescent="0.25">
      <c r="A76" s="9"/>
      <c r="B76" s="38" t="s">
        <v>42</v>
      </c>
      <c r="C76" s="39"/>
      <c r="D76" s="39"/>
      <c r="E76" s="39"/>
      <c r="F76" s="39"/>
      <c r="G76" s="40"/>
      <c r="H76" s="23"/>
      <c r="I76" s="24">
        <f>SUM(I73:I75)</f>
        <v>5</v>
      </c>
      <c r="J76" s="9"/>
      <c r="K76" s="9"/>
      <c r="L76" s="9"/>
      <c r="M76" s="9">
        <f>I76*O76</f>
        <v>31.5</v>
      </c>
      <c r="N76" s="9">
        <f>I76*P76</f>
        <v>11</v>
      </c>
      <c r="O76" s="24">
        <f>ROUND(SUM(M73:M75)/I76,2)</f>
        <v>6.3</v>
      </c>
      <c r="P76" s="24">
        <f>ROUND(SUM(N73:N75)/I76,2)</f>
        <v>2.2000000000000002</v>
      </c>
      <c r="Q76" s="9"/>
      <c r="S76" s="25"/>
    </row>
    <row r="77" spans="1:19" ht="20.25" customHeight="1" x14ac:dyDescent="0.25">
      <c r="A77" s="27" t="s">
        <v>96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</row>
    <row r="78" spans="1:19" ht="16.5" customHeight="1" x14ac:dyDescent="0.25">
      <c r="A78" s="9"/>
      <c r="B78" s="49" t="s">
        <v>97</v>
      </c>
      <c r="C78" s="50"/>
      <c r="D78" s="50"/>
      <c r="E78" s="50"/>
      <c r="F78" s="50"/>
      <c r="G78" s="51"/>
      <c r="H78" s="20"/>
      <c r="I78" s="9">
        <v>2</v>
      </c>
      <c r="J78" s="9"/>
      <c r="K78" s="9"/>
      <c r="L78" s="9"/>
      <c r="M78" s="9">
        <f t="shared" ref="M78:M90" si="8">I78*O78</f>
        <v>15</v>
      </c>
      <c r="N78" s="9">
        <f t="shared" ref="N78:N90" si="9">I78*P78</f>
        <v>6</v>
      </c>
      <c r="O78" s="9">
        <v>7.5</v>
      </c>
      <c r="P78" s="9">
        <v>3</v>
      </c>
      <c r="Q78" s="9" t="s">
        <v>6</v>
      </c>
      <c r="S78" s="26" t="s">
        <v>85</v>
      </c>
    </row>
    <row r="79" spans="1:19" ht="16.5" customHeight="1" x14ac:dyDescent="0.25">
      <c r="A79" s="9"/>
      <c r="B79" s="49" t="s">
        <v>79</v>
      </c>
      <c r="C79" s="50"/>
      <c r="D79" s="50"/>
      <c r="E79" s="50"/>
      <c r="F79" s="50"/>
      <c r="G79" s="51"/>
      <c r="H79" s="20"/>
      <c r="I79" s="9">
        <v>2</v>
      </c>
      <c r="J79" s="9"/>
      <c r="K79" s="9"/>
      <c r="L79" s="9"/>
      <c r="M79" s="9">
        <f t="shared" si="8"/>
        <v>11.6</v>
      </c>
      <c r="N79" s="9">
        <f t="shared" si="9"/>
        <v>4</v>
      </c>
      <c r="O79" s="9">
        <v>5.8</v>
      </c>
      <c r="P79" s="9">
        <v>2</v>
      </c>
      <c r="Q79" s="9" t="s">
        <v>3</v>
      </c>
      <c r="S79" s="26" t="s">
        <v>85</v>
      </c>
    </row>
    <row r="80" spans="1:19" ht="16.5" customHeight="1" x14ac:dyDescent="0.25">
      <c r="A80" s="9"/>
      <c r="B80" s="49" t="s">
        <v>98</v>
      </c>
      <c r="C80" s="50"/>
      <c r="D80" s="50"/>
      <c r="E80" s="50"/>
      <c r="F80" s="50"/>
      <c r="G80" s="51"/>
      <c r="H80" s="20"/>
      <c r="I80" s="9">
        <v>3</v>
      </c>
      <c r="J80" s="9"/>
      <c r="K80" s="9"/>
      <c r="L80" s="9"/>
      <c r="M80" s="9">
        <f t="shared" si="8"/>
        <v>13.5</v>
      </c>
      <c r="N80" s="9">
        <f t="shared" si="9"/>
        <v>3</v>
      </c>
      <c r="O80" s="9">
        <v>4.5</v>
      </c>
      <c r="P80" s="9">
        <v>1</v>
      </c>
      <c r="Q80" s="9" t="s">
        <v>8</v>
      </c>
      <c r="S80" s="26" t="s">
        <v>85</v>
      </c>
    </row>
    <row r="81" spans="1:19" ht="16.5" customHeight="1" x14ac:dyDescent="0.25">
      <c r="A81" s="9"/>
      <c r="B81" s="49" t="s">
        <v>99</v>
      </c>
      <c r="C81" s="50"/>
      <c r="D81" s="50"/>
      <c r="E81" s="50"/>
      <c r="F81" s="50"/>
      <c r="G81" s="51"/>
      <c r="H81" s="20"/>
      <c r="I81" s="9">
        <v>2</v>
      </c>
      <c r="J81" s="9"/>
      <c r="K81" s="9"/>
      <c r="L81" s="9"/>
      <c r="M81" s="9">
        <f t="shared" si="8"/>
        <v>13</v>
      </c>
      <c r="N81" s="9">
        <f t="shared" si="9"/>
        <v>5</v>
      </c>
      <c r="O81" s="9">
        <v>6.5</v>
      </c>
      <c r="P81" s="9">
        <v>2.5</v>
      </c>
      <c r="Q81" s="9" t="s">
        <v>5</v>
      </c>
      <c r="S81" s="26" t="s">
        <v>85</v>
      </c>
    </row>
    <row r="82" spans="1:19" ht="16.5" customHeight="1" x14ac:dyDescent="0.25">
      <c r="A82" s="9"/>
      <c r="B82" s="49" t="s">
        <v>69</v>
      </c>
      <c r="C82" s="50"/>
      <c r="D82" s="50"/>
      <c r="E82" s="50"/>
      <c r="F82" s="50"/>
      <c r="G82" s="51"/>
      <c r="H82" s="20"/>
      <c r="I82" s="9">
        <v>1</v>
      </c>
      <c r="J82" s="9"/>
      <c r="K82" s="9"/>
      <c r="L82" s="9"/>
      <c r="M82" s="9">
        <f t="shared" si="8"/>
        <v>6.7</v>
      </c>
      <c r="N82" s="9">
        <f t="shared" si="9"/>
        <v>2.5</v>
      </c>
      <c r="O82" s="9">
        <v>6.7</v>
      </c>
      <c r="P82" s="9">
        <v>2.5</v>
      </c>
      <c r="Q82" s="9" t="s">
        <v>5</v>
      </c>
      <c r="S82" s="26" t="s">
        <v>85</v>
      </c>
    </row>
    <row r="83" spans="1:19" ht="16.5" customHeight="1" x14ac:dyDescent="0.25">
      <c r="A83" s="9"/>
      <c r="B83" s="49" t="s">
        <v>100</v>
      </c>
      <c r="C83" s="50"/>
      <c r="D83" s="50"/>
      <c r="E83" s="50"/>
      <c r="F83" s="50"/>
      <c r="G83" s="51"/>
      <c r="H83" s="20"/>
      <c r="I83" s="9">
        <v>1</v>
      </c>
      <c r="J83" s="9"/>
      <c r="K83" s="9"/>
      <c r="L83" s="9"/>
      <c r="M83" s="9">
        <f t="shared" si="8"/>
        <v>7.7</v>
      </c>
      <c r="N83" s="9">
        <f t="shared" si="9"/>
        <v>3</v>
      </c>
      <c r="O83" s="9">
        <v>7.7</v>
      </c>
      <c r="P83" s="9">
        <v>3</v>
      </c>
      <c r="Q83" s="9" t="s">
        <v>6</v>
      </c>
      <c r="S83" s="26" t="s">
        <v>85</v>
      </c>
    </row>
    <row r="84" spans="1:19" ht="16.5" customHeight="1" x14ac:dyDescent="0.25">
      <c r="A84" s="9"/>
      <c r="B84" s="49" t="s">
        <v>101</v>
      </c>
      <c r="C84" s="50"/>
      <c r="D84" s="50"/>
      <c r="E84" s="50"/>
      <c r="F84" s="50"/>
      <c r="G84" s="51"/>
      <c r="H84" s="20"/>
      <c r="I84" s="9">
        <v>1</v>
      </c>
      <c r="J84" s="9"/>
      <c r="K84" s="9"/>
      <c r="L84" s="9"/>
      <c r="M84" s="9">
        <f t="shared" si="8"/>
        <v>7.8</v>
      </c>
      <c r="N84" s="9">
        <f t="shared" si="9"/>
        <v>3</v>
      </c>
      <c r="O84" s="9">
        <v>7.8</v>
      </c>
      <c r="P84" s="9">
        <v>3</v>
      </c>
      <c r="Q84" s="9" t="s">
        <v>6</v>
      </c>
      <c r="S84" s="26" t="s">
        <v>85</v>
      </c>
    </row>
    <row r="85" spans="1:19" ht="16.5" customHeight="1" x14ac:dyDescent="0.25">
      <c r="A85" s="9"/>
      <c r="B85" s="49" t="s">
        <v>102</v>
      </c>
      <c r="C85" s="50"/>
      <c r="D85" s="50"/>
      <c r="E85" s="50"/>
      <c r="F85" s="50"/>
      <c r="G85" s="51"/>
      <c r="H85" s="20"/>
      <c r="I85" s="9">
        <v>2</v>
      </c>
      <c r="J85" s="9"/>
      <c r="K85" s="9"/>
      <c r="L85" s="9"/>
      <c r="M85" s="9">
        <f t="shared" si="8"/>
        <v>12</v>
      </c>
      <c r="N85" s="9">
        <f t="shared" si="9"/>
        <v>4</v>
      </c>
      <c r="O85" s="9">
        <v>6</v>
      </c>
      <c r="P85" s="9">
        <v>2</v>
      </c>
      <c r="Q85" s="9" t="s">
        <v>3</v>
      </c>
      <c r="S85" s="26" t="s">
        <v>85</v>
      </c>
    </row>
    <row r="86" spans="1:19" ht="16.5" customHeight="1" x14ac:dyDescent="0.25">
      <c r="A86" s="9"/>
      <c r="B86" s="49" t="s">
        <v>103</v>
      </c>
      <c r="C86" s="50"/>
      <c r="D86" s="50"/>
      <c r="E86" s="50"/>
      <c r="F86" s="50"/>
      <c r="G86" s="51"/>
      <c r="H86" s="20"/>
      <c r="I86" s="9">
        <v>2</v>
      </c>
      <c r="J86" s="9"/>
      <c r="K86" s="9"/>
      <c r="L86" s="9"/>
      <c r="M86" s="9">
        <f t="shared" si="8"/>
        <v>11.8</v>
      </c>
      <c r="N86" s="9">
        <f t="shared" si="9"/>
        <v>4</v>
      </c>
      <c r="O86" s="9">
        <v>5.9</v>
      </c>
      <c r="P86" s="9">
        <v>2</v>
      </c>
      <c r="Q86" s="9" t="s">
        <v>3</v>
      </c>
      <c r="S86" s="26" t="s">
        <v>85</v>
      </c>
    </row>
    <row r="87" spans="1:19" ht="16.5" customHeight="1" x14ac:dyDescent="0.25">
      <c r="A87" s="9"/>
      <c r="B87" s="49" t="s">
        <v>104</v>
      </c>
      <c r="C87" s="50"/>
      <c r="D87" s="50"/>
      <c r="E87" s="50"/>
      <c r="F87" s="50"/>
      <c r="G87" s="51"/>
      <c r="H87" s="20"/>
      <c r="I87" s="9">
        <v>3</v>
      </c>
      <c r="J87" s="9"/>
      <c r="K87" s="9"/>
      <c r="L87" s="9"/>
      <c r="M87" s="9">
        <f t="shared" si="8"/>
        <v>21</v>
      </c>
      <c r="N87" s="9">
        <f t="shared" si="9"/>
        <v>9</v>
      </c>
      <c r="O87" s="9">
        <v>7</v>
      </c>
      <c r="P87" s="9">
        <v>3</v>
      </c>
      <c r="Q87" s="9" t="s">
        <v>6</v>
      </c>
      <c r="S87" s="26" t="s">
        <v>85</v>
      </c>
    </row>
    <row r="88" spans="1:19" ht="16.5" customHeight="1" x14ac:dyDescent="0.25">
      <c r="A88" s="9"/>
      <c r="B88" s="49" t="s">
        <v>105</v>
      </c>
      <c r="C88" s="50"/>
      <c r="D88" s="50"/>
      <c r="E88" s="50"/>
      <c r="F88" s="50"/>
      <c r="G88" s="51"/>
      <c r="H88" s="20"/>
      <c r="I88" s="9">
        <v>4</v>
      </c>
      <c r="J88" s="9"/>
      <c r="K88" s="9"/>
      <c r="L88" s="9"/>
      <c r="M88" s="9">
        <f t="shared" si="8"/>
        <v>10</v>
      </c>
      <c r="N88" s="9">
        <f t="shared" si="9"/>
        <v>0</v>
      </c>
      <c r="O88" s="9">
        <v>2.5</v>
      </c>
      <c r="P88" s="9">
        <v>0</v>
      </c>
      <c r="Q88" s="9" t="s">
        <v>7</v>
      </c>
      <c r="S88" s="26" t="s">
        <v>85</v>
      </c>
    </row>
    <row r="89" spans="1:19" ht="16.5" hidden="1" customHeight="1" x14ac:dyDescent="0.25">
      <c r="A89" s="21"/>
      <c r="H89" s="21"/>
      <c r="I89" s="21"/>
      <c r="J89" s="21"/>
      <c r="K89" s="21"/>
      <c r="L89" s="21"/>
      <c r="M89" s="9">
        <f t="shared" si="8"/>
        <v>0</v>
      </c>
      <c r="N89" s="9">
        <f t="shared" si="9"/>
        <v>0</v>
      </c>
      <c r="O89" s="21"/>
      <c r="P89" s="21"/>
      <c r="Q89" s="21"/>
      <c r="S89" s="25"/>
    </row>
    <row r="90" spans="1:19" ht="16.5" customHeight="1" x14ac:dyDescent="0.25">
      <c r="A90" s="9"/>
      <c r="B90" s="38" t="s">
        <v>42</v>
      </c>
      <c r="C90" s="39"/>
      <c r="D90" s="39"/>
      <c r="E90" s="39"/>
      <c r="F90" s="39"/>
      <c r="G90" s="40"/>
      <c r="H90" s="23"/>
      <c r="I90" s="24">
        <f>SUM(I78:I89)</f>
        <v>23</v>
      </c>
      <c r="J90" s="9"/>
      <c r="K90" s="9"/>
      <c r="L90" s="9"/>
      <c r="M90" s="9">
        <f t="shared" si="8"/>
        <v>130.18</v>
      </c>
      <c r="N90" s="9">
        <f t="shared" si="9"/>
        <v>43.47</v>
      </c>
      <c r="O90" s="24">
        <f>ROUND(SUM(M78:M89)/I90,2)</f>
        <v>5.66</v>
      </c>
      <c r="P90" s="24">
        <f>ROUND(SUM(N78:N89)/I90,2)</f>
        <v>1.89</v>
      </c>
      <c r="Q90" s="9"/>
      <c r="S90" s="25"/>
    </row>
    <row r="91" spans="1:19" ht="20.25" customHeight="1" x14ac:dyDescent="0.25">
      <c r="A91" s="27" t="s">
        <v>106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</row>
    <row r="92" spans="1:19" ht="16.5" customHeight="1" x14ac:dyDescent="0.25">
      <c r="A92" s="9"/>
      <c r="B92" s="49" t="s">
        <v>105</v>
      </c>
      <c r="C92" s="50"/>
      <c r="D92" s="50"/>
      <c r="E92" s="50"/>
      <c r="F92" s="50"/>
      <c r="G92" s="51"/>
      <c r="H92" s="20"/>
      <c r="I92" s="9">
        <v>4</v>
      </c>
      <c r="J92" s="9"/>
      <c r="K92" s="9"/>
      <c r="L92" s="9"/>
      <c r="M92" s="9">
        <f>I92*O92</f>
        <v>10</v>
      </c>
      <c r="N92" s="9">
        <f>I92*P92</f>
        <v>0</v>
      </c>
      <c r="O92" s="9">
        <v>2.5</v>
      </c>
      <c r="P92" s="9">
        <v>0</v>
      </c>
      <c r="Q92" s="9" t="s">
        <v>7</v>
      </c>
      <c r="S92" s="26" t="s">
        <v>85</v>
      </c>
    </row>
    <row r="93" spans="1:19" ht="16.5" hidden="1" customHeight="1" x14ac:dyDescent="0.25">
      <c r="A93" s="21"/>
      <c r="H93" s="21"/>
      <c r="I93" s="21"/>
      <c r="J93" s="21"/>
      <c r="K93" s="21"/>
      <c r="L93" s="21"/>
      <c r="M93" s="9">
        <f>I93*O93</f>
        <v>0</v>
      </c>
      <c r="N93" s="9">
        <f>I93*P93</f>
        <v>0</v>
      </c>
      <c r="O93" s="21"/>
      <c r="P93" s="21"/>
      <c r="Q93" s="21"/>
      <c r="S93" s="25"/>
    </row>
    <row r="94" spans="1:19" ht="16.5" customHeight="1" x14ac:dyDescent="0.25">
      <c r="A94" s="9"/>
      <c r="B94" s="38" t="s">
        <v>42</v>
      </c>
      <c r="C94" s="39"/>
      <c r="D94" s="39"/>
      <c r="E94" s="39"/>
      <c r="F94" s="39"/>
      <c r="G94" s="40"/>
      <c r="H94" s="23"/>
      <c r="I94" s="24">
        <f>SUM(I92:I93)</f>
        <v>4</v>
      </c>
      <c r="J94" s="9"/>
      <c r="K94" s="9"/>
      <c r="L94" s="9"/>
      <c r="M94" s="9">
        <f>I94*O94</f>
        <v>10</v>
      </c>
      <c r="N94" s="9">
        <f>I94*P94</f>
        <v>0</v>
      </c>
      <c r="O94" s="24">
        <f>ROUND(SUM(M92:M93)/I94,2)</f>
        <v>2.5</v>
      </c>
      <c r="P94" s="24">
        <f>ROUND(SUM(N92:N93)/I94,2)</f>
        <v>0</v>
      </c>
      <c r="Q94" s="9"/>
      <c r="S94" s="25"/>
    </row>
    <row r="95" spans="1:19" ht="20.25" customHeight="1" x14ac:dyDescent="0.25">
      <c r="A95" s="27" t="s">
        <v>107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spans="1:19" ht="16.5" customHeight="1" x14ac:dyDescent="0.25">
      <c r="A96" s="9"/>
      <c r="B96" s="49" t="s">
        <v>108</v>
      </c>
      <c r="C96" s="50"/>
      <c r="D96" s="50"/>
      <c r="E96" s="50"/>
      <c r="F96" s="50"/>
      <c r="G96" s="51"/>
      <c r="H96" s="20"/>
      <c r="I96" s="9">
        <v>1</v>
      </c>
      <c r="J96" s="9"/>
      <c r="K96" s="9"/>
      <c r="L96" s="9"/>
      <c r="M96" s="9">
        <f t="shared" ref="M96:M108" si="10">I96*O96</f>
        <v>7.2</v>
      </c>
      <c r="N96" s="9">
        <f t="shared" ref="N96:N108" si="11">I96*P96</f>
        <v>3</v>
      </c>
      <c r="O96" s="9">
        <v>7.2</v>
      </c>
      <c r="P96" s="9">
        <v>3</v>
      </c>
      <c r="Q96" s="9" t="s">
        <v>6</v>
      </c>
      <c r="S96" s="26" t="s">
        <v>85</v>
      </c>
    </row>
    <row r="97" spans="1:19" ht="16.5" customHeight="1" x14ac:dyDescent="0.25">
      <c r="A97" s="9"/>
      <c r="B97" s="49" t="s">
        <v>109</v>
      </c>
      <c r="C97" s="50"/>
      <c r="D97" s="50"/>
      <c r="E97" s="50"/>
      <c r="F97" s="50"/>
      <c r="G97" s="51"/>
      <c r="H97" s="20"/>
      <c r="I97" s="9">
        <v>2</v>
      </c>
      <c r="J97" s="9"/>
      <c r="K97" s="9"/>
      <c r="L97" s="9"/>
      <c r="M97" s="9">
        <f t="shared" si="10"/>
        <v>12.6</v>
      </c>
      <c r="N97" s="9">
        <f t="shared" si="11"/>
        <v>4</v>
      </c>
      <c r="O97" s="9">
        <v>6.3</v>
      </c>
      <c r="P97" s="9">
        <v>2</v>
      </c>
      <c r="Q97" s="9" t="s">
        <v>3</v>
      </c>
      <c r="S97" s="26" t="s">
        <v>85</v>
      </c>
    </row>
    <row r="98" spans="1:19" ht="16.5" customHeight="1" x14ac:dyDescent="0.25">
      <c r="A98" s="9"/>
      <c r="B98" s="49" t="s">
        <v>110</v>
      </c>
      <c r="C98" s="50"/>
      <c r="D98" s="50"/>
      <c r="E98" s="50"/>
      <c r="F98" s="50"/>
      <c r="G98" s="51"/>
      <c r="H98" s="20"/>
      <c r="I98" s="9">
        <v>3</v>
      </c>
      <c r="J98" s="9"/>
      <c r="K98" s="9"/>
      <c r="L98" s="9"/>
      <c r="M98" s="9">
        <f t="shared" si="10"/>
        <v>18.600000000000001</v>
      </c>
      <c r="N98" s="9">
        <f t="shared" si="11"/>
        <v>6</v>
      </c>
      <c r="O98" s="9">
        <v>6.2</v>
      </c>
      <c r="P98" s="9">
        <v>2</v>
      </c>
      <c r="Q98" s="9" t="s">
        <v>3</v>
      </c>
      <c r="S98" s="26" t="s">
        <v>85</v>
      </c>
    </row>
    <row r="99" spans="1:19" ht="16.5" customHeight="1" x14ac:dyDescent="0.25">
      <c r="A99" s="9"/>
      <c r="B99" s="49" t="s">
        <v>111</v>
      </c>
      <c r="C99" s="50"/>
      <c r="D99" s="50"/>
      <c r="E99" s="50"/>
      <c r="F99" s="50"/>
      <c r="G99" s="51"/>
      <c r="H99" s="20"/>
      <c r="I99" s="9">
        <v>3</v>
      </c>
      <c r="J99" s="9"/>
      <c r="K99" s="9"/>
      <c r="L99" s="9"/>
      <c r="M99" s="9">
        <f t="shared" si="10"/>
        <v>9</v>
      </c>
      <c r="N99" s="9">
        <f t="shared" si="11"/>
        <v>0</v>
      </c>
      <c r="O99" s="9">
        <v>3</v>
      </c>
      <c r="P99" s="9">
        <v>0</v>
      </c>
      <c r="Q99" s="9" t="s">
        <v>7</v>
      </c>
      <c r="S99" s="26" t="s">
        <v>85</v>
      </c>
    </row>
    <row r="100" spans="1:19" ht="16.5" customHeight="1" x14ac:dyDescent="0.25">
      <c r="A100" s="9"/>
      <c r="B100" s="49" t="s">
        <v>112</v>
      </c>
      <c r="C100" s="50"/>
      <c r="D100" s="50"/>
      <c r="E100" s="50"/>
      <c r="F100" s="50"/>
      <c r="G100" s="51"/>
      <c r="H100" s="20"/>
      <c r="I100" s="9">
        <v>4</v>
      </c>
      <c r="J100" s="9"/>
      <c r="K100" s="9"/>
      <c r="L100" s="9"/>
      <c r="M100" s="9">
        <f t="shared" si="10"/>
        <v>23.6</v>
      </c>
      <c r="N100" s="9">
        <f t="shared" si="11"/>
        <v>8</v>
      </c>
      <c r="O100" s="9">
        <v>5.9</v>
      </c>
      <c r="P100" s="9">
        <v>2</v>
      </c>
      <c r="Q100" s="9" t="s">
        <v>3</v>
      </c>
      <c r="S100" s="26" t="s">
        <v>85</v>
      </c>
    </row>
    <row r="101" spans="1:19" ht="16.5" customHeight="1" x14ac:dyDescent="0.25">
      <c r="A101" s="9"/>
      <c r="B101" s="49" t="s">
        <v>113</v>
      </c>
      <c r="C101" s="50"/>
      <c r="D101" s="50"/>
      <c r="E101" s="50"/>
      <c r="F101" s="50"/>
      <c r="G101" s="51"/>
      <c r="H101" s="20"/>
      <c r="I101" s="9">
        <v>4</v>
      </c>
      <c r="J101" s="9"/>
      <c r="K101" s="9"/>
      <c r="L101" s="9"/>
      <c r="M101" s="9">
        <f t="shared" si="10"/>
        <v>27.2</v>
      </c>
      <c r="N101" s="9">
        <f t="shared" si="11"/>
        <v>10</v>
      </c>
      <c r="O101" s="9">
        <v>6.8</v>
      </c>
      <c r="P101" s="9">
        <v>2.5</v>
      </c>
      <c r="Q101" s="9" t="s">
        <v>5</v>
      </c>
      <c r="S101" s="26" t="s">
        <v>85</v>
      </c>
    </row>
    <row r="102" spans="1:19" ht="16.5" customHeight="1" x14ac:dyDescent="0.25">
      <c r="A102" s="9"/>
      <c r="B102" s="49" t="s">
        <v>114</v>
      </c>
      <c r="C102" s="50"/>
      <c r="D102" s="50"/>
      <c r="E102" s="50"/>
      <c r="F102" s="50"/>
      <c r="G102" s="51"/>
      <c r="H102" s="20"/>
      <c r="I102" s="9">
        <v>3</v>
      </c>
      <c r="J102" s="9"/>
      <c r="K102" s="9"/>
      <c r="L102" s="9"/>
      <c r="M102" s="9">
        <f t="shared" si="10"/>
        <v>22.799999999999997</v>
      </c>
      <c r="N102" s="9">
        <f t="shared" si="11"/>
        <v>9</v>
      </c>
      <c r="O102" s="9">
        <v>7.6</v>
      </c>
      <c r="P102" s="9">
        <v>3</v>
      </c>
      <c r="Q102" s="9" t="s">
        <v>6</v>
      </c>
      <c r="S102" s="26" t="s">
        <v>85</v>
      </c>
    </row>
    <row r="103" spans="1:19" ht="16.5" customHeight="1" x14ac:dyDescent="0.25">
      <c r="A103" s="9"/>
      <c r="B103" s="49" t="s">
        <v>115</v>
      </c>
      <c r="C103" s="50"/>
      <c r="D103" s="50"/>
      <c r="E103" s="50"/>
      <c r="F103" s="50"/>
      <c r="G103" s="51"/>
      <c r="H103" s="20"/>
      <c r="I103" s="9">
        <v>2</v>
      </c>
      <c r="J103" s="9"/>
      <c r="K103" s="9"/>
      <c r="L103" s="9"/>
      <c r="M103" s="9">
        <f t="shared" si="10"/>
        <v>11.2</v>
      </c>
      <c r="N103" s="9">
        <f t="shared" si="11"/>
        <v>4</v>
      </c>
      <c r="O103" s="9">
        <v>5.6</v>
      </c>
      <c r="P103" s="9">
        <v>2</v>
      </c>
      <c r="Q103" s="9" t="s">
        <v>3</v>
      </c>
      <c r="S103" s="26" t="s">
        <v>85</v>
      </c>
    </row>
    <row r="104" spans="1:19" ht="16.5" customHeight="1" x14ac:dyDescent="0.25">
      <c r="A104" s="9"/>
      <c r="B104" s="49" t="s">
        <v>116</v>
      </c>
      <c r="C104" s="50"/>
      <c r="D104" s="50"/>
      <c r="E104" s="50"/>
      <c r="F104" s="50"/>
      <c r="G104" s="51"/>
      <c r="H104" s="20"/>
      <c r="I104" s="9">
        <v>2</v>
      </c>
      <c r="J104" s="9"/>
      <c r="K104" s="9"/>
      <c r="L104" s="9"/>
      <c r="M104" s="9">
        <f t="shared" si="10"/>
        <v>0</v>
      </c>
      <c r="N104" s="9">
        <f t="shared" si="11"/>
        <v>0</v>
      </c>
      <c r="O104" s="9"/>
      <c r="P104" s="9"/>
      <c r="Q104" s="9"/>
      <c r="S104" s="26" t="s">
        <v>85</v>
      </c>
    </row>
    <row r="105" spans="1:19" ht="16.5" customHeight="1" x14ac:dyDescent="0.25">
      <c r="A105" s="9"/>
      <c r="B105" s="49" t="s">
        <v>117</v>
      </c>
      <c r="C105" s="50"/>
      <c r="D105" s="50"/>
      <c r="E105" s="50"/>
      <c r="F105" s="50"/>
      <c r="G105" s="51"/>
      <c r="H105" s="20"/>
      <c r="I105" s="9">
        <v>3</v>
      </c>
      <c r="J105" s="9"/>
      <c r="K105" s="9"/>
      <c r="L105" s="9"/>
      <c r="M105" s="9">
        <f t="shared" si="10"/>
        <v>17.399999999999999</v>
      </c>
      <c r="N105" s="9">
        <f t="shared" si="11"/>
        <v>6</v>
      </c>
      <c r="O105" s="9">
        <v>5.8</v>
      </c>
      <c r="P105" s="9">
        <v>2</v>
      </c>
      <c r="Q105" s="9" t="s">
        <v>3</v>
      </c>
      <c r="S105" s="26" t="s">
        <v>85</v>
      </c>
    </row>
    <row r="106" spans="1:19" ht="16.5" customHeight="1" x14ac:dyDescent="0.25">
      <c r="A106" s="9"/>
      <c r="B106" s="49" t="s">
        <v>118</v>
      </c>
      <c r="C106" s="50"/>
      <c r="D106" s="50"/>
      <c r="E106" s="50"/>
      <c r="F106" s="50"/>
      <c r="G106" s="51"/>
      <c r="H106" s="20"/>
      <c r="I106" s="9">
        <v>2</v>
      </c>
      <c r="J106" s="9"/>
      <c r="K106" s="9"/>
      <c r="L106" s="9"/>
      <c r="M106" s="9">
        <f t="shared" si="10"/>
        <v>16.2</v>
      </c>
      <c r="N106" s="9">
        <f t="shared" si="11"/>
        <v>7</v>
      </c>
      <c r="O106" s="9">
        <v>8.1</v>
      </c>
      <c r="P106" s="9">
        <v>3.5</v>
      </c>
      <c r="Q106" s="9" t="s">
        <v>9</v>
      </c>
      <c r="S106" s="26" t="s">
        <v>85</v>
      </c>
    </row>
    <row r="107" spans="1:19" ht="16.5" hidden="1" customHeight="1" x14ac:dyDescent="0.25">
      <c r="A107" s="21"/>
      <c r="H107" s="21"/>
      <c r="I107" s="21"/>
      <c r="J107" s="21"/>
      <c r="K107" s="21"/>
      <c r="L107" s="21"/>
      <c r="M107" s="9">
        <f t="shared" si="10"/>
        <v>0</v>
      </c>
      <c r="N107" s="9">
        <f t="shared" si="11"/>
        <v>0</v>
      </c>
      <c r="O107" s="21"/>
      <c r="P107" s="21"/>
      <c r="Q107" s="21"/>
      <c r="S107" s="25"/>
    </row>
    <row r="108" spans="1:19" ht="16.5" customHeight="1" x14ac:dyDescent="0.25">
      <c r="A108" s="9"/>
      <c r="B108" s="38" t="s">
        <v>42</v>
      </c>
      <c r="C108" s="39"/>
      <c r="D108" s="39"/>
      <c r="E108" s="39"/>
      <c r="F108" s="39"/>
      <c r="G108" s="40"/>
      <c r="H108" s="23"/>
      <c r="I108" s="24">
        <f>SUM(I96:I107)</f>
        <v>29</v>
      </c>
      <c r="J108" s="9"/>
      <c r="K108" s="9"/>
      <c r="L108" s="9"/>
      <c r="M108" s="9">
        <f t="shared" si="10"/>
        <v>165.88</v>
      </c>
      <c r="N108" s="9">
        <f t="shared" si="11"/>
        <v>57.13</v>
      </c>
      <c r="O108" s="24">
        <f>ROUND(SUM(M96:M107)/I108,2)</f>
        <v>5.72</v>
      </c>
      <c r="P108" s="24">
        <f>ROUND(SUM(N96:N107)/I108,2)</f>
        <v>1.97</v>
      </c>
      <c r="Q108" s="9"/>
      <c r="S108" s="25"/>
    </row>
    <row r="109" spans="1:19" ht="20.25" customHeight="1" x14ac:dyDescent="0.25">
      <c r="A109" s="27" t="s">
        <v>119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</row>
    <row r="110" spans="1:19" ht="16.5" customHeight="1" x14ac:dyDescent="0.25">
      <c r="A110" s="9"/>
      <c r="B110" s="49" t="s">
        <v>116</v>
      </c>
      <c r="C110" s="50"/>
      <c r="D110" s="50"/>
      <c r="E110" s="50"/>
      <c r="F110" s="50"/>
      <c r="G110" s="51"/>
      <c r="H110" s="20"/>
      <c r="I110" s="9">
        <v>2</v>
      </c>
      <c r="J110" s="9"/>
      <c r="K110" s="9"/>
      <c r="L110" s="9"/>
      <c r="M110" s="9">
        <f>I110*O110</f>
        <v>15.6</v>
      </c>
      <c r="N110" s="9">
        <f>I110*P110</f>
        <v>6</v>
      </c>
      <c r="O110" s="9">
        <v>7.8</v>
      </c>
      <c r="P110" s="9">
        <v>3</v>
      </c>
      <c r="Q110" s="9" t="s">
        <v>6</v>
      </c>
      <c r="S110" s="26" t="s">
        <v>85</v>
      </c>
    </row>
    <row r="111" spans="1:19" ht="16.5" customHeight="1" x14ac:dyDescent="0.25">
      <c r="A111" s="9"/>
      <c r="B111" s="49" t="s">
        <v>111</v>
      </c>
      <c r="C111" s="50"/>
      <c r="D111" s="50"/>
      <c r="E111" s="50"/>
      <c r="F111" s="50"/>
      <c r="G111" s="51"/>
      <c r="H111" s="20"/>
      <c r="I111" s="9">
        <v>3</v>
      </c>
      <c r="J111" s="9"/>
      <c r="K111" s="9"/>
      <c r="L111" s="9"/>
      <c r="M111" s="9">
        <f>I111*O111</f>
        <v>19.200000000000003</v>
      </c>
      <c r="N111" s="9">
        <f>I111*P111</f>
        <v>6</v>
      </c>
      <c r="O111" s="9">
        <v>6.4</v>
      </c>
      <c r="P111" s="9">
        <v>2</v>
      </c>
      <c r="Q111" s="9" t="s">
        <v>3</v>
      </c>
      <c r="S111" s="26" t="s">
        <v>85</v>
      </c>
    </row>
    <row r="112" spans="1:19" ht="16.5" hidden="1" customHeight="1" x14ac:dyDescent="0.25">
      <c r="A112" s="21"/>
      <c r="H112" s="21"/>
      <c r="I112" s="21"/>
      <c r="J112" s="21"/>
      <c r="K112" s="21"/>
      <c r="L112" s="21"/>
      <c r="M112" s="9">
        <f>I112*O112</f>
        <v>0</v>
      </c>
      <c r="N112" s="9">
        <f>I112*P112</f>
        <v>0</v>
      </c>
      <c r="O112" s="21"/>
      <c r="P112" s="21"/>
      <c r="Q112" s="21"/>
      <c r="S112" s="25"/>
    </row>
    <row r="113" spans="1:19" ht="16.5" customHeight="1" x14ac:dyDescent="0.25">
      <c r="A113" s="9"/>
      <c r="B113" s="38" t="s">
        <v>42</v>
      </c>
      <c r="C113" s="39"/>
      <c r="D113" s="39"/>
      <c r="E113" s="39"/>
      <c r="F113" s="39"/>
      <c r="G113" s="40"/>
      <c r="H113" s="23"/>
      <c r="I113" s="24">
        <f>SUM(I110:I112)</f>
        <v>5</v>
      </c>
      <c r="J113" s="9"/>
      <c r="K113" s="9"/>
      <c r="L113" s="9"/>
      <c r="M113" s="9">
        <f>I113*O113</f>
        <v>34.799999999999997</v>
      </c>
      <c r="N113" s="9">
        <f>I113*P113</f>
        <v>12</v>
      </c>
      <c r="O113" s="24">
        <f>ROUND(SUM(M110:M112)/I113,2)</f>
        <v>6.96</v>
      </c>
      <c r="P113" s="24">
        <f>ROUND(SUM(N110:N112)/I113,2)</f>
        <v>2.4</v>
      </c>
      <c r="Q113" s="9"/>
      <c r="S113" s="25"/>
    </row>
    <row r="114" spans="1:19" ht="20.25" customHeight="1" x14ac:dyDescent="0.25">
      <c r="A114" s="27" t="s">
        <v>120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</row>
    <row r="115" spans="1:19" ht="16.5" customHeight="1" x14ac:dyDescent="0.25">
      <c r="A115" s="9"/>
      <c r="B115" s="49" t="s">
        <v>121</v>
      </c>
      <c r="C115" s="50"/>
      <c r="D115" s="50"/>
      <c r="E115" s="50"/>
      <c r="F115" s="50"/>
      <c r="G115" s="51"/>
      <c r="H115" s="20"/>
      <c r="I115" s="9">
        <v>3</v>
      </c>
      <c r="J115" s="9"/>
      <c r="K115" s="9"/>
      <c r="L115" s="9"/>
      <c r="M115" s="9">
        <f t="shared" ref="M115:M125" si="12">I115*O115</f>
        <v>16.200000000000003</v>
      </c>
      <c r="N115" s="9">
        <f t="shared" ref="N115:N125" si="13">I115*P115</f>
        <v>4.5</v>
      </c>
      <c r="O115" s="9">
        <v>5.4</v>
      </c>
      <c r="P115" s="9">
        <v>1.5</v>
      </c>
      <c r="Q115" s="9" t="s">
        <v>4</v>
      </c>
      <c r="S115" s="26" t="s">
        <v>85</v>
      </c>
    </row>
    <row r="116" spans="1:19" ht="16.5" customHeight="1" x14ac:dyDescent="0.25">
      <c r="A116" s="9"/>
      <c r="B116" s="49" t="s">
        <v>122</v>
      </c>
      <c r="C116" s="50"/>
      <c r="D116" s="50"/>
      <c r="E116" s="50"/>
      <c r="F116" s="50"/>
      <c r="G116" s="51"/>
      <c r="H116" s="20"/>
      <c r="I116" s="9">
        <v>1</v>
      </c>
      <c r="J116" s="9"/>
      <c r="K116" s="9"/>
      <c r="L116" s="9"/>
      <c r="M116" s="9">
        <f t="shared" si="12"/>
        <v>8</v>
      </c>
      <c r="N116" s="9">
        <f t="shared" si="13"/>
        <v>3.5</v>
      </c>
      <c r="O116" s="9">
        <v>8</v>
      </c>
      <c r="P116" s="9">
        <v>3.5</v>
      </c>
      <c r="Q116" s="9" t="s">
        <v>9</v>
      </c>
      <c r="S116" s="26" t="s">
        <v>85</v>
      </c>
    </row>
    <row r="117" spans="1:19" ht="16.5" customHeight="1" x14ac:dyDescent="0.25">
      <c r="A117" s="9"/>
      <c r="B117" s="49" t="s">
        <v>123</v>
      </c>
      <c r="C117" s="50"/>
      <c r="D117" s="50"/>
      <c r="E117" s="50"/>
      <c r="F117" s="50"/>
      <c r="G117" s="51"/>
      <c r="H117" s="20"/>
      <c r="I117" s="9">
        <v>3</v>
      </c>
      <c r="J117" s="9"/>
      <c r="K117" s="9"/>
      <c r="L117" s="9"/>
      <c r="M117" s="9">
        <f t="shared" si="12"/>
        <v>17.700000000000003</v>
      </c>
      <c r="N117" s="9">
        <f t="shared" si="13"/>
        <v>6</v>
      </c>
      <c r="O117" s="9">
        <v>5.9</v>
      </c>
      <c r="P117" s="9">
        <v>2</v>
      </c>
      <c r="Q117" s="9" t="s">
        <v>3</v>
      </c>
      <c r="S117" s="26" t="s">
        <v>85</v>
      </c>
    </row>
    <row r="118" spans="1:19" ht="16.5" customHeight="1" x14ac:dyDescent="0.25">
      <c r="A118" s="9"/>
      <c r="B118" s="49" t="s">
        <v>124</v>
      </c>
      <c r="C118" s="50"/>
      <c r="D118" s="50"/>
      <c r="E118" s="50"/>
      <c r="F118" s="50"/>
      <c r="G118" s="51"/>
      <c r="H118" s="20"/>
      <c r="I118" s="9">
        <v>3</v>
      </c>
      <c r="J118" s="9"/>
      <c r="K118" s="9"/>
      <c r="L118" s="9"/>
      <c r="M118" s="9">
        <f t="shared" si="12"/>
        <v>21.6</v>
      </c>
      <c r="N118" s="9">
        <f t="shared" si="13"/>
        <v>9</v>
      </c>
      <c r="O118" s="9">
        <v>7.2</v>
      </c>
      <c r="P118" s="9">
        <v>3</v>
      </c>
      <c r="Q118" s="9" t="s">
        <v>6</v>
      </c>
      <c r="S118" s="26" t="s">
        <v>85</v>
      </c>
    </row>
    <row r="119" spans="1:19" ht="16.5" customHeight="1" x14ac:dyDescent="0.25">
      <c r="A119" s="9"/>
      <c r="B119" s="49" t="s">
        <v>125</v>
      </c>
      <c r="C119" s="50"/>
      <c r="D119" s="50"/>
      <c r="E119" s="50"/>
      <c r="F119" s="50"/>
      <c r="G119" s="51"/>
      <c r="H119" s="20"/>
      <c r="I119" s="9">
        <v>3</v>
      </c>
      <c r="J119" s="9"/>
      <c r="K119" s="9"/>
      <c r="L119" s="9"/>
      <c r="M119" s="9">
        <f t="shared" si="12"/>
        <v>9</v>
      </c>
      <c r="N119" s="9">
        <f t="shared" si="13"/>
        <v>0</v>
      </c>
      <c r="O119" s="9">
        <v>3</v>
      </c>
      <c r="P119" s="9">
        <v>0</v>
      </c>
      <c r="Q119" s="9" t="s">
        <v>7</v>
      </c>
      <c r="S119" s="26" t="s">
        <v>85</v>
      </c>
    </row>
    <row r="120" spans="1:19" ht="16.5" customHeight="1" x14ac:dyDescent="0.25">
      <c r="A120" s="9"/>
      <c r="B120" s="49" t="s">
        <v>126</v>
      </c>
      <c r="C120" s="50"/>
      <c r="D120" s="50"/>
      <c r="E120" s="50"/>
      <c r="F120" s="50"/>
      <c r="G120" s="51"/>
      <c r="H120" s="20"/>
      <c r="I120" s="9">
        <v>3</v>
      </c>
      <c r="J120" s="9"/>
      <c r="K120" s="9"/>
      <c r="L120" s="9"/>
      <c r="M120" s="9">
        <f t="shared" si="12"/>
        <v>21</v>
      </c>
      <c r="N120" s="9">
        <f t="shared" si="13"/>
        <v>9</v>
      </c>
      <c r="O120" s="9">
        <v>7</v>
      </c>
      <c r="P120" s="9">
        <v>3</v>
      </c>
      <c r="Q120" s="9" t="s">
        <v>6</v>
      </c>
      <c r="S120" s="26" t="s">
        <v>85</v>
      </c>
    </row>
    <row r="121" spans="1:19" ht="16.5" customHeight="1" x14ac:dyDescent="0.25">
      <c r="A121" s="9"/>
      <c r="B121" s="49" t="s">
        <v>105</v>
      </c>
      <c r="C121" s="50"/>
      <c r="D121" s="50"/>
      <c r="E121" s="50"/>
      <c r="F121" s="50"/>
      <c r="G121" s="51"/>
      <c r="H121" s="20"/>
      <c r="I121" s="9">
        <v>4</v>
      </c>
      <c r="J121" s="9"/>
      <c r="K121" s="9"/>
      <c r="L121" s="9"/>
      <c r="M121" s="9">
        <f t="shared" si="12"/>
        <v>0</v>
      </c>
      <c r="N121" s="9">
        <f t="shared" si="13"/>
        <v>0</v>
      </c>
      <c r="O121" s="9"/>
      <c r="P121" s="9"/>
      <c r="Q121" s="9"/>
      <c r="S121" s="26" t="s">
        <v>85</v>
      </c>
    </row>
    <row r="122" spans="1:19" ht="16.5" customHeight="1" x14ac:dyDescent="0.25">
      <c r="A122" s="9"/>
      <c r="B122" s="49" t="s">
        <v>127</v>
      </c>
      <c r="C122" s="50"/>
      <c r="D122" s="50"/>
      <c r="E122" s="50"/>
      <c r="F122" s="50"/>
      <c r="G122" s="51"/>
      <c r="H122" s="20"/>
      <c r="I122" s="9">
        <v>2</v>
      </c>
      <c r="J122" s="9"/>
      <c r="K122" s="9"/>
      <c r="L122" s="9"/>
      <c r="M122" s="9">
        <f t="shared" si="12"/>
        <v>8</v>
      </c>
      <c r="N122" s="9">
        <f t="shared" si="13"/>
        <v>2</v>
      </c>
      <c r="O122" s="9">
        <v>4</v>
      </c>
      <c r="P122" s="9">
        <v>1</v>
      </c>
      <c r="Q122" s="9" t="s">
        <v>8</v>
      </c>
      <c r="S122" s="26" t="s">
        <v>85</v>
      </c>
    </row>
    <row r="123" spans="1:19" ht="16.5" customHeight="1" x14ac:dyDescent="0.25">
      <c r="A123" s="9"/>
      <c r="B123" s="49" t="s">
        <v>128</v>
      </c>
      <c r="C123" s="50"/>
      <c r="D123" s="50"/>
      <c r="E123" s="50"/>
      <c r="F123" s="50"/>
      <c r="G123" s="51"/>
      <c r="H123" s="20"/>
      <c r="I123" s="9">
        <v>2</v>
      </c>
      <c r="J123" s="9"/>
      <c r="K123" s="9"/>
      <c r="L123" s="9"/>
      <c r="M123" s="9">
        <f t="shared" si="12"/>
        <v>14.2</v>
      </c>
      <c r="N123" s="9">
        <f t="shared" si="13"/>
        <v>6</v>
      </c>
      <c r="O123" s="9">
        <v>7.1</v>
      </c>
      <c r="P123" s="9">
        <v>3</v>
      </c>
      <c r="Q123" s="9" t="s">
        <v>6</v>
      </c>
      <c r="S123" s="26" t="s">
        <v>85</v>
      </c>
    </row>
    <row r="124" spans="1:19" ht="16.5" hidden="1" customHeight="1" x14ac:dyDescent="0.25">
      <c r="A124" s="21"/>
      <c r="H124" s="21"/>
      <c r="I124" s="21"/>
      <c r="J124" s="21"/>
      <c r="K124" s="21"/>
      <c r="L124" s="21"/>
      <c r="M124" s="9">
        <f t="shared" si="12"/>
        <v>0</v>
      </c>
      <c r="N124" s="9">
        <f t="shared" si="13"/>
        <v>0</v>
      </c>
      <c r="O124" s="21"/>
      <c r="P124" s="21"/>
      <c r="Q124" s="21"/>
      <c r="S124" s="25"/>
    </row>
    <row r="125" spans="1:19" ht="16.5" customHeight="1" x14ac:dyDescent="0.25">
      <c r="A125" s="9"/>
      <c r="B125" s="38" t="s">
        <v>42</v>
      </c>
      <c r="C125" s="39"/>
      <c r="D125" s="39"/>
      <c r="E125" s="39"/>
      <c r="F125" s="39"/>
      <c r="G125" s="40"/>
      <c r="H125" s="23"/>
      <c r="I125" s="24">
        <f>SUM(I115:I124)</f>
        <v>24</v>
      </c>
      <c r="J125" s="9"/>
      <c r="K125" s="9"/>
      <c r="L125" s="9"/>
      <c r="M125" s="9">
        <f t="shared" si="12"/>
        <v>115.68</v>
      </c>
      <c r="N125" s="9">
        <f t="shared" si="13"/>
        <v>40.08</v>
      </c>
      <c r="O125" s="24">
        <f>ROUND(SUM(M115:M124)/I125,2)</f>
        <v>4.82</v>
      </c>
      <c r="P125" s="24">
        <f>ROUND(SUM(N115:N124)/I125,2)</f>
        <v>1.67</v>
      </c>
      <c r="Q125" s="9"/>
      <c r="S125" s="25"/>
    </row>
    <row r="126" spans="1:19" ht="16.5" customHeight="1" x14ac:dyDescent="0.25">
      <c r="A126" s="21"/>
      <c r="B126" s="22"/>
      <c r="C126" s="22"/>
      <c r="D126" s="22"/>
      <c r="E126" s="22"/>
      <c r="F126" s="22"/>
      <c r="G126" s="22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8" spans="1:19" ht="19.5" customHeight="1" x14ac:dyDescent="0.25">
      <c r="A128" s="17"/>
      <c r="B128" s="17"/>
      <c r="C128" s="8"/>
      <c r="D128" s="18"/>
      <c r="E128" s="10"/>
      <c r="F128" s="11"/>
      <c r="G128" s="44" t="s">
        <v>49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1:20" ht="31.5" customHeight="1" x14ac:dyDescent="0.3">
      <c r="A129" s="8"/>
      <c r="B129" s="8"/>
      <c r="C129" s="8"/>
      <c r="D129" s="8"/>
      <c r="E129" s="8"/>
      <c r="F129" s="8"/>
      <c r="G129" s="8"/>
      <c r="H129" s="12"/>
      <c r="I129" s="41" t="s">
        <v>40</v>
      </c>
      <c r="J129" s="42"/>
      <c r="K129" s="42"/>
      <c r="L129" s="42"/>
      <c r="M129" s="42"/>
      <c r="N129" s="42"/>
      <c r="O129" s="42"/>
      <c r="P129" s="42"/>
      <c r="Q129" s="42"/>
      <c r="R129" s="42"/>
      <c r="S129" s="42"/>
    </row>
    <row r="130" spans="1:20" ht="16.8" x14ac:dyDescent="0.3">
      <c r="A130" s="8"/>
      <c r="B130" s="8"/>
      <c r="C130" s="8"/>
      <c r="D130" s="8"/>
      <c r="E130" s="8"/>
      <c r="F130" s="8"/>
      <c r="G130" s="8"/>
      <c r="H130" s="12"/>
      <c r="I130" s="12"/>
      <c r="J130" s="12"/>
      <c r="K130" s="12"/>
      <c r="L130" s="8"/>
      <c r="M130" s="8"/>
      <c r="N130" s="8"/>
      <c r="O130" s="8"/>
      <c r="P130" s="8"/>
      <c r="Q130" s="8"/>
    </row>
    <row r="131" spans="1:20" ht="33" customHeight="1" x14ac:dyDescent="0.3">
      <c r="A131" s="8"/>
      <c r="B131" s="8"/>
      <c r="C131" s="8"/>
      <c r="D131" s="8"/>
      <c r="E131" s="8"/>
      <c r="F131" s="8"/>
      <c r="G131" s="8"/>
      <c r="H131" s="12"/>
      <c r="I131" s="12"/>
      <c r="J131" s="12"/>
      <c r="K131" s="12"/>
      <c r="L131" s="8"/>
      <c r="M131" s="8"/>
      <c r="N131" s="8"/>
      <c r="O131" s="8"/>
      <c r="P131" s="8"/>
      <c r="Q131" s="8"/>
    </row>
    <row r="132" spans="1:20" ht="11.25" customHeight="1" x14ac:dyDescent="0.3">
      <c r="A132" s="8"/>
      <c r="B132" s="8"/>
      <c r="C132" s="8"/>
      <c r="D132" s="8"/>
      <c r="E132" s="8"/>
      <c r="F132" s="8"/>
      <c r="G132" s="8"/>
      <c r="H132" s="12"/>
      <c r="I132" s="12"/>
      <c r="J132" s="12"/>
      <c r="K132" s="12"/>
      <c r="L132" s="8"/>
      <c r="M132" s="8"/>
      <c r="N132" s="8"/>
      <c r="O132" s="8"/>
      <c r="P132" s="8"/>
      <c r="Q132" s="8"/>
    </row>
    <row r="133" spans="1:20" ht="17.399999999999999" x14ac:dyDescent="0.3">
      <c r="A133" s="8"/>
      <c r="B133" s="8"/>
      <c r="C133" s="8"/>
      <c r="D133" s="8"/>
      <c r="E133" s="8"/>
      <c r="F133" s="8"/>
      <c r="G133" s="45" t="s">
        <v>41</v>
      </c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</row>
    <row r="134" spans="1:20" ht="54" customHeight="1" x14ac:dyDescent="0.25">
      <c r="A134" s="46" t="s">
        <v>33</v>
      </c>
      <c r="B134" s="46"/>
      <c r="C134" s="46"/>
      <c r="D134" s="46"/>
      <c r="E134" s="46"/>
      <c r="F134" s="41" t="s">
        <v>24</v>
      </c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</row>
    <row r="135" spans="1:20" ht="17.399999999999999" x14ac:dyDescent="0.25">
      <c r="A135" s="47" t="s">
        <v>34</v>
      </c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</row>
    <row r="136" spans="1:20" ht="4.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</row>
    <row r="137" spans="1:20" ht="5.2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</row>
    <row r="138" spans="1:20" ht="16.5" customHeight="1" x14ac:dyDescent="0.25">
      <c r="A138" s="52" t="s">
        <v>129</v>
      </c>
      <c r="B138" s="52"/>
      <c r="C138" s="52"/>
      <c r="D138" s="52"/>
      <c r="E138" s="52"/>
      <c r="F138" s="52"/>
      <c r="G138" s="56" t="s">
        <v>130</v>
      </c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</row>
    <row r="139" spans="1:20" ht="16.5" customHeight="1" x14ac:dyDescent="0.25">
      <c r="A139" s="52" t="s">
        <v>131</v>
      </c>
      <c r="B139" s="52"/>
      <c r="C139" s="52"/>
      <c r="D139" s="52"/>
      <c r="E139" s="52"/>
      <c r="F139" s="52"/>
      <c r="G139" s="8" t="s">
        <v>46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T139" s="2"/>
    </row>
    <row r="140" spans="1:20" ht="16.5" customHeight="1" x14ac:dyDescent="0.25">
      <c r="A140" s="52" t="s">
        <v>47</v>
      </c>
      <c r="B140" s="52"/>
      <c r="C140" s="52"/>
      <c r="D140" s="52"/>
      <c r="E140" s="52"/>
      <c r="F140" s="52"/>
      <c r="G140" s="56" t="s">
        <v>48</v>
      </c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</row>
    <row r="141" spans="1:20" ht="5.2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19"/>
      <c r="K141" s="19"/>
      <c r="L141" s="19"/>
      <c r="M141" s="19"/>
      <c r="N141" s="19"/>
      <c r="O141" s="19"/>
      <c r="P141" s="19"/>
      <c r="Q141" s="19"/>
    </row>
    <row r="142" spans="1:20" ht="15" customHeight="1" x14ac:dyDescent="0.25">
      <c r="A142" s="35" t="s">
        <v>0</v>
      </c>
      <c r="B142" s="29" t="s">
        <v>1</v>
      </c>
      <c r="C142" s="30"/>
      <c r="D142" s="30"/>
      <c r="E142" s="30"/>
      <c r="F142" s="30"/>
      <c r="G142" s="31"/>
      <c r="H142" s="35" t="s">
        <v>32</v>
      </c>
      <c r="I142" s="35" t="s">
        <v>39</v>
      </c>
      <c r="J142" s="53" t="s">
        <v>2</v>
      </c>
      <c r="K142" s="54"/>
      <c r="L142" s="54"/>
      <c r="M142" s="54"/>
      <c r="N142" s="54"/>
      <c r="O142" s="54"/>
      <c r="P142" s="54"/>
      <c r="Q142" s="55"/>
      <c r="S142" s="35" t="s">
        <v>38</v>
      </c>
    </row>
    <row r="143" spans="1:20" ht="24" customHeight="1" x14ac:dyDescent="0.25">
      <c r="A143" s="36"/>
      <c r="B143" s="32"/>
      <c r="C143" s="33"/>
      <c r="D143" s="33"/>
      <c r="E143" s="33"/>
      <c r="F143" s="33"/>
      <c r="G143" s="34"/>
      <c r="H143" s="36"/>
      <c r="I143" s="36"/>
      <c r="J143" s="7" t="s">
        <v>28</v>
      </c>
      <c r="K143" s="7" t="s">
        <v>29</v>
      </c>
      <c r="L143" s="7" t="s">
        <v>30</v>
      </c>
      <c r="M143" s="7"/>
      <c r="N143" s="7"/>
      <c r="O143" s="6" t="s">
        <v>35</v>
      </c>
      <c r="P143" s="6" t="s">
        <v>36</v>
      </c>
      <c r="Q143" s="6" t="s">
        <v>37</v>
      </c>
      <c r="S143" s="36"/>
    </row>
    <row r="144" spans="1:20" ht="20.25" customHeight="1" x14ac:dyDescent="0.25">
      <c r="A144" s="27" t="s">
        <v>50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</row>
    <row r="145" spans="1:19" ht="16.5" customHeight="1" x14ac:dyDescent="0.25">
      <c r="A145" s="9"/>
      <c r="B145" s="49" t="s">
        <v>51</v>
      </c>
      <c r="C145" s="50"/>
      <c r="D145" s="50"/>
      <c r="E145" s="50"/>
      <c r="F145" s="50"/>
      <c r="G145" s="51"/>
      <c r="H145" s="20"/>
      <c r="I145" s="9">
        <v>1</v>
      </c>
      <c r="J145" s="9"/>
      <c r="K145" s="9"/>
      <c r="L145" s="9"/>
      <c r="M145" s="9">
        <f t="shared" ref="M145:M153" si="14">I145*O145</f>
        <v>7.3</v>
      </c>
      <c r="N145" s="9">
        <f t="shared" ref="N145:N153" si="15">I145*P145</f>
        <v>3</v>
      </c>
      <c r="O145" s="9">
        <v>7.3</v>
      </c>
      <c r="P145" s="9">
        <v>3</v>
      </c>
      <c r="Q145" s="9" t="s">
        <v>6</v>
      </c>
      <c r="R145" s="1">
        <v>0</v>
      </c>
      <c r="S145" s="26"/>
    </row>
    <row r="146" spans="1:19" ht="16.5" customHeight="1" x14ac:dyDescent="0.25">
      <c r="A146" s="9"/>
      <c r="B146" s="49" t="s">
        <v>78</v>
      </c>
      <c r="C146" s="50"/>
      <c r="D146" s="50"/>
      <c r="E146" s="50"/>
      <c r="F146" s="50"/>
      <c r="G146" s="51"/>
      <c r="H146" s="20"/>
      <c r="I146" s="9">
        <v>3</v>
      </c>
      <c r="J146" s="9"/>
      <c r="K146" s="9"/>
      <c r="L146" s="9"/>
      <c r="M146" s="9">
        <f t="shared" si="14"/>
        <v>19.5</v>
      </c>
      <c r="N146" s="9">
        <f t="shared" si="15"/>
        <v>7.5</v>
      </c>
      <c r="O146" s="9">
        <v>6.5</v>
      </c>
      <c r="P146" s="9">
        <v>2.5</v>
      </c>
      <c r="Q146" s="9" t="s">
        <v>5</v>
      </c>
      <c r="R146" s="1">
        <v>0</v>
      </c>
      <c r="S146" s="26"/>
    </row>
    <row r="147" spans="1:19" ht="31.2" customHeight="1" x14ac:dyDescent="0.25">
      <c r="A147" s="9"/>
      <c r="B147" s="49" t="s">
        <v>53</v>
      </c>
      <c r="C147" s="50"/>
      <c r="D147" s="50"/>
      <c r="E147" s="50"/>
      <c r="F147" s="50"/>
      <c r="G147" s="51"/>
      <c r="H147" s="20"/>
      <c r="I147" s="9">
        <v>3</v>
      </c>
      <c r="J147" s="9"/>
      <c r="K147" s="9"/>
      <c r="L147" s="9"/>
      <c r="M147" s="9">
        <f t="shared" si="14"/>
        <v>23.1</v>
      </c>
      <c r="N147" s="9">
        <f t="shared" si="15"/>
        <v>9</v>
      </c>
      <c r="O147" s="9">
        <v>7.7</v>
      </c>
      <c r="P147" s="9">
        <v>3</v>
      </c>
      <c r="Q147" s="9" t="s">
        <v>6</v>
      </c>
      <c r="R147" s="1">
        <v>0</v>
      </c>
      <c r="S147" s="26"/>
    </row>
    <row r="148" spans="1:19" ht="16.5" customHeight="1" x14ac:dyDescent="0.25">
      <c r="A148" s="9"/>
      <c r="B148" s="49" t="s">
        <v>52</v>
      </c>
      <c r="C148" s="50"/>
      <c r="D148" s="50"/>
      <c r="E148" s="50"/>
      <c r="F148" s="50"/>
      <c r="G148" s="51"/>
      <c r="H148" s="20"/>
      <c r="I148" s="9">
        <v>1</v>
      </c>
      <c r="J148" s="9"/>
      <c r="K148" s="9"/>
      <c r="L148" s="9"/>
      <c r="M148" s="9">
        <f t="shared" si="14"/>
        <v>7.4</v>
      </c>
      <c r="N148" s="9">
        <f t="shared" si="15"/>
        <v>3</v>
      </c>
      <c r="O148" s="9">
        <v>7.4</v>
      </c>
      <c r="P148" s="9">
        <v>3</v>
      </c>
      <c r="Q148" s="9" t="s">
        <v>6</v>
      </c>
      <c r="R148" s="1">
        <v>0</v>
      </c>
      <c r="S148" s="26"/>
    </row>
    <row r="149" spans="1:19" ht="16.5" customHeight="1" x14ac:dyDescent="0.25">
      <c r="A149" s="9"/>
      <c r="B149" s="49" t="s">
        <v>55</v>
      </c>
      <c r="C149" s="50"/>
      <c r="D149" s="50"/>
      <c r="E149" s="50"/>
      <c r="F149" s="50"/>
      <c r="G149" s="51"/>
      <c r="H149" s="20"/>
      <c r="I149" s="9">
        <v>1</v>
      </c>
      <c r="J149" s="9"/>
      <c r="K149" s="9"/>
      <c r="L149" s="9"/>
      <c r="M149" s="9">
        <f t="shared" si="14"/>
        <v>7.1</v>
      </c>
      <c r="N149" s="9">
        <f t="shared" si="15"/>
        <v>3</v>
      </c>
      <c r="O149" s="9">
        <v>7.1</v>
      </c>
      <c r="P149" s="9">
        <v>3</v>
      </c>
      <c r="Q149" s="9" t="s">
        <v>6</v>
      </c>
      <c r="R149" s="1">
        <v>0</v>
      </c>
      <c r="S149" s="26"/>
    </row>
    <row r="150" spans="1:19" ht="16.5" customHeight="1" x14ac:dyDescent="0.25">
      <c r="A150" s="9"/>
      <c r="B150" s="49" t="s">
        <v>54</v>
      </c>
      <c r="C150" s="50"/>
      <c r="D150" s="50"/>
      <c r="E150" s="50"/>
      <c r="F150" s="50"/>
      <c r="G150" s="51"/>
      <c r="H150" s="20"/>
      <c r="I150" s="9">
        <v>3</v>
      </c>
      <c r="J150" s="9"/>
      <c r="K150" s="9"/>
      <c r="L150" s="9"/>
      <c r="M150" s="9">
        <f t="shared" si="14"/>
        <v>24.299999999999997</v>
      </c>
      <c r="N150" s="9">
        <f t="shared" si="15"/>
        <v>10.5</v>
      </c>
      <c r="O150" s="9">
        <v>8.1</v>
      </c>
      <c r="P150" s="9">
        <v>3.5</v>
      </c>
      <c r="Q150" s="9" t="s">
        <v>9</v>
      </c>
      <c r="R150" s="1">
        <v>0</v>
      </c>
      <c r="S150" s="26"/>
    </row>
    <row r="151" spans="1:19" ht="16.5" customHeight="1" x14ac:dyDescent="0.25">
      <c r="A151" s="9"/>
      <c r="B151" s="49" t="s">
        <v>56</v>
      </c>
      <c r="C151" s="50"/>
      <c r="D151" s="50"/>
      <c r="E151" s="50"/>
      <c r="F151" s="50"/>
      <c r="G151" s="51"/>
      <c r="H151" s="20"/>
      <c r="I151" s="9">
        <v>2</v>
      </c>
      <c r="J151" s="9"/>
      <c r="K151" s="9"/>
      <c r="L151" s="9"/>
      <c r="M151" s="9">
        <f t="shared" si="14"/>
        <v>14.2</v>
      </c>
      <c r="N151" s="9">
        <f t="shared" si="15"/>
        <v>6</v>
      </c>
      <c r="O151" s="9">
        <v>7.1</v>
      </c>
      <c r="P151" s="9">
        <v>3</v>
      </c>
      <c r="Q151" s="9" t="s">
        <v>6</v>
      </c>
      <c r="R151" s="1">
        <v>0</v>
      </c>
      <c r="S151" s="26"/>
    </row>
    <row r="152" spans="1:19" ht="16.5" hidden="1" customHeight="1" x14ac:dyDescent="0.25">
      <c r="A152" s="21"/>
      <c r="H152" s="21"/>
      <c r="I152" s="21"/>
      <c r="J152" s="21"/>
      <c r="K152" s="21"/>
      <c r="L152" s="21"/>
      <c r="M152" s="9">
        <f t="shared" si="14"/>
        <v>0</v>
      </c>
      <c r="N152" s="9">
        <f t="shared" si="15"/>
        <v>0</v>
      </c>
      <c r="O152" s="21"/>
      <c r="P152" s="21"/>
      <c r="Q152" s="21"/>
      <c r="S152" s="25"/>
    </row>
    <row r="153" spans="1:19" ht="16.5" customHeight="1" x14ac:dyDescent="0.25">
      <c r="A153" s="9"/>
      <c r="B153" s="38" t="s">
        <v>42</v>
      </c>
      <c r="C153" s="39"/>
      <c r="D153" s="39"/>
      <c r="E153" s="39"/>
      <c r="F153" s="39"/>
      <c r="G153" s="40"/>
      <c r="H153" s="23"/>
      <c r="I153" s="24">
        <f>SUM(I145:I152)</f>
        <v>14</v>
      </c>
      <c r="J153" s="9"/>
      <c r="K153" s="9"/>
      <c r="L153" s="9"/>
      <c r="M153" s="9">
        <f t="shared" si="14"/>
        <v>102.89999999999999</v>
      </c>
      <c r="N153" s="9">
        <f t="shared" si="15"/>
        <v>42</v>
      </c>
      <c r="O153" s="24">
        <f>ROUND(SUM(M145:M152)/I153,2)</f>
        <v>7.35</v>
      </c>
      <c r="P153" s="24">
        <f>ROUND(SUM(N145:N152)/I153,2)</f>
        <v>3</v>
      </c>
      <c r="Q153" s="9"/>
      <c r="S153" s="25"/>
    </row>
    <row r="154" spans="1:19" ht="20.25" customHeight="1" x14ac:dyDescent="0.25">
      <c r="A154" s="27" t="s">
        <v>57</v>
      </c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</row>
    <row r="155" spans="1:19" ht="16.5" customHeight="1" x14ac:dyDescent="0.25">
      <c r="A155" s="9"/>
      <c r="B155" s="49" t="s">
        <v>136</v>
      </c>
      <c r="C155" s="50"/>
      <c r="D155" s="50"/>
      <c r="E155" s="50"/>
      <c r="F155" s="50"/>
      <c r="G155" s="51"/>
      <c r="H155" s="20"/>
      <c r="I155" s="9">
        <v>4</v>
      </c>
      <c r="J155" s="9"/>
      <c r="K155" s="9"/>
      <c r="L155" s="9"/>
      <c r="M155" s="9">
        <f t="shared" ref="M155:M163" si="16">I155*O155</f>
        <v>28</v>
      </c>
      <c r="N155" s="9">
        <f t="shared" ref="N155:N163" si="17">I155*P155</f>
        <v>12</v>
      </c>
      <c r="O155" s="9">
        <v>7</v>
      </c>
      <c r="P155" s="9">
        <v>3</v>
      </c>
      <c r="Q155" s="9" t="s">
        <v>6</v>
      </c>
      <c r="R155" s="1">
        <v>0</v>
      </c>
      <c r="S155" s="26"/>
    </row>
    <row r="156" spans="1:19" ht="16.5" customHeight="1" x14ac:dyDescent="0.25">
      <c r="A156" s="9"/>
      <c r="B156" s="49" t="s">
        <v>91</v>
      </c>
      <c r="C156" s="50"/>
      <c r="D156" s="50"/>
      <c r="E156" s="50"/>
      <c r="F156" s="50"/>
      <c r="G156" s="51"/>
      <c r="H156" s="20"/>
      <c r="I156" s="9">
        <v>4</v>
      </c>
      <c r="J156" s="9"/>
      <c r="K156" s="9"/>
      <c r="L156" s="9"/>
      <c r="M156" s="9">
        <f t="shared" si="16"/>
        <v>23.6</v>
      </c>
      <c r="N156" s="9">
        <f t="shared" si="17"/>
        <v>8</v>
      </c>
      <c r="O156" s="9">
        <v>5.9</v>
      </c>
      <c r="P156" s="9">
        <v>2</v>
      </c>
      <c r="Q156" s="9" t="s">
        <v>3</v>
      </c>
      <c r="R156" s="1">
        <v>0</v>
      </c>
      <c r="S156" s="26"/>
    </row>
    <row r="157" spans="1:19" ht="16.5" customHeight="1" x14ac:dyDescent="0.25">
      <c r="A157" s="9"/>
      <c r="B157" s="49" t="s">
        <v>60</v>
      </c>
      <c r="C157" s="50"/>
      <c r="D157" s="50"/>
      <c r="E157" s="50"/>
      <c r="F157" s="50"/>
      <c r="G157" s="51"/>
      <c r="H157" s="20"/>
      <c r="I157" s="9">
        <v>4</v>
      </c>
      <c r="J157" s="9"/>
      <c r="K157" s="9"/>
      <c r="L157" s="9"/>
      <c r="M157" s="9">
        <f t="shared" si="16"/>
        <v>28.4</v>
      </c>
      <c r="N157" s="9">
        <f t="shared" si="17"/>
        <v>12</v>
      </c>
      <c r="O157" s="9">
        <v>7.1</v>
      </c>
      <c r="P157" s="9">
        <v>3</v>
      </c>
      <c r="Q157" s="9" t="s">
        <v>6</v>
      </c>
      <c r="R157" s="1">
        <v>0</v>
      </c>
      <c r="S157" s="26"/>
    </row>
    <row r="158" spans="1:19" ht="16.5" customHeight="1" x14ac:dyDescent="0.25">
      <c r="A158" s="9"/>
      <c r="B158" s="49" t="s">
        <v>59</v>
      </c>
      <c r="C158" s="50"/>
      <c r="D158" s="50"/>
      <c r="E158" s="50"/>
      <c r="F158" s="50"/>
      <c r="G158" s="51"/>
      <c r="H158" s="20"/>
      <c r="I158" s="9">
        <v>1</v>
      </c>
      <c r="J158" s="9"/>
      <c r="K158" s="9"/>
      <c r="L158" s="9"/>
      <c r="M158" s="9">
        <f t="shared" si="16"/>
        <v>7.7</v>
      </c>
      <c r="N158" s="9">
        <f t="shared" si="17"/>
        <v>3</v>
      </c>
      <c r="O158" s="9">
        <v>7.7</v>
      </c>
      <c r="P158" s="9">
        <v>3</v>
      </c>
      <c r="Q158" s="9" t="s">
        <v>6</v>
      </c>
      <c r="R158" s="1">
        <v>0</v>
      </c>
      <c r="S158" s="26"/>
    </row>
    <row r="159" spans="1:19" ht="16.5" customHeight="1" x14ac:dyDescent="0.25">
      <c r="A159" s="9"/>
      <c r="B159" s="49" t="s">
        <v>58</v>
      </c>
      <c r="C159" s="50"/>
      <c r="D159" s="50"/>
      <c r="E159" s="50"/>
      <c r="F159" s="50"/>
      <c r="G159" s="51"/>
      <c r="H159" s="20"/>
      <c r="I159" s="9">
        <v>1</v>
      </c>
      <c r="J159" s="9"/>
      <c r="K159" s="9"/>
      <c r="L159" s="9"/>
      <c r="M159" s="9">
        <f t="shared" si="16"/>
        <v>7.7</v>
      </c>
      <c r="N159" s="9">
        <f t="shared" si="17"/>
        <v>3</v>
      </c>
      <c r="O159" s="9">
        <v>7.7</v>
      </c>
      <c r="P159" s="9">
        <v>3</v>
      </c>
      <c r="Q159" s="9" t="s">
        <v>6</v>
      </c>
      <c r="R159" s="1">
        <v>0</v>
      </c>
      <c r="S159" s="26"/>
    </row>
    <row r="160" spans="1:19" ht="16.5" customHeight="1" x14ac:dyDescent="0.25">
      <c r="A160" s="9"/>
      <c r="B160" s="49" t="s">
        <v>61</v>
      </c>
      <c r="C160" s="50"/>
      <c r="D160" s="50"/>
      <c r="E160" s="50"/>
      <c r="F160" s="50"/>
      <c r="G160" s="51"/>
      <c r="H160" s="20"/>
      <c r="I160" s="9">
        <v>1</v>
      </c>
      <c r="J160" s="9"/>
      <c r="K160" s="9"/>
      <c r="L160" s="9"/>
      <c r="M160" s="9">
        <f t="shared" si="16"/>
        <v>7.6</v>
      </c>
      <c r="N160" s="9">
        <f t="shared" si="17"/>
        <v>3</v>
      </c>
      <c r="O160" s="9">
        <v>7.6</v>
      </c>
      <c r="P160" s="9">
        <v>3</v>
      </c>
      <c r="Q160" s="9" t="s">
        <v>6</v>
      </c>
      <c r="R160" s="1">
        <v>0</v>
      </c>
      <c r="S160" s="26"/>
    </row>
    <row r="161" spans="1:19" ht="16.5" customHeight="1" x14ac:dyDescent="0.25">
      <c r="A161" s="9"/>
      <c r="B161" s="49" t="s">
        <v>62</v>
      </c>
      <c r="C161" s="50"/>
      <c r="D161" s="50"/>
      <c r="E161" s="50"/>
      <c r="F161" s="50"/>
      <c r="G161" s="51"/>
      <c r="H161" s="20"/>
      <c r="I161" s="9">
        <v>1</v>
      </c>
      <c r="J161" s="9"/>
      <c r="K161" s="9"/>
      <c r="L161" s="9"/>
      <c r="M161" s="9">
        <f t="shared" si="16"/>
        <v>7.8</v>
      </c>
      <c r="N161" s="9">
        <f t="shared" si="17"/>
        <v>3</v>
      </c>
      <c r="O161" s="9">
        <v>7.8</v>
      </c>
      <c r="P161" s="9">
        <v>3</v>
      </c>
      <c r="Q161" s="9" t="s">
        <v>6</v>
      </c>
      <c r="R161" s="1">
        <v>0</v>
      </c>
      <c r="S161" s="26"/>
    </row>
    <row r="162" spans="1:19" ht="16.5" hidden="1" customHeight="1" x14ac:dyDescent="0.25">
      <c r="A162" s="21"/>
      <c r="H162" s="21"/>
      <c r="I162" s="21"/>
      <c r="J162" s="21"/>
      <c r="K162" s="21"/>
      <c r="L162" s="21"/>
      <c r="M162" s="9">
        <f t="shared" si="16"/>
        <v>0</v>
      </c>
      <c r="N162" s="9">
        <f t="shared" si="17"/>
        <v>0</v>
      </c>
      <c r="O162" s="21"/>
      <c r="P162" s="21"/>
      <c r="Q162" s="21"/>
      <c r="S162" s="25"/>
    </row>
    <row r="163" spans="1:19" ht="16.5" customHeight="1" x14ac:dyDescent="0.25">
      <c r="A163" s="9"/>
      <c r="B163" s="38" t="s">
        <v>42</v>
      </c>
      <c r="C163" s="39"/>
      <c r="D163" s="39"/>
      <c r="E163" s="39"/>
      <c r="F163" s="39"/>
      <c r="G163" s="40"/>
      <c r="H163" s="23"/>
      <c r="I163" s="24">
        <f>SUM(I155:I162)</f>
        <v>16</v>
      </c>
      <c r="J163" s="9"/>
      <c r="K163" s="9"/>
      <c r="L163" s="9"/>
      <c r="M163" s="9">
        <f t="shared" si="16"/>
        <v>110.88</v>
      </c>
      <c r="N163" s="9">
        <f t="shared" si="17"/>
        <v>44</v>
      </c>
      <c r="O163" s="24">
        <f>ROUND(SUM(M155:M162)/I163,2)</f>
        <v>6.93</v>
      </c>
      <c r="P163" s="24">
        <f>ROUND(SUM(N155:N162)/I163,2)</f>
        <v>2.75</v>
      </c>
      <c r="Q163" s="9"/>
      <c r="S163" s="25"/>
    </row>
    <row r="164" spans="1:19" ht="20.25" customHeight="1" x14ac:dyDescent="0.25">
      <c r="A164" s="27" t="s">
        <v>67</v>
      </c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</row>
    <row r="165" spans="1:19" ht="16.5" customHeight="1" x14ac:dyDescent="0.25">
      <c r="A165" s="9"/>
      <c r="B165" s="49" t="s">
        <v>73</v>
      </c>
      <c r="C165" s="50"/>
      <c r="D165" s="50"/>
      <c r="E165" s="50"/>
      <c r="F165" s="50"/>
      <c r="G165" s="51"/>
      <c r="H165" s="20"/>
      <c r="I165" s="9">
        <v>4</v>
      </c>
      <c r="J165" s="9"/>
      <c r="K165" s="9"/>
      <c r="L165" s="9"/>
      <c r="M165" s="9">
        <f t="shared" ref="M165:M175" si="18">I165*O165</f>
        <v>28</v>
      </c>
      <c r="N165" s="9">
        <f t="shared" ref="N165:N175" si="19">I165*P165</f>
        <v>12</v>
      </c>
      <c r="O165" s="9">
        <v>7</v>
      </c>
      <c r="P165" s="9">
        <v>3</v>
      </c>
      <c r="Q165" s="9" t="s">
        <v>6</v>
      </c>
      <c r="R165" s="1">
        <v>0</v>
      </c>
      <c r="S165" s="26"/>
    </row>
    <row r="166" spans="1:19" ht="16.5" customHeight="1" x14ac:dyDescent="0.25">
      <c r="A166" s="9"/>
      <c r="B166" s="49" t="s">
        <v>80</v>
      </c>
      <c r="C166" s="50"/>
      <c r="D166" s="50"/>
      <c r="E166" s="50"/>
      <c r="F166" s="50"/>
      <c r="G166" s="51"/>
      <c r="H166" s="20"/>
      <c r="I166" s="9">
        <v>4</v>
      </c>
      <c r="J166" s="9"/>
      <c r="K166" s="9"/>
      <c r="L166" s="9"/>
      <c r="M166" s="9">
        <f t="shared" si="18"/>
        <v>27.6</v>
      </c>
      <c r="N166" s="9">
        <f t="shared" si="19"/>
        <v>10</v>
      </c>
      <c r="O166" s="9">
        <v>6.9</v>
      </c>
      <c r="P166" s="9">
        <v>2.5</v>
      </c>
      <c r="Q166" s="9" t="s">
        <v>5</v>
      </c>
      <c r="R166" s="1">
        <v>0</v>
      </c>
      <c r="S166" s="26"/>
    </row>
    <row r="167" spans="1:19" ht="16.5" customHeight="1" x14ac:dyDescent="0.25">
      <c r="A167" s="9"/>
      <c r="B167" s="49" t="s">
        <v>71</v>
      </c>
      <c r="C167" s="50"/>
      <c r="D167" s="50"/>
      <c r="E167" s="50"/>
      <c r="F167" s="50"/>
      <c r="G167" s="51"/>
      <c r="H167" s="20"/>
      <c r="I167" s="9">
        <v>1</v>
      </c>
      <c r="J167" s="9"/>
      <c r="K167" s="9"/>
      <c r="L167" s="9"/>
      <c r="M167" s="9">
        <f t="shared" si="18"/>
        <v>7.5</v>
      </c>
      <c r="N167" s="9">
        <f t="shared" si="19"/>
        <v>3</v>
      </c>
      <c r="O167" s="9">
        <v>7.5</v>
      </c>
      <c r="P167" s="9">
        <v>3</v>
      </c>
      <c r="Q167" s="9" t="s">
        <v>6</v>
      </c>
      <c r="R167" s="1">
        <v>0</v>
      </c>
      <c r="S167" s="26"/>
    </row>
    <row r="168" spans="1:19" ht="16.5" customHeight="1" x14ac:dyDescent="0.25">
      <c r="A168" s="9"/>
      <c r="B168" s="49" t="s">
        <v>70</v>
      </c>
      <c r="C168" s="50"/>
      <c r="D168" s="50"/>
      <c r="E168" s="50"/>
      <c r="F168" s="50"/>
      <c r="G168" s="51"/>
      <c r="H168" s="20"/>
      <c r="I168" s="9">
        <v>2</v>
      </c>
      <c r="J168" s="9"/>
      <c r="K168" s="9"/>
      <c r="L168" s="9"/>
      <c r="M168" s="9">
        <f t="shared" si="18"/>
        <v>15.2</v>
      </c>
      <c r="N168" s="9">
        <f t="shared" si="19"/>
        <v>6</v>
      </c>
      <c r="O168" s="9">
        <v>7.6</v>
      </c>
      <c r="P168" s="9">
        <v>3</v>
      </c>
      <c r="Q168" s="9" t="s">
        <v>6</v>
      </c>
      <c r="R168" s="1">
        <v>0</v>
      </c>
      <c r="S168" s="26"/>
    </row>
    <row r="169" spans="1:19" ht="16.5" customHeight="1" x14ac:dyDescent="0.25">
      <c r="A169" s="9"/>
      <c r="B169" s="49" t="s">
        <v>77</v>
      </c>
      <c r="C169" s="50"/>
      <c r="D169" s="50"/>
      <c r="E169" s="50"/>
      <c r="F169" s="50"/>
      <c r="G169" s="51"/>
      <c r="H169" s="20"/>
      <c r="I169" s="9">
        <v>1</v>
      </c>
      <c r="J169" s="9"/>
      <c r="K169" s="9"/>
      <c r="L169" s="9"/>
      <c r="M169" s="9">
        <f t="shared" si="18"/>
        <v>6.4</v>
      </c>
      <c r="N169" s="9">
        <f t="shared" si="19"/>
        <v>2</v>
      </c>
      <c r="O169" s="9">
        <v>6.4</v>
      </c>
      <c r="P169" s="9">
        <v>2</v>
      </c>
      <c r="Q169" s="9" t="s">
        <v>3</v>
      </c>
      <c r="R169" s="1">
        <v>0</v>
      </c>
      <c r="S169" s="26"/>
    </row>
    <row r="170" spans="1:19" ht="16.5" customHeight="1" x14ac:dyDescent="0.25">
      <c r="A170" s="9"/>
      <c r="B170" s="49" t="s">
        <v>72</v>
      </c>
      <c r="C170" s="50"/>
      <c r="D170" s="50"/>
      <c r="E170" s="50"/>
      <c r="F170" s="50"/>
      <c r="G170" s="51"/>
      <c r="H170" s="20"/>
      <c r="I170" s="9">
        <v>4</v>
      </c>
      <c r="J170" s="9"/>
      <c r="K170" s="9"/>
      <c r="L170" s="9"/>
      <c r="M170" s="9">
        <f t="shared" si="18"/>
        <v>24.4</v>
      </c>
      <c r="N170" s="9">
        <f t="shared" si="19"/>
        <v>8</v>
      </c>
      <c r="O170" s="9">
        <v>6.1</v>
      </c>
      <c r="P170" s="9">
        <v>2</v>
      </c>
      <c r="Q170" s="9" t="s">
        <v>3</v>
      </c>
      <c r="R170" s="1">
        <v>0</v>
      </c>
      <c r="S170" s="26"/>
    </row>
    <row r="171" spans="1:19" ht="16.5" customHeight="1" x14ac:dyDescent="0.25">
      <c r="A171" s="9"/>
      <c r="B171" s="49" t="s">
        <v>74</v>
      </c>
      <c r="C171" s="50"/>
      <c r="D171" s="50"/>
      <c r="E171" s="50"/>
      <c r="F171" s="50"/>
      <c r="G171" s="51"/>
      <c r="H171" s="20"/>
      <c r="I171" s="9">
        <v>3</v>
      </c>
      <c r="J171" s="9"/>
      <c r="K171" s="9"/>
      <c r="L171" s="9"/>
      <c r="M171" s="9">
        <f t="shared" si="18"/>
        <v>19.5</v>
      </c>
      <c r="N171" s="9">
        <f t="shared" si="19"/>
        <v>7.5</v>
      </c>
      <c r="O171" s="9">
        <v>6.5</v>
      </c>
      <c r="P171" s="9">
        <v>2.5</v>
      </c>
      <c r="Q171" s="9" t="s">
        <v>5</v>
      </c>
      <c r="R171" s="1">
        <v>0</v>
      </c>
      <c r="S171" s="26"/>
    </row>
    <row r="172" spans="1:19" ht="16.5" customHeight="1" x14ac:dyDescent="0.25">
      <c r="A172" s="9"/>
      <c r="B172" s="49" t="s">
        <v>76</v>
      </c>
      <c r="C172" s="50"/>
      <c r="D172" s="50"/>
      <c r="E172" s="50"/>
      <c r="F172" s="50"/>
      <c r="G172" s="51"/>
      <c r="H172" s="20"/>
      <c r="I172" s="9">
        <v>4</v>
      </c>
      <c r="J172" s="9"/>
      <c r="K172" s="9"/>
      <c r="L172" s="9"/>
      <c r="M172" s="9">
        <f t="shared" si="18"/>
        <v>22.4</v>
      </c>
      <c r="N172" s="9">
        <f t="shared" si="19"/>
        <v>8</v>
      </c>
      <c r="O172" s="9">
        <v>5.6</v>
      </c>
      <c r="P172" s="9">
        <v>2</v>
      </c>
      <c r="Q172" s="9" t="s">
        <v>3</v>
      </c>
      <c r="R172" s="1">
        <v>0</v>
      </c>
      <c r="S172" s="26"/>
    </row>
    <row r="173" spans="1:19" ht="16.5" customHeight="1" x14ac:dyDescent="0.25">
      <c r="A173" s="9"/>
      <c r="B173" s="49" t="s">
        <v>68</v>
      </c>
      <c r="C173" s="50"/>
      <c r="D173" s="50"/>
      <c r="E173" s="50"/>
      <c r="F173" s="50"/>
      <c r="G173" s="51"/>
      <c r="H173" s="20"/>
      <c r="I173" s="9">
        <v>3</v>
      </c>
      <c r="J173" s="9"/>
      <c r="K173" s="9"/>
      <c r="L173" s="9"/>
      <c r="M173" s="9">
        <f t="shared" si="18"/>
        <v>22.200000000000003</v>
      </c>
      <c r="N173" s="9">
        <f t="shared" si="19"/>
        <v>9</v>
      </c>
      <c r="O173" s="9">
        <v>7.4</v>
      </c>
      <c r="P173" s="9">
        <v>3</v>
      </c>
      <c r="Q173" s="9" t="s">
        <v>6</v>
      </c>
      <c r="R173" s="1">
        <v>0</v>
      </c>
      <c r="S173" s="26"/>
    </row>
    <row r="174" spans="1:19" ht="16.5" hidden="1" customHeight="1" x14ac:dyDescent="0.25">
      <c r="A174" s="21"/>
      <c r="H174" s="21"/>
      <c r="I174" s="21"/>
      <c r="J174" s="21"/>
      <c r="K174" s="21"/>
      <c r="L174" s="21"/>
      <c r="M174" s="9">
        <f t="shared" si="18"/>
        <v>0</v>
      </c>
      <c r="N174" s="9">
        <f t="shared" si="19"/>
        <v>0</v>
      </c>
      <c r="O174" s="21"/>
      <c r="P174" s="21"/>
      <c r="Q174" s="21"/>
      <c r="S174" s="25"/>
    </row>
    <row r="175" spans="1:19" ht="16.5" customHeight="1" x14ac:dyDescent="0.25">
      <c r="A175" s="9"/>
      <c r="B175" s="38" t="s">
        <v>42</v>
      </c>
      <c r="C175" s="39"/>
      <c r="D175" s="39"/>
      <c r="E175" s="39"/>
      <c r="F175" s="39"/>
      <c r="G175" s="40"/>
      <c r="H175" s="23"/>
      <c r="I175" s="24">
        <f>SUM(I165:I174)</f>
        <v>26</v>
      </c>
      <c r="J175" s="9"/>
      <c r="K175" s="9"/>
      <c r="L175" s="9"/>
      <c r="M175" s="9">
        <f t="shared" si="18"/>
        <v>173.16</v>
      </c>
      <c r="N175" s="9">
        <f t="shared" si="19"/>
        <v>65.52</v>
      </c>
      <c r="O175" s="24">
        <f>ROUND(SUM(M165:M174)/I175,2)</f>
        <v>6.66</v>
      </c>
      <c r="P175" s="24">
        <f>ROUND(SUM(N165:N174)/I175,2)</f>
        <v>2.52</v>
      </c>
      <c r="Q175" s="9"/>
      <c r="S175" s="25"/>
    </row>
    <row r="176" spans="1:19" ht="20.25" customHeight="1" x14ac:dyDescent="0.25">
      <c r="A176" s="27" t="s">
        <v>82</v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</row>
    <row r="177" spans="1:19" ht="16.5" customHeight="1" x14ac:dyDescent="0.25">
      <c r="A177" s="9"/>
      <c r="B177" s="49" t="s">
        <v>86</v>
      </c>
      <c r="C177" s="50"/>
      <c r="D177" s="50"/>
      <c r="E177" s="50"/>
      <c r="F177" s="50"/>
      <c r="G177" s="51"/>
      <c r="H177" s="20"/>
      <c r="I177" s="9">
        <v>3</v>
      </c>
      <c r="J177" s="9"/>
      <c r="K177" s="9"/>
      <c r="L177" s="9"/>
      <c r="M177" s="9">
        <f>I177*O177</f>
        <v>18</v>
      </c>
      <c r="N177" s="9">
        <f>I177*P177</f>
        <v>6</v>
      </c>
      <c r="O177" s="9">
        <v>6</v>
      </c>
      <c r="P177" s="9">
        <v>2</v>
      </c>
      <c r="Q177" s="9" t="s">
        <v>3</v>
      </c>
      <c r="R177" s="1">
        <v>0</v>
      </c>
      <c r="S177" s="26"/>
    </row>
    <row r="178" spans="1:19" ht="16.5" customHeight="1" x14ac:dyDescent="0.25">
      <c r="A178" s="9"/>
      <c r="B178" s="49" t="s">
        <v>83</v>
      </c>
      <c r="C178" s="50"/>
      <c r="D178" s="50"/>
      <c r="E178" s="50"/>
      <c r="F178" s="50"/>
      <c r="G178" s="51"/>
      <c r="H178" s="20"/>
      <c r="I178" s="9">
        <v>1</v>
      </c>
      <c r="J178" s="9"/>
      <c r="K178" s="9"/>
      <c r="L178" s="9"/>
      <c r="M178" s="9">
        <f>I178*O178</f>
        <v>8.5</v>
      </c>
      <c r="N178" s="9">
        <f>I178*P178</f>
        <v>3.7</v>
      </c>
      <c r="O178" s="9">
        <v>8.5</v>
      </c>
      <c r="P178" s="9">
        <v>3.7</v>
      </c>
      <c r="Q178" s="9" t="s">
        <v>10</v>
      </c>
      <c r="R178" s="1">
        <v>0</v>
      </c>
      <c r="S178" s="26"/>
    </row>
    <row r="179" spans="1:19" ht="16.5" customHeight="1" x14ac:dyDescent="0.25">
      <c r="A179" s="9"/>
      <c r="B179" s="49" t="s">
        <v>75</v>
      </c>
      <c r="C179" s="50"/>
      <c r="D179" s="50"/>
      <c r="E179" s="50"/>
      <c r="F179" s="50"/>
      <c r="G179" s="51"/>
      <c r="H179" s="20"/>
      <c r="I179" s="9">
        <v>3</v>
      </c>
      <c r="J179" s="9"/>
      <c r="K179" s="9"/>
      <c r="L179" s="9"/>
      <c r="M179" s="9">
        <f>I179*O179</f>
        <v>21</v>
      </c>
      <c r="N179" s="9">
        <f>I179*P179</f>
        <v>9</v>
      </c>
      <c r="O179" s="9">
        <v>7</v>
      </c>
      <c r="P179" s="9">
        <v>3</v>
      </c>
      <c r="Q179" s="9" t="s">
        <v>6</v>
      </c>
      <c r="R179" s="1">
        <v>0</v>
      </c>
      <c r="S179" s="26"/>
    </row>
    <row r="180" spans="1:19" ht="16.5" customHeight="1" x14ac:dyDescent="0.25">
      <c r="A180" s="9"/>
      <c r="B180" s="49" t="s">
        <v>93</v>
      </c>
      <c r="C180" s="50"/>
      <c r="D180" s="50"/>
      <c r="E180" s="50"/>
      <c r="F180" s="50"/>
      <c r="G180" s="51"/>
      <c r="H180" s="20"/>
      <c r="I180" s="9">
        <v>2</v>
      </c>
      <c r="J180" s="9"/>
      <c r="K180" s="9"/>
      <c r="L180" s="9"/>
      <c r="M180" s="9">
        <f>I180*O180</f>
        <v>15.2</v>
      </c>
      <c r="N180" s="9">
        <f>I180*P180</f>
        <v>6</v>
      </c>
      <c r="O180" s="9">
        <v>7.6</v>
      </c>
      <c r="P180" s="9">
        <v>3</v>
      </c>
      <c r="Q180" s="9" t="s">
        <v>6</v>
      </c>
      <c r="R180" s="1">
        <v>0</v>
      </c>
      <c r="S180" s="26"/>
    </row>
    <row r="181" spans="1:19" ht="16.5" customHeight="1" x14ac:dyDescent="0.25">
      <c r="A181" s="9"/>
      <c r="B181" s="49" t="s">
        <v>90</v>
      </c>
      <c r="C181" s="50"/>
      <c r="D181" s="50"/>
      <c r="E181" s="50"/>
      <c r="F181" s="50"/>
      <c r="G181" s="51"/>
      <c r="H181" s="20"/>
      <c r="I181" s="9">
        <v>2</v>
      </c>
      <c r="J181" s="9"/>
      <c r="K181" s="9"/>
      <c r="L181" s="9"/>
      <c r="M181" s="9">
        <f>I181*O181</f>
        <v>13.2</v>
      </c>
      <c r="N181" s="9">
        <f>I181*P181</f>
        <v>5</v>
      </c>
      <c r="O181" s="9">
        <v>6.6</v>
      </c>
      <c r="P181" s="9">
        <v>2.5</v>
      </c>
      <c r="Q181" s="9" t="s">
        <v>5</v>
      </c>
      <c r="R181" s="1">
        <v>0</v>
      </c>
      <c r="S181" s="26"/>
    </row>
    <row r="182" spans="1:19" ht="15" customHeight="1" x14ac:dyDescent="0.25">
      <c r="A182" s="35" t="s">
        <v>0</v>
      </c>
      <c r="B182" s="29" t="s">
        <v>1</v>
      </c>
      <c r="C182" s="30"/>
      <c r="D182" s="30"/>
      <c r="E182" s="30"/>
      <c r="F182" s="30"/>
      <c r="G182" s="31"/>
      <c r="H182" s="35" t="s">
        <v>32</v>
      </c>
      <c r="I182" s="35" t="s">
        <v>39</v>
      </c>
      <c r="J182" s="53" t="s">
        <v>2</v>
      </c>
      <c r="K182" s="54"/>
      <c r="L182" s="54"/>
      <c r="M182" s="54"/>
      <c r="N182" s="54"/>
      <c r="O182" s="54"/>
      <c r="P182" s="54"/>
      <c r="Q182" s="55"/>
      <c r="S182" s="35" t="s">
        <v>38</v>
      </c>
    </row>
    <row r="183" spans="1:19" ht="24" customHeight="1" x14ac:dyDescent="0.25">
      <c r="A183" s="36"/>
      <c r="B183" s="32"/>
      <c r="C183" s="33"/>
      <c r="D183" s="33"/>
      <c r="E183" s="33"/>
      <c r="F183" s="33"/>
      <c r="G183" s="34"/>
      <c r="H183" s="36"/>
      <c r="I183" s="36"/>
      <c r="J183" s="7" t="s">
        <v>28</v>
      </c>
      <c r="K183" s="7" t="s">
        <v>29</v>
      </c>
      <c r="L183" s="7" t="s">
        <v>30</v>
      </c>
      <c r="M183" s="7"/>
      <c r="N183" s="7"/>
      <c r="O183" s="6" t="s">
        <v>35</v>
      </c>
      <c r="P183" s="6" t="s">
        <v>36</v>
      </c>
      <c r="Q183" s="6" t="s">
        <v>37</v>
      </c>
      <c r="S183" s="36"/>
    </row>
    <row r="184" spans="1:19" ht="16.5" customHeight="1" x14ac:dyDescent="0.25">
      <c r="A184" s="9"/>
      <c r="B184" s="49" t="s">
        <v>95</v>
      </c>
      <c r="C184" s="50"/>
      <c r="D184" s="50"/>
      <c r="E184" s="50"/>
      <c r="F184" s="50"/>
      <c r="G184" s="51"/>
      <c r="H184" s="20"/>
      <c r="I184" s="9">
        <v>1</v>
      </c>
      <c r="J184" s="9"/>
      <c r="K184" s="9"/>
      <c r="L184" s="9"/>
      <c r="M184" s="9">
        <f t="shared" ref="M184:M190" si="20">I184*O184</f>
        <v>8</v>
      </c>
      <c r="N184" s="9">
        <f t="shared" ref="N184:N190" si="21">I184*P184</f>
        <v>3.5</v>
      </c>
      <c r="O184" s="9">
        <v>8</v>
      </c>
      <c r="P184" s="9">
        <v>3.5</v>
      </c>
      <c r="Q184" s="9" t="s">
        <v>9</v>
      </c>
      <c r="R184" s="1">
        <v>0</v>
      </c>
      <c r="S184" s="26"/>
    </row>
    <row r="185" spans="1:19" ht="16.5" customHeight="1" x14ac:dyDescent="0.25">
      <c r="A185" s="9"/>
      <c r="B185" s="49" t="s">
        <v>88</v>
      </c>
      <c r="C185" s="50"/>
      <c r="D185" s="50"/>
      <c r="E185" s="50"/>
      <c r="F185" s="50"/>
      <c r="G185" s="51"/>
      <c r="H185" s="20"/>
      <c r="I185" s="9">
        <v>2</v>
      </c>
      <c r="J185" s="9"/>
      <c r="K185" s="9"/>
      <c r="L185" s="9"/>
      <c r="M185" s="9">
        <f t="shared" si="20"/>
        <v>15.4</v>
      </c>
      <c r="N185" s="9">
        <f t="shared" si="21"/>
        <v>6</v>
      </c>
      <c r="O185" s="9">
        <v>7.7</v>
      </c>
      <c r="P185" s="9">
        <v>3</v>
      </c>
      <c r="Q185" s="9" t="s">
        <v>6</v>
      </c>
      <c r="R185" s="1">
        <v>0</v>
      </c>
      <c r="S185" s="26"/>
    </row>
    <row r="186" spans="1:19" ht="16.5" customHeight="1" x14ac:dyDescent="0.25">
      <c r="A186" s="9"/>
      <c r="B186" s="49" t="s">
        <v>89</v>
      </c>
      <c r="C186" s="50"/>
      <c r="D186" s="50"/>
      <c r="E186" s="50"/>
      <c r="F186" s="50"/>
      <c r="G186" s="51"/>
      <c r="H186" s="20"/>
      <c r="I186" s="9">
        <v>2</v>
      </c>
      <c r="J186" s="9"/>
      <c r="K186" s="9"/>
      <c r="L186" s="9"/>
      <c r="M186" s="9">
        <f t="shared" si="20"/>
        <v>15.2</v>
      </c>
      <c r="N186" s="9">
        <f t="shared" si="21"/>
        <v>6</v>
      </c>
      <c r="O186" s="9">
        <v>7.6</v>
      </c>
      <c r="P186" s="9">
        <v>3</v>
      </c>
      <c r="Q186" s="9" t="s">
        <v>6</v>
      </c>
      <c r="R186" s="1">
        <v>0</v>
      </c>
      <c r="S186" s="26"/>
    </row>
    <row r="187" spans="1:19" ht="16.5" customHeight="1" x14ac:dyDescent="0.25">
      <c r="A187" s="9"/>
      <c r="B187" s="49" t="s">
        <v>92</v>
      </c>
      <c r="C187" s="50"/>
      <c r="D187" s="50"/>
      <c r="E187" s="50"/>
      <c r="F187" s="50"/>
      <c r="G187" s="51"/>
      <c r="H187" s="20"/>
      <c r="I187" s="9">
        <v>4</v>
      </c>
      <c r="J187" s="9"/>
      <c r="K187" s="9"/>
      <c r="L187" s="9"/>
      <c r="M187" s="9">
        <f t="shared" si="20"/>
        <v>28</v>
      </c>
      <c r="N187" s="9">
        <f t="shared" si="21"/>
        <v>12</v>
      </c>
      <c r="O187" s="9">
        <v>7</v>
      </c>
      <c r="P187" s="9">
        <v>3</v>
      </c>
      <c r="Q187" s="9" t="s">
        <v>6</v>
      </c>
      <c r="R187" s="1">
        <v>0</v>
      </c>
      <c r="S187" s="26"/>
    </row>
    <row r="188" spans="1:19" ht="16.5" customHeight="1" x14ac:dyDescent="0.25">
      <c r="A188" s="9"/>
      <c r="B188" s="49" t="s">
        <v>84</v>
      </c>
      <c r="C188" s="50"/>
      <c r="D188" s="50"/>
      <c r="E188" s="50"/>
      <c r="F188" s="50"/>
      <c r="G188" s="51"/>
      <c r="H188" s="20"/>
      <c r="I188" s="9">
        <v>3</v>
      </c>
      <c r="J188" s="9"/>
      <c r="K188" s="9"/>
      <c r="L188" s="9"/>
      <c r="M188" s="9">
        <f t="shared" si="20"/>
        <v>25.5</v>
      </c>
      <c r="N188" s="9">
        <f t="shared" si="21"/>
        <v>11.100000000000001</v>
      </c>
      <c r="O188" s="9">
        <v>8.5</v>
      </c>
      <c r="P188" s="9">
        <v>3.7</v>
      </c>
      <c r="Q188" s="9" t="s">
        <v>10</v>
      </c>
      <c r="R188" s="1">
        <v>0</v>
      </c>
      <c r="S188" s="26"/>
    </row>
    <row r="189" spans="1:19" ht="16.5" hidden="1" customHeight="1" x14ac:dyDescent="0.25">
      <c r="A189" s="21"/>
      <c r="H189" s="21"/>
      <c r="I189" s="21"/>
      <c r="J189" s="21"/>
      <c r="K189" s="21"/>
      <c r="L189" s="21"/>
      <c r="M189" s="9">
        <f t="shared" si="20"/>
        <v>0</v>
      </c>
      <c r="N189" s="9">
        <f t="shared" si="21"/>
        <v>0</v>
      </c>
      <c r="O189" s="21"/>
      <c r="P189" s="21"/>
      <c r="Q189" s="21"/>
      <c r="S189" s="25"/>
    </row>
    <row r="190" spans="1:19" ht="16.5" customHeight="1" x14ac:dyDescent="0.25">
      <c r="A190" s="9"/>
      <c r="B190" s="38" t="s">
        <v>42</v>
      </c>
      <c r="C190" s="39"/>
      <c r="D190" s="39"/>
      <c r="E190" s="39"/>
      <c r="F190" s="39"/>
      <c r="G190" s="40"/>
      <c r="H190" s="23"/>
      <c r="I190" s="24">
        <f>SUM(I177:I189)</f>
        <v>23</v>
      </c>
      <c r="J190" s="9"/>
      <c r="K190" s="9"/>
      <c r="L190" s="9"/>
      <c r="M190" s="9">
        <f t="shared" si="20"/>
        <v>167.9</v>
      </c>
      <c r="N190" s="9">
        <f t="shared" si="21"/>
        <v>68.31</v>
      </c>
      <c r="O190" s="24">
        <f>ROUND(SUM(M177:M189)/I190,2)</f>
        <v>7.3</v>
      </c>
      <c r="P190" s="24">
        <f>ROUND(SUM(N177:N189)/I190,2)</f>
        <v>2.97</v>
      </c>
      <c r="Q190" s="9"/>
      <c r="S190" s="25"/>
    </row>
    <row r="191" spans="1:19" ht="20.25" customHeight="1" x14ac:dyDescent="0.25">
      <c r="A191" s="27" t="s">
        <v>96</v>
      </c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</row>
    <row r="192" spans="1:19" ht="16.5" customHeight="1" x14ac:dyDescent="0.25">
      <c r="A192" s="9"/>
      <c r="B192" s="49" t="s">
        <v>97</v>
      </c>
      <c r="C192" s="50"/>
      <c r="D192" s="50"/>
      <c r="E192" s="50"/>
      <c r="F192" s="50"/>
      <c r="G192" s="51"/>
      <c r="H192" s="20"/>
      <c r="I192" s="9">
        <v>2</v>
      </c>
      <c r="J192" s="9"/>
      <c r="K192" s="9"/>
      <c r="L192" s="9"/>
      <c r="M192" s="9">
        <f t="shared" ref="M192:M204" si="22">I192*O192</f>
        <v>15.2</v>
      </c>
      <c r="N192" s="9">
        <f t="shared" ref="N192:N204" si="23">I192*P192</f>
        <v>6</v>
      </c>
      <c r="O192" s="9">
        <v>7.6</v>
      </c>
      <c r="P192" s="9">
        <v>3</v>
      </c>
      <c r="Q192" s="9" t="s">
        <v>6</v>
      </c>
      <c r="R192" s="1">
        <v>0</v>
      </c>
      <c r="S192" s="26"/>
    </row>
    <row r="193" spans="1:19" ht="16.5" customHeight="1" x14ac:dyDescent="0.25">
      <c r="A193" s="9"/>
      <c r="B193" s="49" t="s">
        <v>104</v>
      </c>
      <c r="C193" s="50"/>
      <c r="D193" s="50"/>
      <c r="E193" s="50"/>
      <c r="F193" s="50"/>
      <c r="G193" s="51"/>
      <c r="H193" s="20"/>
      <c r="I193" s="9">
        <v>3</v>
      </c>
      <c r="J193" s="9"/>
      <c r="K193" s="9"/>
      <c r="L193" s="9"/>
      <c r="M193" s="9">
        <f t="shared" si="22"/>
        <v>20.399999999999999</v>
      </c>
      <c r="N193" s="9">
        <f t="shared" si="23"/>
        <v>7.5</v>
      </c>
      <c r="O193" s="9">
        <v>6.8</v>
      </c>
      <c r="P193" s="9">
        <v>2.5</v>
      </c>
      <c r="Q193" s="9" t="s">
        <v>5</v>
      </c>
      <c r="R193" s="1">
        <v>0</v>
      </c>
      <c r="S193" s="26"/>
    </row>
    <row r="194" spans="1:19" ht="16.5" customHeight="1" x14ac:dyDescent="0.25">
      <c r="A194" s="9"/>
      <c r="B194" s="49" t="s">
        <v>98</v>
      </c>
      <c r="C194" s="50"/>
      <c r="D194" s="50"/>
      <c r="E194" s="50"/>
      <c r="F194" s="50"/>
      <c r="G194" s="51"/>
      <c r="H194" s="20"/>
      <c r="I194" s="9">
        <v>3</v>
      </c>
      <c r="J194" s="9"/>
      <c r="K194" s="9"/>
      <c r="L194" s="9"/>
      <c r="M194" s="9">
        <f t="shared" si="22"/>
        <v>26.400000000000002</v>
      </c>
      <c r="N194" s="9">
        <f t="shared" si="23"/>
        <v>11.100000000000001</v>
      </c>
      <c r="O194" s="9">
        <v>8.8000000000000007</v>
      </c>
      <c r="P194" s="9">
        <v>3.7</v>
      </c>
      <c r="Q194" s="9" t="s">
        <v>10</v>
      </c>
      <c r="R194" s="1">
        <v>0</v>
      </c>
      <c r="S194" s="26"/>
    </row>
    <row r="195" spans="1:19" ht="16.5" customHeight="1" x14ac:dyDescent="0.25">
      <c r="A195" s="9"/>
      <c r="B195" s="49" t="s">
        <v>79</v>
      </c>
      <c r="C195" s="50"/>
      <c r="D195" s="50"/>
      <c r="E195" s="50"/>
      <c r="F195" s="50"/>
      <c r="G195" s="51"/>
      <c r="H195" s="20"/>
      <c r="I195" s="9">
        <v>2</v>
      </c>
      <c r="J195" s="9"/>
      <c r="K195" s="9"/>
      <c r="L195" s="9"/>
      <c r="M195" s="9">
        <f t="shared" si="22"/>
        <v>15.4</v>
      </c>
      <c r="N195" s="9">
        <f t="shared" si="23"/>
        <v>6</v>
      </c>
      <c r="O195" s="9">
        <v>7.7</v>
      </c>
      <c r="P195" s="9">
        <v>3</v>
      </c>
      <c r="Q195" s="9" t="s">
        <v>6</v>
      </c>
      <c r="R195" s="1">
        <v>0</v>
      </c>
      <c r="S195" s="26"/>
    </row>
    <row r="196" spans="1:19" ht="16.5" customHeight="1" x14ac:dyDescent="0.25">
      <c r="A196" s="9"/>
      <c r="B196" s="49" t="s">
        <v>69</v>
      </c>
      <c r="C196" s="50"/>
      <c r="D196" s="50"/>
      <c r="E196" s="50"/>
      <c r="F196" s="50"/>
      <c r="G196" s="51"/>
      <c r="H196" s="20"/>
      <c r="I196" s="9">
        <v>1</v>
      </c>
      <c r="J196" s="9"/>
      <c r="K196" s="9"/>
      <c r="L196" s="9"/>
      <c r="M196" s="9">
        <f t="shared" si="22"/>
        <v>7.1</v>
      </c>
      <c r="N196" s="9">
        <f t="shared" si="23"/>
        <v>3</v>
      </c>
      <c r="O196" s="9">
        <v>7.1</v>
      </c>
      <c r="P196" s="9">
        <v>3</v>
      </c>
      <c r="Q196" s="9" t="s">
        <v>6</v>
      </c>
      <c r="R196" s="1">
        <v>0</v>
      </c>
      <c r="S196" s="26"/>
    </row>
    <row r="197" spans="1:19" ht="16.5" customHeight="1" x14ac:dyDescent="0.25">
      <c r="A197" s="9"/>
      <c r="B197" s="49" t="s">
        <v>102</v>
      </c>
      <c r="C197" s="50"/>
      <c r="D197" s="50"/>
      <c r="E197" s="50"/>
      <c r="F197" s="50"/>
      <c r="G197" s="51"/>
      <c r="H197" s="20"/>
      <c r="I197" s="9">
        <v>2</v>
      </c>
      <c r="J197" s="9"/>
      <c r="K197" s="9"/>
      <c r="L197" s="9"/>
      <c r="M197" s="9">
        <f t="shared" si="22"/>
        <v>14</v>
      </c>
      <c r="N197" s="9">
        <f t="shared" si="23"/>
        <v>6</v>
      </c>
      <c r="O197" s="9">
        <v>7</v>
      </c>
      <c r="P197" s="9">
        <v>3</v>
      </c>
      <c r="Q197" s="9" t="s">
        <v>6</v>
      </c>
      <c r="R197" s="1">
        <v>0</v>
      </c>
      <c r="S197" s="26"/>
    </row>
    <row r="198" spans="1:19" ht="16.5" customHeight="1" x14ac:dyDescent="0.25">
      <c r="A198" s="9"/>
      <c r="B198" s="49" t="s">
        <v>101</v>
      </c>
      <c r="C198" s="50"/>
      <c r="D198" s="50"/>
      <c r="E198" s="50"/>
      <c r="F198" s="50"/>
      <c r="G198" s="51"/>
      <c r="H198" s="20"/>
      <c r="I198" s="9">
        <v>1</v>
      </c>
      <c r="J198" s="9"/>
      <c r="K198" s="9"/>
      <c r="L198" s="9"/>
      <c r="M198" s="9">
        <f t="shared" si="22"/>
        <v>7.8</v>
      </c>
      <c r="N198" s="9">
        <f t="shared" si="23"/>
        <v>3</v>
      </c>
      <c r="O198" s="9">
        <v>7.8</v>
      </c>
      <c r="P198" s="9">
        <v>3</v>
      </c>
      <c r="Q198" s="9" t="s">
        <v>6</v>
      </c>
      <c r="R198" s="1">
        <v>0</v>
      </c>
      <c r="S198" s="26"/>
    </row>
    <row r="199" spans="1:19" ht="16.5" customHeight="1" x14ac:dyDescent="0.25">
      <c r="A199" s="9"/>
      <c r="B199" s="49" t="s">
        <v>100</v>
      </c>
      <c r="C199" s="50"/>
      <c r="D199" s="50"/>
      <c r="E199" s="50"/>
      <c r="F199" s="50"/>
      <c r="G199" s="51"/>
      <c r="H199" s="20"/>
      <c r="I199" s="9">
        <v>1</v>
      </c>
      <c r="J199" s="9"/>
      <c r="K199" s="9"/>
      <c r="L199" s="9"/>
      <c r="M199" s="9">
        <f t="shared" si="22"/>
        <v>7.7</v>
      </c>
      <c r="N199" s="9">
        <f t="shared" si="23"/>
        <v>3</v>
      </c>
      <c r="O199" s="9">
        <v>7.7</v>
      </c>
      <c r="P199" s="9">
        <v>3</v>
      </c>
      <c r="Q199" s="9" t="s">
        <v>6</v>
      </c>
      <c r="R199" s="1">
        <v>0</v>
      </c>
      <c r="S199" s="26"/>
    </row>
    <row r="200" spans="1:19" ht="16.5" customHeight="1" x14ac:dyDescent="0.25">
      <c r="A200" s="9"/>
      <c r="B200" s="49" t="s">
        <v>99</v>
      </c>
      <c r="C200" s="50"/>
      <c r="D200" s="50"/>
      <c r="E200" s="50"/>
      <c r="F200" s="50"/>
      <c r="G200" s="51"/>
      <c r="H200" s="20"/>
      <c r="I200" s="9">
        <v>2</v>
      </c>
      <c r="J200" s="9"/>
      <c r="K200" s="9"/>
      <c r="L200" s="9"/>
      <c r="M200" s="9">
        <f t="shared" si="22"/>
        <v>17.8</v>
      </c>
      <c r="N200" s="9">
        <f t="shared" si="23"/>
        <v>7.4</v>
      </c>
      <c r="O200" s="9">
        <v>8.9</v>
      </c>
      <c r="P200" s="9">
        <v>3.7</v>
      </c>
      <c r="Q200" s="9" t="s">
        <v>10</v>
      </c>
      <c r="R200" s="1">
        <v>0</v>
      </c>
      <c r="S200" s="26"/>
    </row>
    <row r="201" spans="1:19" ht="16.5" customHeight="1" x14ac:dyDescent="0.25">
      <c r="A201" s="9"/>
      <c r="B201" s="49" t="s">
        <v>103</v>
      </c>
      <c r="C201" s="50"/>
      <c r="D201" s="50"/>
      <c r="E201" s="50"/>
      <c r="F201" s="50"/>
      <c r="G201" s="51"/>
      <c r="H201" s="20"/>
      <c r="I201" s="9">
        <v>2</v>
      </c>
      <c r="J201" s="9"/>
      <c r="K201" s="9"/>
      <c r="L201" s="9"/>
      <c r="M201" s="9">
        <f t="shared" si="22"/>
        <v>14.8</v>
      </c>
      <c r="N201" s="9">
        <f t="shared" si="23"/>
        <v>6</v>
      </c>
      <c r="O201" s="9">
        <v>7.4</v>
      </c>
      <c r="P201" s="9">
        <v>3</v>
      </c>
      <c r="Q201" s="9" t="s">
        <v>6</v>
      </c>
      <c r="R201" s="1">
        <v>0</v>
      </c>
      <c r="S201" s="26"/>
    </row>
    <row r="202" spans="1:19" ht="16.5" customHeight="1" x14ac:dyDescent="0.25">
      <c r="A202" s="9"/>
      <c r="B202" s="49" t="s">
        <v>105</v>
      </c>
      <c r="C202" s="50"/>
      <c r="D202" s="50"/>
      <c r="E202" s="50"/>
      <c r="F202" s="50"/>
      <c r="G202" s="51"/>
      <c r="H202" s="20"/>
      <c r="I202" s="9">
        <v>4</v>
      </c>
      <c r="J202" s="9"/>
      <c r="K202" s="9"/>
      <c r="L202" s="9"/>
      <c r="M202" s="9">
        <f t="shared" si="22"/>
        <v>28.8</v>
      </c>
      <c r="N202" s="9">
        <f t="shared" si="23"/>
        <v>12</v>
      </c>
      <c r="O202" s="9">
        <v>7.2</v>
      </c>
      <c r="P202" s="9">
        <v>3</v>
      </c>
      <c r="Q202" s="9" t="s">
        <v>6</v>
      </c>
      <c r="R202" s="1">
        <v>0</v>
      </c>
      <c r="S202" s="26"/>
    </row>
    <row r="203" spans="1:19" ht="16.5" hidden="1" customHeight="1" x14ac:dyDescent="0.25">
      <c r="A203" s="21"/>
      <c r="H203" s="21"/>
      <c r="I203" s="21"/>
      <c r="J203" s="21"/>
      <c r="K203" s="21"/>
      <c r="L203" s="21"/>
      <c r="M203" s="9">
        <f t="shared" si="22"/>
        <v>0</v>
      </c>
      <c r="N203" s="9">
        <f t="shared" si="23"/>
        <v>0</v>
      </c>
      <c r="O203" s="21"/>
      <c r="P203" s="21"/>
      <c r="Q203" s="21"/>
      <c r="S203" s="25"/>
    </row>
    <row r="204" spans="1:19" ht="16.5" customHeight="1" x14ac:dyDescent="0.25">
      <c r="A204" s="9"/>
      <c r="B204" s="38" t="s">
        <v>42</v>
      </c>
      <c r="C204" s="39"/>
      <c r="D204" s="39"/>
      <c r="E204" s="39"/>
      <c r="F204" s="39"/>
      <c r="G204" s="40"/>
      <c r="H204" s="23"/>
      <c r="I204" s="24">
        <f>SUM(I192:I203)</f>
        <v>23</v>
      </c>
      <c r="J204" s="9"/>
      <c r="K204" s="9"/>
      <c r="L204" s="9"/>
      <c r="M204" s="9">
        <f t="shared" si="22"/>
        <v>175.49</v>
      </c>
      <c r="N204" s="9">
        <f t="shared" si="23"/>
        <v>71.069999999999993</v>
      </c>
      <c r="O204" s="24">
        <f>ROUND(SUM(M192:M203)/I204,2)</f>
        <v>7.63</v>
      </c>
      <c r="P204" s="24">
        <f>ROUND(SUM(N192:N203)/I204,2)</f>
        <v>3.09</v>
      </c>
      <c r="Q204" s="9"/>
      <c r="S204" s="25"/>
    </row>
    <row r="205" spans="1:19" ht="20.25" customHeight="1" x14ac:dyDescent="0.25">
      <c r="A205" s="27" t="s">
        <v>107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</row>
    <row r="206" spans="1:19" ht="16.5" customHeight="1" x14ac:dyDescent="0.25">
      <c r="A206" s="9"/>
      <c r="B206" s="49" t="s">
        <v>108</v>
      </c>
      <c r="C206" s="50"/>
      <c r="D206" s="50"/>
      <c r="E206" s="50"/>
      <c r="F206" s="50"/>
      <c r="G206" s="51"/>
      <c r="H206" s="20"/>
      <c r="I206" s="9">
        <v>1</v>
      </c>
      <c r="J206" s="9"/>
      <c r="K206" s="9"/>
      <c r="L206" s="9"/>
      <c r="M206" s="9">
        <f t="shared" ref="M206:M218" si="24">I206*O206</f>
        <v>7.3</v>
      </c>
      <c r="N206" s="9">
        <f t="shared" ref="N206:N218" si="25">I206*P206</f>
        <v>3</v>
      </c>
      <c r="O206" s="9">
        <v>7.3</v>
      </c>
      <c r="P206" s="9">
        <v>3</v>
      </c>
      <c r="Q206" s="9" t="s">
        <v>6</v>
      </c>
      <c r="R206" s="1">
        <v>0</v>
      </c>
      <c r="S206" s="26"/>
    </row>
    <row r="207" spans="1:19" ht="16.5" customHeight="1" x14ac:dyDescent="0.25">
      <c r="A207" s="9"/>
      <c r="B207" s="49" t="s">
        <v>113</v>
      </c>
      <c r="C207" s="50"/>
      <c r="D207" s="50"/>
      <c r="E207" s="50"/>
      <c r="F207" s="50"/>
      <c r="G207" s="51"/>
      <c r="H207" s="20"/>
      <c r="I207" s="9">
        <v>4</v>
      </c>
      <c r="J207" s="9"/>
      <c r="K207" s="9"/>
      <c r="L207" s="9"/>
      <c r="M207" s="9">
        <f t="shared" si="24"/>
        <v>28.4</v>
      </c>
      <c r="N207" s="9">
        <f t="shared" si="25"/>
        <v>12</v>
      </c>
      <c r="O207" s="9">
        <v>7.1</v>
      </c>
      <c r="P207" s="9">
        <v>3</v>
      </c>
      <c r="Q207" s="9" t="s">
        <v>6</v>
      </c>
      <c r="R207" s="1">
        <v>0</v>
      </c>
      <c r="S207" s="26"/>
    </row>
    <row r="208" spans="1:19" ht="16.5" customHeight="1" x14ac:dyDescent="0.25">
      <c r="A208" s="9"/>
      <c r="B208" s="49" t="s">
        <v>116</v>
      </c>
      <c r="C208" s="50"/>
      <c r="D208" s="50"/>
      <c r="E208" s="50"/>
      <c r="F208" s="50"/>
      <c r="G208" s="51"/>
      <c r="H208" s="20"/>
      <c r="I208" s="9">
        <v>2</v>
      </c>
      <c r="J208" s="9"/>
      <c r="K208" s="9"/>
      <c r="L208" s="9"/>
      <c r="M208" s="9">
        <f t="shared" si="24"/>
        <v>15</v>
      </c>
      <c r="N208" s="9">
        <f t="shared" si="25"/>
        <v>6</v>
      </c>
      <c r="O208" s="9">
        <v>7.5</v>
      </c>
      <c r="P208" s="9">
        <v>3</v>
      </c>
      <c r="Q208" s="9" t="s">
        <v>6</v>
      </c>
      <c r="R208" s="1">
        <v>0</v>
      </c>
      <c r="S208" s="26"/>
    </row>
    <row r="209" spans="1:19" ht="16.5" customHeight="1" x14ac:dyDescent="0.25">
      <c r="A209" s="9"/>
      <c r="B209" s="49" t="s">
        <v>111</v>
      </c>
      <c r="C209" s="50"/>
      <c r="D209" s="50"/>
      <c r="E209" s="50"/>
      <c r="F209" s="50"/>
      <c r="G209" s="51"/>
      <c r="H209" s="20"/>
      <c r="I209" s="9">
        <v>3</v>
      </c>
      <c r="J209" s="9"/>
      <c r="K209" s="9"/>
      <c r="L209" s="9"/>
      <c r="M209" s="9">
        <f t="shared" si="24"/>
        <v>20.100000000000001</v>
      </c>
      <c r="N209" s="9">
        <f t="shared" si="25"/>
        <v>7.5</v>
      </c>
      <c r="O209" s="9">
        <v>6.7</v>
      </c>
      <c r="P209" s="9">
        <v>2.5</v>
      </c>
      <c r="Q209" s="9" t="s">
        <v>5</v>
      </c>
      <c r="R209" s="1">
        <v>0</v>
      </c>
      <c r="S209" s="26"/>
    </row>
    <row r="210" spans="1:19" ht="16.5" customHeight="1" x14ac:dyDescent="0.25">
      <c r="A210" s="9"/>
      <c r="B210" s="49" t="s">
        <v>112</v>
      </c>
      <c r="C210" s="50"/>
      <c r="D210" s="50"/>
      <c r="E210" s="50"/>
      <c r="F210" s="50"/>
      <c r="G210" s="51"/>
      <c r="H210" s="20"/>
      <c r="I210" s="9">
        <v>4</v>
      </c>
      <c r="J210" s="9"/>
      <c r="K210" s="9"/>
      <c r="L210" s="9"/>
      <c r="M210" s="9">
        <f t="shared" si="24"/>
        <v>33.200000000000003</v>
      </c>
      <c r="N210" s="9">
        <f t="shared" si="25"/>
        <v>14</v>
      </c>
      <c r="O210" s="9">
        <v>8.3000000000000007</v>
      </c>
      <c r="P210" s="9">
        <v>3.5</v>
      </c>
      <c r="Q210" s="9" t="s">
        <v>9</v>
      </c>
      <c r="R210" s="1">
        <v>0</v>
      </c>
      <c r="S210" s="26"/>
    </row>
    <row r="211" spans="1:19" ht="16.5" customHeight="1" x14ac:dyDescent="0.25">
      <c r="A211" s="9"/>
      <c r="B211" s="49" t="s">
        <v>109</v>
      </c>
      <c r="C211" s="50"/>
      <c r="D211" s="50"/>
      <c r="E211" s="50"/>
      <c r="F211" s="50"/>
      <c r="G211" s="51"/>
      <c r="H211" s="20"/>
      <c r="I211" s="9">
        <v>2</v>
      </c>
      <c r="J211" s="9"/>
      <c r="K211" s="9"/>
      <c r="L211" s="9"/>
      <c r="M211" s="9">
        <f t="shared" si="24"/>
        <v>14.8</v>
      </c>
      <c r="N211" s="9">
        <f t="shared" si="25"/>
        <v>6</v>
      </c>
      <c r="O211" s="9">
        <v>7.4</v>
      </c>
      <c r="P211" s="9">
        <v>3</v>
      </c>
      <c r="Q211" s="9" t="s">
        <v>6</v>
      </c>
      <c r="R211" s="1">
        <v>0</v>
      </c>
      <c r="S211" s="26"/>
    </row>
    <row r="212" spans="1:19" ht="16.5" customHeight="1" x14ac:dyDescent="0.25">
      <c r="A212" s="9"/>
      <c r="B212" s="49" t="s">
        <v>114</v>
      </c>
      <c r="C212" s="50"/>
      <c r="D212" s="50"/>
      <c r="E212" s="50"/>
      <c r="F212" s="50"/>
      <c r="G212" s="51"/>
      <c r="H212" s="20"/>
      <c r="I212" s="9">
        <v>3</v>
      </c>
      <c r="J212" s="9"/>
      <c r="K212" s="9"/>
      <c r="L212" s="9"/>
      <c r="M212" s="9">
        <f t="shared" si="24"/>
        <v>20.100000000000001</v>
      </c>
      <c r="N212" s="9">
        <f t="shared" si="25"/>
        <v>7.5</v>
      </c>
      <c r="O212" s="9">
        <v>6.7</v>
      </c>
      <c r="P212" s="9">
        <v>2.5</v>
      </c>
      <c r="Q212" s="9" t="s">
        <v>5</v>
      </c>
      <c r="R212" s="1">
        <v>0</v>
      </c>
      <c r="S212" s="26"/>
    </row>
    <row r="213" spans="1:19" ht="16.5" customHeight="1" x14ac:dyDescent="0.25">
      <c r="A213" s="9"/>
      <c r="B213" s="49" t="s">
        <v>115</v>
      </c>
      <c r="C213" s="50"/>
      <c r="D213" s="50"/>
      <c r="E213" s="50"/>
      <c r="F213" s="50"/>
      <c r="G213" s="51"/>
      <c r="H213" s="20"/>
      <c r="I213" s="9">
        <v>2</v>
      </c>
      <c r="J213" s="9"/>
      <c r="K213" s="9"/>
      <c r="L213" s="9"/>
      <c r="M213" s="9">
        <f t="shared" si="24"/>
        <v>13.2</v>
      </c>
      <c r="N213" s="9">
        <f t="shared" si="25"/>
        <v>5</v>
      </c>
      <c r="O213" s="9">
        <v>6.6</v>
      </c>
      <c r="P213" s="9">
        <v>2.5</v>
      </c>
      <c r="Q213" s="9" t="s">
        <v>5</v>
      </c>
      <c r="R213" s="1">
        <v>0</v>
      </c>
      <c r="S213" s="26"/>
    </row>
    <row r="214" spans="1:19" ht="16.5" customHeight="1" x14ac:dyDescent="0.25">
      <c r="A214" s="9"/>
      <c r="B214" s="49" t="s">
        <v>110</v>
      </c>
      <c r="C214" s="50"/>
      <c r="D214" s="50"/>
      <c r="E214" s="50"/>
      <c r="F214" s="50"/>
      <c r="G214" s="51"/>
      <c r="H214" s="20"/>
      <c r="I214" s="9">
        <v>3</v>
      </c>
      <c r="J214" s="9"/>
      <c r="K214" s="9"/>
      <c r="L214" s="9"/>
      <c r="M214" s="9">
        <f t="shared" si="24"/>
        <v>24.900000000000002</v>
      </c>
      <c r="N214" s="9">
        <f t="shared" si="25"/>
        <v>10.5</v>
      </c>
      <c r="O214" s="9">
        <v>8.3000000000000007</v>
      </c>
      <c r="P214" s="9">
        <v>3.5</v>
      </c>
      <c r="Q214" s="9" t="s">
        <v>9</v>
      </c>
      <c r="R214" s="1">
        <v>0</v>
      </c>
      <c r="S214" s="26"/>
    </row>
    <row r="215" spans="1:19" ht="16.5" customHeight="1" x14ac:dyDescent="0.25">
      <c r="A215" s="9"/>
      <c r="B215" s="49" t="s">
        <v>118</v>
      </c>
      <c r="C215" s="50"/>
      <c r="D215" s="50"/>
      <c r="E215" s="50"/>
      <c r="F215" s="50"/>
      <c r="G215" s="51"/>
      <c r="H215" s="20"/>
      <c r="I215" s="9">
        <v>2</v>
      </c>
      <c r="J215" s="9"/>
      <c r="K215" s="9"/>
      <c r="L215" s="9"/>
      <c r="M215" s="9">
        <f t="shared" si="24"/>
        <v>15.2</v>
      </c>
      <c r="N215" s="9">
        <f t="shared" si="25"/>
        <v>6</v>
      </c>
      <c r="O215" s="9">
        <v>7.6</v>
      </c>
      <c r="P215" s="9">
        <v>3</v>
      </c>
      <c r="Q215" s="9" t="s">
        <v>6</v>
      </c>
      <c r="R215" s="1">
        <v>0</v>
      </c>
      <c r="S215" s="26"/>
    </row>
    <row r="216" spans="1:19" ht="16.5" customHeight="1" x14ac:dyDescent="0.25">
      <c r="A216" s="9"/>
      <c r="B216" s="49" t="s">
        <v>117</v>
      </c>
      <c r="C216" s="50"/>
      <c r="D216" s="50"/>
      <c r="E216" s="50"/>
      <c r="F216" s="50"/>
      <c r="G216" s="51"/>
      <c r="H216" s="20"/>
      <c r="I216" s="9">
        <v>3</v>
      </c>
      <c r="J216" s="9"/>
      <c r="K216" s="9"/>
      <c r="L216" s="9"/>
      <c r="M216" s="9">
        <f t="shared" si="24"/>
        <v>24</v>
      </c>
      <c r="N216" s="9">
        <f t="shared" si="25"/>
        <v>10.5</v>
      </c>
      <c r="O216" s="9">
        <v>8</v>
      </c>
      <c r="P216" s="9">
        <v>3.5</v>
      </c>
      <c r="Q216" s="9" t="s">
        <v>9</v>
      </c>
      <c r="R216" s="1">
        <v>0</v>
      </c>
      <c r="S216" s="26"/>
    </row>
    <row r="217" spans="1:19" ht="16.5" hidden="1" customHeight="1" x14ac:dyDescent="0.25">
      <c r="A217" s="21"/>
      <c r="H217" s="21"/>
      <c r="I217" s="21"/>
      <c r="J217" s="21"/>
      <c r="K217" s="21"/>
      <c r="L217" s="21"/>
      <c r="M217" s="9">
        <f t="shared" si="24"/>
        <v>0</v>
      </c>
      <c r="N217" s="9">
        <f t="shared" si="25"/>
        <v>0</v>
      </c>
      <c r="O217" s="21"/>
      <c r="P217" s="21"/>
      <c r="Q217" s="21"/>
      <c r="S217" s="25"/>
    </row>
    <row r="218" spans="1:19" ht="16.5" customHeight="1" x14ac:dyDescent="0.25">
      <c r="A218" s="9"/>
      <c r="B218" s="38" t="s">
        <v>42</v>
      </c>
      <c r="C218" s="39"/>
      <c r="D218" s="39"/>
      <c r="E218" s="39"/>
      <c r="F218" s="39"/>
      <c r="G218" s="40"/>
      <c r="H218" s="23"/>
      <c r="I218" s="24">
        <f>SUM(I206:I217)</f>
        <v>29</v>
      </c>
      <c r="J218" s="9"/>
      <c r="K218" s="9"/>
      <c r="L218" s="9"/>
      <c r="M218" s="9">
        <f t="shared" si="24"/>
        <v>216.34</v>
      </c>
      <c r="N218" s="9">
        <f t="shared" si="25"/>
        <v>87.86999999999999</v>
      </c>
      <c r="O218" s="24">
        <f>ROUND(SUM(M206:M217)/I218,2)</f>
        <v>7.46</v>
      </c>
      <c r="P218" s="24">
        <f>ROUND(SUM(N206:N217)/I218,2)</f>
        <v>3.03</v>
      </c>
      <c r="Q218" s="9"/>
      <c r="S218" s="25"/>
    </row>
    <row r="219" spans="1:19" ht="20.25" customHeight="1" x14ac:dyDescent="0.25">
      <c r="A219" s="27" t="s">
        <v>120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</row>
    <row r="220" spans="1:19" ht="16.5" customHeight="1" x14ac:dyDescent="0.25">
      <c r="A220" s="9"/>
      <c r="B220" s="49" t="s">
        <v>121</v>
      </c>
      <c r="C220" s="50"/>
      <c r="D220" s="50"/>
      <c r="E220" s="50"/>
      <c r="F220" s="50"/>
      <c r="G220" s="51"/>
      <c r="H220" s="20"/>
      <c r="I220" s="9">
        <v>3</v>
      </c>
      <c r="J220" s="9"/>
      <c r="K220" s="9"/>
      <c r="L220" s="9"/>
      <c r="M220" s="9">
        <f t="shared" ref="M220:M229" si="26">I220*O220</f>
        <v>21.299999999999997</v>
      </c>
      <c r="N220" s="9">
        <f t="shared" ref="N220:N229" si="27">I220*P220</f>
        <v>9</v>
      </c>
      <c r="O220" s="9">
        <v>7.1</v>
      </c>
      <c r="P220" s="9">
        <v>3</v>
      </c>
      <c r="Q220" s="9" t="s">
        <v>6</v>
      </c>
      <c r="R220" s="1">
        <v>0</v>
      </c>
      <c r="S220" s="26"/>
    </row>
    <row r="221" spans="1:19" ht="16.5" customHeight="1" x14ac:dyDescent="0.25">
      <c r="A221" s="9"/>
      <c r="B221" s="49" t="s">
        <v>127</v>
      </c>
      <c r="C221" s="50"/>
      <c r="D221" s="50"/>
      <c r="E221" s="50"/>
      <c r="F221" s="50"/>
      <c r="G221" s="51"/>
      <c r="H221" s="20"/>
      <c r="I221" s="9">
        <v>2</v>
      </c>
      <c r="J221" s="9"/>
      <c r="K221" s="9"/>
      <c r="L221" s="9"/>
      <c r="M221" s="9">
        <f t="shared" si="26"/>
        <v>8</v>
      </c>
      <c r="N221" s="9">
        <f t="shared" si="27"/>
        <v>2</v>
      </c>
      <c r="O221" s="9">
        <v>4</v>
      </c>
      <c r="P221" s="9">
        <v>1</v>
      </c>
      <c r="Q221" s="9" t="s">
        <v>8</v>
      </c>
      <c r="R221" s="1">
        <v>0</v>
      </c>
      <c r="S221" s="26"/>
    </row>
    <row r="222" spans="1:19" ht="16.5" customHeight="1" x14ac:dyDescent="0.25">
      <c r="A222" s="9"/>
      <c r="B222" s="49" t="s">
        <v>123</v>
      </c>
      <c r="C222" s="50"/>
      <c r="D222" s="50"/>
      <c r="E222" s="50"/>
      <c r="F222" s="50"/>
      <c r="G222" s="51"/>
      <c r="H222" s="20"/>
      <c r="I222" s="9">
        <v>3</v>
      </c>
      <c r="J222" s="9"/>
      <c r="K222" s="9"/>
      <c r="L222" s="9"/>
      <c r="M222" s="9">
        <f t="shared" si="26"/>
        <v>24</v>
      </c>
      <c r="N222" s="9">
        <f t="shared" si="27"/>
        <v>10.5</v>
      </c>
      <c r="O222" s="9">
        <v>8</v>
      </c>
      <c r="P222" s="9">
        <v>3.5</v>
      </c>
      <c r="Q222" s="9" t="s">
        <v>9</v>
      </c>
      <c r="R222" s="1">
        <v>0</v>
      </c>
      <c r="S222" s="26"/>
    </row>
    <row r="223" spans="1:19" ht="16.5" customHeight="1" x14ac:dyDescent="0.25">
      <c r="A223" s="9"/>
      <c r="B223" s="49" t="s">
        <v>124</v>
      </c>
      <c r="C223" s="50"/>
      <c r="D223" s="50"/>
      <c r="E223" s="50"/>
      <c r="F223" s="50"/>
      <c r="G223" s="51"/>
      <c r="H223" s="20"/>
      <c r="I223" s="9">
        <v>3</v>
      </c>
      <c r="J223" s="9"/>
      <c r="K223" s="9"/>
      <c r="L223" s="9"/>
      <c r="M223" s="9">
        <f t="shared" si="26"/>
        <v>22.799999999999997</v>
      </c>
      <c r="N223" s="9">
        <f t="shared" si="27"/>
        <v>9</v>
      </c>
      <c r="O223" s="9">
        <v>7.6</v>
      </c>
      <c r="P223" s="9">
        <v>3</v>
      </c>
      <c r="Q223" s="9" t="s">
        <v>6</v>
      </c>
      <c r="R223" s="1">
        <v>0</v>
      </c>
      <c r="S223" s="26"/>
    </row>
    <row r="224" spans="1:19" ht="16.5" customHeight="1" x14ac:dyDescent="0.25">
      <c r="A224" s="9"/>
      <c r="B224" s="49" t="s">
        <v>125</v>
      </c>
      <c r="C224" s="50"/>
      <c r="D224" s="50"/>
      <c r="E224" s="50"/>
      <c r="F224" s="50"/>
      <c r="G224" s="51"/>
      <c r="H224" s="20"/>
      <c r="I224" s="9">
        <v>3</v>
      </c>
      <c r="J224" s="9"/>
      <c r="K224" s="9"/>
      <c r="L224" s="9"/>
      <c r="M224" s="9">
        <f t="shared" si="26"/>
        <v>19.200000000000003</v>
      </c>
      <c r="N224" s="9">
        <f t="shared" si="27"/>
        <v>6</v>
      </c>
      <c r="O224" s="9">
        <v>6.4</v>
      </c>
      <c r="P224" s="9">
        <v>2</v>
      </c>
      <c r="Q224" s="9" t="s">
        <v>3</v>
      </c>
      <c r="R224" s="1">
        <v>0</v>
      </c>
      <c r="S224" s="26"/>
    </row>
    <row r="225" spans="1:19" ht="16.5" customHeight="1" x14ac:dyDescent="0.25">
      <c r="A225" s="9"/>
      <c r="B225" s="49" t="s">
        <v>126</v>
      </c>
      <c r="C225" s="50"/>
      <c r="D225" s="50"/>
      <c r="E225" s="50"/>
      <c r="F225" s="50"/>
      <c r="G225" s="51"/>
      <c r="H225" s="20"/>
      <c r="I225" s="9">
        <v>3</v>
      </c>
      <c r="J225" s="9"/>
      <c r="K225" s="9"/>
      <c r="L225" s="9"/>
      <c r="M225" s="9">
        <f t="shared" si="26"/>
        <v>23.700000000000003</v>
      </c>
      <c r="N225" s="9">
        <f t="shared" si="27"/>
        <v>9</v>
      </c>
      <c r="O225" s="9">
        <v>7.9</v>
      </c>
      <c r="P225" s="9">
        <v>3</v>
      </c>
      <c r="Q225" s="9" t="s">
        <v>6</v>
      </c>
      <c r="R225" s="1">
        <v>0</v>
      </c>
      <c r="S225" s="26"/>
    </row>
    <row r="226" spans="1:19" ht="16.5" customHeight="1" x14ac:dyDescent="0.25">
      <c r="A226" s="9"/>
      <c r="B226" s="49" t="s">
        <v>128</v>
      </c>
      <c r="C226" s="50"/>
      <c r="D226" s="50"/>
      <c r="E226" s="50"/>
      <c r="F226" s="50"/>
      <c r="G226" s="51"/>
      <c r="H226" s="20"/>
      <c r="I226" s="9">
        <v>2</v>
      </c>
      <c r="J226" s="9"/>
      <c r="K226" s="9"/>
      <c r="L226" s="9"/>
      <c r="M226" s="9">
        <f t="shared" si="26"/>
        <v>15</v>
      </c>
      <c r="N226" s="9">
        <f t="shared" si="27"/>
        <v>6</v>
      </c>
      <c r="O226" s="9">
        <v>7.5</v>
      </c>
      <c r="P226" s="9">
        <v>3</v>
      </c>
      <c r="Q226" s="9" t="s">
        <v>6</v>
      </c>
      <c r="R226" s="1">
        <v>0</v>
      </c>
      <c r="S226" s="26"/>
    </row>
    <row r="227" spans="1:19" ht="16.5" customHeight="1" x14ac:dyDescent="0.25">
      <c r="A227" s="9"/>
      <c r="B227" s="49" t="s">
        <v>122</v>
      </c>
      <c r="C227" s="50"/>
      <c r="D227" s="50"/>
      <c r="E227" s="50"/>
      <c r="F227" s="50"/>
      <c r="G227" s="51"/>
      <c r="H227" s="20"/>
      <c r="I227" s="9">
        <v>1</v>
      </c>
      <c r="J227" s="9"/>
      <c r="K227" s="9"/>
      <c r="L227" s="9"/>
      <c r="M227" s="9">
        <f t="shared" si="26"/>
        <v>7.3</v>
      </c>
      <c r="N227" s="9">
        <f t="shared" si="27"/>
        <v>3</v>
      </c>
      <c r="O227" s="9">
        <v>7.3</v>
      </c>
      <c r="P227" s="9">
        <v>3</v>
      </c>
      <c r="Q227" s="9" t="s">
        <v>6</v>
      </c>
      <c r="R227" s="1">
        <v>0</v>
      </c>
      <c r="S227" s="26"/>
    </row>
    <row r="228" spans="1:19" ht="16.5" hidden="1" customHeight="1" x14ac:dyDescent="0.25">
      <c r="A228" s="21"/>
      <c r="H228" s="21"/>
      <c r="I228" s="21"/>
      <c r="J228" s="21"/>
      <c r="K228" s="21"/>
      <c r="L228" s="21"/>
      <c r="M228" s="9">
        <f t="shared" si="26"/>
        <v>0</v>
      </c>
      <c r="N228" s="9">
        <f t="shared" si="27"/>
        <v>0</v>
      </c>
      <c r="O228" s="21"/>
      <c r="P228" s="21"/>
      <c r="Q228" s="21"/>
      <c r="S228" s="25"/>
    </row>
    <row r="229" spans="1:19" ht="16.5" customHeight="1" x14ac:dyDescent="0.25">
      <c r="A229" s="9"/>
      <c r="B229" s="38" t="s">
        <v>42</v>
      </c>
      <c r="C229" s="39"/>
      <c r="D229" s="39"/>
      <c r="E229" s="39"/>
      <c r="F229" s="39"/>
      <c r="G229" s="40"/>
      <c r="H229" s="23"/>
      <c r="I229" s="24">
        <f>SUM(I220:I228)</f>
        <v>20</v>
      </c>
      <c r="J229" s="9"/>
      <c r="K229" s="9"/>
      <c r="L229" s="9"/>
      <c r="M229" s="9">
        <f t="shared" si="26"/>
        <v>141.4</v>
      </c>
      <c r="N229" s="9">
        <f t="shared" si="27"/>
        <v>54.6</v>
      </c>
      <c r="O229" s="24">
        <f>ROUND(SUM(M220:M228)/I229,2)</f>
        <v>7.07</v>
      </c>
      <c r="P229" s="24">
        <f>ROUND(SUM(N220:N228)/I229,2)</f>
        <v>2.73</v>
      </c>
      <c r="Q229" s="9"/>
      <c r="S229" s="25"/>
    </row>
    <row r="230" spans="1:19" ht="16.5" customHeight="1" x14ac:dyDescent="0.25">
      <c r="A230" s="21"/>
      <c r="B230" s="22"/>
      <c r="C230" s="22"/>
      <c r="D230" s="22"/>
      <c r="E230" s="22"/>
      <c r="F230" s="22"/>
      <c r="G230" s="22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2" spans="1:19" ht="18" x14ac:dyDescent="0.25">
      <c r="A232" s="57" t="s">
        <v>132</v>
      </c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</row>
    <row r="233" spans="1:19" ht="18" x14ac:dyDescent="0.25">
      <c r="A233" s="57" t="s">
        <v>133</v>
      </c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</row>
    <row r="234" spans="1:19" ht="18" x14ac:dyDescent="0.25">
      <c r="A234" s="57" t="s">
        <v>134</v>
      </c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</row>
    <row r="235" spans="1:19" ht="18" x14ac:dyDescent="0.25">
      <c r="A235" s="58" t="s">
        <v>135</v>
      </c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</row>
    <row r="236" spans="1:19" ht="19.5" customHeight="1" x14ac:dyDescent="0.25">
      <c r="A236" s="17"/>
      <c r="B236" s="17"/>
      <c r="C236" s="8"/>
      <c r="D236" s="18"/>
      <c r="E236" s="10"/>
      <c r="F236" s="11"/>
      <c r="G236" s="44" t="s">
        <v>49</v>
      </c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1:19" ht="31.5" customHeight="1" x14ac:dyDescent="0.3">
      <c r="A237" s="8"/>
      <c r="B237" s="8"/>
      <c r="C237" s="8"/>
      <c r="D237" s="8"/>
      <c r="E237" s="8"/>
      <c r="F237" s="8"/>
      <c r="G237" s="8"/>
      <c r="H237" s="12"/>
      <c r="I237" s="41" t="s">
        <v>40</v>
      </c>
      <c r="J237" s="42"/>
      <c r="K237" s="42"/>
      <c r="L237" s="42"/>
      <c r="M237" s="42"/>
      <c r="N237" s="42"/>
      <c r="O237" s="42"/>
      <c r="P237" s="42"/>
      <c r="Q237" s="42"/>
      <c r="R237" s="42"/>
      <c r="S237" s="42"/>
    </row>
    <row r="238" spans="1:19" ht="16.8" x14ac:dyDescent="0.3">
      <c r="A238" s="8"/>
      <c r="B238" s="8"/>
      <c r="C238" s="8"/>
      <c r="D238" s="8"/>
      <c r="E238" s="8"/>
      <c r="F238" s="8"/>
      <c r="G238" s="8"/>
      <c r="H238" s="12"/>
      <c r="I238" s="12"/>
      <c r="J238" s="12"/>
      <c r="K238" s="12"/>
      <c r="L238" s="8"/>
      <c r="M238" s="8"/>
      <c r="N238" s="8"/>
      <c r="O238" s="8"/>
      <c r="P238" s="8"/>
      <c r="Q238" s="8"/>
    </row>
    <row r="239" spans="1:19" ht="33" customHeight="1" x14ac:dyDescent="0.3">
      <c r="A239" s="8"/>
      <c r="B239" s="8"/>
      <c r="C239" s="8"/>
      <c r="D239" s="8"/>
      <c r="E239" s="8"/>
      <c r="F239" s="8"/>
      <c r="G239" s="8"/>
      <c r="H239" s="12"/>
      <c r="I239" s="12"/>
      <c r="J239" s="12"/>
      <c r="K239" s="12"/>
      <c r="L239" s="8"/>
      <c r="M239" s="8"/>
      <c r="N239" s="8"/>
      <c r="O239" s="8"/>
      <c r="P239" s="8"/>
      <c r="Q239" s="8"/>
    </row>
    <row r="240" spans="1:19" ht="11.25" customHeight="1" x14ac:dyDescent="0.3">
      <c r="A240" s="8"/>
      <c r="B240" s="8"/>
      <c r="C240" s="8"/>
      <c r="D240" s="8"/>
      <c r="E240" s="8"/>
      <c r="F240" s="8"/>
      <c r="G240" s="8"/>
      <c r="H240" s="12"/>
      <c r="I240" s="12"/>
      <c r="J240" s="12"/>
      <c r="K240" s="12"/>
      <c r="L240" s="8"/>
      <c r="M240" s="8"/>
      <c r="N240" s="8"/>
      <c r="O240" s="8"/>
      <c r="P240" s="8"/>
      <c r="Q240" s="8"/>
    </row>
    <row r="241" spans="1:20" ht="17.399999999999999" x14ac:dyDescent="0.3">
      <c r="A241" s="8"/>
      <c r="B241" s="8"/>
      <c r="C241" s="8"/>
      <c r="D241" s="8"/>
      <c r="E241" s="8"/>
      <c r="F241" s="8"/>
      <c r="G241" s="45" t="s">
        <v>41</v>
      </c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</row>
    <row r="242" spans="1:20" ht="54" customHeight="1" x14ac:dyDescent="0.25">
      <c r="A242" s="46" t="s">
        <v>33</v>
      </c>
      <c r="B242" s="46"/>
      <c r="C242" s="46"/>
      <c r="D242" s="46"/>
      <c r="E242" s="46"/>
      <c r="F242" s="41" t="s">
        <v>24</v>
      </c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</row>
    <row r="243" spans="1:20" ht="17.399999999999999" x14ac:dyDescent="0.25">
      <c r="A243" s="47" t="s">
        <v>34</v>
      </c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</row>
    <row r="244" spans="1:20" ht="4.5" customHeight="1" x14ac:dyDescent="0.2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</row>
    <row r="245" spans="1:20" ht="5.25" customHeight="1" x14ac:dyDescent="0.2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</row>
    <row r="246" spans="1:20" ht="16.5" customHeight="1" x14ac:dyDescent="0.25">
      <c r="A246" s="52" t="s">
        <v>137</v>
      </c>
      <c r="B246" s="52"/>
      <c r="C246" s="52"/>
      <c r="D246" s="52"/>
      <c r="E246" s="52"/>
      <c r="F246" s="52"/>
      <c r="G246" s="56" t="s">
        <v>138</v>
      </c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</row>
    <row r="247" spans="1:20" ht="16.5" customHeight="1" x14ac:dyDescent="0.25">
      <c r="A247" s="52" t="s">
        <v>139</v>
      </c>
      <c r="B247" s="52"/>
      <c r="C247" s="52"/>
      <c r="D247" s="52"/>
      <c r="E247" s="52"/>
      <c r="F247" s="52"/>
      <c r="G247" s="8" t="s">
        <v>46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T247" s="2"/>
    </row>
    <row r="248" spans="1:20" ht="16.5" customHeight="1" x14ac:dyDescent="0.25">
      <c r="A248" s="52" t="s">
        <v>47</v>
      </c>
      <c r="B248" s="52"/>
      <c r="C248" s="52"/>
      <c r="D248" s="52"/>
      <c r="E248" s="52"/>
      <c r="F248" s="52"/>
      <c r="G248" s="56" t="s">
        <v>48</v>
      </c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</row>
    <row r="249" spans="1:20" ht="5.2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19"/>
      <c r="K249" s="19"/>
      <c r="L249" s="19"/>
      <c r="M249" s="19"/>
      <c r="N249" s="19"/>
      <c r="O249" s="19"/>
      <c r="P249" s="19"/>
      <c r="Q249" s="19"/>
    </row>
    <row r="250" spans="1:20" ht="15" customHeight="1" x14ac:dyDescent="0.25">
      <c r="A250" s="35" t="s">
        <v>0</v>
      </c>
      <c r="B250" s="29" t="s">
        <v>1</v>
      </c>
      <c r="C250" s="30"/>
      <c r="D250" s="30"/>
      <c r="E250" s="30"/>
      <c r="F250" s="30"/>
      <c r="G250" s="31"/>
      <c r="H250" s="35" t="s">
        <v>32</v>
      </c>
      <c r="I250" s="35" t="s">
        <v>39</v>
      </c>
      <c r="J250" s="53" t="s">
        <v>2</v>
      </c>
      <c r="K250" s="54"/>
      <c r="L250" s="54"/>
      <c r="M250" s="54"/>
      <c r="N250" s="54"/>
      <c r="O250" s="54"/>
      <c r="P250" s="54"/>
      <c r="Q250" s="55"/>
      <c r="S250" s="35" t="s">
        <v>38</v>
      </c>
    </row>
    <row r="251" spans="1:20" ht="24" customHeight="1" x14ac:dyDescent="0.25">
      <c r="A251" s="36"/>
      <c r="B251" s="32"/>
      <c r="C251" s="33"/>
      <c r="D251" s="33"/>
      <c r="E251" s="33"/>
      <c r="F251" s="33"/>
      <c r="G251" s="34"/>
      <c r="H251" s="36"/>
      <c r="I251" s="36"/>
      <c r="J251" s="7" t="s">
        <v>28</v>
      </c>
      <c r="K251" s="7" t="s">
        <v>29</v>
      </c>
      <c r="L251" s="7" t="s">
        <v>30</v>
      </c>
      <c r="M251" s="7"/>
      <c r="N251" s="7"/>
      <c r="O251" s="6" t="s">
        <v>35</v>
      </c>
      <c r="P251" s="6" t="s">
        <v>36</v>
      </c>
      <c r="Q251" s="6" t="s">
        <v>37</v>
      </c>
      <c r="S251" s="36"/>
    </row>
    <row r="252" spans="1:20" ht="20.25" customHeight="1" x14ac:dyDescent="0.25">
      <c r="A252" s="27" t="s">
        <v>50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</row>
    <row r="253" spans="1:20" ht="16.5" customHeight="1" x14ac:dyDescent="0.25">
      <c r="A253" s="9"/>
      <c r="B253" s="49" t="s">
        <v>51</v>
      </c>
      <c r="C253" s="50"/>
      <c r="D253" s="50"/>
      <c r="E253" s="50"/>
      <c r="F253" s="50"/>
      <c r="G253" s="51"/>
      <c r="H253" s="20"/>
      <c r="I253" s="9">
        <v>1</v>
      </c>
      <c r="J253" s="9"/>
      <c r="K253" s="9"/>
      <c r="L253" s="9"/>
      <c r="M253" s="9">
        <f t="shared" ref="M253:M261" si="28">I253*O253</f>
        <v>6</v>
      </c>
      <c r="N253" s="9">
        <f t="shared" ref="N253:N261" si="29">I253*P253</f>
        <v>2</v>
      </c>
      <c r="O253" s="9">
        <v>6</v>
      </c>
      <c r="P253" s="9">
        <v>2</v>
      </c>
      <c r="Q253" s="9" t="s">
        <v>3</v>
      </c>
      <c r="R253" s="1">
        <v>0</v>
      </c>
      <c r="S253" s="26"/>
    </row>
    <row r="254" spans="1:20" ht="16.5" customHeight="1" x14ac:dyDescent="0.25">
      <c r="A254" s="9"/>
      <c r="B254" s="49" t="s">
        <v>78</v>
      </c>
      <c r="C254" s="50"/>
      <c r="D254" s="50"/>
      <c r="E254" s="50"/>
      <c r="F254" s="50"/>
      <c r="G254" s="51"/>
      <c r="H254" s="20"/>
      <c r="I254" s="9">
        <v>3</v>
      </c>
      <c r="J254" s="9"/>
      <c r="K254" s="9"/>
      <c r="L254" s="9"/>
      <c r="M254" s="9">
        <f t="shared" si="28"/>
        <v>12.899999999999999</v>
      </c>
      <c r="N254" s="9">
        <f t="shared" si="29"/>
        <v>3</v>
      </c>
      <c r="O254" s="9">
        <v>4.3</v>
      </c>
      <c r="P254" s="9">
        <v>1</v>
      </c>
      <c r="Q254" s="9" t="s">
        <v>8</v>
      </c>
      <c r="R254" s="1">
        <v>0</v>
      </c>
      <c r="S254" s="26"/>
    </row>
    <row r="255" spans="1:20" ht="31.2" customHeight="1" x14ac:dyDescent="0.25">
      <c r="A255" s="9"/>
      <c r="B255" s="49" t="s">
        <v>53</v>
      </c>
      <c r="C255" s="50"/>
      <c r="D255" s="50"/>
      <c r="E255" s="50"/>
      <c r="F255" s="50"/>
      <c r="G255" s="51"/>
      <c r="H255" s="20"/>
      <c r="I255" s="9">
        <v>3</v>
      </c>
      <c r="J255" s="9"/>
      <c r="K255" s="9"/>
      <c r="L255" s="9"/>
      <c r="M255" s="9">
        <f t="shared" si="28"/>
        <v>23.1</v>
      </c>
      <c r="N255" s="9">
        <f t="shared" si="29"/>
        <v>9</v>
      </c>
      <c r="O255" s="9">
        <v>7.7</v>
      </c>
      <c r="P255" s="9">
        <v>3</v>
      </c>
      <c r="Q255" s="9" t="s">
        <v>6</v>
      </c>
      <c r="R255" s="1">
        <v>0</v>
      </c>
      <c r="S255" s="26"/>
    </row>
    <row r="256" spans="1:20" ht="16.5" customHeight="1" x14ac:dyDescent="0.25">
      <c r="A256" s="9"/>
      <c r="B256" s="49" t="s">
        <v>52</v>
      </c>
      <c r="C256" s="50"/>
      <c r="D256" s="50"/>
      <c r="E256" s="50"/>
      <c r="F256" s="50"/>
      <c r="G256" s="51"/>
      <c r="H256" s="20"/>
      <c r="I256" s="9">
        <v>1</v>
      </c>
      <c r="J256" s="9"/>
      <c r="K256" s="9"/>
      <c r="L256" s="9"/>
      <c r="M256" s="9">
        <f t="shared" si="28"/>
        <v>7.7</v>
      </c>
      <c r="N256" s="9">
        <f t="shared" si="29"/>
        <v>3</v>
      </c>
      <c r="O256" s="9">
        <v>7.7</v>
      </c>
      <c r="P256" s="9">
        <v>3</v>
      </c>
      <c r="Q256" s="9" t="s">
        <v>6</v>
      </c>
      <c r="R256" s="1">
        <v>0</v>
      </c>
      <c r="S256" s="26"/>
    </row>
    <row r="257" spans="1:19" ht="16.5" customHeight="1" x14ac:dyDescent="0.25">
      <c r="A257" s="9"/>
      <c r="B257" s="49" t="s">
        <v>55</v>
      </c>
      <c r="C257" s="50"/>
      <c r="D257" s="50"/>
      <c r="E257" s="50"/>
      <c r="F257" s="50"/>
      <c r="G257" s="51"/>
      <c r="H257" s="20"/>
      <c r="I257" s="9">
        <v>1</v>
      </c>
      <c r="J257" s="9"/>
      <c r="K257" s="9"/>
      <c r="L257" s="9"/>
      <c r="M257" s="9">
        <f t="shared" si="28"/>
        <v>7.8</v>
      </c>
      <c r="N257" s="9">
        <f t="shared" si="29"/>
        <v>3</v>
      </c>
      <c r="O257" s="9">
        <v>7.8</v>
      </c>
      <c r="P257" s="9">
        <v>3</v>
      </c>
      <c r="Q257" s="9" t="s">
        <v>6</v>
      </c>
      <c r="R257" s="1">
        <v>0</v>
      </c>
      <c r="S257" s="26"/>
    </row>
    <row r="258" spans="1:19" ht="16.5" customHeight="1" x14ac:dyDescent="0.25">
      <c r="A258" s="9"/>
      <c r="B258" s="49" t="s">
        <v>54</v>
      </c>
      <c r="C258" s="50"/>
      <c r="D258" s="50"/>
      <c r="E258" s="50"/>
      <c r="F258" s="50"/>
      <c r="G258" s="51"/>
      <c r="H258" s="20"/>
      <c r="I258" s="9">
        <v>3</v>
      </c>
      <c r="J258" s="9"/>
      <c r="K258" s="9"/>
      <c r="L258" s="9"/>
      <c r="M258" s="9">
        <f t="shared" si="28"/>
        <v>22.799999999999997</v>
      </c>
      <c r="N258" s="9">
        <f t="shared" si="29"/>
        <v>9</v>
      </c>
      <c r="O258" s="9">
        <v>7.6</v>
      </c>
      <c r="P258" s="9">
        <v>3</v>
      </c>
      <c r="Q258" s="9" t="s">
        <v>6</v>
      </c>
      <c r="R258" s="1">
        <v>0</v>
      </c>
      <c r="S258" s="26"/>
    </row>
    <row r="259" spans="1:19" ht="16.5" customHeight="1" x14ac:dyDescent="0.25">
      <c r="A259" s="9"/>
      <c r="B259" s="49" t="s">
        <v>56</v>
      </c>
      <c r="C259" s="50"/>
      <c r="D259" s="50"/>
      <c r="E259" s="50"/>
      <c r="F259" s="50"/>
      <c r="G259" s="51"/>
      <c r="H259" s="20"/>
      <c r="I259" s="9">
        <v>2</v>
      </c>
      <c r="J259" s="9"/>
      <c r="K259" s="9"/>
      <c r="L259" s="9"/>
      <c r="M259" s="9">
        <f t="shared" si="28"/>
        <v>14.6</v>
      </c>
      <c r="N259" s="9">
        <f t="shared" si="29"/>
        <v>6</v>
      </c>
      <c r="O259" s="9">
        <v>7.3</v>
      </c>
      <c r="P259" s="9">
        <v>3</v>
      </c>
      <c r="Q259" s="9" t="s">
        <v>6</v>
      </c>
      <c r="R259" s="1">
        <v>0</v>
      </c>
      <c r="S259" s="26"/>
    </row>
    <row r="260" spans="1:19" ht="16.5" hidden="1" customHeight="1" x14ac:dyDescent="0.25">
      <c r="A260" s="21"/>
      <c r="H260" s="21"/>
      <c r="I260" s="21"/>
      <c r="J260" s="21"/>
      <c r="K260" s="21"/>
      <c r="L260" s="21"/>
      <c r="M260" s="9">
        <f t="shared" si="28"/>
        <v>0</v>
      </c>
      <c r="N260" s="9">
        <f t="shared" si="29"/>
        <v>0</v>
      </c>
      <c r="O260" s="21"/>
      <c r="P260" s="21"/>
      <c r="Q260" s="21"/>
      <c r="S260" s="25"/>
    </row>
    <row r="261" spans="1:19" ht="16.5" customHeight="1" x14ac:dyDescent="0.25">
      <c r="A261" s="9"/>
      <c r="B261" s="38" t="s">
        <v>42</v>
      </c>
      <c r="C261" s="39"/>
      <c r="D261" s="39"/>
      <c r="E261" s="39"/>
      <c r="F261" s="39"/>
      <c r="G261" s="40"/>
      <c r="H261" s="23"/>
      <c r="I261" s="24">
        <f>SUM(I253:I260)</f>
        <v>14</v>
      </c>
      <c r="J261" s="9"/>
      <c r="K261" s="9"/>
      <c r="L261" s="9"/>
      <c r="M261" s="9">
        <f t="shared" si="28"/>
        <v>94.92</v>
      </c>
      <c r="N261" s="9">
        <f t="shared" si="29"/>
        <v>35</v>
      </c>
      <c r="O261" s="24">
        <f>ROUND(SUM(M253:M260)/I261,2)</f>
        <v>6.78</v>
      </c>
      <c r="P261" s="24">
        <f>ROUND(SUM(N253:N260)/I261,2)</f>
        <v>2.5</v>
      </c>
      <c r="Q261" s="9"/>
      <c r="S261" s="25"/>
    </row>
    <row r="262" spans="1:19" ht="20.25" customHeight="1" x14ac:dyDescent="0.25">
      <c r="A262" s="27" t="s">
        <v>57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</row>
    <row r="263" spans="1:19" ht="16.5" customHeight="1" x14ac:dyDescent="0.25">
      <c r="A263" s="9"/>
      <c r="B263" s="49" t="s">
        <v>136</v>
      </c>
      <c r="C263" s="50"/>
      <c r="D263" s="50"/>
      <c r="E263" s="50"/>
      <c r="F263" s="50"/>
      <c r="G263" s="51"/>
      <c r="H263" s="20"/>
      <c r="I263" s="9">
        <v>4</v>
      </c>
      <c r="J263" s="9"/>
      <c r="K263" s="9"/>
      <c r="L263" s="9"/>
      <c r="M263" s="9">
        <f t="shared" ref="M263:M271" si="30">I263*O263</f>
        <v>28</v>
      </c>
      <c r="N263" s="9">
        <f t="shared" ref="N263:N271" si="31">I263*P263</f>
        <v>12</v>
      </c>
      <c r="O263" s="9">
        <v>7</v>
      </c>
      <c r="P263" s="9">
        <v>3</v>
      </c>
      <c r="Q263" s="9" t="s">
        <v>6</v>
      </c>
      <c r="R263" s="1">
        <v>0</v>
      </c>
      <c r="S263" s="26"/>
    </row>
    <row r="264" spans="1:19" ht="16.5" customHeight="1" x14ac:dyDescent="0.25">
      <c r="A264" s="9"/>
      <c r="B264" s="49" t="s">
        <v>91</v>
      </c>
      <c r="C264" s="50"/>
      <c r="D264" s="50"/>
      <c r="E264" s="50"/>
      <c r="F264" s="50"/>
      <c r="G264" s="51"/>
      <c r="H264" s="20"/>
      <c r="I264" s="9">
        <v>4</v>
      </c>
      <c r="J264" s="9"/>
      <c r="K264" s="9"/>
      <c r="L264" s="9"/>
      <c r="M264" s="9">
        <f t="shared" si="30"/>
        <v>20.8</v>
      </c>
      <c r="N264" s="9">
        <f t="shared" si="31"/>
        <v>6</v>
      </c>
      <c r="O264" s="9">
        <v>5.2</v>
      </c>
      <c r="P264" s="9">
        <v>1.5</v>
      </c>
      <c r="Q264" s="9" t="s">
        <v>4</v>
      </c>
      <c r="R264" s="1">
        <v>0</v>
      </c>
      <c r="S264" s="26"/>
    </row>
    <row r="265" spans="1:19" ht="16.5" customHeight="1" x14ac:dyDescent="0.25">
      <c r="A265" s="9"/>
      <c r="B265" s="49" t="s">
        <v>60</v>
      </c>
      <c r="C265" s="50"/>
      <c r="D265" s="50"/>
      <c r="E265" s="50"/>
      <c r="F265" s="50"/>
      <c r="G265" s="51"/>
      <c r="H265" s="20"/>
      <c r="I265" s="9">
        <v>4</v>
      </c>
      <c r="J265" s="9"/>
      <c r="K265" s="9"/>
      <c r="L265" s="9"/>
      <c r="M265" s="9">
        <f t="shared" si="30"/>
        <v>30.8</v>
      </c>
      <c r="N265" s="9">
        <f t="shared" si="31"/>
        <v>12</v>
      </c>
      <c r="O265" s="9">
        <v>7.7</v>
      </c>
      <c r="P265" s="9">
        <v>3</v>
      </c>
      <c r="Q265" s="9" t="s">
        <v>6</v>
      </c>
      <c r="R265" s="1">
        <v>0</v>
      </c>
      <c r="S265" s="26"/>
    </row>
    <row r="266" spans="1:19" ht="16.5" customHeight="1" x14ac:dyDescent="0.25">
      <c r="A266" s="9"/>
      <c r="B266" s="49" t="s">
        <v>59</v>
      </c>
      <c r="C266" s="50"/>
      <c r="D266" s="50"/>
      <c r="E266" s="50"/>
      <c r="F266" s="50"/>
      <c r="G266" s="51"/>
      <c r="H266" s="20"/>
      <c r="I266" s="9">
        <v>1</v>
      </c>
      <c r="J266" s="9"/>
      <c r="K266" s="9"/>
      <c r="L266" s="9"/>
      <c r="M266" s="9">
        <f t="shared" si="30"/>
        <v>7.7</v>
      </c>
      <c r="N266" s="9">
        <f t="shared" si="31"/>
        <v>3</v>
      </c>
      <c r="O266" s="9">
        <v>7.7</v>
      </c>
      <c r="P266" s="9">
        <v>3</v>
      </c>
      <c r="Q266" s="9" t="s">
        <v>6</v>
      </c>
      <c r="R266" s="1">
        <v>0</v>
      </c>
      <c r="S266" s="26"/>
    </row>
    <row r="267" spans="1:19" ht="16.5" customHeight="1" x14ac:dyDescent="0.25">
      <c r="A267" s="9"/>
      <c r="B267" s="49" t="s">
        <v>58</v>
      </c>
      <c r="C267" s="50"/>
      <c r="D267" s="50"/>
      <c r="E267" s="50"/>
      <c r="F267" s="50"/>
      <c r="G267" s="51"/>
      <c r="H267" s="20"/>
      <c r="I267" s="9">
        <v>1</v>
      </c>
      <c r="J267" s="9"/>
      <c r="K267" s="9"/>
      <c r="L267" s="9"/>
      <c r="M267" s="9">
        <f t="shared" si="30"/>
        <v>8</v>
      </c>
      <c r="N267" s="9">
        <f t="shared" si="31"/>
        <v>3.5</v>
      </c>
      <c r="O267" s="9">
        <v>8</v>
      </c>
      <c r="P267" s="9">
        <v>3.5</v>
      </c>
      <c r="Q267" s="9" t="s">
        <v>9</v>
      </c>
      <c r="R267" s="1">
        <v>0</v>
      </c>
      <c r="S267" s="26"/>
    </row>
    <row r="268" spans="1:19" ht="16.5" customHeight="1" x14ac:dyDescent="0.25">
      <c r="A268" s="9"/>
      <c r="B268" s="49" t="s">
        <v>61</v>
      </c>
      <c r="C268" s="50"/>
      <c r="D268" s="50"/>
      <c r="E268" s="50"/>
      <c r="F268" s="50"/>
      <c r="G268" s="51"/>
      <c r="H268" s="20"/>
      <c r="I268" s="9">
        <v>1</v>
      </c>
      <c r="J268" s="9"/>
      <c r="K268" s="9"/>
      <c r="L268" s="9"/>
      <c r="M268" s="9">
        <f t="shared" si="30"/>
        <v>7.9</v>
      </c>
      <c r="N268" s="9">
        <f t="shared" si="31"/>
        <v>3</v>
      </c>
      <c r="O268" s="9">
        <v>7.9</v>
      </c>
      <c r="P268" s="9">
        <v>3</v>
      </c>
      <c r="Q268" s="9" t="s">
        <v>6</v>
      </c>
      <c r="R268" s="1">
        <v>0</v>
      </c>
      <c r="S268" s="26"/>
    </row>
    <row r="269" spans="1:19" ht="16.5" customHeight="1" x14ac:dyDescent="0.25">
      <c r="A269" s="9"/>
      <c r="B269" s="49" t="s">
        <v>62</v>
      </c>
      <c r="C269" s="50"/>
      <c r="D269" s="50"/>
      <c r="E269" s="50"/>
      <c r="F269" s="50"/>
      <c r="G269" s="51"/>
      <c r="H269" s="20"/>
      <c r="I269" s="9">
        <v>1</v>
      </c>
      <c r="J269" s="9"/>
      <c r="K269" s="9"/>
      <c r="L269" s="9"/>
      <c r="M269" s="9">
        <f t="shared" si="30"/>
        <v>7.1</v>
      </c>
      <c r="N269" s="9">
        <f t="shared" si="31"/>
        <v>3</v>
      </c>
      <c r="O269" s="9">
        <v>7.1</v>
      </c>
      <c r="P269" s="9">
        <v>3</v>
      </c>
      <c r="Q269" s="9" t="s">
        <v>6</v>
      </c>
      <c r="R269" s="1">
        <v>0</v>
      </c>
      <c r="S269" s="26"/>
    </row>
    <row r="270" spans="1:19" ht="16.5" hidden="1" customHeight="1" x14ac:dyDescent="0.25">
      <c r="A270" s="21"/>
      <c r="H270" s="21"/>
      <c r="I270" s="21"/>
      <c r="J270" s="21"/>
      <c r="K270" s="21"/>
      <c r="L270" s="21"/>
      <c r="M270" s="9">
        <f t="shared" si="30"/>
        <v>0</v>
      </c>
      <c r="N270" s="9">
        <f t="shared" si="31"/>
        <v>0</v>
      </c>
      <c r="O270" s="21"/>
      <c r="P270" s="21"/>
      <c r="Q270" s="21"/>
      <c r="S270" s="25"/>
    </row>
    <row r="271" spans="1:19" ht="16.5" customHeight="1" x14ac:dyDescent="0.25">
      <c r="A271" s="9"/>
      <c r="B271" s="38" t="s">
        <v>42</v>
      </c>
      <c r="C271" s="39"/>
      <c r="D271" s="39"/>
      <c r="E271" s="39"/>
      <c r="F271" s="39"/>
      <c r="G271" s="40"/>
      <c r="H271" s="23"/>
      <c r="I271" s="24">
        <f>SUM(I263:I270)</f>
        <v>16</v>
      </c>
      <c r="J271" s="9"/>
      <c r="K271" s="9"/>
      <c r="L271" s="9"/>
      <c r="M271" s="9">
        <f t="shared" si="30"/>
        <v>110.24</v>
      </c>
      <c r="N271" s="9">
        <f t="shared" si="31"/>
        <v>42.56</v>
      </c>
      <c r="O271" s="24">
        <f>ROUND(SUM(M263:M270)/I271,2)</f>
        <v>6.89</v>
      </c>
      <c r="P271" s="24">
        <f>ROUND(SUM(N263:N270)/I271,2)</f>
        <v>2.66</v>
      </c>
      <c r="Q271" s="9"/>
      <c r="S271" s="25"/>
    </row>
    <row r="272" spans="1:19" ht="20.25" customHeight="1" x14ac:dyDescent="0.25">
      <c r="A272" s="27" t="s">
        <v>67</v>
      </c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</row>
    <row r="273" spans="1:19" ht="16.5" customHeight="1" x14ac:dyDescent="0.25">
      <c r="A273" s="9"/>
      <c r="B273" s="49" t="s">
        <v>73</v>
      </c>
      <c r="C273" s="50"/>
      <c r="D273" s="50"/>
      <c r="E273" s="50"/>
      <c r="F273" s="50"/>
      <c r="G273" s="51"/>
      <c r="H273" s="20"/>
      <c r="I273" s="9">
        <v>4</v>
      </c>
      <c r="J273" s="9"/>
      <c r="K273" s="9"/>
      <c r="L273" s="9"/>
      <c r="M273" s="9">
        <f t="shared" ref="M273:M283" si="32">I273*O273</f>
        <v>23.2</v>
      </c>
      <c r="N273" s="9">
        <f t="shared" ref="N273:N283" si="33">I273*P273</f>
        <v>8</v>
      </c>
      <c r="O273" s="9">
        <v>5.8</v>
      </c>
      <c r="P273" s="9">
        <v>2</v>
      </c>
      <c r="Q273" s="9" t="s">
        <v>3</v>
      </c>
      <c r="R273" s="1">
        <v>0</v>
      </c>
      <c r="S273" s="26"/>
    </row>
    <row r="274" spans="1:19" ht="16.5" customHeight="1" x14ac:dyDescent="0.25">
      <c r="A274" s="9"/>
      <c r="B274" s="49" t="s">
        <v>68</v>
      </c>
      <c r="C274" s="50"/>
      <c r="D274" s="50"/>
      <c r="E274" s="50"/>
      <c r="F274" s="50"/>
      <c r="G274" s="51"/>
      <c r="H274" s="20"/>
      <c r="I274" s="9">
        <v>3</v>
      </c>
      <c r="J274" s="9"/>
      <c r="K274" s="9"/>
      <c r="L274" s="9"/>
      <c r="M274" s="9">
        <f t="shared" si="32"/>
        <v>22.799999999999997</v>
      </c>
      <c r="N274" s="9">
        <f t="shared" si="33"/>
        <v>9</v>
      </c>
      <c r="O274" s="9">
        <v>7.6</v>
      </c>
      <c r="P274" s="9">
        <v>3</v>
      </c>
      <c r="Q274" s="9" t="s">
        <v>6</v>
      </c>
      <c r="R274" s="1">
        <v>0</v>
      </c>
      <c r="S274" s="26"/>
    </row>
    <row r="275" spans="1:19" ht="16.5" customHeight="1" x14ac:dyDescent="0.25">
      <c r="A275" s="9"/>
      <c r="B275" s="49" t="s">
        <v>71</v>
      </c>
      <c r="C275" s="50"/>
      <c r="D275" s="50"/>
      <c r="E275" s="50"/>
      <c r="F275" s="50"/>
      <c r="G275" s="51"/>
      <c r="H275" s="20"/>
      <c r="I275" s="9">
        <v>1</v>
      </c>
      <c r="J275" s="9"/>
      <c r="K275" s="9"/>
      <c r="L275" s="9"/>
      <c r="M275" s="9">
        <f t="shared" si="32"/>
        <v>6.4</v>
      </c>
      <c r="N275" s="9">
        <f t="shared" si="33"/>
        <v>2</v>
      </c>
      <c r="O275" s="9">
        <v>6.4</v>
      </c>
      <c r="P275" s="9">
        <v>2</v>
      </c>
      <c r="Q275" s="9" t="s">
        <v>3</v>
      </c>
      <c r="R275" s="1">
        <v>0</v>
      </c>
      <c r="S275" s="26"/>
    </row>
    <row r="276" spans="1:19" ht="16.5" customHeight="1" x14ac:dyDescent="0.25">
      <c r="A276" s="9"/>
      <c r="B276" s="49" t="s">
        <v>70</v>
      </c>
      <c r="C276" s="50"/>
      <c r="D276" s="50"/>
      <c r="E276" s="50"/>
      <c r="F276" s="50"/>
      <c r="G276" s="51"/>
      <c r="H276" s="20"/>
      <c r="I276" s="9">
        <v>2</v>
      </c>
      <c r="J276" s="9"/>
      <c r="K276" s="9"/>
      <c r="L276" s="9"/>
      <c r="M276" s="9">
        <f t="shared" si="32"/>
        <v>16.399999999999999</v>
      </c>
      <c r="N276" s="9">
        <f t="shared" si="33"/>
        <v>7</v>
      </c>
      <c r="O276" s="9">
        <v>8.1999999999999993</v>
      </c>
      <c r="P276" s="9">
        <v>3.5</v>
      </c>
      <c r="Q276" s="9" t="s">
        <v>9</v>
      </c>
      <c r="R276" s="1">
        <v>0</v>
      </c>
      <c r="S276" s="26"/>
    </row>
    <row r="277" spans="1:19" ht="16.5" customHeight="1" x14ac:dyDescent="0.25">
      <c r="A277" s="9"/>
      <c r="B277" s="49" t="s">
        <v>77</v>
      </c>
      <c r="C277" s="50"/>
      <c r="D277" s="50"/>
      <c r="E277" s="50"/>
      <c r="F277" s="50"/>
      <c r="G277" s="51"/>
      <c r="H277" s="20"/>
      <c r="I277" s="9">
        <v>1</v>
      </c>
      <c r="J277" s="9"/>
      <c r="K277" s="9"/>
      <c r="L277" s="9"/>
      <c r="M277" s="9">
        <f t="shared" si="32"/>
        <v>5.5</v>
      </c>
      <c r="N277" s="9">
        <f t="shared" si="33"/>
        <v>2</v>
      </c>
      <c r="O277" s="9">
        <v>5.5</v>
      </c>
      <c r="P277" s="9">
        <v>2</v>
      </c>
      <c r="Q277" s="9" t="s">
        <v>3</v>
      </c>
      <c r="R277" s="1">
        <v>0</v>
      </c>
      <c r="S277" s="26"/>
    </row>
    <row r="278" spans="1:19" ht="16.5" customHeight="1" x14ac:dyDescent="0.25">
      <c r="A278" s="9"/>
      <c r="B278" s="49" t="s">
        <v>72</v>
      </c>
      <c r="C278" s="50"/>
      <c r="D278" s="50"/>
      <c r="E278" s="50"/>
      <c r="F278" s="50"/>
      <c r="G278" s="51"/>
      <c r="H278" s="20"/>
      <c r="I278" s="9">
        <v>4</v>
      </c>
      <c r="J278" s="9"/>
      <c r="K278" s="9"/>
      <c r="L278" s="9"/>
      <c r="M278" s="9">
        <f t="shared" si="32"/>
        <v>26.8</v>
      </c>
      <c r="N278" s="9">
        <f t="shared" si="33"/>
        <v>10</v>
      </c>
      <c r="O278" s="9">
        <v>6.7</v>
      </c>
      <c r="P278" s="9">
        <v>2.5</v>
      </c>
      <c r="Q278" s="9" t="s">
        <v>5</v>
      </c>
      <c r="R278" s="1">
        <v>0</v>
      </c>
      <c r="S278" s="26"/>
    </row>
    <row r="279" spans="1:19" ht="16.5" customHeight="1" x14ac:dyDescent="0.25">
      <c r="A279" s="9"/>
      <c r="B279" s="49" t="s">
        <v>74</v>
      </c>
      <c r="C279" s="50"/>
      <c r="D279" s="50"/>
      <c r="E279" s="50"/>
      <c r="F279" s="50"/>
      <c r="G279" s="51"/>
      <c r="H279" s="20"/>
      <c r="I279" s="9">
        <v>3</v>
      </c>
      <c r="J279" s="9"/>
      <c r="K279" s="9"/>
      <c r="L279" s="9"/>
      <c r="M279" s="9">
        <f t="shared" si="32"/>
        <v>18</v>
      </c>
      <c r="N279" s="9">
        <f t="shared" si="33"/>
        <v>6</v>
      </c>
      <c r="O279" s="9">
        <v>6</v>
      </c>
      <c r="P279" s="9">
        <v>2</v>
      </c>
      <c r="Q279" s="9" t="s">
        <v>3</v>
      </c>
      <c r="R279" s="1">
        <v>0</v>
      </c>
      <c r="S279" s="26"/>
    </row>
    <row r="280" spans="1:19" ht="16.5" customHeight="1" x14ac:dyDescent="0.25">
      <c r="A280" s="9"/>
      <c r="B280" s="49" t="s">
        <v>76</v>
      </c>
      <c r="C280" s="50"/>
      <c r="D280" s="50"/>
      <c r="E280" s="50"/>
      <c r="F280" s="50"/>
      <c r="G280" s="51"/>
      <c r="H280" s="20"/>
      <c r="I280" s="9">
        <v>4</v>
      </c>
      <c r="J280" s="9"/>
      <c r="K280" s="9"/>
      <c r="L280" s="9"/>
      <c r="M280" s="9">
        <f t="shared" si="32"/>
        <v>30.8</v>
      </c>
      <c r="N280" s="9">
        <f t="shared" si="33"/>
        <v>12</v>
      </c>
      <c r="O280" s="9">
        <v>7.7</v>
      </c>
      <c r="P280" s="9">
        <v>3</v>
      </c>
      <c r="Q280" s="9" t="s">
        <v>6</v>
      </c>
      <c r="R280" s="1">
        <v>0</v>
      </c>
      <c r="S280" s="26"/>
    </row>
    <row r="281" spans="1:19" ht="16.5" customHeight="1" x14ac:dyDescent="0.25">
      <c r="A281" s="9"/>
      <c r="B281" s="49" t="s">
        <v>80</v>
      </c>
      <c r="C281" s="50"/>
      <c r="D281" s="50"/>
      <c r="E281" s="50"/>
      <c r="F281" s="50"/>
      <c r="G281" s="51"/>
      <c r="H281" s="20"/>
      <c r="I281" s="9">
        <v>4</v>
      </c>
      <c r="J281" s="9"/>
      <c r="K281" s="9"/>
      <c r="L281" s="9"/>
      <c r="M281" s="9">
        <f t="shared" si="32"/>
        <v>24</v>
      </c>
      <c r="N281" s="9">
        <f t="shared" si="33"/>
        <v>8</v>
      </c>
      <c r="O281" s="9">
        <v>6</v>
      </c>
      <c r="P281" s="9">
        <v>2</v>
      </c>
      <c r="Q281" s="9" t="s">
        <v>3</v>
      </c>
      <c r="R281" s="1">
        <v>0</v>
      </c>
      <c r="S281" s="26"/>
    </row>
    <row r="282" spans="1:19" ht="16.5" hidden="1" customHeight="1" x14ac:dyDescent="0.25">
      <c r="A282" s="21"/>
      <c r="H282" s="21"/>
      <c r="I282" s="21"/>
      <c r="J282" s="21"/>
      <c r="K282" s="21"/>
      <c r="L282" s="21"/>
      <c r="M282" s="9">
        <f t="shared" si="32"/>
        <v>0</v>
      </c>
      <c r="N282" s="9">
        <f t="shared" si="33"/>
        <v>0</v>
      </c>
      <c r="O282" s="21"/>
      <c r="P282" s="21"/>
      <c r="Q282" s="21"/>
      <c r="S282" s="25"/>
    </row>
    <row r="283" spans="1:19" ht="16.5" customHeight="1" x14ac:dyDescent="0.25">
      <c r="A283" s="9"/>
      <c r="B283" s="38" t="s">
        <v>42</v>
      </c>
      <c r="C283" s="39"/>
      <c r="D283" s="39"/>
      <c r="E283" s="39"/>
      <c r="F283" s="39"/>
      <c r="G283" s="40"/>
      <c r="H283" s="23"/>
      <c r="I283" s="24">
        <f>SUM(I273:I282)</f>
        <v>26</v>
      </c>
      <c r="J283" s="9"/>
      <c r="K283" s="9"/>
      <c r="L283" s="9"/>
      <c r="M283" s="9">
        <f t="shared" si="32"/>
        <v>173.94</v>
      </c>
      <c r="N283" s="9">
        <f t="shared" si="33"/>
        <v>63.96</v>
      </c>
      <c r="O283" s="24">
        <f>ROUND(SUM(M273:M282)/I283,2)</f>
        <v>6.69</v>
      </c>
      <c r="P283" s="24">
        <f>ROUND(SUM(N273:N282)/I283,2)</f>
        <v>2.46</v>
      </c>
      <c r="Q283" s="9"/>
      <c r="S283" s="25"/>
    </row>
    <row r="284" spans="1:19" ht="20.25" customHeight="1" x14ac:dyDescent="0.25">
      <c r="A284" s="27" t="s">
        <v>82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</row>
    <row r="285" spans="1:19" ht="16.5" customHeight="1" x14ac:dyDescent="0.25">
      <c r="A285" s="9"/>
      <c r="B285" s="49" t="s">
        <v>86</v>
      </c>
      <c r="C285" s="50"/>
      <c r="D285" s="50"/>
      <c r="E285" s="50"/>
      <c r="F285" s="50"/>
      <c r="G285" s="51"/>
      <c r="H285" s="20"/>
      <c r="I285" s="9">
        <v>3</v>
      </c>
      <c r="J285" s="9"/>
      <c r="K285" s="9"/>
      <c r="L285" s="9"/>
      <c r="M285" s="9">
        <f>I285*O285</f>
        <v>17.700000000000003</v>
      </c>
      <c r="N285" s="9">
        <f>I285*P285</f>
        <v>6</v>
      </c>
      <c r="O285" s="9">
        <v>5.9</v>
      </c>
      <c r="P285" s="9">
        <v>2</v>
      </c>
      <c r="Q285" s="9" t="s">
        <v>3</v>
      </c>
      <c r="R285" s="1">
        <v>0</v>
      </c>
      <c r="S285" s="26"/>
    </row>
    <row r="286" spans="1:19" ht="16.5" customHeight="1" x14ac:dyDescent="0.25">
      <c r="A286" s="9"/>
      <c r="B286" s="49" t="s">
        <v>83</v>
      </c>
      <c r="C286" s="50"/>
      <c r="D286" s="50"/>
      <c r="E286" s="50"/>
      <c r="F286" s="50"/>
      <c r="G286" s="51"/>
      <c r="H286" s="20"/>
      <c r="I286" s="9">
        <v>1</v>
      </c>
      <c r="J286" s="9"/>
      <c r="K286" s="9"/>
      <c r="L286" s="9"/>
      <c r="M286" s="9">
        <f>I286*O286</f>
        <v>3</v>
      </c>
      <c r="N286" s="9">
        <f>I286*P286</f>
        <v>0</v>
      </c>
      <c r="O286" s="9">
        <v>3</v>
      </c>
      <c r="P286" s="9">
        <v>0</v>
      </c>
      <c r="Q286" s="9" t="s">
        <v>7</v>
      </c>
      <c r="R286" s="1">
        <v>0</v>
      </c>
      <c r="S286" s="26"/>
    </row>
    <row r="287" spans="1:19" ht="16.5" customHeight="1" x14ac:dyDescent="0.25">
      <c r="A287" s="9"/>
      <c r="B287" s="49" t="s">
        <v>75</v>
      </c>
      <c r="C287" s="50"/>
      <c r="D287" s="50"/>
      <c r="E287" s="50"/>
      <c r="F287" s="50"/>
      <c r="G287" s="51"/>
      <c r="H287" s="20"/>
      <c r="I287" s="9">
        <v>3</v>
      </c>
      <c r="J287" s="9"/>
      <c r="K287" s="9"/>
      <c r="L287" s="9"/>
      <c r="M287" s="9">
        <f>I287*O287</f>
        <v>20.100000000000001</v>
      </c>
      <c r="N287" s="9">
        <f>I287*P287</f>
        <v>7.5</v>
      </c>
      <c r="O287" s="9">
        <v>6.7</v>
      </c>
      <c r="P287" s="9">
        <v>2.5</v>
      </c>
      <c r="Q287" s="9" t="s">
        <v>5</v>
      </c>
      <c r="R287" s="1">
        <v>0</v>
      </c>
      <c r="S287" s="26"/>
    </row>
    <row r="288" spans="1:19" ht="16.5" customHeight="1" x14ac:dyDescent="0.25">
      <c r="A288" s="9"/>
      <c r="B288" s="49" t="s">
        <v>93</v>
      </c>
      <c r="C288" s="50"/>
      <c r="D288" s="50"/>
      <c r="E288" s="50"/>
      <c r="F288" s="50"/>
      <c r="G288" s="51"/>
      <c r="H288" s="20"/>
      <c r="I288" s="9">
        <v>2</v>
      </c>
      <c r="J288" s="9"/>
      <c r="K288" s="9"/>
      <c r="L288" s="9"/>
      <c r="M288" s="9">
        <f>I288*O288</f>
        <v>14.8</v>
      </c>
      <c r="N288" s="9">
        <f>I288*P288</f>
        <v>6</v>
      </c>
      <c r="O288" s="9">
        <v>7.4</v>
      </c>
      <c r="P288" s="9">
        <v>3</v>
      </c>
      <c r="Q288" s="9" t="s">
        <v>6</v>
      </c>
      <c r="R288" s="1">
        <v>0</v>
      </c>
      <c r="S288" s="26"/>
    </row>
    <row r="289" spans="1:19" ht="16.5" customHeight="1" x14ac:dyDescent="0.25">
      <c r="A289" s="9"/>
      <c r="B289" s="49" t="s">
        <v>90</v>
      </c>
      <c r="C289" s="50"/>
      <c r="D289" s="50"/>
      <c r="E289" s="50"/>
      <c r="F289" s="50"/>
      <c r="G289" s="51"/>
      <c r="H289" s="20"/>
      <c r="I289" s="9">
        <v>2</v>
      </c>
      <c r="J289" s="9"/>
      <c r="K289" s="9"/>
      <c r="L289" s="9"/>
      <c r="M289" s="9">
        <f>I289*O289</f>
        <v>15.2</v>
      </c>
      <c r="N289" s="9">
        <f>I289*P289</f>
        <v>6</v>
      </c>
      <c r="O289" s="9">
        <v>7.6</v>
      </c>
      <c r="P289" s="9">
        <v>3</v>
      </c>
      <c r="Q289" s="9" t="s">
        <v>6</v>
      </c>
      <c r="R289" s="1">
        <v>0</v>
      </c>
      <c r="S289" s="26"/>
    </row>
    <row r="290" spans="1:19" ht="15" customHeight="1" x14ac:dyDescent="0.25">
      <c r="A290" s="35" t="s">
        <v>0</v>
      </c>
      <c r="B290" s="29" t="s">
        <v>1</v>
      </c>
      <c r="C290" s="30"/>
      <c r="D290" s="30"/>
      <c r="E290" s="30"/>
      <c r="F290" s="30"/>
      <c r="G290" s="31"/>
      <c r="H290" s="35" t="s">
        <v>32</v>
      </c>
      <c r="I290" s="35" t="s">
        <v>39</v>
      </c>
      <c r="J290" s="53" t="s">
        <v>2</v>
      </c>
      <c r="K290" s="54"/>
      <c r="L290" s="54"/>
      <c r="M290" s="54"/>
      <c r="N290" s="54"/>
      <c r="O290" s="54"/>
      <c r="P290" s="54"/>
      <c r="Q290" s="55"/>
      <c r="S290" s="35" t="s">
        <v>38</v>
      </c>
    </row>
    <row r="291" spans="1:19" ht="24" customHeight="1" x14ac:dyDescent="0.25">
      <c r="A291" s="36"/>
      <c r="B291" s="32"/>
      <c r="C291" s="33"/>
      <c r="D291" s="33"/>
      <c r="E291" s="33"/>
      <c r="F291" s="33"/>
      <c r="G291" s="34"/>
      <c r="H291" s="36"/>
      <c r="I291" s="36"/>
      <c r="J291" s="7" t="s">
        <v>28</v>
      </c>
      <c r="K291" s="7" t="s">
        <v>29</v>
      </c>
      <c r="L291" s="7" t="s">
        <v>30</v>
      </c>
      <c r="M291" s="7"/>
      <c r="N291" s="7"/>
      <c r="O291" s="6" t="s">
        <v>35</v>
      </c>
      <c r="P291" s="6" t="s">
        <v>36</v>
      </c>
      <c r="Q291" s="6" t="s">
        <v>37</v>
      </c>
      <c r="S291" s="36"/>
    </row>
    <row r="292" spans="1:19" ht="16.5" customHeight="1" x14ac:dyDescent="0.25">
      <c r="A292" s="9"/>
      <c r="B292" s="49" t="s">
        <v>95</v>
      </c>
      <c r="C292" s="50"/>
      <c r="D292" s="50"/>
      <c r="E292" s="50"/>
      <c r="F292" s="50"/>
      <c r="G292" s="51"/>
      <c r="H292" s="20"/>
      <c r="I292" s="9">
        <v>1</v>
      </c>
      <c r="J292" s="9"/>
      <c r="K292" s="9"/>
      <c r="L292" s="9"/>
      <c r="M292" s="9">
        <f t="shared" ref="M292:M298" si="34">I292*O292</f>
        <v>7.5</v>
      </c>
      <c r="N292" s="9">
        <f t="shared" ref="N292:N298" si="35">I292*P292</f>
        <v>3</v>
      </c>
      <c r="O292" s="9">
        <v>7.5</v>
      </c>
      <c r="P292" s="9">
        <v>3</v>
      </c>
      <c r="Q292" s="9" t="s">
        <v>6</v>
      </c>
      <c r="R292" s="1">
        <v>0</v>
      </c>
      <c r="S292" s="26"/>
    </row>
    <row r="293" spans="1:19" ht="16.5" customHeight="1" x14ac:dyDescent="0.25">
      <c r="A293" s="9"/>
      <c r="B293" s="49" t="s">
        <v>88</v>
      </c>
      <c r="C293" s="50"/>
      <c r="D293" s="50"/>
      <c r="E293" s="50"/>
      <c r="F293" s="50"/>
      <c r="G293" s="51"/>
      <c r="H293" s="20"/>
      <c r="I293" s="9">
        <v>2</v>
      </c>
      <c r="J293" s="9"/>
      <c r="K293" s="9"/>
      <c r="L293" s="9"/>
      <c r="M293" s="9">
        <f t="shared" si="34"/>
        <v>14.8</v>
      </c>
      <c r="N293" s="9">
        <f t="shared" si="35"/>
        <v>6</v>
      </c>
      <c r="O293" s="9">
        <v>7.4</v>
      </c>
      <c r="P293" s="9">
        <v>3</v>
      </c>
      <c r="Q293" s="9" t="s">
        <v>6</v>
      </c>
      <c r="R293" s="1">
        <v>0</v>
      </c>
      <c r="S293" s="26"/>
    </row>
    <row r="294" spans="1:19" ht="16.5" customHeight="1" x14ac:dyDescent="0.25">
      <c r="A294" s="9"/>
      <c r="B294" s="49" t="s">
        <v>89</v>
      </c>
      <c r="C294" s="50"/>
      <c r="D294" s="50"/>
      <c r="E294" s="50"/>
      <c r="F294" s="50"/>
      <c r="G294" s="51"/>
      <c r="H294" s="20"/>
      <c r="I294" s="9">
        <v>2</v>
      </c>
      <c r="J294" s="9"/>
      <c r="K294" s="9"/>
      <c r="L294" s="9"/>
      <c r="M294" s="9">
        <f t="shared" si="34"/>
        <v>15</v>
      </c>
      <c r="N294" s="9">
        <f t="shared" si="35"/>
        <v>6</v>
      </c>
      <c r="O294" s="9">
        <v>7.5</v>
      </c>
      <c r="P294" s="9">
        <v>3</v>
      </c>
      <c r="Q294" s="9" t="s">
        <v>6</v>
      </c>
      <c r="R294" s="1">
        <v>0</v>
      </c>
      <c r="S294" s="26"/>
    </row>
    <row r="295" spans="1:19" ht="16.5" customHeight="1" x14ac:dyDescent="0.25">
      <c r="A295" s="9"/>
      <c r="B295" s="49" t="s">
        <v>92</v>
      </c>
      <c r="C295" s="50"/>
      <c r="D295" s="50"/>
      <c r="E295" s="50"/>
      <c r="F295" s="50"/>
      <c r="G295" s="51"/>
      <c r="H295" s="20"/>
      <c r="I295" s="9">
        <v>4</v>
      </c>
      <c r="J295" s="9"/>
      <c r="K295" s="9"/>
      <c r="L295" s="9"/>
      <c r="M295" s="9">
        <f t="shared" si="34"/>
        <v>20.399999999999999</v>
      </c>
      <c r="N295" s="9">
        <f t="shared" si="35"/>
        <v>6</v>
      </c>
      <c r="O295" s="9">
        <v>5.0999999999999996</v>
      </c>
      <c r="P295" s="9">
        <v>1.5</v>
      </c>
      <c r="Q295" s="9" t="s">
        <v>4</v>
      </c>
      <c r="R295" s="1">
        <v>0</v>
      </c>
      <c r="S295" s="26"/>
    </row>
    <row r="296" spans="1:19" ht="16.5" customHeight="1" x14ac:dyDescent="0.25">
      <c r="A296" s="9"/>
      <c r="B296" s="49" t="s">
        <v>84</v>
      </c>
      <c r="C296" s="50"/>
      <c r="D296" s="50"/>
      <c r="E296" s="50"/>
      <c r="F296" s="50"/>
      <c r="G296" s="51"/>
      <c r="H296" s="20"/>
      <c r="I296" s="9">
        <v>3</v>
      </c>
      <c r="J296" s="9"/>
      <c r="K296" s="9"/>
      <c r="L296" s="9"/>
      <c r="M296" s="9">
        <f t="shared" si="34"/>
        <v>24.900000000000002</v>
      </c>
      <c r="N296" s="9">
        <f t="shared" si="35"/>
        <v>10.5</v>
      </c>
      <c r="O296" s="9">
        <v>8.3000000000000007</v>
      </c>
      <c r="P296" s="9">
        <v>3.5</v>
      </c>
      <c r="Q296" s="9" t="s">
        <v>9</v>
      </c>
      <c r="R296" s="1">
        <v>0</v>
      </c>
      <c r="S296" s="26"/>
    </row>
    <row r="297" spans="1:19" ht="16.5" hidden="1" customHeight="1" x14ac:dyDescent="0.25">
      <c r="A297" s="21"/>
      <c r="H297" s="21"/>
      <c r="I297" s="21"/>
      <c r="J297" s="21"/>
      <c r="K297" s="21"/>
      <c r="L297" s="21"/>
      <c r="M297" s="9">
        <f t="shared" si="34"/>
        <v>0</v>
      </c>
      <c r="N297" s="9">
        <f t="shared" si="35"/>
        <v>0</v>
      </c>
      <c r="O297" s="21"/>
      <c r="P297" s="21"/>
      <c r="Q297" s="21"/>
      <c r="S297" s="25"/>
    </row>
    <row r="298" spans="1:19" ht="16.5" customHeight="1" x14ac:dyDescent="0.25">
      <c r="A298" s="9"/>
      <c r="B298" s="38" t="s">
        <v>42</v>
      </c>
      <c r="C298" s="39"/>
      <c r="D298" s="39"/>
      <c r="E298" s="39"/>
      <c r="F298" s="39"/>
      <c r="G298" s="40"/>
      <c r="H298" s="23"/>
      <c r="I298" s="24">
        <f>SUM(I285:I297)</f>
        <v>23</v>
      </c>
      <c r="J298" s="9"/>
      <c r="K298" s="9"/>
      <c r="L298" s="9"/>
      <c r="M298" s="9">
        <f t="shared" si="34"/>
        <v>153.41</v>
      </c>
      <c r="N298" s="9">
        <f t="shared" si="35"/>
        <v>57.04</v>
      </c>
      <c r="O298" s="24">
        <f>ROUND(SUM(M285:M297)/I298,2)</f>
        <v>6.67</v>
      </c>
      <c r="P298" s="24">
        <f>ROUND(SUM(N285:N297)/I298,2)</f>
        <v>2.48</v>
      </c>
      <c r="Q298" s="9"/>
      <c r="S298" s="25"/>
    </row>
    <row r="299" spans="1:19" ht="20.25" customHeight="1" x14ac:dyDescent="0.25">
      <c r="A299" s="27" t="s">
        <v>94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</row>
    <row r="300" spans="1:19" ht="16.5" customHeight="1" x14ac:dyDescent="0.25">
      <c r="A300" s="9"/>
      <c r="B300" s="49" t="s">
        <v>83</v>
      </c>
      <c r="C300" s="50"/>
      <c r="D300" s="50"/>
      <c r="E300" s="50"/>
      <c r="F300" s="50"/>
      <c r="G300" s="51"/>
      <c r="H300" s="20"/>
      <c r="I300" s="9">
        <v>1</v>
      </c>
      <c r="J300" s="9"/>
      <c r="K300" s="9"/>
      <c r="L300" s="9"/>
      <c r="M300" s="9">
        <f>I300*O300</f>
        <v>6.1</v>
      </c>
      <c r="N300" s="9">
        <f>I300*P300</f>
        <v>2</v>
      </c>
      <c r="O300" s="9">
        <v>6.1</v>
      </c>
      <c r="P300" s="9">
        <v>2</v>
      </c>
      <c r="Q300" s="9" t="s">
        <v>3</v>
      </c>
      <c r="R300" s="1">
        <v>6</v>
      </c>
      <c r="S300" s="26" t="s">
        <v>64</v>
      </c>
    </row>
    <row r="301" spans="1:19" ht="16.5" hidden="1" customHeight="1" x14ac:dyDescent="0.25">
      <c r="A301" s="21"/>
      <c r="H301" s="21"/>
      <c r="I301" s="21"/>
      <c r="J301" s="21"/>
      <c r="K301" s="21"/>
      <c r="L301" s="21"/>
      <c r="M301" s="9">
        <f>I301*O301</f>
        <v>0</v>
      </c>
      <c r="N301" s="9">
        <f>I301*P301</f>
        <v>0</v>
      </c>
      <c r="O301" s="21"/>
      <c r="P301" s="21"/>
      <c r="Q301" s="21"/>
      <c r="S301" s="25"/>
    </row>
    <row r="302" spans="1:19" ht="16.5" customHeight="1" x14ac:dyDescent="0.25">
      <c r="A302" s="9"/>
      <c r="B302" s="38" t="s">
        <v>42</v>
      </c>
      <c r="C302" s="39"/>
      <c r="D302" s="39"/>
      <c r="E302" s="39"/>
      <c r="F302" s="39"/>
      <c r="G302" s="40"/>
      <c r="H302" s="23"/>
      <c r="I302" s="24">
        <f>SUM(I300:I301)</f>
        <v>1</v>
      </c>
      <c r="J302" s="9"/>
      <c r="K302" s="9"/>
      <c r="L302" s="9"/>
      <c r="M302" s="9">
        <f>I302*O302</f>
        <v>6.1</v>
      </c>
      <c r="N302" s="9">
        <f>I302*P302</f>
        <v>2</v>
      </c>
      <c r="O302" s="24">
        <f>ROUND(SUM(M300:M301)/I302,2)</f>
        <v>6.1</v>
      </c>
      <c r="P302" s="24">
        <f>ROUND(SUM(N300:N301)/I302,2)</f>
        <v>2</v>
      </c>
      <c r="Q302" s="9"/>
      <c r="S302" s="25"/>
    </row>
    <row r="303" spans="1:19" ht="20.25" customHeight="1" x14ac:dyDescent="0.25">
      <c r="A303" s="27" t="s">
        <v>96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</row>
    <row r="304" spans="1:19" ht="16.5" customHeight="1" x14ac:dyDescent="0.25">
      <c r="A304" s="9"/>
      <c r="B304" s="49" t="s">
        <v>97</v>
      </c>
      <c r="C304" s="50"/>
      <c r="D304" s="50"/>
      <c r="E304" s="50"/>
      <c r="F304" s="50"/>
      <c r="G304" s="51"/>
      <c r="H304" s="20"/>
      <c r="I304" s="9">
        <v>2</v>
      </c>
      <c r="J304" s="9"/>
      <c r="K304" s="9"/>
      <c r="L304" s="9"/>
      <c r="M304" s="9">
        <f t="shared" ref="M304:M316" si="36">I304*O304</f>
        <v>16.2</v>
      </c>
      <c r="N304" s="9">
        <f t="shared" ref="N304:N316" si="37">I304*P304</f>
        <v>7</v>
      </c>
      <c r="O304" s="9">
        <v>8.1</v>
      </c>
      <c r="P304" s="9">
        <v>3.5</v>
      </c>
      <c r="Q304" s="9" t="s">
        <v>9</v>
      </c>
      <c r="R304" s="1">
        <v>0</v>
      </c>
      <c r="S304" s="26"/>
    </row>
    <row r="305" spans="1:19" ht="16.5" customHeight="1" x14ac:dyDescent="0.25">
      <c r="A305" s="9"/>
      <c r="B305" s="49" t="s">
        <v>79</v>
      </c>
      <c r="C305" s="50"/>
      <c r="D305" s="50"/>
      <c r="E305" s="50"/>
      <c r="F305" s="50"/>
      <c r="G305" s="51"/>
      <c r="H305" s="20"/>
      <c r="I305" s="9">
        <v>2</v>
      </c>
      <c r="J305" s="9"/>
      <c r="K305" s="9"/>
      <c r="L305" s="9"/>
      <c r="M305" s="9">
        <f t="shared" si="36"/>
        <v>16</v>
      </c>
      <c r="N305" s="9">
        <f t="shared" si="37"/>
        <v>7</v>
      </c>
      <c r="O305" s="9">
        <v>8</v>
      </c>
      <c r="P305" s="9">
        <v>3.5</v>
      </c>
      <c r="Q305" s="9" t="s">
        <v>9</v>
      </c>
      <c r="R305" s="1">
        <v>0</v>
      </c>
      <c r="S305" s="26"/>
    </row>
    <row r="306" spans="1:19" ht="16.5" customHeight="1" x14ac:dyDescent="0.25">
      <c r="A306" s="9"/>
      <c r="B306" s="49" t="s">
        <v>98</v>
      </c>
      <c r="C306" s="50"/>
      <c r="D306" s="50"/>
      <c r="E306" s="50"/>
      <c r="F306" s="50"/>
      <c r="G306" s="51"/>
      <c r="H306" s="20"/>
      <c r="I306" s="9">
        <v>3</v>
      </c>
      <c r="J306" s="9"/>
      <c r="K306" s="9"/>
      <c r="L306" s="9"/>
      <c r="M306" s="9">
        <f t="shared" si="36"/>
        <v>21.9</v>
      </c>
      <c r="N306" s="9">
        <f t="shared" si="37"/>
        <v>9</v>
      </c>
      <c r="O306" s="9">
        <v>7.3</v>
      </c>
      <c r="P306" s="9">
        <v>3</v>
      </c>
      <c r="Q306" s="9" t="s">
        <v>6</v>
      </c>
      <c r="R306" s="1">
        <v>0</v>
      </c>
      <c r="S306" s="26"/>
    </row>
    <row r="307" spans="1:19" ht="16.5" customHeight="1" x14ac:dyDescent="0.25">
      <c r="A307" s="9"/>
      <c r="B307" s="49" t="s">
        <v>99</v>
      </c>
      <c r="C307" s="50"/>
      <c r="D307" s="50"/>
      <c r="E307" s="50"/>
      <c r="F307" s="50"/>
      <c r="G307" s="51"/>
      <c r="H307" s="20"/>
      <c r="I307" s="9">
        <v>2</v>
      </c>
      <c r="J307" s="9"/>
      <c r="K307" s="9"/>
      <c r="L307" s="9"/>
      <c r="M307" s="9">
        <f t="shared" si="36"/>
        <v>18</v>
      </c>
      <c r="N307" s="9">
        <f t="shared" si="37"/>
        <v>8</v>
      </c>
      <c r="O307" s="9">
        <v>9</v>
      </c>
      <c r="P307" s="9">
        <v>4</v>
      </c>
      <c r="Q307" s="9" t="s">
        <v>12</v>
      </c>
      <c r="R307" s="1">
        <v>0</v>
      </c>
      <c r="S307" s="26"/>
    </row>
    <row r="308" spans="1:19" ht="16.5" customHeight="1" x14ac:dyDescent="0.25">
      <c r="A308" s="9"/>
      <c r="B308" s="49" t="s">
        <v>69</v>
      </c>
      <c r="C308" s="50"/>
      <c r="D308" s="50"/>
      <c r="E308" s="50"/>
      <c r="F308" s="50"/>
      <c r="G308" s="51"/>
      <c r="H308" s="20"/>
      <c r="I308" s="9">
        <v>1</v>
      </c>
      <c r="J308" s="9"/>
      <c r="K308" s="9"/>
      <c r="L308" s="9"/>
      <c r="M308" s="9">
        <f t="shared" si="36"/>
        <v>7.7</v>
      </c>
      <c r="N308" s="9">
        <f t="shared" si="37"/>
        <v>3</v>
      </c>
      <c r="O308" s="9">
        <v>7.7</v>
      </c>
      <c r="P308" s="9">
        <v>3</v>
      </c>
      <c r="Q308" s="9" t="s">
        <v>6</v>
      </c>
      <c r="R308" s="1">
        <v>0</v>
      </c>
      <c r="S308" s="26"/>
    </row>
    <row r="309" spans="1:19" ht="16.5" customHeight="1" x14ac:dyDescent="0.25">
      <c r="A309" s="9"/>
      <c r="B309" s="49" t="s">
        <v>100</v>
      </c>
      <c r="C309" s="50"/>
      <c r="D309" s="50"/>
      <c r="E309" s="50"/>
      <c r="F309" s="50"/>
      <c r="G309" s="51"/>
      <c r="H309" s="20"/>
      <c r="I309" s="9">
        <v>1</v>
      </c>
      <c r="J309" s="9"/>
      <c r="K309" s="9"/>
      <c r="L309" s="9"/>
      <c r="M309" s="9">
        <f t="shared" si="36"/>
        <v>7.7</v>
      </c>
      <c r="N309" s="9">
        <f t="shared" si="37"/>
        <v>3</v>
      </c>
      <c r="O309" s="9">
        <v>7.7</v>
      </c>
      <c r="P309" s="9">
        <v>3</v>
      </c>
      <c r="Q309" s="9" t="s">
        <v>6</v>
      </c>
      <c r="R309" s="1">
        <v>0</v>
      </c>
      <c r="S309" s="26"/>
    </row>
    <row r="310" spans="1:19" ht="16.5" customHeight="1" x14ac:dyDescent="0.25">
      <c r="A310" s="9"/>
      <c r="B310" s="49" t="s">
        <v>101</v>
      </c>
      <c r="C310" s="50"/>
      <c r="D310" s="50"/>
      <c r="E310" s="50"/>
      <c r="F310" s="50"/>
      <c r="G310" s="51"/>
      <c r="H310" s="20"/>
      <c r="I310" s="9">
        <v>1</v>
      </c>
      <c r="J310" s="9"/>
      <c r="K310" s="9"/>
      <c r="L310" s="9"/>
      <c r="M310" s="9">
        <f t="shared" si="36"/>
        <v>7.8</v>
      </c>
      <c r="N310" s="9">
        <f t="shared" si="37"/>
        <v>3</v>
      </c>
      <c r="O310" s="9">
        <v>7.8</v>
      </c>
      <c r="P310" s="9">
        <v>3</v>
      </c>
      <c r="Q310" s="9" t="s">
        <v>6</v>
      </c>
      <c r="R310" s="1">
        <v>0</v>
      </c>
      <c r="S310" s="26"/>
    </row>
    <row r="311" spans="1:19" ht="16.5" customHeight="1" x14ac:dyDescent="0.25">
      <c r="A311" s="9"/>
      <c r="B311" s="49" t="s">
        <v>105</v>
      </c>
      <c r="C311" s="50"/>
      <c r="D311" s="50"/>
      <c r="E311" s="50"/>
      <c r="F311" s="50"/>
      <c r="G311" s="51"/>
      <c r="H311" s="20"/>
      <c r="I311" s="9">
        <v>4</v>
      </c>
      <c r="J311" s="9"/>
      <c r="K311" s="9"/>
      <c r="L311" s="9"/>
      <c r="M311" s="9">
        <f t="shared" si="36"/>
        <v>27.6</v>
      </c>
      <c r="N311" s="9">
        <f t="shared" si="37"/>
        <v>10</v>
      </c>
      <c r="O311" s="9">
        <v>6.9</v>
      </c>
      <c r="P311" s="9">
        <v>2.5</v>
      </c>
      <c r="Q311" s="9" t="s">
        <v>5</v>
      </c>
      <c r="R311" s="1">
        <v>0</v>
      </c>
      <c r="S311" s="26"/>
    </row>
    <row r="312" spans="1:19" ht="16.5" customHeight="1" x14ac:dyDescent="0.25">
      <c r="A312" s="9"/>
      <c r="B312" s="49" t="s">
        <v>103</v>
      </c>
      <c r="C312" s="50"/>
      <c r="D312" s="50"/>
      <c r="E312" s="50"/>
      <c r="F312" s="50"/>
      <c r="G312" s="51"/>
      <c r="H312" s="20"/>
      <c r="I312" s="9">
        <v>2</v>
      </c>
      <c r="J312" s="9"/>
      <c r="K312" s="9"/>
      <c r="L312" s="9"/>
      <c r="M312" s="9">
        <f t="shared" si="36"/>
        <v>17.399999999999999</v>
      </c>
      <c r="N312" s="9">
        <f t="shared" si="37"/>
        <v>7.4</v>
      </c>
      <c r="O312" s="9">
        <v>8.6999999999999993</v>
      </c>
      <c r="P312" s="9">
        <v>3.7</v>
      </c>
      <c r="Q312" s="9" t="s">
        <v>10</v>
      </c>
      <c r="R312" s="1">
        <v>0</v>
      </c>
      <c r="S312" s="26"/>
    </row>
    <row r="313" spans="1:19" ht="16.5" customHeight="1" x14ac:dyDescent="0.25">
      <c r="A313" s="9"/>
      <c r="B313" s="49" t="s">
        <v>104</v>
      </c>
      <c r="C313" s="50"/>
      <c r="D313" s="50"/>
      <c r="E313" s="50"/>
      <c r="F313" s="50"/>
      <c r="G313" s="51"/>
      <c r="H313" s="20"/>
      <c r="I313" s="9">
        <v>3</v>
      </c>
      <c r="J313" s="9"/>
      <c r="K313" s="9"/>
      <c r="L313" s="9"/>
      <c r="M313" s="9">
        <f t="shared" si="36"/>
        <v>24.599999999999998</v>
      </c>
      <c r="N313" s="9">
        <f t="shared" si="37"/>
        <v>10.5</v>
      </c>
      <c r="O313" s="9">
        <v>8.1999999999999993</v>
      </c>
      <c r="P313" s="9">
        <v>3.5</v>
      </c>
      <c r="Q313" s="9" t="s">
        <v>9</v>
      </c>
      <c r="R313" s="1">
        <v>0</v>
      </c>
      <c r="S313" s="26"/>
    </row>
    <row r="314" spans="1:19" ht="16.5" customHeight="1" x14ac:dyDescent="0.25">
      <c r="A314" s="9"/>
      <c r="B314" s="49" t="s">
        <v>102</v>
      </c>
      <c r="C314" s="50"/>
      <c r="D314" s="50"/>
      <c r="E314" s="50"/>
      <c r="F314" s="50"/>
      <c r="G314" s="51"/>
      <c r="H314" s="20"/>
      <c r="I314" s="9">
        <v>2</v>
      </c>
      <c r="J314" s="9"/>
      <c r="K314" s="9"/>
      <c r="L314" s="9"/>
      <c r="M314" s="9">
        <f t="shared" si="36"/>
        <v>12.2</v>
      </c>
      <c r="N314" s="9">
        <f t="shared" si="37"/>
        <v>4</v>
      </c>
      <c r="O314" s="9">
        <v>6.1</v>
      </c>
      <c r="P314" s="9">
        <v>2</v>
      </c>
      <c r="Q314" s="9" t="s">
        <v>3</v>
      </c>
      <c r="R314" s="1">
        <v>0</v>
      </c>
      <c r="S314" s="26"/>
    </row>
    <row r="315" spans="1:19" ht="16.5" hidden="1" customHeight="1" x14ac:dyDescent="0.25">
      <c r="A315" s="21"/>
      <c r="H315" s="21"/>
      <c r="I315" s="21"/>
      <c r="J315" s="21"/>
      <c r="K315" s="21"/>
      <c r="L315" s="21"/>
      <c r="M315" s="9">
        <f t="shared" si="36"/>
        <v>0</v>
      </c>
      <c r="N315" s="9">
        <f t="shared" si="37"/>
        <v>0</v>
      </c>
      <c r="O315" s="21"/>
      <c r="P315" s="21"/>
      <c r="Q315" s="21"/>
      <c r="S315" s="25"/>
    </row>
    <row r="316" spans="1:19" ht="16.5" customHeight="1" x14ac:dyDescent="0.25">
      <c r="A316" s="9"/>
      <c r="B316" s="38" t="s">
        <v>42</v>
      </c>
      <c r="C316" s="39"/>
      <c r="D316" s="39"/>
      <c r="E316" s="39"/>
      <c r="F316" s="39"/>
      <c r="G316" s="40"/>
      <c r="H316" s="23"/>
      <c r="I316" s="24">
        <f>SUM(I304:I315)</f>
        <v>23</v>
      </c>
      <c r="J316" s="9"/>
      <c r="K316" s="9"/>
      <c r="L316" s="9"/>
      <c r="M316" s="9">
        <f t="shared" si="36"/>
        <v>177.1</v>
      </c>
      <c r="N316" s="9">
        <f t="shared" si="37"/>
        <v>71.989999999999995</v>
      </c>
      <c r="O316" s="24">
        <f>ROUND(SUM(M304:M315)/I316,2)</f>
        <v>7.7</v>
      </c>
      <c r="P316" s="24">
        <f>ROUND(SUM(N304:N315)/I316,2)</f>
        <v>3.13</v>
      </c>
      <c r="Q316" s="9"/>
      <c r="S316" s="25"/>
    </row>
    <row r="317" spans="1:19" ht="20.25" customHeight="1" x14ac:dyDescent="0.25">
      <c r="A317" s="27" t="s">
        <v>107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</row>
    <row r="318" spans="1:19" ht="16.5" customHeight="1" x14ac:dyDescent="0.25">
      <c r="A318" s="9"/>
      <c r="B318" s="49" t="s">
        <v>108</v>
      </c>
      <c r="C318" s="50"/>
      <c r="D318" s="50"/>
      <c r="E318" s="50"/>
      <c r="F318" s="50"/>
      <c r="G318" s="51"/>
      <c r="H318" s="20"/>
      <c r="I318" s="9">
        <v>1</v>
      </c>
      <c r="J318" s="9"/>
      <c r="K318" s="9"/>
      <c r="L318" s="9"/>
      <c r="M318" s="9">
        <f t="shared" ref="M318:M330" si="38">I318*O318</f>
        <v>7.7</v>
      </c>
      <c r="N318" s="9">
        <f t="shared" ref="N318:N330" si="39">I318*P318</f>
        <v>3</v>
      </c>
      <c r="O318" s="9">
        <v>7.7</v>
      </c>
      <c r="P318" s="9">
        <v>3</v>
      </c>
      <c r="Q318" s="9" t="s">
        <v>6</v>
      </c>
      <c r="R318" s="1">
        <v>0</v>
      </c>
      <c r="S318" s="26"/>
    </row>
    <row r="319" spans="1:19" ht="16.5" customHeight="1" x14ac:dyDescent="0.25">
      <c r="A319" s="9"/>
      <c r="B319" s="49" t="s">
        <v>113</v>
      </c>
      <c r="C319" s="50"/>
      <c r="D319" s="50"/>
      <c r="E319" s="50"/>
      <c r="F319" s="50"/>
      <c r="G319" s="51"/>
      <c r="H319" s="20"/>
      <c r="I319" s="9">
        <v>4</v>
      </c>
      <c r="J319" s="9"/>
      <c r="K319" s="9"/>
      <c r="L319" s="9"/>
      <c r="M319" s="9">
        <f t="shared" si="38"/>
        <v>30</v>
      </c>
      <c r="N319" s="9">
        <f t="shared" si="39"/>
        <v>12</v>
      </c>
      <c r="O319" s="9">
        <v>7.5</v>
      </c>
      <c r="P319" s="9">
        <v>3</v>
      </c>
      <c r="Q319" s="9" t="s">
        <v>6</v>
      </c>
      <c r="R319" s="1">
        <v>0</v>
      </c>
      <c r="S319" s="26"/>
    </row>
    <row r="320" spans="1:19" ht="16.5" customHeight="1" x14ac:dyDescent="0.25">
      <c r="A320" s="9"/>
      <c r="B320" s="49" t="s">
        <v>110</v>
      </c>
      <c r="C320" s="50"/>
      <c r="D320" s="50"/>
      <c r="E320" s="50"/>
      <c r="F320" s="50"/>
      <c r="G320" s="51"/>
      <c r="H320" s="20"/>
      <c r="I320" s="9">
        <v>3</v>
      </c>
      <c r="J320" s="9"/>
      <c r="K320" s="9"/>
      <c r="L320" s="9"/>
      <c r="M320" s="9">
        <f t="shared" si="38"/>
        <v>25.799999999999997</v>
      </c>
      <c r="N320" s="9">
        <f t="shared" si="39"/>
        <v>11.100000000000001</v>
      </c>
      <c r="O320" s="9">
        <v>8.6</v>
      </c>
      <c r="P320" s="9">
        <v>3.7</v>
      </c>
      <c r="Q320" s="9" t="s">
        <v>10</v>
      </c>
      <c r="R320" s="1">
        <v>0</v>
      </c>
      <c r="S320" s="26"/>
    </row>
    <row r="321" spans="1:19" ht="16.5" customHeight="1" x14ac:dyDescent="0.25">
      <c r="A321" s="9"/>
      <c r="B321" s="49" t="s">
        <v>111</v>
      </c>
      <c r="C321" s="50"/>
      <c r="D321" s="50"/>
      <c r="E321" s="50"/>
      <c r="F321" s="50"/>
      <c r="G321" s="51"/>
      <c r="H321" s="20"/>
      <c r="I321" s="9">
        <v>3</v>
      </c>
      <c r="J321" s="9"/>
      <c r="K321" s="9"/>
      <c r="L321" s="9"/>
      <c r="M321" s="9">
        <f t="shared" si="38"/>
        <v>20.399999999999999</v>
      </c>
      <c r="N321" s="9">
        <f t="shared" si="39"/>
        <v>7.5</v>
      </c>
      <c r="O321" s="9">
        <v>6.8</v>
      </c>
      <c r="P321" s="9">
        <v>2.5</v>
      </c>
      <c r="Q321" s="9" t="s">
        <v>5</v>
      </c>
      <c r="R321" s="1">
        <v>0</v>
      </c>
      <c r="S321" s="26"/>
    </row>
    <row r="322" spans="1:19" ht="16.5" customHeight="1" x14ac:dyDescent="0.25">
      <c r="A322" s="9"/>
      <c r="B322" s="49" t="s">
        <v>112</v>
      </c>
      <c r="C322" s="50"/>
      <c r="D322" s="50"/>
      <c r="E322" s="50"/>
      <c r="F322" s="50"/>
      <c r="G322" s="51"/>
      <c r="H322" s="20"/>
      <c r="I322" s="9">
        <v>4</v>
      </c>
      <c r="J322" s="9"/>
      <c r="K322" s="9"/>
      <c r="L322" s="9"/>
      <c r="M322" s="9">
        <f t="shared" si="38"/>
        <v>35.6</v>
      </c>
      <c r="N322" s="9">
        <f t="shared" si="39"/>
        <v>14.8</v>
      </c>
      <c r="O322" s="9">
        <v>8.9</v>
      </c>
      <c r="P322" s="9">
        <v>3.7</v>
      </c>
      <c r="Q322" s="9" t="s">
        <v>10</v>
      </c>
      <c r="R322" s="1">
        <v>0</v>
      </c>
      <c r="S322" s="26"/>
    </row>
    <row r="323" spans="1:19" ht="16.5" customHeight="1" x14ac:dyDescent="0.25">
      <c r="A323" s="9"/>
      <c r="B323" s="49" t="s">
        <v>109</v>
      </c>
      <c r="C323" s="50"/>
      <c r="D323" s="50"/>
      <c r="E323" s="50"/>
      <c r="F323" s="50"/>
      <c r="G323" s="51"/>
      <c r="H323" s="20"/>
      <c r="I323" s="9">
        <v>2</v>
      </c>
      <c r="J323" s="9"/>
      <c r="K323" s="9"/>
      <c r="L323" s="9"/>
      <c r="M323" s="9">
        <f t="shared" si="38"/>
        <v>15.8</v>
      </c>
      <c r="N323" s="9">
        <f t="shared" si="39"/>
        <v>6</v>
      </c>
      <c r="O323" s="9">
        <v>7.9</v>
      </c>
      <c r="P323" s="9">
        <v>3</v>
      </c>
      <c r="Q323" s="9" t="s">
        <v>6</v>
      </c>
      <c r="R323" s="1">
        <v>0</v>
      </c>
      <c r="S323" s="26"/>
    </row>
    <row r="324" spans="1:19" ht="16.5" customHeight="1" x14ac:dyDescent="0.25">
      <c r="A324" s="9"/>
      <c r="B324" s="49" t="s">
        <v>114</v>
      </c>
      <c r="C324" s="50"/>
      <c r="D324" s="50"/>
      <c r="E324" s="50"/>
      <c r="F324" s="50"/>
      <c r="G324" s="51"/>
      <c r="H324" s="20"/>
      <c r="I324" s="9">
        <v>3</v>
      </c>
      <c r="J324" s="9"/>
      <c r="K324" s="9"/>
      <c r="L324" s="9"/>
      <c r="M324" s="9">
        <f t="shared" si="38"/>
        <v>24.599999999999998</v>
      </c>
      <c r="N324" s="9">
        <f t="shared" si="39"/>
        <v>10.5</v>
      </c>
      <c r="O324" s="9">
        <v>8.1999999999999993</v>
      </c>
      <c r="P324" s="9">
        <v>3.5</v>
      </c>
      <c r="Q324" s="9" t="s">
        <v>9</v>
      </c>
      <c r="R324" s="1">
        <v>0</v>
      </c>
      <c r="S324" s="26"/>
    </row>
    <row r="325" spans="1:19" ht="16.5" customHeight="1" x14ac:dyDescent="0.25">
      <c r="A325" s="9"/>
      <c r="B325" s="49" t="s">
        <v>115</v>
      </c>
      <c r="C325" s="50"/>
      <c r="D325" s="50"/>
      <c r="E325" s="50"/>
      <c r="F325" s="50"/>
      <c r="G325" s="51"/>
      <c r="H325" s="20"/>
      <c r="I325" s="9">
        <v>2</v>
      </c>
      <c r="J325" s="9"/>
      <c r="K325" s="9"/>
      <c r="L325" s="9"/>
      <c r="M325" s="9">
        <f t="shared" si="38"/>
        <v>14.4</v>
      </c>
      <c r="N325" s="9">
        <f t="shared" si="39"/>
        <v>6</v>
      </c>
      <c r="O325" s="9">
        <v>7.2</v>
      </c>
      <c r="P325" s="9">
        <v>3</v>
      </c>
      <c r="Q325" s="9" t="s">
        <v>6</v>
      </c>
      <c r="R325" s="1">
        <v>0</v>
      </c>
      <c r="S325" s="26"/>
    </row>
    <row r="326" spans="1:19" ht="16.5" customHeight="1" x14ac:dyDescent="0.25">
      <c r="A326" s="9"/>
      <c r="B326" s="49" t="s">
        <v>116</v>
      </c>
      <c r="C326" s="50"/>
      <c r="D326" s="50"/>
      <c r="E326" s="50"/>
      <c r="F326" s="50"/>
      <c r="G326" s="51"/>
      <c r="H326" s="20"/>
      <c r="I326" s="9">
        <v>2</v>
      </c>
      <c r="J326" s="9"/>
      <c r="K326" s="9"/>
      <c r="L326" s="9"/>
      <c r="M326" s="9">
        <f t="shared" si="38"/>
        <v>13</v>
      </c>
      <c r="N326" s="9">
        <f t="shared" si="39"/>
        <v>5</v>
      </c>
      <c r="O326" s="9">
        <v>6.5</v>
      </c>
      <c r="P326" s="9">
        <v>2.5</v>
      </c>
      <c r="Q326" s="9" t="s">
        <v>5</v>
      </c>
      <c r="R326" s="1">
        <v>0</v>
      </c>
      <c r="S326" s="26"/>
    </row>
    <row r="327" spans="1:19" ht="16.5" customHeight="1" x14ac:dyDescent="0.25">
      <c r="A327" s="9"/>
      <c r="B327" s="49" t="s">
        <v>118</v>
      </c>
      <c r="C327" s="50"/>
      <c r="D327" s="50"/>
      <c r="E327" s="50"/>
      <c r="F327" s="50"/>
      <c r="G327" s="51"/>
      <c r="H327" s="20"/>
      <c r="I327" s="9">
        <v>2</v>
      </c>
      <c r="J327" s="9"/>
      <c r="K327" s="9"/>
      <c r="L327" s="9"/>
      <c r="M327" s="9">
        <f t="shared" si="38"/>
        <v>15.2</v>
      </c>
      <c r="N327" s="9">
        <f t="shared" si="39"/>
        <v>6</v>
      </c>
      <c r="O327" s="9">
        <v>7.6</v>
      </c>
      <c r="P327" s="9">
        <v>3</v>
      </c>
      <c r="Q327" s="9" t="s">
        <v>6</v>
      </c>
      <c r="R327" s="1">
        <v>0</v>
      </c>
      <c r="S327" s="26"/>
    </row>
    <row r="328" spans="1:19" ht="16.5" customHeight="1" x14ac:dyDescent="0.25">
      <c r="A328" s="9"/>
      <c r="B328" s="49" t="s">
        <v>117</v>
      </c>
      <c r="C328" s="50"/>
      <c r="D328" s="50"/>
      <c r="E328" s="50"/>
      <c r="F328" s="50"/>
      <c r="G328" s="51"/>
      <c r="H328" s="20"/>
      <c r="I328" s="9">
        <v>3</v>
      </c>
      <c r="J328" s="9"/>
      <c r="K328" s="9"/>
      <c r="L328" s="9"/>
      <c r="M328" s="9">
        <f t="shared" si="38"/>
        <v>22.799999999999997</v>
      </c>
      <c r="N328" s="9">
        <f t="shared" si="39"/>
        <v>9</v>
      </c>
      <c r="O328" s="9">
        <v>7.6</v>
      </c>
      <c r="P328" s="9">
        <v>3</v>
      </c>
      <c r="Q328" s="9" t="s">
        <v>6</v>
      </c>
      <c r="R328" s="1">
        <v>0</v>
      </c>
      <c r="S328" s="26"/>
    </row>
    <row r="329" spans="1:19" ht="16.5" hidden="1" customHeight="1" x14ac:dyDescent="0.25">
      <c r="A329" s="21"/>
      <c r="H329" s="21"/>
      <c r="I329" s="21"/>
      <c r="J329" s="21"/>
      <c r="K329" s="21"/>
      <c r="L329" s="21"/>
      <c r="M329" s="9">
        <f t="shared" si="38"/>
        <v>0</v>
      </c>
      <c r="N329" s="9">
        <f t="shared" si="39"/>
        <v>0</v>
      </c>
      <c r="O329" s="21"/>
      <c r="P329" s="21"/>
      <c r="Q329" s="21"/>
      <c r="S329" s="25"/>
    </row>
    <row r="330" spans="1:19" ht="16.5" customHeight="1" x14ac:dyDescent="0.25">
      <c r="A330" s="9"/>
      <c r="B330" s="38" t="s">
        <v>42</v>
      </c>
      <c r="C330" s="39"/>
      <c r="D330" s="39"/>
      <c r="E330" s="39"/>
      <c r="F330" s="39"/>
      <c r="G330" s="40"/>
      <c r="H330" s="23"/>
      <c r="I330" s="24">
        <f>SUM(I318:I329)</f>
        <v>29</v>
      </c>
      <c r="J330" s="9"/>
      <c r="K330" s="9"/>
      <c r="L330" s="9"/>
      <c r="M330" s="9">
        <f t="shared" si="38"/>
        <v>225.32999999999998</v>
      </c>
      <c r="N330" s="9">
        <f t="shared" si="39"/>
        <v>90.77</v>
      </c>
      <c r="O330" s="24">
        <f>ROUND(SUM(M318:M329)/I330,2)</f>
        <v>7.77</v>
      </c>
      <c r="P330" s="24">
        <f>ROUND(SUM(N318:N329)/I330,2)</f>
        <v>3.13</v>
      </c>
      <c r="Q330" s="9"/>
      <c r="S330" s="25"/>
    </row>
    <row r="331" spans="1:19" ht="20.25" customHeight="1" x14ac:dyDescent="0.25">
      <c r="A331" s="27" t="s">
        <v>120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</row>
    <row r="332" spans="1:19" ht="16.5" customHeight="1" x14ac:dyDescent="0.25">
      <c r="A332" s="9"/>
      <c r="B332" s="49" t="s">
        <v>121</v>
      </c>
      <c r="C332" s="50"/>
      <c r="D332" s="50"/>
      <c r="E332" s="50"/>
      <c r="F332" s="50"/>
      <c r="G332" s="51"/>
      <c r="H332" s="20"/>
      <c r="I332" s="9">
        <v>3</v>
      </c>
      <c r="J332" s="9"/>
      <c r="K332" s="9"/>
      <c r="L332" s="9"/>
      <c r="M332" s="9">
        <f t="shared" ref="M332:M341" si="40">I332*O332</f>
        <v>25.5</v>
      </c>
      <c r="N332" s="9">
        <f t="shared" ref="N332:N341" si="41">I332*P332</f>
        <v>11.100000000000001</v>
      </c>
      <c r="O332" s="9">
        <v>8.5</v>
      </c>
      <c r="P332" s="9">
        <v>3.7</v>
      </c>
      <c r="Q332" s="9" t="s">
        <v>10</v>
      </c>
      <c r="R332" s="1">
        <v>0</v>
      </c>
      <c r="S332" s="26"/>
    </row>
    <row r="333" spans="1:19" ht="16.5" customHeight="1" x14ac:dyDescent="0.25">
      <c r="A333" s="9"/>
      <c r="B333" s="49" t="s">
        <v>128</v>
      </c>
      <c r="C333" s="50"/>
      <c r="D333" s="50"/>
      <c r="E333" s="50"/>
      <c r="F333" s="50"/>
      <c r="G333" s="51"/>
      <c r="H333" s="20"/>
      <c r="I333" s="9">
        <v>2</v>
      </c>
      <c r="J333" s="9"/>
      <c r="K333" s="9"/>
      <c r="L333" s="9"/>
      <c r="M333" s="9">
        <f t="shared" si="40"/>
        <v>16.2</v>
      </c>
      <c r="N333" s="9">
        <f t="shared" si="41"/>
        <v>7</v>
      </c>
      <c r="O333" s="9">
        <v>8.1</v>
      </c>
      <c r="P333" s="9">
        <v>3.5</v>
      </c>
      <c r="Q333" s="9" t="s">
        <v>9</v>
      </c>
      <c r="R333" s="1">
        <v>0</v>
      </c>
      <c r="S333" s="26"/>
    </row>
    <row r="334" spans="1:19" ht="16.5" customHeight="1" x14ac:dyDescent="0.25">
      <c r="A334" s="9"/>
      <c r="B334" s="49" t="s">
        <v>123</v>
      </c>
      <c r="C334" s="50"/>
      <c r="D334" s="50"/>
      <c r="E334" s="50"/>
      <c r="F334" s="50"/>
      <c r="G334" s="51"/>
      <c r="H334" s="20"/>
      <c r="I334" s="9">
        <v>3</v>
      </c>
      <c r="J334" s="9"/>
      <c r="K334" s="9"/>
      <c r="L334" s="9"/>
      <c r="M334" s="9">
        <f t="shared" si="40"/>
        <v>20.399999999999999</v>
      </c>
      <c r="N334" s="9">
        <f t="shared" si="41"/>
        <v>7.5</v>
      </c>
      <c r="O334" s="9">
        <v>6.8</v>
      </c>
      <c r="P334" s="9">
        <v>2.5</v>
      </c>
      <c r="Q334" s="9" t="s">
        <v>5</v>
      </c>
      <c r="R334" s="1">
        <v>0</v>
      </c>
      <c r="S334" s="26"/>
    </row>
    <row r="335" spans="1:19" ht="16.5" customHeight="1" x14ac:dyDescent="0.25">
      <c r="A335" s="9"/>
      <c r="B335" s="49" t="s">
        <v>124</v>
      </c>
      <c r="C335" s="50"/>
      <c r="D335" s="50"/>
      <c r="E335" s="50"/>
      <c r="F335" s="50"/>
      <c r="G335" s="51"/>
      <c r="H335" s="20"/>
      <c r="I335" s="9">
        <v>3</v>
      </c>
      <c r="J335" s="9"/>
      <c r="K335" s="9"/>
      <c r="L335" s="9"/>
      <c r="M335" s="9">
        <f t="shared" si="40"/>
        <v>22.799999999999997</v>
      </c>
      <c r="N335" s="9">
        <f t="shared" si="41"/>
        <v>9</v>
      </c>
      <c r="O335" s="9">
        <v>7.6</v>
      </c>
      <c r="P335" s="9">
        <v>3</v>
      </c>
      <c r="Q335" s="9" t="s">
        <v>6</v>
      </c>
      <c r="R335" s="1">
        <v>0</v>
      </c>
      <c r="S335" s="26"/>
    </row>
    <row r="336" spans="1:19" ht="16.5" customHeight="1" x14ac:dyDescent="0.25">
      <c r="A336" s="9"/>
      <c r="B336" s="49" t="s">
        <v>125</v>
      </c>
      <c r="C336" s="50"/>
      <c r="D336" s="50"/>
      <c r="E336" s="50"/>
      <c r="F336" s="50"/>
      <c r="G336" s="51"/>
      <c r="H336" s="20"/>
      <c r="I336" s="9">
        <v>3</v>
      </c>
      <c r="J336" s="9"/>
      <c r="K336" s="9"/>
      <c r="L336" s="9"/>
      <c r="M336" s="9">
        <f t="shared" si="40"/>
        <v>21</v>
      </c>
      <c r="N336" s="9">
        <f t="shared" si="41"/>
        <v>9</v>
      </c>
      <c r="O336" s="9">
        <v>7</v>
      </c>
      <c r="P336" s="9">
        <v>3</v>
      </c>
      <c r="Q336" s="9" t="s">
        <v>6</v>
      </c>
      <c r="R336" s="1">
        <v>0</v>
      </c>
      <c r="S336" s="26"/>
    </row>
    <row r="337" spans="1:19" ht="16.5" customHeight="1" x14ac:dyDescent="0.25">
      <c r="A337" s="9"/>
      <c r="B337" s="49" t="s">
        <v>122</v>
      </c>
      <c r="C337" s="50"/>
      <c r="D337" s="50"/>
      <c r="E337" s="50"/>
      <c r="F337" s="50"/>
      <c r="G337" s="51"/>
      <c r="H337" s="20"/>
      <c r="I337" s="9">
        <v>1</v>
      </c>
      <c r="J337" s="9"/>
      <c r="K337" s="9"/>
      <c r="L337" s="9"/>
      <c r="M337" s="9">
        <f t="shared" si="40"/>
        <v>7.3</v>
      </c>
      <c r="N337" s="9">
        <f t="shared" si="41"/>
        <v>3</v>
      </c>
      <c r="O337" s="9">
        <v>7.3</v>
      </c>
      <c r="P337" s="9">
        <v>3</v>
      </c>
      <c r="Q337" s="9" t="s">
        <v>6</v>
      </c>
      <c r="R337" s="1">
        <v>0</v>
      </c>
      <c r="S337" s="26"/>
    </row>
    <row r="338" spans="1:19" ht="16.5" customHeight="1" x14ac:dyDescent="0.25">
      <c r="A338" s="9"/>
      <c r="B338" s="49" t="s">
        <v>126</v>
      </c>
      <c r="C338" s="50"/>
      <c r="D338" s="50"/>
      <c r="E338" s="50"/>
      <c r="F338" s="50"/>
      <c r="G338" s="51"/>
      <c r="H338" s="20"/>
      <c r="I338" s="9">
        <v>3</v>
      </c>
      <c r="J338" s="9"/>
      <c r="K338" s="9"/>
      <c r="L338" s="9"/>
      <c r="M338" s="9">
        <f t="shared" si="40"/>
        <v>23.4</v>
      </c>
      <c r="N338" s="9">
        <f t="shared" si="41"/>
        <v>9</v>
      </c>
      <c r="O338" s="9">
        <v>7.8</v>
      </c>
      <c r="P338" s="9">
        <v>3</v>
      </c>
      <c r="Q338" s="9" t="s">
        <v>6</v>
      </c>
      <c r="R338" s="1">
        <v>0</v>
      </c>
      <c r="S338" s="26"/>
    </row>
    <row r="339" spans="1:19" ht="16.5" customHeight="1" x14ac:dyDescent="0.25">
      <c r="A339" s="9"/>
      <c r="B339" s="49" t="s">
        <v>127</v>
      </c>
      <c r="C339" s="50"/>
      <c r="D339" s="50"/>
      <c r="E339" s="50"/>
      <c r="F339" s="50"/>
      <c r="G339" s="51"/>
      <c r="H339" s="20"/>
      <c r="I339" s="9">
        <v>2</v>
      </c>
      <c r="J339" s="9"/>
      <c r="K339" s="9"/>
      <c r="L339" s="9"/>
      <c r="M339" s="9">
        <f t="shared" si="40"/>
        <v>17</v>
      </c>
      <c r="N339" s="9">
        <f t="shared" si="41"/>
        <v>7.4</v>
      </c>
      <c r="O339" s="9">
        <v>8.5</v>
      </c>
      <c r="P339" s="9">
        <v>3.7</v>
      </c>
      <c r="Q339" s="9" t="s">
        <v>10</v>
      </c>
      <c r="R339" s="1">
        <v>0</v>
      </c>
      <c r="S339" s="26"/>
    </row>
    <row r="340" spans="1:19" ht="16.5" hidden="1" customHeight="1" x14ac:dyDescent="0.25">
      <c r="A340" s="21"/>
      <c r="H340" s="21"/>
      <c r="I340" s="21"/>
      <c r="J340" s="21"/>
      <c r="K340" s="21"/>
      <c r="L340" s="21"/>
      <c r="M340" s="9">
        <f t="shared" si="40"/>
        <v>0</v>
      </c>
      <c r="N340" s="9">
        <f t="shared" si="41"/>
        <v>0</v>
      </c>
      <c r="O340" s="21"/>
      <c r="P340" s="21"/>
      <c r="Q340" s="21"/>
      <c r="S340" s="25"/>
    </row>
    <row r="341" spans="1:19" ht="16.5" customHeight="1" x14ac:dyDescent="0.25">
      <c r="A341" s="9"/>
      <c r="B341" s="38" t="s">
        <v>42</v>
      </c>
      <c r="C341" s="39"/>
      <c r="D341" s="39"/>
      <c r="E341" s="39"/>
      <c r="F341" s="39"/>
      <c r="G341" s="40"/>
      <c r="H341" s="23"/>
      <c r="I341" s="24">
        <f>SUM(I332:I340)</f>
        <v>20</v>
      </c>
      <c r="J341" s="9"/>
      <c r="K341" s="9"/>
      <c r="L341" s="9"/>
      <c r="M341" s="9">
        <f t="shared" si="40"/>
        <v>153.6</v>
      </c>
      <c r="N341" s="9">
        <f t="shared" si="41"/>
        <v>63</v>
      </c>
      <c r="O341" s="24">
        <f>ROUND(SUM(M332:M340)/I341,2)</f>
        <v>7.68</v>
      </c>
      <c r="P341" s="24">
        <f>ROUND(SUM(N332:N340)/I341,2)</f>
        <v>3.15</v>
      </c>
      <c r="Q341" s="9"/>
      <c r="S341" s="25"/>
    </row>
    <row r="342" spans="1:19" ht="16.5" customHeight="1" x14ac:dyDescent="0.25">
      <c r="A342" s="21"/>
      <c r="B342" s="22"/>
      <c r="C342" s="22"/>
      <c r="D342" s="22"/>
      <c r="E342" s="22"/>
      <c r="F342" s="22"/>
      <c r="G342" s="22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4" spans="1:19" ht="18" x14ac:dyDescent="0.25">
      <c r="A344" s="57" t="s">
        <v>140</v>
      </c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</row>
    <row r="345" spans="1:19" ht="18" x14ac:dyDescent="0.25">
      <c r="A345" s="57" t="s">
        <v>133</v>
      </c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</row>
    <row r="346" spans="1:19" ht="18" x14ac:dyDescent="0.25">
      <c r="A346" s="57" t="s">
        <v>141</v>
      </c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</row>
    <row r="347" spans="1:19" ht="18" x14ac:dyDescent="0.25">
      <c r="A347" s="58" t="s">
        <v>135</v>
      </c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</row>
    <row r="348" spans="1:19" ht="19.5" customHeight="1" x14ac:dyDescent="0.25">
      <c r="A348" s="17"/>
      <c r="B348" s="17"/>
      <c r="C348" s="8"/>
      <c r="D348" s="18"/>
      <c r="E348" s="10"/>
      <c r="F348" s="11"/>
      <c r="G348" s="44" t="s">
        <v>49</v>
      </c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</row>
    <row r="349" spans="1:19" ht="31.5" customHeight="1" x14ac:dyDescent="0.3">
      <c r="A349" s="8"/>
      <c r="B349" s="8"/>
      <c r="C349" s="8"/>
      <c r="D349" s="8"/>
      <c r="E349" s="8"/>
      <c r="F349" s="8"/>
      <c r="G349" s="8"/>
      <c r="H349" s="12"/>
      <c r="I349" s="41" t="s">
        <v>40</v>
      </c>
      <c r="J349" s="42"/>
      <c r="K349" s="42"/>
      <c r="L349" s="42"/>
      <c r="M349" s="42"/>
      <c r="N349" s="42"/>
      <c r="O349" s="42"/>
      <c r="P349" s="42"/>
      <c r="Q349" s="42"/>
      <c r="R349" s="42"/>
      <c r="S349" s="42"/>
    </row>
    <row r="350" spans="1:19" ht="16.8" x14ac:dyDescent="0.3">
      <c r="A350" s="8"/>
      <c r="B350" s="8"/>
      <c r="C350" s="8"/>
      <c r="D350" s="8"/>
      <c r="E350" s="8"/>
      <c r="F350" s="8"/>
      <c r="G350" s="8"/>
      <c r="H350" s="12"/>
      <c r="I350" s="12"/>
      <c r="J350" s="12"/>
      <c r="K350" s="12"/>
      <c r="L350" s="8"/>
      <c r="M350" s="8"/>
      <c r="N350" s="8"/>
      <c r="O350" s="8"/>
      <c r="P350" s="8"/>
      <c r="Q350" s="8"/>
    </row>
    <row r="351" spans="1:19" ht="33" customHeight="1" x14ac:dyDescent="0.3">
      <c r="A351" s="8"/>
      <c r="B351" s="8"/>
      <c r="C351" s="8"/>
      <c r="D351" s="8"/>
      <c r="E351" s="8"/>
      <c r="F351" s="8"/>
      <c r="G351" s="8"/>
      <c r="H351" s="12"/>
      <c r="I351" s="12"/>
      <c r="J351" s="12"/>
      <c r="K351" s="12"/>
      <c r="L351" s="8"/>
      <c r="M351" s="8"/>
      <c r="N351" s="8"/>
      <c r="O351" s="8"/>
      <c r="P351" s="8"/>
      <c r="Q351" s="8"/>
    </row>
    <row r="352" spans="1:19" ht="11.25" customHeight="1" x14ac:dyDescent="0.3">
      <c r="A352" s="8"/>
      <c r="B352" s="8"/>
      <c r="C352" s="8"/>
      <c r="D352" s="8"/>
      <c r="E352" s="8"/>
      <c r="F352" s="8"/>
      <c r="G352" s="8"/>
      <c r="H352" s="12"/>
      <c r="I352" s="12"/>
      <c r="J352" s="12"/>
      <c r="K352" s="12"/>
      <c r="L352" s="8"/>
      <c r="M352" s="8"/>
      <c r="N352" s="8"/>
      <c r="O352" s="8"/>
      <c r="P352" s="8"/>
      <c r="Q352" s="8"/>
    </row>
    <row r="353" spans="1:20" ht="17.399999999999999" x14ac:dyDescent="0.3">
      <c r="A353" s="8"/>
      <c r="B353" s="8"/>
      <c r="C353" s="8"/>
      <c r="D353" s="8"/>
      <c r="E353" s="8"/>
      <c r="F353" s="8"/>
      <c r="G353" s="45" t="s">
        <v>41</v>
      </c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</row>
    <row r="354" spans="1:20" ht="54" customHeight="1" x14ac:dyDescent="0.25">
      <c r="A354" s="46" t="s">
        <v>33</v>
      </c>
      <c r="B354" s="46"/>
      <c r="C354" s="46"/>
      <c r="D354" s="46"/>
      <c r="E354" s="46"/>
      <c r="F354" s="41" t="s">
        <v>24</v>
      </c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</row>
    <row r="355" spans="1:20" ht="17.399999999999999" x14ac:dyDescent="0.25">
      <c r="A355" s="47" t="s">
        <v>34</v>
      </c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</row>
    <row r="356" spans="1:20" ht="4.5" customHeight="1" x14ac:dyDescent="0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</row>
    <row r="357" spans="1:20" ht="5.25" customHeight="1" x14ac:dyDescent="0.2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</row>
    <row r="358" spans="1:20" ht="16.5" customHeight="1" x14ac:dyDescent="0.25">
      <c r="A358" s="52" t="s">
        <v>142</v>
      </c>
      <c r="B358" s="52"/>
      <c r="C358" s="52"/>
      <c r="D358" s="52"/>
      <c r="E358" s="52"/>
      <c r="F358" s="52"/>
      <c r="G358" s="56" t="s">
        <v>143</v>
      </c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</row>
    <row r="359" spans="1:20" ht="16.5" customHeight="1" x14ac:dyDescent="0.25">
      <c r="A359" s="52" t="s">
        <v>144</v>
      </c>
      <c r="B359" s="52"/>
      <c r="C359" s="52"/>
      <c r="D359" s="52"/>
      <c r="E359" s="52"/>
      <c r="F359" s="52"/>
      <c r="G359" s="8" t="s">
        <v>46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T359" s="2"/>
    </row>
    <row r="360" spans="1:20" ht="16.5" customHeight="1" x14ac:dyDescent="0.25">
      <c r="A360" s="52" t="s">
        <v>47</v>
      </c>
      <c r="B360" s="52"/>
      <c r="C360" s="52"/>
      <c r="D360" s="52"/>
      <c r="E360" s="52"/>
      <c r="F360" s="52"/>
      <c r="G360" s="56" t="s">
        <v>48</v>
      </c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</row>
    <row r="361" spans="1:20" ht="5.2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19"/>
      <c r="K361" s="19"/>
      <c r="L361" s="19"/>
      <c r="M361" s="19"/>
      <c r="N361" s="19"/>
      <c r="O361" s="19"/>
      <c r="P361" s="19"/>
      <c r="Q361" s="19"/>
    </row>
    <row r="362" spans="1:20" ht="15" customHeight="1" x14ac:dyDescent="0.25">
      <c r="A362" s="35" t="s">
        <v>0</v>
      </c>
      <c r="B362" s="29" t="s">
        <v>1</v>
      </c>
      <c r="C362" s="30"/>
      <c r="D362" s="30"/>
      <c r="E362" s="30"/>
      <c r="F362" s="30"/>
      <c r="G362" s="31"/>
      <c r="H362" s="35" t="s">
        <v>32</v>
      </c>
      <c r="I362" s="35" t="s">
        <v>39</v>
      </c>
      <c r="J362" s="53" t="s">
        <v>2</v>
      </c>
      <c r="K362" s="54"/>
      <c r="L362" s="54"/>
      <c r="M362" s="54"/>
      <c r="N362" s="54"/>
      <c r="O362" s="54"/>
      <c r="P362" s="54"/>
      <c r="Q362" s="55"/>
      <c r="S362" s="35" t="s">
        <v>38</v>
      </c>
    </row>
    <row r="363" spans="1:20" ht="24" customHeight="1" x14ac:dyDescent="0.25">
      <c r="A363" s="36"/>
      <c r="B363" s="32"/>
      <c r="C363" s="33"/>
      <c r="D363" s="33"/>
      <c r="E363" s="33"/>
      <c r="F363" s="33"/>
      <c r="G363" s="34"/>
      <c r="H363" s="36"/>
      <c r="I363" s="36"/>
      <c r="J363" s="7" t="s">
        <v>28</v>
      </c>
      <c r="K363" s="7" t="s">
        <v>29</v>
      </c>
      <c r="L363" s="7" t="s">
        <v>30</v>
      </c>
      <c r="M363" s="7"/>
      <c r="N363" s="7"/>
      <c r="O363" s="6" t="s">
        <v>35</v>
      </c>
      <c r="P363" s="6" t="s">
        <v>36</v>
      </c>
      <c r="Q363" s="6" t="s">
        <v>37</v>
      </c>
      <c r="S363" s="36"/>
    </row>
    <row r="364" spans="1:20" ht="20.25" customHeight="1" x14ac:dyDescent="0.25">
      <c r="A364" s="27" t="s">
        <v>50</v>
      </c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</row>
    <row r="365" spans="1:20" ht="16.5" customHeight="1" x14ac:dyDescent="0.25">
      <c r="A365" s="9"/>
      <c r="B365" s="49" t="s">
        <v>51</v>
      </c>
      <c r="C365" s="50"/>
      <c r="D365" s="50"/>
      <c r="E365" s="50"/>
      <c r="F365" s="50"/>
      <c r="G365" s="51"/>
      <c r="H365" s="20"/>
      <c r="I365" s="9">
        <v>1</v>
      </c>
      <c r="J365" s="9"/>
      <c r="K365" s="9"/>
      <c r="L365" s="9"/>
      <c r="M365" s="9">
        <f t="shared" ref="M365:M373" si="42">I365*O365</f>
        <v>8.6999999999999993</v>
      </c>
      <c r="N365" s="9">
        <f t="shared" ref="N365:N373" si="43">I365*P365</f>
        <v>3.7</v>
      </c>
      <c r="O365" s="9">
        <v>8.6999999999999993</v>
      </c>
      <c r="P365" s="9">
        <v>3.7</v>
      </c>
      <c r="Q365" s="9" t="s">
        <v>10</v>
      </c>
      <c r="R365" s="1">
        <v>0</v>
      </c>
      <c r="S365" s="26"/>
    </row>
    <row r="366" spans="1:20" ht="16.5" customHeight="1" x14ac:dyDescent="0.25">
      <c r="A366" s="9"/>
      <c r="B366" s="49" t="s">
        <v>78</v>
      </c>
      <c r="C366" s="50"/>
      <c r="D366" s="50"/>
      <c r="E366" s="50"/>
      <c r="F366" s="50"/>
      <c r="G366" s="51"/>
      <c r="H366" s="20"/>
      <c r="I366" s="9">
        <v>3</v>
      </c>
      <c r="J366" s="9"/>
      <c r="K366" s="9"/>
      <c r="L366" s="9"/>
      <c r="M366" s="9">
        <f t="shared" si="42"/>
        <v>14.100000000000001</v>
      </c>
      <c r="N366" s="9">
        <f t="shared" si="43"/>
        <v>3</v>
      </c>
      <c r="O366" s="9">
        <v>4.7</v>
      </c>
      <c r="P366" s="9">
        <v>1</v>
      </c>
      <c r="Q366" s="9" t="s">
        <v>8</v>
      </c>
      <c r="R366" s="1">
        <v>0</v>
      </c>
      <c r="S366" s="26"/>
    </row>
    <row r="367" spans="1:20" ht="31.2" customHeight="1" x14ac:dyDescent="0.25">
      <c r="A367" s="9"/>
      <c r="B367" s="49" t="s">
        <v>53</v>
      </c>
      <c r="C367" s="50"/>
      <c r="D367" s="50"/>
      <c r="E367" s="50"/>
      <c r="F367" s="50"/>
      <c r="G367" s="51"/>
      <c r="H367" s="20"/>
      <c r="I367" s="9">
        <v>3</v>
      </c>
      <c r="J367" s="9"/>
      <c r="K367" s="9"/>
      <c r="L367" s="9"/>
      <c r="M367" s="9">
        <f t="shared" si="42"/>
        <v>21.299999999999997</v>
      </c>
      <c r="N367" s="9">
        <f t="shared" si="43"/>
        <v>9</v>
      </c>
      <c r="O367" s="9">
        <v>7.1</v>
      </c>
      <c r="P367" s="9">
        <v>3</v>
      </c>
      <c r="Q367" s="9" t="s">
        <v>6</v>
      </c>
      <c r="R367" s="1">
        <v>0</v>
      </c>
      <c r="S367" s="26"/>
    </row>
    <row r="368" spans="1:20" ht="16.5" customHeight="1" x14ac:dyDescent="0.25">
      <c r="A368" s="9"/>
      <c r="B368" s="49" t="s">
        <v>52</v>
      </c>
      <c r="C368" s="50"/>
      <c r="D368" s="50"/>
      <c r="E368" s="50"/>
      <c r="F368" s="50"/>
      <c r="G368" s="51"/>
      <c r="H368" s="20"/>
      <c r="I368" s="9">
        <v>1</v>
      </c>
      <c r="J368" s="9"/>
      <c r="K368" s="9"/>
      <c r="L368" s="9"/>
      <c r="M368" s="9">
        <f t="shared" si="42"/>
        <v>6.5</v>
      </c>
      <c r="N368" s="9">
        <f t="shared" si="43"/>
        <v>2.5</v>
      </c>
      <c r="O368" s="9">
        <v>6.5</v>
      </c>
      <c r="P368" s="9">
        <v>2.5</v>
      </c>
      <c r="Q368" s="9" t="s">
        <v>5</v>
      </c>
      <c r="R368" s="1">
        <v>0</v>
      </c>
      <c r="S368" s="26"/>
    </row>
    <row r="369" spans="1:19" ht="16.5" customHeight="1" x14ac:dyDescent="0.25">
      <c r="A369" s="9"/>
      <c r="B369" s="49" t="s">
        <v>55</v>
      </c>
      <c r="C369" s="50"/>
      <c r="D369" s="50"/>
      <c r="E369" s="50"/>
      <c r="F369" s="50"/>
      <c r="G369" s="51"/>
      <c r="H369" s="20"/>
      <c r="I369" s="9">
        <v>1</v>
      </c>
      <c r="J369" s="9"/>
      <c r="K369" s="9"/>
      <c r="L369" s="9"/>
      <c r="M369" s="9">
        <f t="shared" si="42"/>
        <v>7.4</v>
      </c>
      <c r="N369" s="9">
        <f t="shared" si="43"/>
        <v>3</v>
      </c>
      <c r="O369" s="9">
        <v>7.4</v>
      </c>
      <c r="P369" s="9">
        <v>3</v>
      </c>
      <c r="Q369" s="9" t="s">
        <v>6</v>
      </c>
      <c r="R369" s="1">
        <v>0</v>
      </c>
      <c r="S369" s="26"/>
    </row>
    <row r="370" spans="1:19" ht="16.5" customHeight="1" x14ac:dyDescent="0.25">
      <c r="A370" s="9"/>
      <c r="B370" s="49" t="s">
        <v>54</v>
      </c>
      <c r="C370" s="50"/>
      <c r="D370" s="50"/>
      <c r="E370" s="50"/>
      <c r="F370" s="50"/>
      <c r="G370" s="51"/>
      <c r="H370" s="20"/>
      <c r="I370" s="9">
        <v>3</v>
      </c>
      <c r="J370" s="9"/>
      <c r="K370" s="9"/>
      <c r="L370" s="9"/>
      <c r="M370" s="9">
        <f t="shared" si="42"/>
        <v>21</v>
      </c>
      <c r="N370" s="9">
        <f t="shared" si="43"/>
        <v>9</v>
      </c>
      <c r="O370" s="9">
        <v>7</v>
      </c>
      <c r="P370" s="9">
        <v>3</v>
      </c>
      <c r="Q370" s="9" t="s">
        <v>6</v>
      </c>
      <c r="R370" s="1">
        <v>0</v>
      </c>
      <c r="S370" s="26"/>
    </row>
    <row r="371" spans="1:19" ht="16.5" customHeight="1" x14ac:dyDescent="0.25">
      <c r="A371" s="9"/>
      <c r="B371" s="49" t="s">
        <v>56</v>
      </c>
      <c r="C371" s="50"/>
      <c r="D371" s="50"/>
      <c r="E371" s="50"/>
      <c r="F371" s="50"/>
      <c r="G371" s="51"/>
      <c r="H371" s="20"/>
      <c r="I371" s="9">
        <v>2</v>
      </c>
      <c r="J371" s="9"/>
      <c r="K371" s="9"/>
      <c r="L371" s="9"/>
      <c r="M371" s="9">
        <f t="shared" si="42"/>
        <v>13.6</v>
      </c>
      <c r="N371" s="9">
        <f t="shared" si="43"/>
        <v>5</v>
      </c>
      <c r="O371" s="9">
        <v>6.8</v>
      </c>
      <c r="P371" s="9">
        <v>2.5</v>
      </c>
      <c r="Q371" s="9" t="s">
        <v>5</v>
      </c>
      <c r="R371" s="1">
        <v>0</v>
      </c>
      <c r="S371" s="26"/>
    </row>
    <row r="372" spans="1:19" ht="16.5" hidden="1" customHeight="1" x14ac:dyDescent="0.25">
      <c r="A372" s="21"/>
      <c r="H372" s="21"/>
      <c r="I372" s="21"/>
      <c r="J372" s="21"/>
      <c r="K372" s="21"/>
      <c r="L372" s="21"/>
      <c r="M372" s="9">
        <f t="shared" si="42"/>
        <v>0</v>
      </c>
      <c r="N372" s="9">
        <f t="shared" si="43"/>
        <v>0</v>
      </c>
      <c r="O372" s="21"/>
      <c r="P372" s="21"/>
      <c r="Q372" s="21"/>
      <c r="S372" s="25"/>
    </row>
    <row r="373" spans="1:19" ht="16.5" customHeight="1" x14ac:dyDescent="0.25">
      <c r="A373" s="9"/>
      <c r="B373" s="38" t="s">
        <v>42</v>
      </c>
      <c r="C373" s="39"/>
      <c r="D373" s="39"/>
      <c r="E373" s="39"/>
      <c r="F373" s="39"/>
      <c r="G373" s="40"/>
      <c r="H373" s="23"/>
      <c r="I373" s="24">
        <f>SUM(I365:I372)</f>
        <v>14</v>
      </c>
      <c r="J373" s="9"/>
      <c r="K373" s="9"/>
      <c r="L373" s="9"/>
      <c r="M373" s="9">
        <f t="shared" si="42"/>
        <v>92.54</v>
      </c>
      <c r="N373" s="9">
        <f t="shared" si="43"/>
        <v>35.14</v>
      </c>
      <c r="O373" s="24">
        <f>ROUND(SUM(M365:M372)/I373,2)</f>
        <v>6.61</v>
      </c>
      <c r="P373" s="24">
        <f>ROUND(SUM(N365:N372)/I373,2)</f>
        <v>2.5099999999999998</v>
      </c>
      <c r="Q373" s="9"/>
      <c r="S373" s="25"/>
    </row>
    <row r="374" spans="1:19" ht="20.25" customHeight="1" x14ac:dyDescent="0.25">
      <c r="A374" s="27" t="s">
        <v>57</v>
      </c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</row>
    <row r="375" spans="1:19" ht="16.5" customHeight="1" x14ac:dyDescent="0.25">
      <c r="A375" s="9"/>
      <c r="B375" s="49" t="s">
        <v>136</v>
      </c>
      <c r="C375" s="50"/>
      <c r="D375" s="50"/>
      <c r="E375" s="50"/>
      <c r="F375" s="50"/>
      <c r="G375" s="51"/>
      <c r="H375" s="20"/>
      <c r="I375" s="9">
        <v>4</v>
      </c>
      <c r="J375" s="9"/>
      <c r="K375" s="9"/>
      <c r="L375" s="9"/>
      <c r="M375" s="9">
        <f t="shared" ref="M375:M383" si="44">I375*O375</f>
        <v>21.2</v>
      </c>
      <c r="N375" s="9">
        <f t="shared" ref="N375:N383" si="45">I375*P375</f>
        <v>6</v>
      </c>
      <c r="O375" s="9">
        <v>5.3</v>
      </c>
      <c r="P375" s="9">
        <v>1.5</v>
      </c>
      <c r="Q375" s="9" t="s">
        <v>4</v>
      </c>
      <c r="R375" s="1">
        <v>0</v>
      </c>
      <c r="S375" s="26"/>
    </row>
    <row r="376" spans="1:19" ht="16.5" customHeight="1" x14ac:dyDescent="0.25">
      <c r="A376" s="9"/>
      <c r="B376" s="49" t="s">
        <v>91</v>
      </c>
      <c r="C376" s="50"/>
      <c r="D376" s="50"/>
      <c r="E376" s="50"/>
      <c r="F376" s="50"/>
      <c r="G376" s="51"/>
      <c r="H376" s="20"/>
      <c r="I376" s="9">
        <v>4</v>
      </c>
      <c r="J376" s="9"/>
      <c r="K376" s="9"/>
      <c r="L376" s="9"/>
      <c r="M376" s="9">
        <f t="shared" si="44"/>
        <v>6</v>
      </c>
      <c r="N376" s="9">
        <f t="shared" si="45"/>
        <v>0</v>
      </c>
      <c r="O376" s="9">
        <v>1.5</v>
      </c>
      <c r="P376" s="9">
        <v>0</v>
      </c>
      <c r="Q376" s="9" t="s">
        <v>7</v>
      </c>
      <c r="R376" s="1">
        <v>0</v>
      </c>
      <c r="S376" s="26"/>
    </row>
    <row r="377" spans="1:19" ht="16.5" customHeight="1" x14ac:dyDescent="0.25">
      <c r="A377" s="9"/>
      <c r="B377" s="49" t="s">
        <v>60</v>
      </c>
      <c r="C377" s="50"/>
      <c r="D377" s="50"/>
      <c r="E377" s="50"/>
      <c r="F377" s="50"/>
      <c r="G377" s="51"/>
      <c r="H377" s="20"/>
      <c r="I377" s="9">
        <v>4</v>
      </c>
      <c r="J377" s="9"/>
      <c r="K377" s="9"/>
      <c r="L377" s="9"/>
      <c r="M377" s="9">
        <f t="shared" si="44"/>
        <v>28.4</v>
      </c>
      <c r="N377" s="9">
        <f t="shared" si="45"/>
        <v>12</v>
      </c>
      <c r="O377" s="9">
        <v>7.1</v>
      </c>
      <c r="P377" s="9">
        <v>3</v>
      </c>
      <c r="Q377" s="9" t="s">
        <v>6</v>
      </c>
      <c r="R377" s="1">
        <v>0</v>
      </c>
      <c r="S377" s="26"/>
    </row>
    <row r="378" spans="1:19" ht="16.5" customHeight="1" x14ac:dyDescent="0.25">
      <c r="A378" s="9"/>
      <c r="B378" s="49" t="s">
        <v>59</v>
      </c>
      <c r="C378" s="50"/>
      <c r="D378" s="50"/>
      <c r="E378" s="50"/>
      <c r="F378" s="50"/>
      <c r="G378" s="51"/>
      <c r="H378" s="20"/>
      <c r="I378" s="9">
        <v>1</v>
      </c>
      <c r="J378" s="9"/>
      <c r="K378" s="9"/>
      <c r="L378" s="9"/>
      <c r="M378" s="9">
        <f t="shared" si="44"/>
        <v>7.4</v>
      </c>
      <c r="N378" s="9">
        <f t="shared" si="45"/>
        <v>3</v>
      </c>
      <c r="O378" s="9">
        <v>7.4</v>
      </c>
      <c r="P378" s="9">
        <v>3</v>
      </c>
      <c r="Q378" s="9" t="s">
        <v>6</v>
      </c>
      <c r="R378" s="1">
        <v>0</v>
      </c>
      <c r="S378" s="26"/>
    </row>
    <row r="379" spans="1:19" ht="16.5" customHeight="1" x14ac:dyDescent="0.25">
      <c r="A379" s="9"/>
      <c r="B379" s="49" t="s">
        <v>58</v>
      </c>
      <c r="C379" s="50"/>
      <c r="D379" s="50"/>
      <c r="E379" s="50"/>
      <c r="F379" s="50"/>
      <c r="G379" s="51"/>
      <c r="H379" s="20"/>
      <c r="I379" s="9">
        <v>1</v>
      </c>
      <c r="J379" s="9"/>
      <c r="K379" s="9"/>
      <c r="L379" s="9"/>
      <c r="M379" s="9">
        <f t="shared" si="44"/>
        <v>7.4</v>
      </c>
      <c r="N379" s="9">
        <f t="shared" si="45"/>
        <v>3</v>
      </c>
      <c r="O379" s="9">
        <v>7.4</v>
      </c>
      <c r="P379" s="9">
        <v>3</v>
      </c>
      <c r="Q379" s="9" t="s">
        <v>6</v>
      </c>
      <c r="R379" s="1">
        <v>0</v>
      </c>
      <c r="S379" s="26"/>
    </row>
    <row r="380" spans="1:19" ht="16.5" customHeight="1" x14ac:dyDescent="0.25">
      <c r="A380" s="9"/>
      <c r="B380" s="49" t="s">
        <v>61</v>
      </c>
      <c r="C380" s="50"/>
      <c r="D380" s="50"/>
      <c r="E380" s="50"/>
      <c r="F380" s="50"/>
      <c r="G380" s="51"/>
      <c r="H380" s="20"/>
      <c r="I380" s="9">
        <v>1</v>
      </c>
      <c r="J380" s="9"/>
      <c r="K380" s="9"/>
      <c r="L380" s="9"/>
      <c r="M380" s="9">
        <f t="shared" si="44"/>
        <v>7.4</v>
      </c>
      <c r="N380" s="9">
        <f t="shared" si="45"/>
        <v>3</v>
      </c>
      <c r="O380" s="9">
        <v>7.4</v>
      </c>
      <c r="P380" s="9">
        <v>3</v>
      </c>
      <c r="Q380" s="9" t="s">
        <v>6</v>
      </c>
      <c r="R380" s="1">
        <v>0</v>
      </c>
      <c r="S380" s="26"/>
    </row>
    <row r="381" spans="1:19" ht="16.5" customHeight="1" x14ac:dyDescent="0.25">
      <c r="A381" s="9"/>
      <c r="B381" s="49" t="s">
        <v>62</v>
      </c>
      <c r="C381" s="50"/>
      <c r="D381" s="50"/>
      <c r="E381" s="50"/>
      <c r="F381" s="50"/>
      <c r="G381" s="51"/>
      <c r="H381" s="20"/>
      <c r="I381" s="9">
        <v>1</v>
      </c>
      <c r="J381" s="9"/>
      <c r="K381" s="9"/>
      <c r="L381" s="9"/>
      <c r="M381" s="9">
        <f t="shared" si="44"/>
        <v>7.4</v>
      </c>
      <c r="N381" s="9">
        <f t="shared" si="45"/>
        <v>3</v>
      </c>
      <c r="O381" s="9">
        <v>7.4</v>
      </c>
      <c r="P381" s="9">
        <v>3</v>
      </c>
      <c r="Q381" s="9" t="s">
        <v>6</v>
      </c>
      <c r="R381" s="1">
        <v>0</v>
      </c>
      <c r="S381" s="26"/>
    </row>
    <row r="382" spans="1:19" ht="16.5" hidden="1" customHeight="1" x14ac:dyDescent="0.25">
      <c r="A382" s="21"/>
      <c r="H382" s="21"/>
      <c r="I382" s="21"/>
      <c r="J382" s="21"/>
      <c r="K382" s="21"/>
      <c r="L382" s="21"/>
      <c r="M382" s="9">
        <f t="shared" si="44"/>
        <v>0</v>
      </c>
      <c r="N382" s="9">
        <f t="shared" si="45"/>
        <v>0</v>
      </c>
      <c r="O382" s="21"/>
      <c r="P382" s="21"/>
      <c r="Q382" s="21"/>
      <c r="S382" s="25"/>
    </row>
    <row r="383" spans="1:19" ht="16.5" customHeight="1" x14ac:dyDescent="0.25">
      <c r="A383" s="9"/>
      <c r="B383" s="38" t="s">
        <v>42</v>
      </c>
      <c r="C383" s="39"/>
      <c r="D383" s="39"/>
      <c r="E383" s="39"/>
      <c r="F383" s="39"/>
      <c r="G383" s="40"/>
      <c r="H383" s="23"/>
      <c r="I383" s="24">
        <f>SUM(I375:I382)</f>
        <v>16</v>
      </c>
      <c r="J383" s="9"/>
      <c r="K383" s="9"/>
      <c r="L383" s="9"/>
      <c r="M383" s="9">
        <f t="shared" si="44"/>
        <v>85.28</v>
      </c>
      <c r="N383" s="9">
        <f t="shared" si="45"/>
        <v>30.08</v>
      </c>
      <c r="O383" s="24">
        <f>ROUND(SUM(M375:M382)/I383,2)</f>
        <v>5.33</v>
      </c>
      <c r="P383" s="24">
        <f>ROUND(SUM(N375:N382)/I383,2)</f>
        <v>1.88</v>
      </c>
      <c r="Q383" s="9"/>
      <c r="S383" s="25"/>
    </row>
    <row r="384" spans="1:19" ht="20.25" customHeight="1" x14ac:dyDescent="0.25">
      <c r="A384" s="27" t="s">
        <v>65</v>
      </c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</row>
    <row r="385" spans="1:19" ht="16.5" customHeight="1" x14ac:dyDescent="0.25">
      <c r="A385" s="9"/>
      <c r="B385" s="49" t="s">
        <v>91</v>
      </c>
      <c r="C385" s="50"/>
      <c r="D385" s="50"/>
      <c r="E385" s="50"/>
      <c r="F385" s="50"/>
      <c r="G385" s="51"/>
      <c r="H385" s="20"/>
      <c r="I385" s="9">
        <v>4</v>
      </c>
      <c r="J385" s="9"/>
      <c r="K385" s="9"/>
      <c r="L385" s="9"/>
      <c r="M385" s="9">
        <f>I385*O385</f>
        <v>24</v>
      </c>
      <c r="N385" s="9">
        <f>I385*P385</f>
        <v>8</v>
      </c>
      <c r="O385" s="9">
        <v>6</v>
      </c>
      <c r="P385" s="9">
        <v>2</v>
      </c>
      <c r="Q385" s="9" t="s">
        <v>3</v>
      </c>
      <c r="R385" s="1">
        <v>6</v>
      </c>
      <c r="S385" s="26" t="s">
        <v>64</v>
      </c>
    </row>
    <row r="386" spans="1:19" ht="16.5" hidden="1" customHeight="1" x14ac:dyDescent="0.25">
      <c r="A386" s="21"/>
      <c r="H386" s="21"/>
      <c r="I386" s="21"/>
      <c r="J386" s="21"/>
      <c r="K386" s="21"/>
      <c r="L386" s="21"/>
      <c r="M386" s="9">
        <f>I386*O386</f>
        <v>0</v>
      </c>
      <c r="N386" s="9">
        <f>I386*P386</f>
        <v>0</v>
      </c>
      <c r="O386" s="21"/>
      <c r="P386" s="21"/>
      <c r="Q386" s="21"/>
      <c r="S386" s="25"/>
    </row>
    <row r="387" spans="1:19" ht="16.5" customHeight="1" x14ac:dyDescent="0.25">
      <c r="A387" s="9"/>
      <c r="B387" s="38" t="s">
        <v>42</v>
      </c>
      <c r="C387" s="39"/>
      <c r="D387" s="39"/>
      <c r="E387" s="39"/>
      <c r="F387" s="39"/>
      <c r="G387" s="40"/>
      <c r="H387" s="23"/>
      <c r="I387" s="24">
        <f>SUM(I385:I386)</f>
        <v>4</v>
      </c>
      <c r="J387" s="9"/>
      <c r="K387" s="9"/>
      <c r="L387" s="9"/>
      <c r="M387" s="9">
        <f>I387*O387</f>
        <v>24</v>
      </c>
      <c r="N387" s="9">
        <f>I387*P387</f>
        <v>8</v>
      </c>
      <c r="O387" s="24">
        <f>ROUND(SUM(M385:M386)/I387,2)</f>
        <v>6</v>
      </c>
      <c r="P387" s="24">
        <f>ROUND(SUM(N385:N386)/I387,2)</f>
        <v>2</v>
      </c>
      <c r="Q387" s="9"/>
      <c r="S387" s="25"/>
    </row>
    <row r="388" spans="1:19" ht="20.25" customHeight="1" x14ac:dyDescent="0.25">
      <c r="A388" s="27" t="s">
        <v>67</v>
      </c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</row>
    <row r="389" spans="1:19" ht="16.5" customHeight="1" x14ac:dyDescent="0.25">
      <c r="A389" s="9"/>
      <c r="B389" s="49" t="s">
        <v>80</v>
      </c>
      <c r="C389" s="50"/>
      <c r="D389" s="50"/>
      <c r="E389" s="50"/>
      <c r="F389" s="50"/>
      <c r="G389" s="51"/>
      <c r="H389" s="20"/>
      <c r="I389" s="9">
        <v>4</v>
      </c>
      <c r="J389" s="9"/>
      <c r="K389" s="9"/>
      <c r="L389" s="9"/>
      <c r="M389" s="9">
        <f t="shared" ref="M389:M399" si="46">I389*O389</f>
        <v>24</v>
      </c>
      <c r="N389" s="9">
        <f t="shared" ref="N389:N399" si="47">I389*P389</f>
        <v>8</v>
      </c>
      <c r="O389" s="9">
        <v>6</v>
      </c>
      <c r="P389" s="9">
        <v>2</v>
      </c>
      <c r="Q389" s="9" t="s">
        <v>3</v>
      </c>
      <c r="R389" s="1">
        <v>0</v>
      </c>
      <c r="S389" s="26"/>
    </row>
    <row r="390" spans="1:19" ht="16.5" customHeight="1" x14ac:dyDescent="0.25">
      <c r="A390" s="9"/>
      <c r="B390" s="49" t="s">
        <v>71</v>
      </c>
      <c r="C390" s="50"/>
      <c r="D390" s="50"/>
      <c r="E390" s="50"/>
      <c r="F390" s="50"/>
      <c r="G390" s="51"/>
      <c r="H390" s="20"/>
      <c r="I390" s="9">
        <v>1</v>
      </c>
      <c r="J390" s="9"/>
      <c r="K390" s="9"/>
      <c r="L390" s="9"/>
      <c r="M390" s="9">
        <f t="shared" si="46"/>
        <v>5.9</v>
      </c>
      <c r="N390" s="9">
        <f t="shared" si="47"/>
        <v>2</v>
      </c>
      <c r="O390" s="9">
        <v>5.9</v>
      </c>
      <c r="P390" s="9">
        <v>2</v>
      </c>
      <c r="Q390" s="9" t="s">
        <v>3</v>
      </c>
      <c r="R390" s="1">
        <v>0</v>
      </c>
      <c r="S390" s="26"/>
    </row>
    <row r="391" spans="1:19" ht="16.5" customHeight="1" x14ac:dyDescent="0.25">
      <c r="A391" s="9"/>
      <c r="B391" s="49" t="s">
        <v>70</v>
      </c>
      <c r="C391" s="50"/>
      <c r="D391" s="50"/>
      <c r="E391" s="50"/>
      <c r="F391" s="50"/>
      <c r="G391" s="51"/>
      <c r="H391" s="20"/>
      <c r="I391" s="9">
        <v>2</v>
      </c>
      <c r="J391" s="9"/>
      <c r="K391" s="9"/>
      <c r="L391" s="9"/>
      <c r="M391" s="9">
        <f t="shared" si="46"/>
        <v>15.2</v>
      </c>
      <c r="N391" s="9">
        <f t="shared" si="47"/>
        <v>6</v>
      </c>
      <c r="O391" s="9">
        <v>7.6</v>
      </c>
      <c r="P391" s="9">
        <v>3</v>
      </c>
      <c r="Q391" s="9" t="s">
        <v>6</v>
      </c>
      <c r="R391" s="1">
        <v>0</v>
      </c>
      <c r="S391" s="26"/>
    </row>
    <row r="392" spans="1:19" ht="16.5" customHeight="1" x14ac:dyDescent="0.25">
      <c r="A392" s="9"/>
      <c r="B392" s="49" t="s">
        <v>73</v>
      </c>
      <c r="C392" s="50"/>
      <c r="D392" s="50"/>
      <c r="E392" s="50"/>
      <c r="F392" s="50"/>
      <c r="G392" s="51"/>
      <c r="H392" s="20"/>
      <c r="I392" s="9">
        <v>4</v>
      </c>
      <c r="J392" s="9"/>
      <c r="K392" s="9"/>
      <c r="L392" s="9"/>
      <c r="M392" s="9">
        <f t="shared" si="46"/>
        <v>27.2</v>
      </c>
      <c r="N392" s="9">
        <f t="shared" si="47"/>
        <v>10</v>
      </c>
      <c r="O392" s="9">
        <v>6.8</v>
      </c>
      <c r="P392" s="9">
        <v>2.5</v>
      </c>
      <c r="Q392" s="9" t="s">
        <v>5</v>
      </c>
      <c r="R392" s="1">
        <v>0</v>
      </c>
      <c r="S392" s="26"/>
    </row>
    <row r="393" spans="1:19" ht="16.5" customHeight="1" x14ac:dyDescent="0.25">
      <c r="A393" s="9"/>
      <c r="B393" s="49" t="s">
        <v>72</v>
      </c>
      <c r="C393" s="50"/>
      <c r="D393" s="50"/>
      <c r="E393" s="50"/>
      <c r="F393" s="50"/>
      <c r="G393" s="51"/>
      <c r="H393" s="20"/>
      <c r="I393" s="9">
        <v>4</v>
      </c>
      <c r="J393" s="9"/>
      <c r="K393" s="9"/>
      <c r="L393" s="9"/>
      <c r="M393" s="9">
        <f t="shared" si="46"/>
        <v>23.2</v>
      </c>
      <c r="N393" s="9">
        <f t="shared" si="47"/>
        <v>8</v>
      </c>
      <c r="O393" s="9">
        <v>5.8</v>
      </c>
      <c r="P393" s="9">
        <v>2</v>
      </c>
      <c r="Q393" s="9" t="s">
        <v>3</v>
      </c>
      <c r="R393" s="1">
        <v>0</v>
      </c>
      <c r="S393" s="26"/>
    </row>
    <row r="394" spans="1:19" ht="16.5" customHeight="1" x14ac:dyDescent="0.25">
      <c r="A394" s="9"/>
      <c r="B394" s="49" t="s">
        <v>77</v>
      </c>
      <c r="C394" s="50"/>
      <c r="D394" s="50"/>
      <c r="E394" s="50"/>
      <c r="F394" s="50"/>
      <c r="G394" s="51"/>
      <c r="H394" s="20"/>
      <c r="I394" s="9">
        <v>1</v>
      </c>
      <c r="J394" s="9"/>
      <c r="K394" s="9"/>
      <c r="L394" s="9"/>
      <c r="M394" s="9">
        <f t="shared" si="46"/>
        <v>5.5</v>
      </c>
      <c r="N394" s="9">
        <f t="shared" si="47"/>
        <v>2</v>
      </c>
      <c r="O394" s="9">
        <v>5.5</v>
      </c>
      <c r="P394" s="9">
        <v>2</v>
      </c>
      <c r="Q394" s="9" t="s">
        <v>3</v>
      </c>
      <c r="R394" s="1">
        <v>0</v>
      </c>
      <c r="S394" s="26"/>
    </row>
    <row r="395" spans="1:19" ht="16.5" customHeight="1" x14ac:dyDescent="0.25">
      <c r="A395" s="9"/>
      <c r="B395" s="49" t="s">
        <v>74</v>
      </c>
      <c r="C395" s="50"/>
      <c r="D395" s="50"/>
      <c r="E395" s="50"/>
      <c r="F395" s="50"/>
      <c r="G395" s="51"/>
      <c r="H395" s="20"/>
      <c r="I395" s="9">
        <v>3</v>
      </c>
      <c r="J395" s="9"/>
      <c r="K395" s="9"/>
      <c r="L395" s="9"/>
      <c r="M395" s="9">
        <f t="shared" si="46"/>
        <v>18.899999999999999</v>
      </c>
      <c r="N395" s="9">
        <f t="shared" si="47"/>
        <v>6</v>
      </c>
      <c r="O395" s="9">
        <v>6.3</v>
      </c>
      <c r="P395" s="9">
        <v>2</v>
      </c>
      <c r="Q395" s="9" t="s">
        <v>3</v>
      </c>
      <c r="R395" s="1">
        <v>0</v>
      </c>
      <c r="S395" s="26"/>
    </row>
    <row r="396" spans="1:19" ht="16.5" customHeight="1" x14ac:dyDescent="0.25">
      <c r="A396" s="9"/>
      <c r="B396" s="49" t="s">
        <v>76</v>
      </c>
      <c r="C396" s="50"/>
      <c r="D396" s="50"/>
      <c r="E396" s="50"/>
      <c r="F396" s="50"/>
      <c r="G396" s="51"/>
      <c r="H396" s="20"/>
      <c r="I396" s="9">
        <v>4</v>
      </c>
      <c r="J396" s="9"/>
      <c r="K396" s="9"/>
      <c r="L396" s="9"/>
      <c r="M396" s="9">
        <f t="shared" si="46"/>
        <v>25.2</v>
      </c>
      <c r="N396" s="9">
        <f t="shared" si="47"/>
        <v>8</v>
      </c>
      <c r="O396" s="9">
        <v>6.3</v>
      </c>
      <c r="P396" s="9">
        <v>2</v>
      </c>
      <c r="Q396" s="9" t="s">
        <v>3</v>
      </c>
      <c r="R396" s="1">
        <v>0</v>
      </c>
      <c r="S396" s="26"/>
    </row>
    <row r="397" spans="1:19" ht="16.5" customHeight="1" x14ac:dyDescent="0.25">
      <c r="A397" s="9"/>
      <c r="B397" s="49" t="s">
        <v>68</v>
      </c>
      <c r="C397" s="50"/>
      <c r="D397" s="50"/>
      <c r="E397" s="50"/>
      <c r="F397" s="50"/>
      <c r="G397" s="51"/>
      <c r="H397" s="20"/>
      <c r="I397" s="9">
        <v>3</v>
      </c>
      <c r="J397" s="9"/>
      <c r="K397" s="9"/>
      <c r="L397" s="9"/>
      <c r="M397" s="9">
        <f t="shared" si="46"/>
        <v>21.299999999999997</v>
      </c>
      <c r="N397" s="9">
        <f t="shared" si="47"/>
        <v>9</v>
      </c>
      <c r="O397" s="9">
        <v>7.1</v>
      </c>
      <c r="P397" s="9">
        <v>3</v>
      </c>
      <c r="Q397" s="9" t="s">
        <v>6</v>
      </c>
      <c r="R397" s="1">
        <v>0</v>
      </c>
      <c r="S397" s="26"/>
    </row>
    <row r="398" spans="1:19" ht="16.5" hidden="1" customHeight="1" x14ac:dyDescent="0.25">
      <c r="A398" s="21"/>
      <c r="H398" s="21"/>
      <c r="I398" s="21"/>
      <c r="J398" s="21"/>
      <c r="K398" s="21"/>
      <c r="L398" s="21"/>
      <c r="M398" s="9">
        <f t="shared" si="46"/>
        <v>0</v>
      </c>
      <c r="N398" s="9">
        <f t="shared" si="47"/>
        <v>0</v>
      </c>
      <c r="O398" s="21"/>
      <c r="P398" s="21"/>
      <c r="Q398" s="21"/>
      <c r="S398" s="25"/>
    </row>
    <row r="399" spans="1:19" ht="16.5" customHeight="1" x14ac:dyDescent="0.25">
      <c r="A399" s="9"/>
      <c r="B399" s="38" t="s">
        <v>42</v>
      </c>
      <c r="C399" s="39"/>
      <c r="D399" s="39"/>
      <c r="E399" s="39"/>
      <c r="F399" s="39"/>
      <c r="G399" s="40"/>
      <c r="H399" s="23"/>
      <c r="I399" s="24">
        <f>SUM(I389:I398)</f>
        <v>26</v>
      </c>
      <c r="J399" s="9"/>
      <c r="K399" s="9"/>
      <c r="L399" s="9"/>
      <c r="M399" s="9">
        <f t="shared" si="46"/>
        <v>166.4</v>
      </c>
      <c r="N399" s="9">
        <f t="shared" si="47"/>
        <v>59.02</v>
      </c>
      <c r="O399" s="24">
        <f>ROUND(SUM(M389:M398)/I399,2)</f>
        <v>6.4</v>
      </c>
      <c r="P399" s="24">
        <f>ROUND(SUM(N389:N398)/I399,2)</f>
        <v>2.27</v>
      </c>
      <c r="Q399" s="9"/>
      <c r="S399" s="25"/>
    </row>
    <row r="400" spans="1:19" ht="20.25" customHeight="1" x14ac:dyDescent="0.25">
      <c r="A400" s="27" t="s">
        <v>82</v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</row>
    <row r="401" spans="1:19" ht="16.5" customHeight="1" x14ac:dyDescent="0.25">
      <c r="A401" s="9"/>
      <c r="B401" s="49" t="s">
        <v>86</v>
      </c>
      <c r="C401" s="50"/>
      <c r="D401" s="50"/>
      <c r="E401" s="50"/>
      <c r="F401" s="50"/>
      <c r="G401" s="51"/>
      <c r="H401" s="20"/>
      <c r="I401" s="9">
        <v>3</v>
      </c>
      <c r="J401" s="9"/>
      <c r="K401" s="9"/>
      <c r="L401" s="9"/>
      <c r="M401" s="9">
        <f>I401*O401</f>
        <v>20.100000000000001</v>
      </c>
      <c r="N401" s="9">
        <f>I401*P401</f>
        <v>7.5</v>
      </c>
      <c r="O401" s="9">
        <v>6.7</v>
      </c>
      <c r="P401" s="9">
        <v>2.5</v>
      </c>
      <c r="Q401" s="9" t="s">
        <v>5</v>
      </c>
      <c r="R401" s="1">
        <v>0</v>
      </c>
      <c r="S401" s="26"/>
    </row>
    <row r="402" spans="1:19" ht="15" customHeight="1" x14ac:dyDescent="0.25">
      <c r="A402" s="35" t="s">
        <v>0</v>
      </c>
      <c r="B402" s="29" t="s">
        <v>1</v>
      </c>
      <c r="C402" s="30"/>
      <c r="D402" s="30"/>
      <c r="E402" s="30"/>
      <c r="F402" s="30"/>
      <c r="G402" s="31"/>
      <c r="H402" s="35" t="s">
        <v>32</v>
      </c>
      <c r="I402" s="35" t="s">
        <v>39</v>
      </c>
      <c r="J402" s="53" t="s">
        <v>2</v>
      </c>
      <c r="K402" s="54"/>
      <c r="L402" s="54"/>
      <c r="M402" s="54"/>
      <c r="N402" s="54"/>
      <c r="O402" s="54"/>
      <c r="P402" s="54"/>
      <c r="Q402" s="55"/>
      <c r="S402" s="35" t="s">
        <v>38</v>
      </c>
    </row>
    <row r="403" spans="1:19" ht="24" customHeight="1" x14ac:dyDescent="0.25">
      <c r="A403" s="36"/>
      <c r="B403" s="32"/>
      <c r="C403" s="33"/>
      <c r="D403" s="33"/>
      <c r="E403" s="33"/>
      <c r="F403" s="33"/>
      <c r="G403" s="34"/>
      <c r="H403" s="36"/>
      <c r="I403" s="36"/>
      <c r="J403" s="7" t="s">
        <v>28</v>
      </c>
      <c r="K403" s="7" t="s">
        <v>29</v>
      </c>
      <c r="L403" s="7" t="s">
        <v>30</v>
      </c>
      <c r="M403" s="7"/>
      <c r="N403" s="7"/>
      <c r="O403" s="6" t="s">
        <v>35</v>
      </c>
      <c r="P403" s="6" t="s">
        <v>36</v>
      </c>
      <c r="Q403" s="6" t="s">
        <v>37</v>
      </c>
      <c r="S403" s="36"/>
    </row>
    <row r="404" spans="1:19" ht="16.5" customHeight="1" x14ac:dyDescent="0.25">
      <c r="A404" s="9"/>
      <c r="B404" s="49" t="s">
        <v>83</v>
      </c>
      <c r="C404" s="50"/>
      <c r="D404" s="50"/>
      <c r="E404" s="50"/>
      <c r="F404" s="50"/>
      <c r="G404" s="51"/>
      <c r="H404" s="20"/>
      <c r="I404" s="9">
        <v>1</v>
      </c>
      <c r="J404" s="9"/>
      <c r="K404" s="9"/>
      <c r="L404" s="9"/>
      <c r="M404" s="9">
        <f t="shared" ref="M404:M414" si="48">I404*O404</f>
        <v>9.1</v>
      </c>
      <c r="N404" s="9">
        <f t="shared" ref="N404:N414" si="49">I404*P404</f>
        <v>4</v>
      </c>
      <c r="O404" s="9">
        <v>9.1</v>
      </c>
      <c r="P404" s="9">
        <v>4</v>
      </c>
      <c r="Q404" s="9" t="s">
        <v>12</v>
      </c>
      <c r="R404" s="1">
        <v>0</v>
      </c>
      <c r="S404" s="26"/>
    </row>
    <row r="405" spans="1:19" ht="16.5" customHeight="1" x14ac:dyDescent="0.25">
      <c r="A405" s="9"/>
      <c r="B405" s="49" t="s">
        <v>75</v>
      </c>
      <c r="C405" s="50"/>
      <c r="D405" s="50"/>
      <c r="E405" s="50"/>
      <c r="F405" s="50"/>
      <c r="G405" s="51"/>
      <c r="H405" s="20"/>
      <c r="I405" s="9">
        <v>3</v>
      </c>
      <c r="J405" s="9"/>
      <c r="K405" s="9"/>
      <c r="L405" s="9"/>
      <c r="M405" s="9">
        <f t="shared" si="48"/>
        <v>19.5</v>
      </c>
      <c r="N405" s="9">
        <f t="shared" si="49"/>
        <v>7.5</v>
      </c>
      <c r="O405" s="9">
        <v>6.5</v>
      </c>
      <c r="P405" s="9">
        <v>2.5</v>
      </c>
      <c r="Q405" s="9" t="s">
        <v>5</v>
      </c>
      <c r="R405" s="1">
        <v>0</v>
      </c>
      <c r="S405" s="26"/>
    </row>
    <row r="406" spans="1:19" ht="16.5" customHeight="1" x14ac:dyDescent="0.25">
      <c r="A406" s="9"/>
      <c r="B406" s="49" t="s">
        <v>93</v>
      </c>
      <c r="C406" s="50"/>
      <c r="D406" s="50"/>
      <c r="E406" s="50"/>
      <c r="F406" s="50"/>
      <c r="G406" s="51"/>
      <c r="H406" s="20"/>
      <c r="I406" s="9">
        <v>2</v>
      </c>
      <c r="J406" s="9"/>
      <c r="K406" s="9"/>
      <c r="L406" s="9"/>
      <c r="M406" s="9">
        <f t="shared" si="48"/>
        <v>14.6</v>
      </c>
      <c r="N406" s="9">
        <f t="shared" si="49"/>
        <v>6</v>
      </c>
      <c r="O406" s="9">
        <v>7.3</v>
      </c>
      <c r="P406" s="9">
        <v>3</v>
      </c>
      <c r="Q406" s="9" t="s">
        <v>6</v>
      </c>
      <c r="R406" s="1">
        <v>0</v>
      </c>
      <c r="S406" s="26"/>
    </row>
    <row r="407" spans="1:19" ht="16.5" customHeight="1" x14ac:dyDescent="0.25">
      <c r="A407" s="9"/>
      <c r="B407" s="49" t="s">
        <v>90</v>
      </c>
      <c r="C407" s="50"/>
      <c r="D407" s="50"/>
      <c r="E407" s="50"/>
      <c r="F407" s="50"/>
      <c r="G407" s="51"/>
      <c r="H407" s="20"/>
      <c r="I407" s="9">
        <v>2</v>
      </c>
      <c r="J407" s="9"/>
      <c r="K407" s="9"/>
      <c r="L407" s="9"/>
      <c r="M407" s="9">
        <f t="shared" si="48"/>
        <v>13.4</v>
      </c>
      <c r="N407" s="9">
        <f t="shared" si="49"/>
        <v>5</v>
      </c>
      <c r="O407" s="9">
        <v>6.7</v>
      </c>
      <c r="P407" s="9">
        <v>2.5</v>
      </c>
      <c r="Q407" s="9" t="s">
        <v>5</v>
      </c>
      <c r="R407" s="1">
        <v>0</v>
      </c>
      <c r="S407" s="26"/>
    </row>
    <row r="408" spans="1:19" ht="16.5" customHeight="1" x14ac:dyDescent="0.25">
      <c r="A408" s="9"/>
      <c r="B408" s="49" t="s">
        <v>95</v>
      </c>
      <c r="C408" s="50"/>
      <c r="D408" s="50"/>
      <c r="E408" s="50"/>
      <c r="F408" s="50"/>
      <c r="G408" s="51"/>
      <c r="H408" s="20"/>
      <c r="I408" s="9">
        <v>1</v>
      </c>
      <c r="J408" s="9"/>
      <c r="K408" s="9"/>
      <c r="L408" s="9"/>
      <c r="M408" s="9">
        <f t="shared" si="48"/>
        <v>8</v>
      </c>
      <c r="N408" s="9">
        <f t="shared" si="49"/>
        <v>3.5</v>
      </c>
      <c r="O408" s="9">
        <v>8</v>
      </c>
      <c r="P408" s="9">
        <v>3.5</v>
      </c>
      <c r="Q408" s="9" t="s">
        <v>9</v>
      </c>
      <c r="R408" s="1">
        <v>0</v>
      </c>
      <c r="S408" s="26"/>
    </row>
    <row r="409" spans="1:19" ht="16.5" customHeight="1" x14ac:dyDescent="0.25">
      <c r="A409" s="9"/>
      <c r="B409" s="49" t="s">
        <v>88</v>
      </c>
      <c r="C409" s="50"/>
      <c r="D409" s="50"/>
      <c r="E409" s="50"/>
      <c r="F409" s="50"/>
      <c r="G409" s="51"/>
      <c r="H409" s="20"/>
      <c r="I409" s="9">
        <v>2</v>
      </c>
      <c r="J409" s="9"/>
      <c r="K409" s="9"/>
      <c r="L409" s="9"/>
      <c r="M409" s="9">
        <f t="shared" si="48"/>
        <v>15</v>
      </c>
      <c r="N409" s="9">
        <f t="shared" si="49"/>
        <v>6</v>
      </c>
      <c r="O409" s="9">
        <v>7.5</v>
      </c>
      <c r="P409" s="9">
        <v>3</v>
      </c>
      <c r="Q409" s="9" t="s">
        <v>6</v>
      </c>
      <c r="R409" s="1">
        <v>0</v>
      </c>
      <c r="S409" s="26"/>
    </row>
    <row r="410" spans="1:19" ht="16.5" customHeight="1" x14ac:dyDescent="0.25">
      <c r="A410" s="9"/>
      <c r="B410" s="49" t="s">
        <v>89</v>
      </c>
      <c r="C410" s="50"/>
      <c r="D410" s="50"/>
      <c r="E410" s="50"/>
      <c r="F410" s="50"/>
      <c r="G410" s="51"/>
      <c r="H410" s="20"/>
      <c r="I410" s="9">
        <v>2</v>
      </c>
      <c r="J410" s="9"/>
      <c r="K410" s="9"/>
      <c r="L410" s="9"/>
      <c r="M410" s="9">
        <f t="shared" si="48"/>
        <v>17.600000000000001</v>
      </c>
      <c r="N410" s="9">
        <f t="shared" si="49"/>
        <v>7.4</v>
      </c>
      <c r="O410" s="9">
        <v>8.8000000000000007</v>
      </c>
      <c r="P410" s="9">
        <v>3.7</v>
      </c>
      <c r="Q410" s="9" t="s">
        <v>10</v>
      </c>
      <c r="R410" s="1">
        <v>0</v>
      </c>
      <c r="S410" s="26"/>
    </row>
    <row r="411" spans="1:19" ht="16.5" customHeight="1" x14ac:dyDescent="0.25">
      <c r="A411" s="9"/>
      <c r="B411" s="49" t="s">
        <v>92</v>
      </c>
      <c r="C411" s="50"/>
      <c r="D411" s="50"/>
      <c r="E411" s="50"/>
      <c r="F411" s="50"/>
      <c r="G411" s="51"/>
      <c r="H411" s="20"/>
      <c r="I411" s="9">
        <v>4</v>
      </c>
      <c r="J411" s="9"/>
      <c r="K411" s="9"/>
      <c r="L411" s="9"/>
      <c r="M411" s="9">
        <f t="shared" si="48"/>
        <v>24</v>
      </c>
      <c r="N411" s="9">
        <f t="shared" si="49"/>
        <v>8</v>
      </c>
      <c r="O411" s="9">
        <v>6</v>
      </c>
      <c r="P411" s="9">
        <v>2</v>
      </c>
      <c r="Q411" s="9" t="s">
        <v>3</v>
      </c>
      <c r="R411" s="1">
        <v>0</v>
      </c>
      <c r="S411" s="26"/>
    </row>
    <row r="412" spans="1:19" ht="16.5" customHeight="1" x14ac:dyDescent="0.25">
      <c r="A412" s="9"/>
      <c r="B412" s="49" t="s">
        <v>84</v>
      </c>
      <c r="C412" s="50"/>
      <c r="D412" s="50"/>
      <c r="E412" s="50"/>
      <c r="F412" s="50"/>
      <c r="G412" s="51"/>
      <c r="H412" s="20"/>
      <c r="I412" s="9">
        <v>3</v>
      </c>
      <c r="J412" s="9"/>
      <c r="K412" s="9"/>
      <c r="L412" s="9"/>
      <c r="M412" s="9">
        <f t="shared" si="48"/>
        <v>16.5</v>
      </c>
      <c r="N412" s="9">
        <f t="shared" si="49"/>
        <v>6</v>
      </c>
      <c r="O412" s="9">
        <v>5.5</v>
      </c>
      <c r="P412" s="9">
        <v>2</v>
      </c>
      <c r="Q412" s="9" t="s">
        <v>3</v>
      </c>
      <c r="R412" s="1">
        <v>0</v>
      </c>
      <c r="S412" s="26"/>
    </row>
    <row r="413" spans="1:19" ht="16.5" hidden="1" customHeight="1" x14ac:dyDescent="0.25">
      <c r="A413" s="21"/>
      <c r="H413" s="21"/>
      <c r="I413" s="21"/>
      <c r="J413" s="21"/>
      <c r="K413" s="21"/>
      <c r="L413" s="21"/>
      <c r="M413" s="9">
        <f t="shared" si="48"/>
        <v>0</v>
      </c>
      <c r="N413" s="9">
        <f t="shared" si="49"/>
        <v>0</v>
      </c>
      <c r="O413" s="21"/>
      <c r="P413" s="21"/>
      <c r="Q413" s="21"/>
      <c r="S413" s="25"/>
    </row>
    <row r="414" spans="1:19" ht="16.5" customHeight="1" x14ac:dyDescent="0.25">
      <c r="A414" s="9"/>
      <c r="B414" s="38" t="s">
        <v>42</v>
      </c>
      <c r="C414" s="39"/>
      <c r="D414" s="39"/>
      <c r="E414" s="39"/>
      <c r="F414" s="39"/>
      <c r="G414" s="40"/>
      <c r="H414" s="23"/>
      <c r="I414" s="24">
        <f>SUM(I401:I413)</f>
        <v>23</v>
      </c>
      <c r="J414" s="9"/>
      <c r="K414" s="9"/>
      <c r="L414" s="9"/>
      <c r="M414" s="9">
        <f t="shared" si="48"/>
        <v>157.78</v>
      </c>
      <c r="N414" s="9">
        <f t="shared" si="49"/>
        <v>60.949999999999996</v>
      </c>
      <c r="O414" s="24">
        <f>ROUND(SUM(M401:M413)/I414,2)</f>
        <v>6.86</v>
      </c>
      <c r="P414" s="24">
        <f>ROUND(SUM(N401:N413)/I414,2)</f>
        <v>2.65</v>
      </c>
      <c r="Q414" s="9"/>
      <c r="S414" s="25"/>
    </row>
    <row r="415" spans="1:19" ht="20.25" customHeight="1" x14ac:dyDescent="0.25">
      <c r="A415" s="27" t="s">
        <v>96</v>
      </c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</row>
    <row r="416" spans="1:19" ht="16.5" customHeight="1" x14ac:dyDescent="0.25">
      <c r="A416" s="9"/>
      <c r="B416" s="49" t="s">
        <v>97</v>
      </c>
      <c r="C416" s="50"/>
      <c r="D416" s="50"/>
      <c r="E416" s="50"/>
      <c r="F416" s="50"/>
      <c r="G416" s="51"/>
      <c r="H416" s="20"/>
      <c r="I416" s="9">
        <v>2</v>
      </c>
      <c r="J416" s="9"/>
      <c r="K416" s="9"/>
      <c r="L416" s="9"/>
      <c r="M416" s="9">
        <f t="shared" ref="M416:M428" si="50">I416*O416</f>
        <v>14.4</v>
      </c>
      <c r="N416" s="9">
        <f t="shared" ref="N416:N428" si="51">I416*P416</f>
        <v>6</v>
      </c>
      <c r="O416" s="9">
        <v>7.2</v>
      </c>
      <c r="P416" s="9">
        <v>3</v>
      </c>
      <c r="Q416" s="9" t="s">
        <v>6</v>
      </c>
      <c r="R416" s="1">
        <v>0</v>
      </c>
      <c r="S416" s="26"/>
    </row>
    <row r="417" spans="1:19" ht="16.5" customHeight="1" x14ac:dyDescent="0.25">
      <c r="A417" s="9"/>
      <c r="B417" s="49" t="s">
        <v>99</v>
      </c>
      <c r="C417" s="50"/>
      <c r="D417" s="50"/>
      <c r="E417" s="50"/>
      <c r="F417" s="50"/>
      <c r="G417" s="51"/>
      <c r="H417" s="20"/>
      <c r="I417" s="9">
        <v>2</v>
      </c>
      <c r="J417" s="9"/>
      <c r="K417" s="9"/>
      <c r="L417" s="9"/>
      <c r="M417" s="9">
        <f t="shared" si="50"/>
        <v>10.8</v>
      </c>
      <c r="N417" s="9">
        <f t="shared" si="51"/>
        <v>3</v>
      </c>
      <c r="O417" s="9">
        <v>5.4</v>
      </c>
      <c r="P417" s="9">
        <v>1.5</v>
      </c>
      <c r="Q417" s="9" t="s">
        <v>4</v>
      </c>
      <c r="R417" s="1">
        <v>0</v>
      </c>
      <c r="S417" s="26"/>
    </row>
    <row r="418" spans="1:19" ht="16.5" customHeight="1" x14ac:dyDescent="0.25">
      <c r="A418" s="9"/>
      <c r="B418" s="49" t="s">
        <v>98</v>
      </c>
      <c r="C418" s="50"/>
      <c r="D418" s="50"/>
      <c r="E418" s="50"/>
      <c r="F418" s="50"/>
      <c r="G418" s="51"/>
      <c r="H418" s="20"/>
      <c r="I418" s="9">
        <v>3</v>
      </c>
      <c r="J418" s="9"/>
      <c r="K418" s="9"/>
      <c r="L418" s="9"/>
      <c r="M418" s="9">
        <f t="shared" si="50"/>
        <v>19.799999999999997</v>
      </c>
      <c r="N418" s="9">
        <f t="shared" si="51"/>
        <v>7.5</v>
      </c>
      <c r="O418" s="9">
        <v>6.6</v>
      </c>
      <c r="P418" s="9">
        <v>2.5</v>
      </c>
      <c r="Q418" s="9" t="s">
        <v>5</v>
      </c>
      <c r="R418" s="1">
        <v>0</v>
      </c>
      <c r="S418" s="26"/>
    </row>
    <row r="419" spans="1:19" ht="16.5" customHeight="1" x14ac:dyDescent="0.25">
      <c r="A419" s="9"/>
      <c r="B419" s="49" t="s">
        <v>103</v>
      </c>
      <c r="C419" s="50"/>
      <c r="D419" s="50"/>
      <c r="E419" s="50"/>
      <c r="F419" s="50"/>
      <c r="G419" s="51"/>
      <c r="H419" s="20"/>
      <c r="I419" s="9">
        <v>2</v>
      </c>
      <c r="J419" s="9"/>
      <c r="K419" s="9"/>
      <c r="L419" s="9"/>
      <c r="M419" s="9">
        <f t="shared" si="50"/>
        <v>14.8</v>
      </c>
      <c r="N419" s="9">
        <f t="shared" si="51"/>
        <v>6</v>
      </c>
      <c r="O419" s="9">
        <v>7.4</v>
      </c>
      <c r="P419" s="9">
        <v>3</v>
      </c>
      <c r="Q419" s="9" t="s">
        <v>6</v>
      </c>
      <c r="R419" s="1">
        <v>0</v>
      </c>
      <c r="S419" s="26"/>
    </row>
    <row r="420" spans="1:19" ht="16.5" customHeight="1" x14ac:dyDescent="0.25">
      <c r="A420" s="9"/>
      <c r="B420" s="49" t="s">
        <v>69</v>
      </c>
      <c r="C420" s="50"/>
      <c r="D420" s="50"/>
      <c r="E420" s="50"/>
      <c r="F420" s="50"/>
      <c r="G420" s="51"/>
      <c r="H420" s="20"/>
      <c r="I420" s="9">
        <v>1</v>
      </c>
      <c r="J420" s="9"/>
      <c r="K420" s="9"/>
      <c r="L420" s="9"/>
      <c r="M420" s="9">
        <f t="shared" si="50"/>
        <v>7.4</v>
      </c>
      <c r="N420" s="9">
        <f t="shared" si="51"/>
        <v>3</v>
      </c>
      <c r="O420" s="9">
        <v>7.4</v>
      </c>
      <c r="P420" s="9">
        <v>3</v>
      </c>
      <c r="Q420" s="9" t="s">
        <v>6</v>
      </c>
      <c r="R420" s="1">
        <v>0</v>
      </c>
      <c r="S420" s="26"/>
    </row>
    <row r="421" spans="1:19" ht="16.5" customHeight="1" x14ac:dyDescent="0.25">
      <c r="A421" s="9"/>
      <c r="B421" s="49" t="s">
        <v>105</v>
      </c>
      <c r="C421" s="50"/>
      <c r="D421" s="50"/>
      <c r="E421" s="50"/>
      <c r="F421" s="50"/>
      <c r="G421" s="51"/>
      <c r="H421" s="20"/>
      <c r="I421" s="9">
        <v>4</v>
      </c>
      <c r="J421" s="9"/>
      <c r="K421" s="9"/>
      <c r="L421" s="9"/>
      <c r="M421" s="9">
        <f t="shared" si="50"/>
        <v>22.8</v>
      </c>
      <c r="N421" s="9">
        <f t="shared" si="51"/>
        <v>8</v>
      </c>
      <c r="O421" s="9">
        <v>5.7</v>
      </c>
      <c r="P421" s="9">
        <v>2</v>
      </c>
      <c r="Q421" s="9" t="s">
        <v>3</v>
      </c>
      <c r="R421" s="1">
        <v>0</v>
      </c>
      <c r="S421" s="26"/>
    </row>
    <row r="422" spans="1:19" ht="16.5" customHeight="1" x14ac:dyDescent="0.25">
      <c r="A422" s="9"/>
      <c r="B422" s="49" t="s">
        <v>101</v>
      </c>
      <c r="C422" s="50"/>
      <c r="D422" s="50"/>
      <c r="E422" s="50"/>
      <c r="F422" s="50"/>
      <c r="G422" s="51"/>
      <c r="H422" s="20"/>
      <c r="I422" s="9">
        <v>1</v>
      </c>
      <c r="J422" s="9"/>
      <c r="K422" s="9"/>
      <c r="L422" s="9"/>
      <c r="M422" s="9">
        <f t="shared" si="50"/>
        <v>7.8</v>
      </c>
      <c r="N422" s="9">
        <f t="shared" si="51"/>
        <v>3</v>
      </c>
      <c r="O422" s="9">
        <v>7.8</v>
      </c>
      <c r="P422" s="9">
        <v>3</v>
      </c>
      <c r="Q422" s="9" t="s">
        <v>6</v>
      </c>
      <c r="R422" s="1">
        <v>0</v>
      </c>
      <c r="S422" s="26"/>
    </row>
    <row r="423" spans="1:19" ht="16.5" customHeight="1" x14ac:dyDescent="0.25">
      <c r="A423" s="9"/>
      <c r="B423" s="49" t="s">
        <v>100</v>
      </c>
      <c r="C423" s="50"/>
      <c r="D423" s="50"/>
      <c r="E423" s="50"/>
      <c r="F423" s="50"/>
      <c r="G423" s="51"/>
      <c r="H423" s="20"/>
      <c r="I423" s="9">
        <v>1</v>
      </c>
      <c r="J423" s="9"/>
      <c r="K423" s="9"/>
      <c r="L423" s="9"/>
      <c r="M423" s="9">
        <f t="shared" si="50"/>
        <v>7.6</v>
      </c>
      <c r="N423" s="9">
        <f t="shared" si="51"/>
        <v>3</v>
      </c>
      <c r="O423" s="9">
        <v>7.6</v>
      </c>
      <c r="P423" s="9">
        <v>3</v>
      </c>
      <c r="Q423" s="9" t="s">
        <v>6</v>
      </c>
      <c r="R423" s="1">
        <v>0</v>
      </c>
      <c r="S423" s="26"/>
    </row>
    <row r="424" spans="1:19" ht="16.5" customHeight="1" x14ac:dyDescent="0.25">
      <c r="A424" s="9"/>
      <c r="B424" s="49" t="s">
        <v>104</v>
      </c>
      <c r="C424" s="50"/>
      <c r="D424" s="50"/>
      <c r="E424" s="50"/>
      <c r="F424" s="50"/>
      <c r="G424" s="51"/>
      <c r="H424" s="20"/>
      <c r="I424" s="9">
        <v>3</v>
      </c>
      <c r="J424" s="9"/>
      <c r="K424" s="9"/>
      <c r="L424" s="9"/>
      <c r="M424" s="9">
        <f t="shared" si="50"/>
        <v>21.299999999999997</v>
      </c>
      <c r="N424" s="9">
        <f t="shared" si="51"/>
        <v>9</v>
      </c>
      <c r="O424" s="9">
        <v>7.1</v>
      </c>
      <c r="P424" s="9">
        <v>3</v>
      </c>
      <c r="Q424" s="9" t="s">
        <v>6</v>
      </c>
      <c r="R424" s="1">
        <v>0</v>
      </c>
      <c r="S424" s="26"/>
    </row>
    <row r="425" spans="1:19" ht="16.5" customHeight="1" x14ac:dyDescent="0.25">
      <c r="A425" s="9"/>
      <c r="B425" s="49" t="s">
        <v>79</v>
      </c>
      <c r="C425" s="50"/>
      <c r="D425" s="50"/>
      <c r="E425" s="50"/>
      <c r="F425" s="50"/>
      <c r="G425" s="51"/>
      <c r="H425" s="20"/>
      <c r="I425" s="9">
        <v>2</v>
      </c>
      <c r="J425" s="9"/>
      <c r="K425" s="9"/>
      <c r="L425" s="9"/>
      <c r="M425" s="9">
        <f t="shared" si="50"/>
        <v>13.4</v>
      </c>
      <c r="N425" s="9">
        <f t="shared" si="51"/>
        <v>5</v>
      </c>
      <c r="O425" s="9">
        <v>6.7</v>
      </c>
      <c r="P425" s="9">
        <v>2.5</v>
      </c>
      <c r="Q425" s="9" t="s">
        <v>5</v>
      </c>
      <c r="R425" s="1">
        <v>0</v>
      </c>
      <c r="S425" s="26"/>
    </row>
    <row r="426" spans="1:19" ht="16.5" customHeight="1" x14ac:dyDescent="0.25">
      <c r="A426" s="9"/>
      <c r="B426" s="49" t="s">
        <v>102</v>
      </c>
      <c r="C426" s="50"/>
      <c r="D426" s="50"/>
      <c r="E426" s="50"/>
      <c r="F426" s="50"/>
      <c r="G426" s="51"/>
      <c r="H426" s="20"/>
      <c r="I426" s="9">
        <v>2</v>
      </c>
      <c r="J426" s="9"/>
      <c r="K426" s="9"/>
      <c r="L426" s="9"/>
      <c r="M426" s="9">
        <f t="shared" si="50"/>
        <v>13.2</v>
      </c>
      <c r="N426" s="9">
        <f t="shared" si="51"/>
        <v>5</v>
      </c>
      <c r="O426" s="9">
        <v>6.6</v>
      </c>
      <c r="P426" s="9">
        <v>2.5</v>
      </c>
      <c r="Q426" s="9" t="s">
        <v>5</v>
      </c>
      <c r="R426" s="1">
        <v>0</v>
      </c>
      <c r="S426" s="26"/>
    </row>
    <row r="427" spans="1:19" ht="16.5" hidden="1" customHeight="1" x14ac:dyDescent="0.25">
      <c r="A427" s="21"/>
      <c r="H427" s="21"/>
      <c r="I427" s="21"/>
      <c r="J427" s="21"/>
      <c r="K427" s="21"/>
      <c r="L427" s="21"/>
      <c r="M427" s="9">
        <f t="shared" si="50"/>
        <v>0</v>
      </c>
      <c r="N427" s="9">
        <f t="shared" si="51"/>
        <v>0</v>
      </c>
      <c r="O427" s="21"/>
      <c r="P427" s="21"/>
      <c r="Q427" s="21"/>
      <c r="S427" s="25"/>
    </row>
    <row r="428" spans="1:19" ht="16.5" customHeight="1" x14ac:dyDescent="0.25">
      <c r="A428" s="9"/>
      <c r="B428" s="38" t="s">
        <v>42</v>
      </c>
      <c r="C428" s="39"/>
      <c r="D428" s="39"/>
      <c r="E428" s="39"/>
      <c r="F428" s="39"/>
      <c r="G428" s="40"/>
      <c r="H428" s="23"/>
      <c r="I428" s="24">
        <f>SUM(I416:I427)</f>
        <v>23</v>
      </c>
      <c r="J428" s="9"/>
      <c r="K428" s="9"/>
      <c r="L428" s="9"/>
      <c r="M428" s="9">
        <f t="shared" si="50"/>
        <v>153.41</v>
      </c>
      <c r="N428" s="9">
        <f t="shared" si="51"/>
        <v>58.42</v>
      </c>
      <c r="O428" s="24">
        <f>ROUND(SUM(M416:M427)/I428,2)</f>
        <v>6.67</v>
      </c>
      <c r="P428" s="24">
        <f>ROUND(SUM(N416:N427)/I428,2)</f>
        <v>2.54</v>
      </c>
      <c r="Q428" s="9"/>
      <c r="S428" s="25"/>
    </row>
    <row r="429" spans="1:19" ht="20.25" customHeight="1" x14ac:dyDescent="0.25">
      <c r="A429" s="27" t="s">
        <v>107</v>
      </c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</row>
    <row r="430" spans="1:19" ht="16.5" customHeight="1" x14ac:dyDescent="0.25">
      <c r="A430" s="9"/>
      <c r="B430" s="49" t="s">
        <v>108</v>
      </c>
      <c r="C430" s="50"/>
      <c r="D430" s="50"/>
      <c r="E430" s="50"/>
      <c r="F430" s="50"/>
      <c r="G430" s="51"/>
      <c r="H430" s="20"/>
      <c r="I430" s="9">
        <v>1</v>
      </c>
      <c r="J430" s="9"/>
      <c r="K430" s="9"/>
      <c r="L430" s="9"/>
      <c r="M430" s="9">
        <f t="shared" ref="M430:M442" si="52">I430*O430</f>
        <v>7.3</v>
      </c>
      <c r="N430" s="9">
        <f t="shared" ref="N430:N442" si="53">I430*P430</f>
        <v>3</v>
      </c>
      <c r="O430" s="9">
        <v>7.3</v>
      </c>
      <c r="P430" s="9">
        <v>3</v>
      </c>
      <c r="Q430" s="9" t="s">
        <v>6</v>
      </c>
      <c r="R430" s="1">
        <v>0</v>
      </c>
      <c r="S430" s="26"/>
    </row>
    <row r="431" spans="1:19" ht="16.5" customHeight="1" x14ac:dyDescent="0.25">
      <c r="A431" s="9"/>
      <c r="B431" s="49" t="s">
        <v>113</v>
      </c>
      <c r="C431" s="50"/>
      <c r="D431" s="50"/>
      <c r="E431" s="50"/>
      <c r="F431" s="50"/>
      <c r="G431" s="51"/>
      <c r="H431" s="20"/>
      <c r="I431" s="9">
        <v>4</v>
      </c>
      <c r="J431" s="9"/>
      <c r="K431" s="9"/>
      <c r="L431" s="9"/>
      <c r="M431" s="9">
        <f t="shared" si="52"/>
        <v>27.6</v>
      </c>
      <c r="N431" s="9">
        <f t="shared" si="53"/>
        <v>10</v>
      </c>
      <c r="O431" s="9">
        <v>6.9</v>
      </c>
      <c r="P431" s="9">
        <v>2.5</v>
      </c>
      <c r="Q431" s="9" t="s">
        <v>5</v>
      </c>
      <c r="R431" s="1">
        <v>0</v>
      </c>
      <c r="S431" s="26"/>
    </row>
    <row r="432" spans="1:19" ht="16.5" customHeight="1" x14ac:dyDescent="0.25">
      <c r="A432" s="9"/>
      <c r="B432" s="49" t="s">
        <v>116</v>
      </c>
      <c r="C432" s="50"/>
      <c r="D432" s="50"/>
      <c r="E432" s="50"/>
      <c r="F432" s="50"/>
      <c r="G432" s="51"/>
      <c r="H432" s="20"/>
      <c r="I432" s="9">
        <v>2</v>
      </c>
      <c r="J432" s="9"/>
      <c r="K432" s="9"/>
      <c r="L432" s="9"/>
      <c r="M432" s="9">
        <f t="shared" si="52"/>
        <v>13.6</v>
      </c>
      <c r="N432" s="9">
        <f t="shared" si="53"/>
        <v>5</v>
      </c>
      <c r="O432" s="9">
        <v>6.8</v>
      </c>
      <c r="P432" s="9">
        <v>2.5</v>
      </c>
      <c r="Q432" s="9" t="s">
        <v>5</v>
      </c>
      <c r="R432" s="1">
        <v>0</v>
      </c>
      <c r="S432" s="26"/>
    </row>
    <row r="433" spans="1:19" ht="16.5" customHeight="1" x14ac:dyDescent="0.25">
      <c r="A433" s="9"/>
      <c r="B433" s="49" t="s">
        <v>111</v>
      </c>
      <c r="C433" s="50"/>
      <c r="D433" s="50"/>
      <c r="E433" s="50"/>
      <c r="F433" s="50"/>
      <c r="G433" s="51"/>
      <c r="H433" s="20"/>
      <c r="I433" s="9">
        <v>3</v>
      </c>
      <c r="J433" s="9"/>
      <c r="K433" s="9"/>
      <c r="L433" s="9"/>
      <c r="M433" s="9">
        <f t="shared" si="52"/>
        <v>22.799999999999997</v>
      </c>
      <c r="N433" s="9">
        <f t="shared" si="53"/>
        <v>9</v>
      </c>
      <c r="O433" s="9">
        <v>7.6</v>
      </c>
      <c r="P433" s="9">
        <v>3</v>
      </c>
      <c r="Q433" s="9" t="s">
        <v>6</v>
      </c>
      <c r="R433" s="1">
        <v>0</v>
      </c>
      <c r="S433" s="26"/>
    </row>
    <row r="434" spans="1:19" ht="16.5" customHeight="1" x14ac:dyDescent="0.25">
      <c r="A434" s="9"/>
      <c r="B434" s="49" t="s">
        <v>112</v>
      </c>
      <c r="C434" s="50"/>
      <c r="D434" s="50"/>
      <c r="E434" s="50"/>
      <c r="F434" s="50"/>
      <c r="G434" s="51"/>
      <c r="H434" s="20"/>
      <c r="I434" s="9">
        <v>4</v>
      </c>
      <c r="J434" s="9"/>
      <c r="K434" s="9"/>
      <c r="L434" s="9"/>
      <c r="M434" s="9">
        <f t="shared" si="52"/>
        <v>29.6</v>
      </c>
      <c r="N434" s="9">
        <f t="shared" si="53"/>
        <v>12</v>
      </c>
      <c r="O434" s="9">
        <v>7.4</v>
      </c>
      <c r="P434" s="9">
        <v>3</v>
      </c>
      <c r="Q434" s="9" t="s">
        <v>6</v>
      </c>
      <c r="R434" s="1">
        <v>0</v>
      </c>
      <c r="S434" s="26"/>
    </row>
    <row r="435" spans="1:19" ht="16.5" customHeight="1" x14ac:dyDescent="0.25">
      <c r="A435" s="9"/>
      <c r="B435" s="49" t="s">
        <v>109</v>
      </c>
      <c r="C435" s="50"/>
      <c r="D435" s="50"/>
      <c r="E435" s="50"/>
      <c r="F435" s="50"/>
      <c r="G435" s="51"/>
      <c r="H435" s="20"/>
      <c r="I435" s="9">
        <v>2</v>
      </c>
      <c r="J435" s="9"/>
      <c r="K435" s="9"/>
      <c r="L435" s="9"/>
      <c r="M435" s="9">
        <f t="shared" si="52"/>
        <v>15</v>
      </c>
      <c r="N435" s="9">
        <f t="shared" si="53"/>
        <v>6</v>
      </c>
      <c r="O435" s="9">
        <v>7.5</v>
      </c>
      <c r="P435" s="9">
        <v>3</v>
      </c>
      <c r="Q435" s="9" t="s">
        <v>6</v>
      </c>
      <c r="R435" s="1">
        <v>0</v>
      </c>
      <c r="S435" s="26"/>
    </row>
    <row r="436" spans="1:19" ht="16.5" customHeight="1" x14ac:dyDescent="0.25">
      <c r="A436" s="9"/>
      <c r="B436" s="49" t="s">
        <v>114</v>
      </c>
      <c r="C436" s="50"/>
      <c r="D436" s="50"/>
      <c r="E436" s="50"/>
      <c r="F436" s="50"/>
      <c r="G436" s="51"/>
      <c r="H436" s="20"/>
      <c r="I436" s="9">
        <v>3</v>
      </c>
      <c r="J436" s="9"/>
      <c r="K436" s="9"/>
      <c r="L436" s="9"/>
      <c r="M436" s="9">
        <f t="shared" si="52"/>
        <v>21.9</v>
      </c>
      <c r="N436" s="9">
        <f t="shared" si="53"/>
        <v>9</v>
      </c>
      <c r="O436" s="9">
        <v>7.3</v>
      </c>
      <c r="P436" s="9">
        <v>3</v>
      </c>
      <c r="Q436" s="9" t="s">
        <v>6</v>
      </c>
      <c r="R436" s="1">
        <v>0</v>
      </c>
      <c r="S436" s="26"/>
    </row>
    <row r="437" spans="1:19" ht="16.5" customHeight="1" x14ac:dyDescent="0.25">
      <c r="A437" s="9"/>
      <c r="B437" s="49" t="s">
        <v>115</v>
      </c>
      <c r="C437" s="50"/>
      <c r="D437" s="50"/>
      <c r="E437" s="50"/>
      <c r="F437" s="50"/>
      <c r="G437" s="51"/>
      <c r="H437" s="20"/>
      <c r="I437" s="9">
        <v>2</v>
      </c>
      <c r="J437" s="9"/>
      <c r="K437" s="9"/>
      <c r="L437" s="9"/>
      <c r="M437" s="9">
        <f t="shared" si="52"/>
        <v>13.8</v>
      </c>
      <c r="N437" s="9">
        <f t="shared" si="53"/>
        <v>5</v>
      </c>
      <c r="O437" s="9">
        <v>6.9</v>
      </c>
      <c r="P437" s="9">
        <v>2.5</v>
      </c>
      <c r="Q437" s="9" t="s">
        <v>5</v>
      </c>
      <c r="R437" s="1">
        <v>0</v>
      </c>
      <c r="S437" s="26"/>
    </row>
    <row r="438" spans="1:19" ht="16.5" customHeight="1" x14ac:dyDescent="0.25">
      <c r="A438" s="9"/>
      <c r="B438" s="49" t="s">
        <v>110</v>
      </c>
      <c r="C438" s="50"/>
      <c r="D438" s="50"/>
      <c r="E438" s="50"/>
      <c r="F438" s="50"/>
      <c r="G438" s="51"/>
      <c r="H438" s="20"/>
      <c r="I438" s="9">
        <v>3</v>
      </c>
      <c r="J438" s="9"/>
      <c r="K438" s="9"/>
      <c r="L438" s="9"/>
      <c r="M438" s="9">
        <f t="shared" si="52"/>
        <v>25.799999999999997</v>
      </c>
      <c r="N438" s="9">
        <f t="shared" si="53"/>
        <v>11.100000000000001</v>
      </c>
      <c r="O438" s="9">
        <v>8.6</v>
      </c>
      <c r="P438" s="9">
        <v>3.7</v>
      </c>
      <c r="Q438" s="9" t="s">
        <v>10</v>
      </c>
      <c r="R438" s="1">
        <v>0</v>
      </c>
      <c r="S438" s="26"/>
    </row>
    <row r="439" spans="1:19" ht="16.5" customHeight="1" x14ac:dyDescent="0.25">
      <c r="A439" s="9"/>
      <c r="B439" s="49" t="s">
        <v>118</v>
      </c>
      <c r="C439" s="50"/>
      <c r="D439" s="50"/>
      <c r="E439" s="50"/>
      <c r="F439" s="50"/>
      <c r="G439" s="51"/>
      <c r="H439" s="20"/>
      <c r="I439" s="9">
        <v>2</v>
      </c>
      <c r="J439" s="9"/>
      <c r="K439" s="9"/>
      <c r="L439" s="9"/>
      <c r="M439" s="9">
        <f t="shared" si="52"/>
        <v>16.2</v>
      </c>
      <c r="N439" s="9">
        <f t="shared" si="53"/>
        <v>7</v>
      </c>
      <c r="O439" s="9">
        <v>8.1</v>
      </c>
      <c r="P439" s="9">
        <v>3.5</v>
      </c>
      <c r="Q439" s="9" t="s">
        <v>9</v>
      </c>
      <c r="R439" s="1">
        <v>0</v>
      </c>
      <c r="S439" s="26"/>
    </row>
    <row r="440" spans="1:19" ht="16.5" customHeight="1" x14ac:dyDescent="0.25">
      <c r="A440" s="9"/>
      <c r="B440" s="49" t="s">
        <v>117</v>
      </c>
      <c r="C440" s="50"/>
      <c r="D440" s="50"/>
      <c r="E440" s="50"/>
      <c r="F440" s="50"/>
      <c r="G440" s="51"/>
      <c r="H440" s="20"/>
      <c r="I440" s="9">
        <v>3</v>
      </c>
      <c r="J440" s="9"/>
      <c r="K440" s="9"/>
      <c r="L440" s="9"/>
      <c r="M440" s="9">
        <f t="shared" si="52"/>
        <v>18.299999999999997</v>
      </c>
      <c r="N440" s="9">
        <f t="shared" si="53"/>
        <v>6</v>
      </c>
      <c r="O440" s="9">
        <v>6.1</v>
      </c>
      <c r="P440" s="9">
        <v>2</v>
      </c>
      <c r="Q440" s="9" t="s">
        <v>3</v>
      </c>
      <c r="R440" s="1">
        <v>0</v>
      </c>
      <c r="S440" s="26"/>
    </row>
    <row r="441" spans="1:19" ht="16.5" hidden="1" customHeight="1" x14ac:dyDescent="0.25">
      <c r="A441" s="21"/>
      <c r="H441" s="21"/>
      <c r="I441" s="21"/>
      <c r="J441" s="21"/>
      <c r="K441" s="21"/>
      <c r="L441" s="21"/>
      <c r="M441" s="9">
        <f t="shared" si="52"/>
        <v>0</v>
      </c>
      <c r="N441" s="9">
        <f t="shared" si="53"/>
        <v>0</v>
      </c>
      <c r="O441" s="21"/>
      <c r="P441" s="21"/>
      <c r="Q441" s="21"/>
      <c r="S441" s="25"/>
    </row>
    <row r="442" spans="1:19" ht="16.5" customHeight="1" x14ac:dyDescent="0.25">
      <c r="A442" s="9"/>
      <c r="B442" s="38" t="s">
        <v>42</v>
      </c>
      <c r="C442" s="39"/>
      <c r="D442" s="39"/>
      <c r="E442" s="39"/>
      <c r="F442" s="39"/>
      <c r="G442" s="40"/>
      <c r="H442" s="23"/>
      <c r="I442" s="24">
        <f>SUM(I430:I441)</f>
        <v>29</v>
      </c>
      <c r="J442" s="9"/>
      <c r="K442" s="9"/>
      <c r="L442" s="9"/>
      <c r="M442" s="9">
        <f t="shared" si="52"/>
        <v>211.98999999999998</v>
      </c>
      <c r="N442" s="9">
        <f t="shared" si="53"/>
        <v>83.23</v>
      </c>
      <c r="O442" s="24">
        <f>ROUND(SUM(M430:M441)/I442,2)</f>
        <v>7.31</v>
      </c>
      <c r="P442" s="24">
        <f>ROUND(SUM(N430:N441)/I442,2)</f>
        <v>2.87</v>
      </c>
      <c r="Q442" s="9"/>
      <c r="S442" s="25"/>
    </row>
    <row r="443" spans="1:19" ht="20.25" customHeight="1" x14ac:dyDescent="0.25">
      <c r="A443" s="27" t="s">
        <v>120</v>
      </c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</row>
    <row r="444" spans="1:19" ht="16.5" customHeight="1" x14ac:dyDescent="0.25">
      <c r="A444" s="9"/>
      <c r="B444" s="49" t="s">
        <v>121</v>
      </c>
      <c r="C444" s="50"/>
      <c r="D444" s="50"/>
      <c r="E444" s="50"/>
      <c r="F444" s="50"/>
      <c r="G444" s="51"/>
      <c r="H444" s="20"/>
      <c r="I444" s="9">
        <v>3</v>
      </c>
      <c r="J444" s="9"/>
      <c r="K444" s="9"/>
      <c r="L444" s="9"/>
      <c r="M444" s="9">
        <f t="shared" ref="M444:M453" si="54">I444*O444</f>
        <v>18</v>
      </c>
      <c r="N444" s="9">
        <f t="shared" ref="N444:N453" si="55">I444*P444</f>
        <v>6</v>
      </c>
      <c r="O444" s="9">
        <v>6</v>
      </c>
      <c r="P444" s="9">
        <v>2</v>
      </c>
      <c r="Q444" s="9" t="s">
        <v>3</v>
      </c>
      <c r="R444" s="1">
        <v>0</v>
      </c>
      <c r="S444" s="26"/>
    </row>
    <row r="445" spans="1:19" ht="16.5" customHeight="1" x14ac:dyDescent="0.25">
      <c r="A445" s="9"/>
      <c r="B445" s="49" t="s">
        <v>127</v>
      </c>
      <c r="C445" s="50"/>
      <c r="D445" s="50"/>
      <c r="E445" s="50"/>
      <c r="F445" s="50"/>
      <c r="G445" s="51"/>
      <c r="H445" s="20"/>
      <c r="I445" s="9">
        <v>2</v>
      </c>
      <c r="J445" s="9"/>
      <c r="K445" s="9"/>
      <c r="L445" s="9"/>
      <c r="M445" s="9">
        <f t="shared" si="54"/>
        <v>11</v>
      </c>
      <c r="N445" s="9">
        <f t="shared" si="55"/>
        <v>4</v>
      </c>
      <c r="O445" s="9">
        <v>5.5</v>
      </c>
      <c r="P445" s="9">
        <v>2</v>
      </c>
      <c r="Q445" s="9" t="s">
        <v>3</v>
      </c>
      <c r="R445" s="1">
        <v>0</v>
      </c>
      <c r="S445" s="26"/>
    </row>
    <row r="446" spans="1:19" ht="16.5" customHeight="1" x14ac:dyDescent="0.25">
      <c r="A446" s="9"/>
      <c r="B446" s="49" t="s">
        <v>123</v>
      </c>
      <c r="C446" s="50"/>
      <c r="D446" s="50"/>
      <c r="E446" s="50"/>
      <c r="F446" s="50"/>
      <c r="G446" s="51"/>
      <c r="H446" s="20"/>
      <c r="I446" s="9">
        <v>3</v>
      </c>
      <c r="J446" s="9"/>
      <c r="K446" s="9"/>
      <c r="L446" s="9"/>
      <c r="M446" s="9">
        <f t="shared" si="54"/>
        <v>24.900000000000002</v>
      </c>
      <c r="N446" s="9">
        <f t="shared" si="55"/>
        <v>10.5</v>
      </c>
      <c r="O446" s="9">
        <v>8.3000000000000007</v>
      </c>
      <c r="P446" s="9">
        <v>3.5</v>
      </c>
      <c r="Q446" s="9" t="s">
        <v>9</v>
      </c>
      <c r="R446" s="1">
        <v>0</v>
      </c>
      <c r="S446" s="26"/>
    </row>
    <row r="447" spans="1:19" ht="16.5" customHeight="1" x14ac:dyDescent="0.25">
      <c r="A447" s="9"/>
      <c r="B447" s="49" t="s">
        <v>124</v>
      </c>
      <c r="C447" s="50"/>
      <c r="D447" s="50"/>
      <c r="E447" s="50"/>
      <c r="F447" s="50"/>
      <c r="G447" s="51"/>
      <c r="H447" s="20"/>
      <c r="I447" s="9">
        <v>3</v>
      </c>
      <c r="J447" s="9"/>
      <c r="K447" s="9"/>
      <c r="L447" s="9"/>
      <c r="M447" s="9">
        <f t="shared" si="54"/>
        <v>23.700000000000003</v>
      </c>
      <c r="N447" s="9">
        <f t="shared" si="55"/>
        <v>9</v>
      </c>
      <c r="O447" s="9">
        <v>7.9</v>
      </c>
      <c r="P447" s="9">
        <v>3</v>
      </c>
      <c r="Q447" s="9" t="s">
        <v>6</v>
      </c>
      <c r="R447" s="1">
        <v>0</v>
      </c>
      <c r="S447" s="26"/>
    </row>
    <row r="448" spans="1:19" ht="16.5" customHeight="1" x14ac:dyDescent="0.25">
      <c r="A448" s="9"/>
      <c r="B448" s="49" t="s">
        <v>125</v>
      </c>
      <c r="C448" s="50"/>
      <c r="D448" s="50"/>
      <c r="E448" s="50"/>
      <c r="F448" s="50"/>
      <c r="G448" s="51"/>
      <c r="H448" s="20"/>
      <c r="I448" s="9">
        <v>3</v>
      </c>
      <c r="J448" s="9"/>
      <c r="K448" s="9"/>
      <c r="L448" s="9"/>
      <c r="M448" s="9">
        <f t="shared" si="54"/>
        <v>21</v>
      </c>
      <c r="N448" s="9">
        <f t="shared" si="55"/>
        <v>9</v>
      </c>
      <c r="O448" s="9">
        <v>7</v>
      </c>
      <c r="P448" s="9">
        <v>3</v>
      </c>
      <c r="Q448" s="9" t="s">
        <v>6</v>
      </c>
      <c r="R448" s="1">
        <v>0</v>
      </c>
      <c r="S448" s="26"/>
    </row>
    <row r="449" spans="1:19" ht="16.5" customHeight="1" x14ac:dyDescent="0.25">
      <c r="A449" s="9"/>
      <c r="B449" s="49" t="s">
        <v>126</v>
      </c>
      <c r="C449" s="50"/>
      <c r="D449" s="50"/>
      <c r="E449" s="50"/>
      <c r="F449" s="50"/>
      <c r="G449" s="51"/>
      <c r="H449" s="20"/>
      <c r="I449" s="9">
        <v>3</v>
      </c>
      <c r="J449" s="9"/>
      <c r="K449" s="9"/>
      <c r="L449" s="9"/>
      <c r="M449" s="9">
        <f t="shared" si="54"/>
        <v>22.200000000000003</v>
      </c>
      <c r="N449" s="9">
        <f t="shared" si="55"/>
        <v>9</v>
      </c>
      <c r="O449" s="9">
        <v>7.4</v>
      </c>
      <c r="P449" s="9">
        <v>3</v>
      </c>
      <c r="Q449" s="9" t="s">
        <v>6</v>
      </c>
      <c r="R449" s="1">
        <v>0</v>
      </c>
      <c r="S449" s="26"/>
    </row>
    <row r="450" spans="1:19" ht="16.5" customHeight="1" x14ac:dyDescent="0.25">
      <c r="A450" s="9"/>
      <c r="B450" s="49" t="s">
        <v>128</v>
      </c>
      <c r="C450" s="50"/>
      <c r="D450" s="50"/>
      <c r="E450" s="50"/>
      <c r="F450" s="50"/>
      <c r="G450" s="51"/>
      <c r="H450" s="20"/>
      <c r="I450" s="9">
        <v>2</v>
      </c>
      <c r="J450" s="9"/>
      <c r="K450" s="9"/>
      <c r="L450" s="9"/>
      <c r="M450" s="9">
        <f t="shared" si="54"/>
        <v>17.2</v>
      </c>
      <c r="N450" s="9">
        <f t="shared" si="55"/>
        <v>7.4</v>
      </c>
      <c r="O450" s="9">
        <v>8.6</v>
      </c>
      <c r="P450" s="9">
        <v>3.7</v>
      </c>
      <c r="Q450" s="9" t="s">
        <v>10</v>
      </c>
      <c r="R450" s="1">
        <v>0</v>
      </c>
      <c r="S450" s="26"/>
    </row>
    <row r="451" spans="1:19" ht="16.5" customHeight="1" x14ac:dyDescent="0.25">
      <c r="A451" s="9"/>
      <c r="B451" s="49" t="s">
        <v>122</v>
      </c>
      <c r="C451" s="50"/>
      <c r="D451" s="50"/>
      <c r="E451" s="50"/>
      <c r="F451" s="50"/>
      <c r="G451" s="51"/>
      <c r="H451" s="20"/>
      <c r="I451" s="9">
        <v>1</v>
      </c>
      <c r="J451" s="9"/>
      <c r="K451" s="9"/>
      <c r="L451" s="9"/>
      <c r="M451" s="9">
        <f t="shared" si="54"/>
        <v>7.3</v>
      </c>
      <c r="N451" s="9">
        <f t="shared" si="55"/>
        <v>3</v>
      </c>
      <c r="O451" s="9">
        <v>7.3</v>
      </c>
      <c r="P451" s="9">
        <v>3</v>
      </c>
      <c r="Q451" s="9" t="s">
        <v>6</v>
      </c>
      <c r="R451" s="1">
        <v>0</v>
      </c>
      <c r="S451" s="26"/>
    </row>
    <row r="452" spans="1:19" ht="16.5" hidden="1" customHeight="1" x14ac:dyDescent="0.25">
      <c r="A452" s="21"/>
      <c r="H452" s="21"/>
      <c r="I452" s="21"/>
      <c r="J452" s="21"/>
      <c r="K452" s="21"/>
      <c r="L452" s="21"/>
      <c r="M452" s="9">
        <f t="shared" si="54"/>
        <v>0</v>
      </c>
      <c r="N452" s="9">
        <f t="shared" si="55"/>
        <v>0</v>
      </c>
      <c r="O452" s="21"/>
      <c r="P452" s="21"/>
      <c r="Q452" s="21"/>
      <c r="S452" s="25"/>
    </row>
    <row r="453" spans="1:19" ht="16.5" customHeight="1" x14ac:dyDescent="0.25">
      <c r="A453" s="9"/>
      <c r="B453" s="38" t="s">
        <v>42</v>
      </c>
      <c r="C453" s="39"/>
      <c r="D453" s="39"/>
      <c r="E453" s="39"/>
      <c r="F453" s="39"/>
      <c r="G453" s="40"/>
      <c r="H453" s="23"/>
      <c r="I453" s="24">
        <f>SUM(I444:I452)</f>
        <v>20</v>
      </c>
      <c r="J453" s="9"/>
      <c r="K453" s="9"/>
      <c r="L453" s="9"/>
      <c r="M453" s="9">
        <f t="shared" si="54"/>
        <v>145.39999999999998</v>
      </c>
      <c r="N453" s="9">
        <f t="shared" si="55"/>
        <v>58</v>
      </c>
      <c r="O453" s="24">
        <f>ROUND(SUM(M444:M452)/I453,2)</f>
        <v>7.27</v>
      </c>
      <c r="P453" s="24">
        <f>ROUND(SUM(N444:N452)/I453,2)</f>
        <v>2.9</v>
      </c>
      <c r="Q453" s="9"/>
      <c r="S453" s="25"/>
    </row>
    <row r="454" spans="1:19" ht="16.5" customHeight="1" x14ac:dyDescent="0.25">
      <c r="A454" s="21"/>
      <c r="B454" s="22"/>
      <c r="C454" s="22"/>
      <c r="D454" s="22"/>
      <c r="E454" s="22"/>
      <c r="F454" s="22"/>
      <c r="G454" s="22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6" spans="1:19" ht="18" x14ac:dyDescent="0.25">
      <c r="A456" s="57" t="s">
        <v>145</v>
      </c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</row>
    <row r="457" spans="1:19" ht="18" x14ac:dyDescent="0.25">
      <c r="A457" s="57" t="s">
        <v>146</v>
      </c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</row>
    <row r="458" spans="1:19" ht="18" x14ac:dyDescent="0.25">
      <c r="A458" s="57" t="s">
        <v>147</v>
      </c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</row>
    <row r="459" spans="1:19" ht="18" x14ac:dyDescent="0.25">
      <c r="A459" s="58" t="s">
        <v>148</v>
      </c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</row>
    <row r="460" spans="1:19" ht="19.5" customHeight="1" x14ac:dyDescent="0.25">
      <c r="A460" s="17"/>
      <c r="B460" s="17"/>
      <c r="C460" s="8"/>
      <c r="D460" s="18"/>
      <c r="E460" s="10"/>
      <c r="F460" s="11"/>
      <c r="G460" s="44" t="s">
        <v>49</v>
      </c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</row>
    <row r="461" spans="1:19" ht="31.5" customHeight="1" x14ac:dyDescent="0.3">
      <c r="A461" s="8"/>
      <c r="B461" s="8"/>
      <c r="C461" s="8"/>
      <c r="D461" s="8"/>
      <c r="E461" s="8"/>
      <c r="F461" s="8"/>
      <c r="G461" s="8"/>
      <c r="H461" s="12"/>
      <c r="I461" s="41" t="s">
        <v>40</v>
      </c>
      <c r="J461" s="42"/>
      <c r="K461" s="42"/>
      <c r="L461" s="42"/>
      <c r="M461" s="42"/>
      <c r="N461" s="42"/>
      <c r="O461" s="42"/>
      <c r="P461" s="42"/>
      <c r="Q461" s="42"/>
      <c r="R461" s="42"/>
      <c r="S461" s="42"/>
    </row>
    <row r="462" spans="1:19" ht="16.8" x14ac:dyDescent="0.3">
      <c r="A462" s="8"/>
      <c r="B462" s="8"/>
      <c r="C462" s="8"/>
      <c r="D462" s="8"/>
      <c r="E462" s="8"/>
      <c r="F462" s="8"/>
      <c r="G462" s="8"/>
      <c r="H462" s="12"/>
      <c r="I462" s="12"/>
      <c r="J462" s="12"/>
      <c r="K462" s="12"/>
      <c r="L462" s="8"/>
      <c r="M462" s="8"/>
      <c r="N462" s="8"/>
      <c r="O462" s="8"/>
      <c r="P462" s="8"/>
      <c r="Q462" s="8"/>
    </row>
    <row r="463" spans="1:19" ht="33" customHeight="1" x14ac:dyDescent="0.3">
      <c r="A463" s="8"/>
      <c r="B463" s="8"/>
      <c r="C463" s="8"/>
      <c r="D463" s="8"/>
      <c r="E463" s="8"/>
      <c r="F463" s="8"/>
      <c r="G463" s="8"/>
      <c r="H463" s="12"/>
      <c r="I463" s="12"/>
      <c r="J463" s="12"/>
      <c r="K463" s="12"/>
      <c r="L463" s="8"/>
      <c r="M463" s="8"/>
      <c r="N463" s="8"/>
      <c r="O463" s="8"/>
      <c r="P463" s="8"/>
      <c r="Q463" s="8"/>
    </row>
    <row r="464" spans="1:19" ht="11.25" customHeight="1" x14ac:dyDescent="0.3">
      <c r="A464" s="8"/>
      <c r="B464" s="8"/>
      <c r="C464" s="8"/>
      <c r="D464" s="8"/>
      <c r="E464" s="8"/>
      <c r="F464" s="8"/>
      <c r="G464" s="8"/>
      <c r="H464" s="12"/>
      <c r="I464" s="12"/>
      <c r="J464" s="12"/>
      <c r="K464" s="12"/>
      <c r="L464" s="8"/>
      <c r="M464" s="8"/>
      <c r="N464" s="8"/>
      <c r="O464" s="8"/>
      <c r="P464" s="8"/>
      <c r="Q464" s="8"/>
    </row>
    <row r="465" spans="1:20" ht="17.399999999999999" x14ac:dyDescent="0.3">
      <c r="A465" s="8"/>
      <c r="B465" s="8"/>
      <c r="C465" s="8"/>
      <c r="D465" s="8"/>
      <c r="E465" s="8"/>
      <c r="F465" s="8"/>
      <c r="G465" s="45" t="s">
        <v>41</v>
      </c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</row>
    <row r="466" spans="1:20" ht="54" customHeight="1" x14ac:dyDescent="0.25">
      <c r="A466" s="46" t="s">
        <v>33</v>
      </c>
      <c r="B466" s="46"/>
      <c r="C466" s="46"/>
      <c r="D466" s="46"/>
      <c r="E466" s="46"/>
      <c r="F466" s="41" t="s">
        <v>24</v>
      </c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</row>
    <row r="467" spans="1:20" ht="17.399999999999999" x14ac:dyDescent="0.25">
      <c r="A467" s="47" t="s">
        <v>34</v>
      </c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</row>
    <row r="468" spans="1:20" ht="4.5" customHeight="1" x14ac:dyDescent="0.2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</row>
    <row r="469" spans="1:20" ht="5.25" customHeight="1" x14ac:dyDescent="0.2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</row>
    <row r="470" spans="1:20" ht="16.5" customHeight="1" x14ac:dyDescent="0.25">
      <c r="A470" s="52" t="s">
        <v>149</v>
      </c>
      <c r="B470" s="52"/>
      <c r="C470" s="52"/>
      <c r="D470" s="52"/>
      <c r="E470" s="52"/>
      <c r="F470" s="52"/>
      <c r="G470" s="56" t="s">
        <v>150</v>
      </c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</row>
    <row r="471" spans="1:20" ht="16.5" customHeight="1" x14ac:dyDescent="0.25">
      <c r="A471" s="52" t="s">
        <v>151</v>
      </c>
      <c r="B471" s="52"/>
      <c r="C471" s="52"/>
      <c r="D471" s="52"/>
      <c r="E471" s="52"/>
      <c r="F471" s="52"/>
      <c r="G471" s="8" t="s">
        <v>46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T471" s="2"/>
    </row>
    <row r="472" spans="1:20" ht="16.5" customHeight="1" x14ac:dyDescent="0.25">
      <c r="A472" s="52" t="s">
        <v>47</v>
      </c>
      <c r="B472" s="52"/>
      <c r="C472" s="52"/>
      <c r="D472" s="52"/>
      <c r="E472" s="52"/>
      <c r="F472" s="52"/>
      <c r="G472" s="56" t="s">
        <v>48</v>
      </c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</row>
    <row r="473" spans="1:20" ht="5.2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19"/>
      <c r="K473" s="19"/>
      <c r="L473" s="19"/>
      <c r="M473" s="19"/>
      <c r="N473" s="19"/>
      <c r="O473" s="19"/>
      <c r="P473" s="19"/>
      <c r="Q473" s="19"/>
    </row>
    <row r="474" spans="1:20" ht="15" customHeight="1" x14ac:dyDescent="0.25">
      <c r="A474" s="35" t="s">
        <v>0</v>
      </c>
      <c r="B474" s="29" t="s">
        <v>1</v>
      </c>
      <c r="C474" s="30"/>
      <c r="D474" s="30"/>
      <c r="E474" s="30"/>
      <c r="F474" s="30"/>
      <c r="G474" s="31"/>
      <c r="H474" s="35" t="s">
        <v>32</v>
      </c>
      <c r="I474" s="35" t="s">
        <v>39</v>
      </c>
      <c r="J474" s="53" t="s">
        <v>2</v>
      </c>
      <c r="K474" s="54"/>
      <c r="L474" s="54"/>
      <c r="M474" s="54"/>
      <c r="N474" s="54"/>
      <c r="O474" s="54"/>
      <c r="P474" s="54"/>
      <c r="Q474" s="55"/>
      <c r="S474" s="35" t="s">
        <v>38</v>
      </c>
    </row>
    <row r="475" spans="1:20" ht="24" customHeight="1" x14ac:dyDescent="0.25">
      <c r="A475" s="36"/>
      <c r="B475" s="32"/>
      <c r="C475" s="33"/>
      <c r="D475" s="33"/>
      <c r="E475" s="33"/>
      <c r="F475" s="33"/>
      <c r="G475" s="34"/>
      <c r="H475" s="36"/>
      <c r="I475" s="36"/>
      <c r="J475" s="7" t="s">
        <v>28</v>
      </c>
      <c r="K475" s="7" t="s">
        <v>29</v>
      </c>
      <c r="L475" s="7" t="s">
        <v>30</v>
      </c>
      <c r="M475" s="7"/>
      <c r="N475" s="7"/>
      <c r="O475" s="6" t="s">
        <v>35</v>
      </c>
      <c r="P475" s="6" t="s">
        <v>36</v>
      </c>
      <c r="Q475" s="6" t="s">
        <v>37</v>
      </c>
      <c r="S475" s="36"/>
    </row>
    <row r="476" spans="1:20" ht="20.25" customHeight="1" x14ac:dyDescent="0.25">
      <c r="A476" s="27" t="s">
        <v>50</v>
      </c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</row>
    <row r="477" spans="1:20" ht="16.5" customHeight="1" x14ac:dyDescent="0.25">
      <c r="A477" s="9"/>
      <c r="B477" s="49" t="s">
        <v>56</v>
      </c>
      <c r="C477" s="50"/>
      <c r="D477" s="50"/>
      <c r="E477" s="50"/>
      <c r="F477" s="50"/>
      <c r="G477" s="51"/>
      <c r="H477" s="20"/>
      <c r="I477" s="9">
        <v>2</v>
      </c>
      <c r="J477" s="9"/>
      <c r="K477" s="9"/>
      <c r="L477" s="9"/>
      <c r="M477" s="9">
        <f t="shared" ref="M477:M485" si="56">I477*O477</f>
        <v>14.2</v>
      </c>
      <c r="N477" s="9">
        <f t="shared" ref="N477:N485" si="57">I477*P477</f>
        <v>6</v>
      </c>
      <c r="O477" s="9">
        <v>7.1</v>
      </c>
      <c r="P477" s="9">
        <v>3</v>
      </c>
      <c r="Q477" s="9" t="s">
        <v>6</v>
      </c>
      <c r="R477" s="1">
        <v>0</v>
      </c>
      <c r="S477" s="26"/>
    </row>
    <row r="478" spans="1:20" ht="16.5" customHeight="1" x14ac:dyDescent="0.25">
      <c r="A478" s="9"/>
      <c r="B478" s="49" t="s">
        <v>78</v>
      </c>
      <c r="C478" s="50"/>
      <c r="D478" s="50"/>
      <c r="E478" s="50"/>
      <c r="F478" s="50"/>
      <c r="G478" s="51"/>
      <c r="H478" s="20"/>
      <c r="I478" s="9">
        <v>3</v>
      </c>
      <c r="J478" s="9"/>
      <c r="K478" s="9"/>
      <c r="L478" s="9"/>
      <c r="M478" s="9">
        <f t="shared" si="56"/>
        <v>17.100000000000001</v>
      </c>
      <c r="N478" s="9">
        <f t="shared" si="57"/>
        <v>6</v>
      </c>
      <c r="O478" s="9">
        <v>5.7</v>
      </c>
      <c r="P478" s="9">
        <v>2</v>
      </c>
      <c r="Q478" s="9" t="s">
        <v>3</v>
      </c>
      <c r="R478" s="1">
        <v>0</v>
      </c>
      <c r="S478" s="26"/>
    </row>
    <row r="479" spans="1:20" ht="31.2" customHeight="1" x14ac:dyDescent="0.25">
      <c r="A479" s="9"/>
      <c r="B479" s="49" t="s">
        <v>53</v>
      </c>
      <c r="C479" s="50"/>
      <c r="D479" s="50"/>
      <c r="E479" s="50"/>
      <c r="F479" s="50"/>
      <c r="G479" s="51"/>
      <c r="H479" s="20"/>
      <c r="I479" s="9">
        <v>3</v>
      </c>
      <c r="J479" s="9"/>
      <c r="K479" s="9"/>
      <c r="L479" s="9"/>
      <c r="M479" s="9">
        <f t="shared" si="56"/>
        <v>21</v>
      </c>
      <c r="N479" s="9">
        <f t="shared" si="57"/>
        <v>9</v>
      </c>
      <c r="O479" s="9">
        <v>7</v>
      </c>
      <c r="P479" s="9">
        <v>3</v>
      </c>
      <c r="Q479" s="9" t="s">
        <v>6</v>
      </c>
      <c r="R479" s="1">
        <v>0</v>
      </c>
      <c r="S479" s="26"/>
    </row>
    <row r="480" spans="1:20" ht="16.5" customHeight="1" x14ac:dyDescent="0.25">
      <c r="A480" s="9"/>
      <c r="B480" s="49" t="s">
        <v>52</v>
      </c>
      <c r="C480" s="50"/>
      <c r="D480" s="50"/>
      <c r="E480" s="50"/>
      <c r="F480" s="50"/>
      <c r="G480" s="51"/>
      <c r="H480" s="20"/>
      <c r="I480" s="9">
        <v>1</v>
      </c>
      <c r="J480" s="9"/>
      <c r="K480" s="9"/>
      <c r="L480" s="9"/>
      <c r="M480" s="9">
        <f t="shared" si="56"/>
        <v>7.6</v>
      </c>
      <c r="N480" s="9">
        <f t="shared" si="57"/>
        <v>3</v>
      </c>
      <c r="O480" s="9">
        <v>7.6</v>
      </c>
      <c r="P480" s="9">
        <v>3</v>
      </c>
      <c r="Q480" s="9" t="s">
        <v>6</v>
      </c>
      <c r="R480" s="1">
        <v>0</v>
      </c>
      <c r="S480" s="26"/>
    </row>
    <row r="481" spans="1:19" ht="16.5" customHeight="1" x14ac:dyDescent="0.25">
      <c r="A481" s="9"/>
      <c r="B481" s="49" t="s">
        <v>55</v>
      </c>
      <c r="C481" s="50"/>
      <c r="D481" s="50"/>
      <c r="E481" s="50"/>
      <c r="F481" s="50"/>
      <c r="G481" s="51"/>
      <c r="H481" s="20"/>
      <c r="I481" s="9">
        <v>1</v>
      </c>
      <c r="J481" s="9"/>
      <c r="K481" s="9"/>
      <c r="L481" s="9"/>
      <c r="M481" s="9">
        <f t="shared" si="56"/>
        <v>5.9</v>
      </c>
      <c r="N481" s="9">
        <f t="shared" si="57"/>
        <v>2</v>
      </c>
      <c r="O481" s="9">
        <v>5.9</v>
      </c>
      <c r="P481" s="9">
        <v>2</v>
      </c>
      <c r="Q481" s="9" t="s">
        <v>3</v>
      </c>
      <c r="R481" s="1">
        <v>0</v>
      </c>
      <c r="S481" s="26"/>
    </row>
    <row r="482" spans="1:19" ht="16.5" customHeight="1" x14ac:dyDescent="0.25">
      <c r="A482" s="9"/>
      <c r="B482" s="49" t="s">
        <v>54</v>
      </c>
      <c r="C482" s="50"/>
      <c r="D482" s="50"/>
      <c r="E482" s="50"/>
      <c r="F482" s="50"/>
      <c r="G482" s="51"/>
      <c r="H482" s="20"/>
      <c r="I482" s="9">
        <v>3</v>
      </c>
      <c r="J482" s="9"/>
      <c r="K482" s="9"/>
      <c r="L482" s="9"/>
      <c r="M482" s="9">
        <f t="shared" si="56"/>
        <v>22.799999999999997</v>
      </c>
      <c r="N482" s="9">
        <f t="shared" si="57"/>
        <v>9</v>
      </c>
      <c r="O482" s="9">
        <v>7.6</v>
      </c>
      <c r="P482" s="9">
        <v>3</v>
      </c>
      <c r="Q482" s="9" t="s">
        <v>6</v>
      </c>
      <c r="R482" s="1">
        <v>0</v>
      </c>
      <c r="S482" s="26"/>
    </row>
    <row r="483" spans="1:19" ht="16.5" customHeight="1" x14ac:dyDescent="0.25">
      <c r="A483" s="9"/>
      <c r="B483" s="49" t="s">
        <v>51</v>
      </c>
      <c r="C483" s="50"/>
      <c r="D483" s="50"/>
      <c r="E483" s="50"/>
      <c r="F483" s="50"/>
      <c r="G483" s="51"/>
      <c r="H483" s="20"/>
      <c r="I483" s="9">
        <v>1</v>
      </c>
      <c r="J483" s="9"/>
      <c r="K483" s="9"/>
      <c r="L483" s="9"/>
      <c r="M483" s="9">
        <f t="shared" si="56"/>
        <v>3</v>
      </c>
      <c r="N483" s="9">
        <f t="shared" si="57"/>
        <v>0</v>
      </c>
      <c r="O483" s="9">
        <v>3</v>
      </c>
      <c r="P483" s="9">
        <v>0</v>
      </c>
      <c r="Q483" s="9" t="s">
        <v>7</v>
      </c>
      <c r="R483" s="1">
        <v>0</v>
      </c>
      <c r="S483" s="26"/>
    </row>
    <row r="484" spans="1:19" ht="16.5" hidden="1" customHeight="1" x14ac:dyDescent="0.25">
      <c r="A484" s="21"/>
      <c r="H484" s="21"/>
      <c r="I484" s="21"/>
      <c r="J484" s="21"/>
      <c r="K484" s="21"/>
      <c r="L484" s="21"/>
      <c r="M484" s="9">
        <f t="shared" si="56"/>
        <v>0</v>
      </c>
      <c r="N484" s="9">
        <f t="shared" si="57"/>
        <v>0</v>
      </c>
      <c r="O484" s="21"/>
      <c r="P484" s="21"/>
      <c r="Q484" s="21"/>
      <c r="S484" s="25"/>
    </row>
    <row r="485" spans="1:19" ht="16.5" customHeight="1" x14ac:dyDescent="0.25">
      <c r="A485" s="9"/>
      <c r="B485" s="38" t="s">
        <v>42</v>
      </c>
      <c r="C485" s="39"/>
      <c r="D485" s="39"/>
      <c r="E485" s="39"/>
      <c r="F485" s="39"/>
      <c r="G485" s="40"/>
      <c r="H485" s="23"/>
      <c r="I485" s="24">
        <f>SUM(I477:I484)</f>
        <v>14</v>
      </c>
      <c r="J485" s="9"/>
      <c r="K485" s="9"/>
      <c r="L485" s="9"/>
      <c r="M485" s="9">
        <f t="shared" si="56"/>
        <v>91.56</v>
      </c>
      <c r="N485" s="9">
        <f t="shared" si="57"/>
        <v>35</v>
      </c>
      <c r="O485" s="24">
        <f>ROUND(SUM(M477:M484)/I485,2)</f>
        <v>6.54</v>
      </c>
      <c r="P485" s="24">
        <f>ROUND(SUM(N477:N484)/I485,2)</f>
        <v>2.5</v>
      </c>
      <c r="Q485" s="9"/>
      <c r="S485" s="25"/>
    </row>
    <row r="486" spans="1:19" ht="20.25" customHeight="1" x14ac:dyDescent="0.25">
      <c r="A486" s="27" t="s">
        <v>57</v>
      </c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</row>
    <row r="487" spans="1:19" ht="16.5" customHeight="1" x14ac:dyDescent="0.25">
      <c r="A487" s="9"/>
      <c r="B487" s="49" t="s">
        <v>136</v>
      </c>
      <c r="C487" s="50"/>
      <c r="D487" s="50"/>
      <c r="E487" s="50"/>
      <c r="F487" s="50"/>
      <c r="G487" s="51"/>
      <c r="H487" s="20"/>
      <c r="I487" s="9">
        <v>4</v>
      </c>
      <c r="J487" s="9"/>
      <c r="K487" s="9"/>
      <c r="L487" s="9"/>
      <c r="M487" s="9">
        <f t="shared" ref="M487:M495" si="58">I487*O487</f>
        <v>25.2</v>
      </c>
      <c r="N487" s="9">
        <f t="shared" ref="N487:N495" si="59">I487*P487</f>
        <v>8</v>
      </c>
      <c r="O487" s="9">
        <v>6.3</v>
      </c>
      <c r="P487" s="9">
        <v>2</v>
      </c>
      <c r="Q487" s="9" t="s">
        <v>3</v>
      </c>
      <c r="R487" s="1">
        <v>0</v>
      </c>
      <c r="S487" s="26"/>
    </row>
    <row r="488" spans="1:19" ht="16.5" customHeight="1" x14ac:dyDescent="0.25">
      <c r="A488" s="9"/>
      <c r="B488" s="49" t="s">
        <v>91</v>
      </c>
      <c r="C488" s="50"/>
      <c r="D488" s="50"/>
      <c r="E488" s="50"/>
      <c r="F488" s="50"/>
      <c r="G488" s="51"/>
      <c r="H488" s="20"/>
      <c r="I488" s="9">
        <v>4</v>
      </c>
      <c r="J488" s="9"/>
      <c r="K488" s="9"/>
      <c r="L488" s="9"/>
      <c r="M488" s="9">
        <f t="shared" si="58"/>
        <v>24</v>
      </c>
      <c r="N488" s="9">
        <f t="shared" si="59"/>
        <v>8</v>
      </c>
      <c r="O488" s="9">
        <v>6</v>
      </c>
      <c r="P488" s="9">
        <v>2</v>
      </c>
      <c r="Q488" s="9" t="s">
        <v>3</v>
      </c>
      <c r="R488" s="1">
        <v>0</v>
      </c>
      <c r="S488" s="26"/>
    </row>
    <row r="489" spans="1:19" ht="16.5" customHeight="1" x14ac:dyDescent="0.25">
      <c r="A489" s="9"/>
      <c r="B489" s="49" t="s">
        <v>60</v>
      </c>
      <c r="C489" s="50"/>
      <c r="D489" s="50"/>
      <c r="E489" s="50"/>
      <c r="F489" s="50"/>
      <c r="G489" s="51"/>
      <c r="H489" s="20"/>
      <c r="I489" s="9">
        <v>4</v>
      </c>
      <c r="J489" s="9"/>
      <c r="K489" s="9"/>
      <c r="L489" s="9"/>
      <c r="M489" s="9">
        <f t="shared" si="58"/>
        <v>30.4</v>
      </c>
      <c r="N489" s="9">
        <f t="shared" si="59"/>
        <v>12</v>
      </c>
      <c r="O489" s="9">
        <v>7.6</v>
      </c>
      <c r="P489" s="9">
        <v>3</v>
      </c>
      <c r="Q489" s="9" t="s">
        <v>6</v>
      </c>
      <c r="R489" s="1">
        <v>0</v>
      </c>
      <c r="S489" s="26"/>
    </row>
    <row r="490" spans="1:19" ht="16.5" customHeight="1" x14ac:dyDescent="0.25">
      <c r="A490" s="9"/>
      <c r="B490" s="49" t="s">
        <v>59</v>
      </c>
      <c r="C490" s="50"/>
      <c r="D490" s="50"/>
      <c r="E490" s="50"/>
      <c r="F490" s="50"/>
      <c r="G490" s="51"/>
      <c r="H490" s="20"/>
      <c r="I490" s="9">
        <v>1</v>
      </c>
      <c r="J490" s="9"/>
      <c r="K490" s="9"/>
      <c r="L490" s="9"/>
      <c r="M490" s="9">
        <f t="shared" si="58"/>
        <v>7.9</v>
      </c>
      <c r="N490" s="9">
        <f t="shared" si="59"/>
        <v>3</v>
      </c>
      <c r="O490" s="9">
        <v>7.9</v>
      </c>
      <c r="P490" s="9">
        <v>3</v>
      </c>
      <c r="Q490" s="9" t="s">
        <v>6</v>
      </c>
      <c r="R490" s="1">
        <v>0</v>
      </c>
      <c r="S490" s="26"/>
    </row>
    <row r="491" spans="1:19" ht="16.5" customHeight="1" x14ac:dyDescent="0.25">
      <c r="A491" s="9"/>
      <c r="B491" s="49" t="s">
        <v>58</v>
      </c>
      <c r="C491" s="50"/>
      <c r="D491" s="50"/>
      <c r="E491" s="50"/>
      <c r="F491" s="50"/>
      <c r="G491" s="51"/>
      <c r="H491" s="20"/>
      <c r="I491" s="9">
        <v>1</v>
      </c>
      <c r="J491" s="9"/>
      <c r="K491" s="9"/>
      <c r="L491" s="9"/>
      <c r="M491" s="9">
        <f t="shared" si="58"/>
        <v>7.6</v>
      </c>
      <c r="N491" s="9">
        <f t="shared" si="59"/>
        <v>3</v>
      </c>
      <c r="O491" s="9">
        <v>7.6</v>
      </c>
      <c r="P491" s="9">
        <v>3</v>
      </c>
      <c r="Q491" s="9" t="s">
        <v>6</v>
      </c>
      <c r="R491" s="1">
        <v>0</v>
      </c>
      <c r="S491" s="26"/>
    </row>
    <row r="492" spans="1:19" ht="16.5" customHeight="1" x14ac:dyDescent="0.25">
      <c r="A492" s="9"/>
      <c r="B492" s="49" t="s">
        <v>61</v>
      </c>
      <c r="C492" s="50"/>
      <c r="D492" s="50"/>
      <c r="E492" s="50"/>
      <c r="F492" s="50"/>
      <c r="G492" s="51"/>
      <c r="H492" s="20"/>
      <c r="I492" s="9">
        <v>1</v>
      </c>
      <c r="J492" s="9"/>
      <c r="K492" s="9"/>
      <c r="L492" s="9"/>
      <c r="M492" s="9">
        <f t="shared" si="58"/>
        <v>7.6</v>
      </c>
      <c r="N492" s="9">
        <f t="shared" si="59"/>
        <v>3</v>
      </c>
      <c r="O492" s="9">
        <v>7.6</v>
      </c>
      <c r="P492" s="9">
        <v>3</v>
      </c>
      <c r="Q492" s="9" t="s">
        <v>6</v>
      </c>
      <c r="R492" s="1">
        <v>0</v>
      </c>
      <c r="S492" s="26"/>
    </row>
    <row r="493" spans="1:19" ht="16.5" customHeight="1" x14ac:dyDescent="0.25">
      <c r="A493" s="9"/>
      <c r="B493" s="49" t="s">
        <v>62</v>
      </c>
      <c r="C493" s="50"/>
      <c r="D493" s="50"/>
      <c r="E493" s="50"/>
      <c r="F493" s="50"/>
      <c r="G493" s="51"/>
      <c r="H493" s="20"/>
      <c r="I493" s="9">
        <v>1</v>
      </c>
      <c r="J493" s="9"/>
      <c r="K493" s="9"/>
      <c r="L493" s="9"/>
      <c r="M493" s="9">
        <f t="shared" si="58"/>
        <v>7</v>
      </c>
      <c r="N493" s="9">
        <f t="shared" si="59"/>
        <v>3</v>
      </c>
      <c r="O493" s="9">
        <v>7</v>
      </c>
      <c r="P493" s="9">
        <v>3</v>
      </c>
      <c r="Q493" s="9" t="s">
        <v>6</v>
      </c>
      <c r="R493" s="1">
        <v>0</v>
      </c>
      <c r="S493" s="26"/>
    </row>
    <row r="494" spans="1:19" ht="16.5" hidden="1" customHeight="1" x14ac:dyDescent="0.25">
      <c r="A494" s="21"/>
      <c r="H494" s="21"/>
      <c r="I494" s="21"/>
      <c r="J494" s="21"/>
      <c r="K494" s="21"/>
      <c r="L494" s="21"/>
      <c r="M494" s="9">
        <f t="shared" si="58"/>
        <v>0</v>
      </c>
      <c r="N494" s="9">
        <f t="shared" si="59"/>
        <v>0</v>
      </c>
      <c r="O494" s="21"/>
      <c r="P494" s="21"/>
      <c r="Q494" s="21"/>
      <c r="S494" s="25"/>
    </row>
    <row r="495" spans="1:19" ht="16.5" customHeight="1" x14ac:dyDescent="0.25">
      <c r="A495" s="9"/>
      <c r="B495" s="38" t="s">
        <v>42</v>
      </c>
      <c r="C495" s="39"/>
      <c r="D495" s="39"/>
      <c r="E495" s="39"/>
      <c r="F495" s="39"/>
      <c r="G495" s="40"/>
      <c r="H495" s="23"/>
      <c r="I495" s="24">
        <f>SUM(I487:I494)</f>
        <v>16</v>
      </c>
      <c r="J495" s="9"/>
      <c r="K495" s="9"/>
      <c r="L495" s="9"/>
      <c r="M495" s="9">
        <f t="shared" si="58"/>
        <v>109.76</v>
      </c>
      <c r="N495" s="9">
        <f t="shared" si="59"/>
        <v>40</v>
      </c>
      <c r="O495" s="24">
        <f>ROUND(SUM(M487:M494)/I495,2)</f>
        <v>6.86</v>
      </c>
      <c r="P495" s="24">
        <f>ROUND(SUM(N487:N494)/I495,2)</f>
        <v>2.5</v>
      </c>
      <c r="Q495" s="9"/>
      <c r="S495" s="25"/>
    </row>
    <row r="496" spans="1:19" ht="20.25" customHeight="1" x14ac:dyDescent="0.25">
      <c r="A496" s="27" t="s">
        <v>65</v>
      </c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</row>
    <row r="497" spans="1:19" ht="16.5" customHeight="1" x14ac:dyDescent="0.25">
      <c r="A497" s="9"/>
      <c r="B497" s="49" t="s">
        <v>51</v>
      </c>
      <c r="C497" s="50"/>
      <c r="D497" s="50"/>
      <c r="E497" s="50"/>
      <c r="F497" s="50"/>
      <c r="G497" s="51"/>
      <c r="H497" s="20"/>
      <c r="I497" s="9">
        <v>1</v>
      </c>
      <c r="J497" s="9"/>
      <c r="K497" s="9"/>
      <c r="L497" s="9"/>
      <c r="M497" s="9">
        <f>I497*O497</f>
        <v>6.1</v>
      </c>
      <c r="N497" s="9">
        <f>I497*P497</f>
        <v>2</v>
      </c>
      <c r="O497" s="9">
        <v>6.1</v>
      </c>
      <c r="P497" s="9">
        <v>2</v>
      </c>
      <c r="Q497" s="9" t="s">
        <v>3</v>
      </c>
      <c r="R497" s="1">
        <v>6</v>
      </c>
      <c r="S497" s="26" t="s">
        <v>64</v>
      </c>
    </row>
    <row r="498" spans="1:19" ht="16.5" hidden="1" customHeight="1" x14ac:dyDescent="0.25">
      <c r="A498" s="21"/>
      <c r="H498" s="21"/>
      <c r="I498" s="21"/>
      <c r="J498" s="21"/>
      <c r="K498" s="21"/>
      <c r="L498" s="21"/>
      <c r="M498" s="9">
        <f>I498*O498</f>
        <v>0</v>
      </c>
      <c r="N498" s="9">
        <f>I498*P498</f>
        <v>0</v>
      </c>
      <c r="O498" s="21"/>
      <c r="P498" s="21"/>
      <c r="Q498" s="21"/>
      <c r="S498" s="25"/>
    </row>
    <row r="499" spans="1:19" ht="16.5" customHeight="1" x14ac:dyDescent="0.25">
      <c r="A499" s="9"/>
      <c r="B499" s="38" t="s">
        <v>42</v>
      </c>
      <c r="C499" s="39"/>
      <c r="D499" s="39"/>
      <c r="E499" s="39"/>
      <c r="F499" s="39"/>
      <c r="G499" s="40"/>
      <c r="H499" s="23"/>
      <c r="I499" s="24">
        <f>SUM(I497:I498)</f>
        <v>1</v>
      </c>
      <c r="J499" s="9"/>
      <c r="K499" s="9"/>
      <c r="L499" s="9"/>
      <c r="M499" s="9">
        <f>I499*O499</f>
        <v>6.1</v>
      </c>
      <c r="N499" s="9">
        <f>I499*P499</f>
        <v>2</v>
      </c>
      <c r="O499" s="24">
        <f>ROUND(SUM(M497:M498)/I499,2)</f>
        <v>6.1</v>
      </c>
      <c r="P499" s="24">
        <f>ROUND(SUM(N497:N498)/I499,2)</f>
        <v>2</v>
      </c>
      <c r="Q499" s="9"/>
      <c r="S499" s="25"/>
    </row>
    <row r="500" spans="1:19" ht="20.25" customHeight="1" x14ac:dyDescent="0.25">
      <c r="A500" s="27" t="s">
        <v>67</v>
      </c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</row>
    <row r="501" spans="1:19" ht="16.5" customHeight="1" x14ac:dyDescent="0.25">
      <c r="A501" s="9"/>
      <c r="B501" s="49" t="s">
        <v>80</v>
      </c>
      <c r="C501" s="50"/>
      <c r="D501" s="50"/>
      <c r="E501" s="50"/>
      <c r="F501" s="50"/>
      <c r="G501" s="51"/>
      <c r="H501" s="20"/>
      <c r="I501" s="9">
        <v>4</v>
      </c>
      <c r="J501" s="9"/>
      <c r="K501" s="9"/>
      <c r="L501" s="9"/>
      <c r="M501" s="9">
        <f t="shared" ref="M501:M511" si="60">I501*O501</f>
        <v>33.6</v>
      </c>
      <c r="N501" s="9">
        <f t="shared" ref="N501:N511" si="61">I501*P501</f>
        <v>14</v>
      </c>
      <c r="O501" s="9">
        <v>8.4</v>
      </c>
      <c r="P501" s="9">
        <v>3.5</v>
      </c>
      <c r="Q501" s="9" t="s">
        <v>9</v>
      </c>
      <c r="R501" s="1">
        <v>0</v>
      </c>
      <c r="S501" s="26"/>
    </row>
    <row r="502" spans="1:19" ht="16.5" customHeight="1" x14ac:dyDescent="0.25">
      <c r="A502" s="9"/>
      <c r="B502" s="49" t="s">
        <v>73</v>
      </c>
      <c r="C502" s="50"/>
      <c r="D502" s="50"/>
      <c r="E502" s="50"/>
      <c r="F502" s="50"/>
      <c r="G502" s="51"/>
      <c r="H502" s="20"/>
      <c r="I502" s="9">
        <v>4</v>
      </c>
      <c r="J502" s="9"/>
      <c r="K502" s="9"/>
      <c r="L502" s="9"/>
      <c r="M502" s="9">
        <f t="shared" si="60"/>
        <v>30</v>
      </c>
      <c r="N502" s="9">
        <f t="shared" si="61"/>
        <v>12</v>
      </c>
      <c r="O502" s="9">
        <v>7.5</v>
      </c>
      <c r="P502" s="9">
        <v>3</v>
      </c>
      <c r="Q502" s="9" t="s">
        <v>6</v>
      </c>
      <c r="R502" s="1">
        <v>0</v>
      </c>
      <c r="S502" s="26"/>
    </row>
    <row r="503" spans="1:19" ht="16.5" customHeight="1" x14ac:dyDescent="0.25">
      <c r="A503" s="9"/>
      <c r="B503" s="49" t="s">
        <v>70</v>
      </c>
      <c r="C503" s="50"/>
      <c r="D503" s="50"/>
      <c r="E503" s="50"/>
      <c r="F503" s="50"/>
      <c r="G503" s="51"/>
      <c r="H503" s="20"/>
      <c r="I503" s="9">
        <v>2</v>
      </c>
      <c r="J503" s="9"/>
      <c r="K503" s="9"/>
      <c r="L503" s="9"/>
      <c r="M503" s="9">
        <f t="shared" si="60"/>
        <v>15.2</v>
      </c>
      <c r="N503" s="9">
        <f t="shared" si="61"/>
        <v>6</v>
      </c>
      <c r="O503" s="9">
        <v>7.6</v>
      </c>
      <c r="P503" s="9">
        <v>3</v>
      </c>
      <c r="Q503" s="9" t="s">
        <v>6</v>
      </c>
      <c r="R503" s="1">
        <v>0</v>
      </c>
      <c r="S503" s="26"/>
    </row>
    <row r="504" spans="1:19" ht="16.5" customHeight="1" x14ac:dyDescent="0.25">
      <c r="A504" s="9"/>
      <c r="B504" s="49" t="s">
        <v>71</v>
      </c>
      <c r="C504" s="50"/>
      <c r="D504" s="50"/>
      <c r="E504" s="50"/>
      <c r="F504" s="50"/>
      <c r="G504" s="51"/>
      <c r="H504" s="20"/>
      <c r="I504" s="9">
        <v>1</v>
      </c>
      <c r="J504" s="9"/>
      <c r="K504" s="9"/>
      <c r="L504" s="9"/>
      <c r="M504" s="9">
        <f t="shared" si="60"/>
        <v>7.4</v>
      </c>
      <c r="N504" s="9">
        <f t="shared" si="61"/>
        <v>3</v>
      </c>
      <c r="O504" s="9">
        <v>7.4</v>
      </c>
      <c r="P504" s="9">
        <v>3</v>
      </c>
      <c r="Q504" s="9" t="s">
        <v>6</v>
      </c>
      <c r="R504" s="1">
        <v>0</v>
      </c>
      <c r="S504" s="26"/>
    </row>
    <row r="505" spans="1:19" ht="16.5" customHeight="1" x14ac:dyDescent="0.25">
      <c r="A505" s="9"/>
      <c r="B505" s="49" t="s">
        <v>72</v>
      </c>
      <c r="C505" s="50"/>
      <c r="D505" s="50"/>
      <c r="E505" s="50"/>
      <c r="F505" s="50"/>
      <c r="G505" s="51"/>
      <c r="H505" s="20"/>
      <c r="I505" s="9">
        <v>4</v>
      </c>
      <c r="J505" s="9"/>
      <c r="K505" s="9"/>
      <c r="L505" s="9"/>
      <c r="M505" s="9">
        <f t="shared" si="60"/>
        <v>25.2</v>
      </c>
      <c r="N505" s="9">
        <f t="shared" si="61"/>
        <v>8</v>
      </c>
      <c r="O505" s="9">
        <v>6.3</v>
      </c>
      <c r="P505" s="9">
        <v>2</v>
      </c>
      <c r="Q505" s="9" t="s">
        <v>3</v>
      </c>
      <c r="R505" s="1">
        <v>0</v>
      </c>
      <c r="S505" s="26"/>
    </row>
    <row r="506" spans="1:19" ht="16.5" customHeight="1" x14ac:dyDescent="0.25">
      <c r="A506" s="9"/>
      <c r="B506" s="49" t="s">
        <v>77</v>
      </c>
      <c r="C506" s="50"/>
      <c r="D506" s="50"/>
      <c r="E506" s="50"/>
      <c r="F506" s="50"/>
      <c r="G506" s="51"/>
      <c r="H506" s="20"/>
      <c r="I506" s="9">
        <v>1</v>
      </c>
      <c r="J506" s="9"/>
      <c r="K506" s="9"/>
      <c r="L506" s="9"/>
      <c r="M506" s="9">
        <f t="shared" si="60"/>
        <v>8.1999999999999993</v>
      </c>
      <c r="N506" s="9">
        <f t="shared" si="61"/>
        <v>3.5</v>
      </c>
      <c r="O506" s="9">
        <v>8.1999999999999993</v>
      </c>
      <c r="P506" s="9">
        <v>3.5</v>
      </c>
      <c r="Q506" s="9" t="s">
        <v>9</v>
      </c>
      <c r="R506" s="1">
        <v>0</v>
      </c>
      <c r="S506" s="26"/>
    </row>
    <row r="507" spans="1:19" ht="16.5" customHeight="1" x14ac:dyDescent="0.25">
      <c r="A507" s="9"/>
      <c r="B507" s="49" t="s">
        <v>74</v>
      </c>
      <c r="C507" s="50"/>
      <c r="D507" s="50"/>
      <c r="E507" s="50"/>
      <c r="F507" s="50"/>
      <c r="G507" s="51"/>
      <c r="H507" s="20"/>
      <c r="I507" s="9">
        <v>3</v>
      </c>
      <c r="J507" s="9"/>
      <c r="K507" s="9"/>
      <c r="L507" s="9"/>
      <c r="M507" s="9">
        <f t="shared" si="60"/>
        <v>21.6</v>
      </c>
      <c r="N507" s="9">
        <f t="shared" si="61"/>
        <v>9</v>
      </c>
      <c r="O507" s="9">
        <v>7.2</v>
      </c>
      <c r="P507" s="9">
        <v>3</v>
      </c>
      <c r="Q507" s="9" t="s">
        <v>6</v>
      </c>
      <c r="R507" s="1">
        <v>0</v>
      </c>
      <c r="S507" s="26"/>
    </row>
    <row r="508" spans="1:19" ht="16.5" customHeight="1" x14ac:dyDescent="0.25">
      <c r="A508" s="9"/>
      <c r="B508" s="49" t="s">
        <v>76</v>
      </c>
      <c r="C508" s="50"/>
      <c r="D508" s="50"/>
      <c r="E508" s="50"/>
      <c r="F508" s="50"/>
      <c r="G508" s="51"/>
      <c r="H508" s="20"/>
      <c r="I508" s="9">
        <v>4</v>
      </c>
      <c r="J508" s="9"/>
      <c r="K508" s="9"/>
      <c r="L508" s="9"/>
      <c r="M508" s="9">
        <f t="shared" si="60"/>
        <v>30.4</v>
      </c>
      <c r="N508" s="9">
        <f t="shared" si="61"/>
        <v>12</v>
      </c>
      <c r="O508" s="9">
        <v>7.6</v>
      </c>
      <c r="P508" s="9">
        <v>3</v>
      </c>
      <c r="Q508" s="9" t="s">
        <v>6</v>
      </c>
      <c r="R508" s="1">
        <v>0</v>
      </c>
      <c r="S508" s="26"/>
    </row>
    <row r="509" spans="1:19" ht="16.5" customHeight="1" x14ac:dyDescent="0.25">
      <c r="A509" s="9"/>
      <c r="B509" s="49" t="s">
        <v>68</v>
      </c>
      <c r="C509" s="50"/>
      <c r="D509" s="50"/>
      <c r="E509" s="50"/>
      <c r="F509" s="50"/>
      <c r="G509" s="51"/>
      <c r="H509" s="20"/>
      <c r="I509" s="9">
        <v>3</v>
      </c>
      <c r="J509" s="9"/>
      <c r="K509" s="9"/>
      <c r="L509" s="9"/>
      <c r="M509" s="9">
        <f t="shared" si="60"/>
        <v>24</v>
      </c>
      <c r="N509" s="9">
        <f t="shared" si="61"/>
        <v>10.5</v>
      </c>
      <c r="O509" s="9">
        <v>8</v>
      </c>
      <c r="P509" s="9">
        <v>3.5</v>
      </c>
      <c r="Q509" s="9" t="s">
        <v>9</v>
      </c>
      <c r="R509" s="1">
        <v>0</v>
      </c>
      <c r="S509" s="26"/>
    </row>
    <row r="510" spans="1:19" ht="16.5" hidden="1" customHeight="1" x14ac:dyDescent="0.25">
      <c r="A510" s="21"/>
      <c r="H510" s="21"/>
      <c r="I510" s="21"/>
      <c r="J510" s="21"/>
      <c r="K510" s="21"/>
      <c r="L510" s="21"/>
      <c r="M510" s="9">
        <f t="shared" si="60"/>
        <v>0</v>
      </c>
      <c r="N510" s="9">
        <f t="shared" si="61"/>
        <v>0</v>
      </c>
      <c r="O510" s="21"/>
      <c r="P510" s="21"/>
      <c r="Q510" s="21"/>
      <c r="S510" s="25"/>
    </row>
    <row r="511" spans="1:19" ht="16.5" customHeight="1" x14ac:dyDescent="0.25">
      <c r="A511" s="9"/>
      <c r="B511" s="38" t="s">
        <v>42</v>
      </c>
      <c r="C511" s="39"/>
      <c r="D511" s="39"/>
      <c r="E511" s="39"/>
      <c r="F511" s="39"/>
      <c r="G511" s="40"/>
      <c r="H511" s="23"/>
      <c r="I511" s="24">
        <f>SUM(I501:I510)</f>
        <v>26</v>
      </c>
      <c r="J511" s="9"/>
      <c r="K511" s="9"/>
      <c r="L511" s="9"/>
      <c r="M511" s="9">
        <f t="shared" si="60"/>
        <v>195.51999999999998</v>
      </c>
      <c r="N511" s="9">
        <f t="shared" si="61"/>
        <v>78</v>
      </c>
      <c r="O511" s="24">
        <f>ROUND(SUM(M501:M510)/I511,2)</f>
        <v>7.52</v>
      </c>
      <c r="P511" s="24">
        <f>ROUND(SUM(N501:N510)/I511,2)</f>
        <v>3</v>
      </c>
      <c r="Q511" s="9"/>
      <c r="S511" s="25"/>
    </row>
    <row r="512" spans="1:19" ht="20.25" customHeight="1" x14ac:dyDescent="0.25">
      <c r="A512" s="27" t="s">
        <v>82</v>
      </c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</row>
    <row r="513" spans="1:19" ht="16.5" customHeight="1" x14ac:dyDescent="0.25">
      <c r="A513" s="9"/>
      <c r="B513" s="49" t="s">
        <v>86</v>
      </c>
      <c r="C513" s="50"/>
      <c r="D513" s="50"/>
      <c r="E513" s="50"/>
      <c r="F513" s="50"/>
      <c r="G513" s="51"/>
      <c r="H513" s="20"/>
      <c r="I513" s="9">
        <v>3</v>
      </c>
      <c r="J513" s="9"/>
      <c r="K513" s="9"/>
      <c r="L513" s="9"/>
      <c r="M513" s="9">
        <f>I513*O513</f>
        <v>19.200000000000003</v>
      </c>
      <c r="N513" s="9">
        <f>I513*P513</f>
        <v>6</v>
      </c>
      <c r="O513" s="9">
        <v>6.4</v>
      </c>
      <c r="P513" s="9">
        <v>2</v>
      </c>
      <c r="Q513" s="9" t="s">
        <v>3</v>
      </c>
      <c r="R513" s="1">
        <v>0</v>
      </c>
      <c r="S513" s="26"/>
    </row>
    <row r="514" spans="1:19" ht="15" customHeight="1" x14ac:dyDescent="0.25">
      <c r="A514" s="35" t="s">
        <v>0</v>
      </c>
      <c r="B514" s="29" t="s">
        <v>1</v>
      </c>
      <c r="C514" s="30"/>
      <c r="D514" s="30"/>
      <c r="E514" s="30"/>
      <c r="F514" s="30"/>
      <c r="G514" s="31"/>
      <c r="H514" s="35" t="s">
        <v>32</v>
      </c>
      <c r="I514" s="35" t="s">
        <v>39</v>
      </c>
      <c r="J514" s="53" t="s">
        <v>2</v>
      </c>
      <c r="K514" s="54"/>
      <c r="L514" s="54"/>
      <c r="M514" s="54"/>
      <c r="N514" s="54"/>
      <c r="O514" s="54"/>
      <c r="P514" s="54"/>
      <c r="Q514" s="55"/>
      <c r="S514" s="35" t="s">
        <v>38</v>
      </c>
    </row>
    <row r="515" spans="1:19" ht="24" customHeight="1" x14ac:dyDescent="0.25">
      <c r="A515" s="36"/>
      <c r="B515" s="32"/>
      <c r="C515" s="33"/>
      <c r="D515" s="33"/>
      <c r="E515" s="33"/>
      <c r="F515" s="33"/>
      <c r="G515" s="34"/>
      <c r="H515" s="36"/>
      <c r="I515" s="36"/>
      <c r="J515" s="7" t="s">
        <v>28</v>
      </c>
      <c r="K515" s="7" t="s">
        <v>29</v>
      </c>
      <c r="L515" s="7" t="s">
        <v>30</v>
      </c>
      <c r="M515" s="7"/>
      <c r="N515" s="7"/>
      <c r="O515" s="6" t="s">
        <v>35</v>
      </c>
      <c r="P515" s="6" t="s">
        <v>36</v>
      </c>
      <c r="Q515" s="6" t="s">
        <v>37</v>
      </c>
      <c r="S515" s="36"/>
    </row>
    <row r="516" spans="1:19" ht="16.5" customHeight="1" x14ac:dyDescent="0.25">
      <c r="A516" s="9"/>
      <c r="B516" s="49" t="s">
        <v>83</v>
      </c>
      <c r="C516" s="50"/>
      <c r="D516" s="50"/>
      <c r="E516" s="50"/>
      <c r="F516" s="50"/>
      <c r="G516" s="51"/>
      <c r="H516" s="20"/>
      <c r="I516" s="9">
        <v>1</v>
      </c>
      <c r="J516" s="9"/>
      <c r="K516" s="9"/>
      <c r="L516" s="9"/>
      <c r="M516" s="9">
        <f t="shared" ref="M516:M526" si="62">I516*O516</f>
        <v>8.1999999999999993</v>
      </c>
      <c r="N516" s="9">
        <f t="shared" ref="N516:N526" si="63">I516*P516</f>
        <v>3.5</v>
      </c>
      <c r="O516" s="9">
        <v>8.1999999999999993</v>
      </c>
      <c r="P516" s="9">
        <v>3.5</v>
      </c>
      <c r="Q516" s="9" t="s">
        <v>9</v>
      </c>
      <c r="R516" s="1">
        <v>0</v>
      </c>
      <c r="S516" s="26"/>
    </row>
    <row r="517" spans="1:19" ht="16.5" customHeight="1" x14ac:dyDescent="0.25">
      <c r="A517" s="9"/>
      <c r="B517" s="49" t="s">
        <v>75</v>
      </c>
      <c r="C517" s="50"/>
      <c r="D517" s="50"/>
      <c r="E517" s="50"/>
      <c r="F517" s="50"/>
      <c r="G517" s="51"/>
      <c r="H517" s="20"/>
      <c r="I517" s="9">
        <v>3</v>
      </c>
      <c r="J517" s="9"/>
      <c r="K517" s="9"/>
      <c r="L517" s="9"/>
      <c r="M517" s="9">
        <f t="shared" si="62"/>
        <v>22.200000000000003</v>
      </c>
      <c r="N517" s="9">
        <f t="shared" si="63"/>
        <v>9</v>
      </c>
      <c r="O517" s="9">
        <v>7.4</v>
      </c>
      <c r="P517" s="9">
        <v>3</v>
      </c>
      <c r="Q517" s="9" t="s">
        <v>6</v>
      </c>
      <c r="R517" s="1">
        <v>0</v>
      </c>
      <c r="S517" s="26"/>
    </row>
    <row r="518" spans="1:19" ht="16.5" customHeight="1" x14ac:dyDescent="0.25">
      <c r="A518" s="9"/>
      <c r="B518" s="49" t="s">
        <v>93</v>
      </c>
      <c r="C518" s="50"/>
      <c r="D518" s="50"/>
      <c r="E518" s="50"/>
      <c r="F518" s="50"/>
      <c r="G518" s="51"/>
      <c r="H518" s="20"/>
      <c r="I518" s="9">
        <v>2</v>
      </c>
      <c r="J518" s="9"/>
      <c r="K518" s="9"/>
      <c r="L518" s="9"/>
      <c r="M518" s="9">
        <f t="shared" si="62"/>
        <v>15.2</v>
      </c>
      <c r="N518" s="9">
        <f t="shared" si="63"/>
        <v>6</v>
      </c>
      <c r="O518" s="9">
        <v>7.6</v>
      </c>
      <c r="P518" s="9">
        <v>3</v>
      </c>
      <c r="Q518" s="9" t="s">
        <v>6</v>
      </c>
      <c r="R518" s="1">
        <v>0</v>
      </c>
      <c r="S518" s="26"/>
    </row>
    <row r="519" spans="1:19" ht="16.5" customHeight="1" x14ac:dyDescent="0.25">
      <c r="A519" s="9"/>
      <c r="B519" s="49" t="s">
        <v>90</v>
      </c>
      <c r="C519" s="50"/>
      <c r="D519" s="50"/>
      <c r="E519" s="50"/>
      <c r="F519" s="50"/>
      <c r="G519" s="51"/>
      <c r="H519" s="20"/>
      <c r="I519" s="9">
        <v>2</v>
      </c>
      <c r="J519" s="9"/>
      <c r="K519" s="9"/>
      <c r="L519" s="9"/>
      <c r="M519" s="9">
        <f t="shared" si="62"/>
        <v>14.4</v>
      </c>
      <c r="N519" s="9">
        <f t="shared" si="63"/>
        <v>6</v>
      </c>
      <c r="O519" s="9">
        <v>7.2</v>
      </c>
      <c r="P519" s="9">
        <v>3</v>
      </c>
      <c r="Q519" s="9" t="s">
        <v>6</v>
      </c>
      <c r="R519" s="1">
        <v>0</v>
      </c>
      <c r="S519" s="26"/>
    </row>
    <row r="520" spans="1:19" ht="16.5" customHeight="1" x14ac:dyDescent="0.25">
      <c r="A520" s="9"/>
      <c r="B520" s="49" t="s">
        <v>95</v>
      </c>
      <c r="C520" s="50"/>
      <c r="D520" s="50"/>
      <c r="E520" s="50"/>
      <c r="F520" s="50"/>
      <c r="G520" s="51"/>
      <c r="H520" s="20"/>
      <c r="I520" s="9">
        <v>1</v>
      </c>
      <c r="J520" s="9"/>
      <c r="K520" s="9"/>
      <c r="L520" s="9"/>
      <c r="M520" s="9">
        <f t="shared" si="62"/>
        <v>8</v>
      </c>
      <c r="N520" s="9">
        <f t="shared" si="63"/>
        <v>3.5</v>
      </c>
      <c r="O520" s="9">
        <v>8</v>
      </c>
      <c r="P520" s="9">
        <v>3.5</v>
      </c>
      <c r="Q520" s="9" t="s">
        <v>9</v>
      </c>
      <c r="R520" s="1">
        <v>0</v>
      </c>
      <c r="S520" s="26"/>
    </row>
    <row r="521" spans="1:19" ht="16.5" customHeight="1" x14ac:dyDescent="0.25">
      <c r="A521" s="9"/>
      <c r="B521" s="49" t="s">
        <v>88</v>
      </c>
      <c r="C521" s="50"/>
      <c r="D521" s="50"/>
      <c r="E521" s="50"/>
      <c r="F521" s="50"/>
      <c r="G521" s="51"/>
      <c r="H521" s="20"/>
      <c r="I521" s="9">
        <v>2</v>
      </c>
      <c r="J521" s="9"/>
      <c r="K521" s="9"/>
      <c r="L521" s="9"/>
      <c r="M521" s="9">
        <f t="shared" si="62"/>
        <v>14.4</v>
      </c>
      <c r="N521" s="9">
        <f t="shared" si="63"/>
        <v>6</v>
      </c>
      <c r="O521" s="9">
        <v>7.2</v>
      </c>
      <c r="P521" s="9">
        <v>3</v>
      </c>
      <c r="Q521" s="9" t="s">
        <v>6</v>
      </c>
      <c r="R521" s="1">
        <v>0</v>
      </c>
      <c r="S521" s="26"/>
    </row>
    <row r="522" spans="1:19" ht="16.5" customHeight="1" x14ac:dyDescent="0.25">
      <c r="A522" s="9"/>
      <c r="B522" s="49" t="s">
        <v>89</v>
      </c>
      <c r="C522" s="50"/>
      <c r="D522" s="50"/>
      <c r="E522" s="50"/>
      <c r="F522" s="50"/>
      <c r="G522" s="51"/>
      <c r="H522" s="20"/>
      <c r="I522" s="9">
        <v>2</v>
      </c>
      <c r="J522" s="9"/>
      <c r="K522" s="9"/>
      <c r="L522" s="9"/>
      <c r="M522" s="9">
        <f t="shared" si="62"/>
        <v>17</v>
      </c>
      <c r="N522" s="9">
        <f t="shared" si="63"/>
        <v>7.4</v>
      </c>
      <c r="O522" s="9">
        <v>8.5</v>
      </c>
      <c r="P522" s="9">
        <v>3.7</v>
      </c>
      <c r="Q522" s="9" t="s">
        <v>10</v>
      </c>
      <c r="R522" s="1">
        <v>0</v>
      </c>
      <c r="S522" s="26"/>
    </row>
    <row r="523" spans="1:19" ht="16.5" customHeight="1" x14ac:dyDescent="0.25">
      <c r="A523" s="9"/>
      <c r="B523" s="49" t="s">
        <v>92</v>
      </c>
      <c r="C523" s="50"/>
      <c r="D523" s="50"/>
      <c r="E523" s="50"/>
      <c r="F523" s="50"/>
      <c r="G523" s="51"/>
      <c r="H523" s="20"/>
      <c r="I523" s="9">
        <v>4</v>
      </c>
      <c r="J523" s="9"/>
      <c r="K523" s="9"/>
      <c r="L523" s="9"/>
      <c r="M523" s="9">
        <f t="shared" si="62"/>
        <v>34.4</v>
      </c>
      <c r="N523" s="9">
        <f t="shared" si="63"/>
        <v>14.8</v>
      </c>
      <c r="O523" s="9">
        <v>8.6</v>
      </c>
      <c r="P523" s="9">
        <v>3.7</v>
      </c>
      <c r="Q523" s="9" t="s">
        <v>10</v>
      </c>
      <c r="R523" s="1">
        <v>0</v>
      </c>
      <c r="S523" s="26"/>
    </row>
    <row r="524" spans="1:19" ht="16.5" customHeight="1" x14ac:dyDescent="0.25">
      <c r="A524" s="9"/>
      <c r="B524" s="49" t="s">
        <v>84</v>
      </c>
      <c r="C524" s="50"/>
      <c r="D524" s="50"/>
      <c r="E524" s="50"/>
      <c r="F524" s="50"/>
      <c r="G524" s="51"/>
      <c r="H524" s="20"/>
      <c r="I524" s="9">
        <v>3</v>
      </c>
      <c r="J524" s="9"/>
      <c r="K524" s="9"/>
      <c r="L524" s="9"/>
      <c r="M524" s="9">
        <f t="shared" si="62"/>
        <v>22.5</v>
      </c>
      <c r="N524" s="9">
        <f t="shared" si="63"/>
        <v>9</v>
      </c>
      <c r="O524" s="9">
        <v>7.5</v>
      </c>
      <c r="P524" s="9">
        <v>3</v>
      </c>
      <c r="Q524" s="9" t="s">
        <v>6</v>
      </c>
      <c r="R524" s="1">
        <v>0</v>
      </c>
      <c r="S524" s="26"/>
    </row>
    <row r="525" spans="1:19" ht="16.5" hidden="1" customHeight="1" x14ac:dyDescent="0.25">
      <c r="A525" s="21"/>
      <c r="H525" s="21"/>
      <c r="I525" s="21"/>
      <c r="J525" s="21"/>
      <c r="K525" s="21"/>
      <c r="L525" s="21"/>
      <c r="M525" s="9">
        <f t="shared" si="62"/>
        <v>0</v>
      </c>
      <c r="N525" s="9">
        <f t="shared" si="63"/>
        <v>0</v>
      </c>
      <c r="O525" s="21"/>
      <c r="P525" s="21"/>
      <c r="Q525" s="21"/>
      <c r="S525" s="25"/>
    </row>
    <row r="526" spans="1:19" ht="16.5" customHeight="1" x14ac:dyDescent="0.25">
      <c r="A526" s="9"/>
      <c r="B526" s="38" t="s">
        <v>42</v>
      </c>
      <c r="C526" s="39"/>
      <c r="D526" s="39"/>
      <c r="E526" s="39"/>
      <c r="F526" s="39"/>
      <c r="G526" s="40"/>
      <c r="H526" s="23"/>
      <c r="I526" s="24">
        <f>SUM(I513:I525)</f>
        <v>23</v>
      </c>
      <c r="J526" s="9"/>
      <c r="K526" s="9"/>
      <c r="L526" s="9"/>
      <c r="M526" s="9">
        <f t="shared" si="62"/>
        <v>175.49</v>
      </c>
      <c r="N526" s="9">
        <f t="shared" si="63"/>
        <v>71.3</v>
      </c>
      <c r="O526" s="24">
        <f>ROUND(SUM(M513:M525)/I526,2)</f>
        <v>7.63</v>
      </c>
      <c r="P526" s="24">
        <f>ROUND(SUM(N513:N525)/I526,2)</f>
        <v>3.1</v>
      </c>
      <c r="Q526" s="9"/>
      <c r="S526" s="25"/>
    </row>
    <row r="527" spans="1:19" ht="20.25" customHeight="1" x14ac:dyDescent="0.25">
      <c r="A527" s="27" t="s">
        <v>96</v>
      </c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</row>
    <row r="528" spans="1:19" ht="16.5" customHeight="1" x14ac:dyDescent="0.25">
      <c r="A528" s="9"/>
      <c r="B528" s="49" t="s">
        <v>97</v>
      </c>
      <c r="C528" s="50"/>
      <c r="D528" s="50"/>
      <c r="E528" s="50"/>
      <c r="F528" s="50"/>
      <c r="G528" s="51"/>
      <c r="H528" s="20"/>
      <c r="I528" s="9">
        <v>2</v>
      </c>
      <c r="J528" s="9"/>
      <c r="K528" s="9"/>
      <c r="L528" s="9"/>
      <c r="M528" s="9">
        <f t="shared" ref="M528:M540" si="64">I528*O528</f>
        <v>14.8</v>
      </c>
      <c r="N528" s="9">
        <f t="shared" ref="N528:N540" si="65">I528*P528</f>
        <v>6</v>
      </c>
      <c r="O528" s="9">
        <v>7.4</v>
      </c>
      <c r="P528" s="9">
        <v>3</v>
      </c>
      <c r="Q528" s="9" t="s">
        <v>6</v>
      </c>
      <c r="R528" s="1">
        <v>0</v>
      </c>
      <c r="S528" s="26"/>
    </row>
    <row r="529" spans="1:19" ht="16.5" customHeight="1" x14ac:dyDescent="0.25">
      <c r="A529" s="9"/>
      <c r="B529" s="49" t="s">
        <v>99</v>
      </c>
      <c r="C529" s="50"/>
      <c r="D529" s="50"/>
      <c r="E529" s="50"/>
      <c r="F529" s="50"/>
      <c r="G529" s="51"/>
      <c r="H529" s="20"/>
      <c r="I529" s="9">
        <v>2</v>
      </c>
      <c r="J529" s="9"/>
      <c r="K529" s="9"/>
      <c r="L529" s="9"/>
      <c r="M529" s="9">
        <f t="shared" si="64"/>
        <v>17.8</v>
      </c>
      <c r="N529" s="9">
        <f t="shared" si="65"/>
        <v>7.4</v>
      </c>
      <c r="O529" s="9">
        <v>8.9</v>
      </c>
      <c r="P529" s="9">
        <v>3.7</v>
      </c>
      <c r="Q529" s="9" t="s">
        <v>10</v>
      </c>
      <c r="R529" s="1">
        <v>0</v>
      </c>
      <c r="S529" s="26"/>
    </row>
    <row r="530" spans="1:19" ht="16.5" customHeight="1" x14ac:dyDescent="0.25">
      <c r="A530" s="9"/>
      <c r="B530" s="49" t="s">
        <v>98</v>
      </c>
      <c r="C530" s="50"/>
      <c r="D530" s="50"/>
      <c r="E530" s="50"/>
      <c r="F530" s="50"/>
      <c r="G530" s="51"/>
      <c r="H530" s="20"/>
      <c r="I530" s="9">
        <v>3</v>
      </c>
      <c r="J530" s="9"/>
      <c r="K530" s="9"/>
      <c r="L530" s="9"/>
      <c r="M530" s="9">
        <f t="shared" si="64"/>
        <v>29.099999999999998</v>
      </c>
      <c r="N530" s="9">
        <f t="shared" si="65"/>
        <v>12</v>
      </c>
      <c r="O530" s="9">
        <v>9.6999999999999993</v>
      </c>
      <c r="P530" s="9">
        <v>4</v>
      </c>
      <c r="Q530" s="9" t="s">
        <v>12</v>
      </c>
      <c r="R530" s="1">
        <v>0</v>
      </c>
      <c r="S530" s="26"/>
    </row>
    <row r="531" spans="1:19" ht="16.5" customHeight="1" x14ac:dyDescent="0.25">
      <c r="A531" s="9"/>
      <c r="B531" s="49" t="s">
        <v>103</v>
      </c>
      <c r="C531" s="50"/>
      <c r="D531" s="50"/>
      <c r="E531" s="50"/>
      <c r="F531" s="50"/>
      <c r="G531" s="51"/>
      <c r="H531" s="20"/>
      <c r="I531" s="9">
        <v>2</v>
      </c>
      <c r="J531" s="9"/>
      <c r="K531" s="9"/>
      <c r="L531" s="9"/>
      <c r="M531" s="9">
        <f t="shared" si="64"/>
        <v>15.4</v>
      </c>
      <c r="N531" s="9">
        <f t="shared" si="65"/>
        <v>6</v>
      </c>
      <c r="O531" s="9">
        <v>7.7</v>
      </c>
      <c r="P531" s="9">
        <v>3</v>
      </c>
      <c r="Q531" s="9" t="s">
        <v>6</v>
      </c>
      <c r="R531" s="1">
        <v>0</v>
      </c>
      <c r="S531" s="26"/>
    </row>
    <row r="532" spans="1:19" ht="16.5" customHeight="1" x14ac:dyDescent="0.25">
      <c r="A532" s="9"/>
      <c r="B532" s="49" t="s">
        <v>69</v>
      </c>
      <c r="C532" s="50"/>
      <c r="D532" s="50"/>
      <c r="E532" s="50"/>
      <c r="F532" s="50"/>
      <c r="G532" s="51"/>
      <c r="H532" s="20"/>
      <c r="I532" s="9">
        <v>1</v>
      </c>
      <c r="J532" s="9"/>
      <c r="K532" s="9"/>
      <c r="L532" s="9"/>
      <c r="M532" s="9">
        <f t="shared" si="64"/>
        <v>7.3</v>
      </c>
      <c r="N532" s="9">
        <f t="shared" si="65"/>
        <v>3</v>
      </c>
      <c r="O532" s="9">
        <v>7.3</v>
      </c>
      <c r="P532" s="9">
        <v>3</v>
      </c>
      <c r="Q532" s="9" t="s">
        <v>6</v>
      </c>
      <c r="R532" s="1">
        <v>0</v>
      </c>
      <c r="S532" s="26"/>
    </row>
    <row r="533" spans="1:19" ht="16.5" customHeight="1" x14ac:dyDescent="0.25">
      <c r="A533" s="9"/>
      <c r="B533" s="49" t="s">
        <v>105</v>
      </c>
      <c r="C533" s="50"/>
      <c r="D533" s="50"/>
      <c r="E533" s="50"/>
      <c r="F533" s="50"/>
      <c r="G533" s="51"/>
      <c r="H533" s="20"/>
      <c r="I533" s="9">
        <v>4</v>
      </c>
      <c r="J533" s="9"/>
      <c r="K533" s="9"/>
      <c r="L533" s="9"/>
      <c r="M533" s="9">
        <f t="shared" si="64"/>
        <v>33.200000000000003</v>
      </c>
      <c r="N533" s="9">
        <f t="shared" si="65"/>
        <v>14</v>
      </c>
      <c r="O533" s="9">
        <v>8.3000000000000007</v>
      </c>
      <c r="P533" s="9">
        <v>3.5</v>
      </c>
      <c r="Q533" s="9" t="s">
        <v>9</v>
      </c>
      <c r="R533" s="1">
        <v>0</v>
      </c>
      <c r="S533" s="26"/>
    </row>
    <row r="534" spans="1:19" ht="16.5" customHeight="1" x14ac:dyDescent="0.25">
      <c r="A534" s="9"/>
      <c r="B534" s="49" t="s">
        <v>101</v>
      </c>
      <c r="C534" s="50"/>
      <c r="D534" s="50"/>
      <c r="E534" s="50"/>
      <c r="F534" s="50"/>
      <c r="G534" s="51"/>
      <c r="H534" s="20"/>
      <c r="I534" s="9">
        <v>1</v>
      </c>
      <c r="J534" s="9"/>
      <c r="K534" s="9"/>
      <c r="L534" s="9"/>
      <c r="M534" s="9">
        <f t="shared" si="64"/>
        <v>7.8</v>
      </c>
      <c r="N534" s="9">
        <f t="shared" si="65"/>
        <v>3</v>
      </c>
      <c r="O534" s="9">
        <v>7.8</v>
      </c>
      <c r="P534" s="9">
        <v>3</v>
      </c>
      <c r="Q534" s="9" t="s">
        <v>6</v>
      </c>
      <c r="R534" s="1">
        <v>0</v>
      </c>
      <c r="S534" s="26"/>
    </row>
    <row r="535" spans="1:19" ht="16.5" customHeight="1" x14ac:dyDescent="0.25">
      <c r="A535" s="9"/>
      <c r="B535" s="49" t="s">
        <v>100</v>
      </c>
      <c r="C535" s="50"/>
      <c r="D535" s="50"/>
      <c r="E535" s="50"/>
      <c r="F535" s="50"/>
      <c r="G535" s="51"/>
      <c r="H535" s="20"/>
      <c r="I535" s="9">
        <v>1</v>
      </c>
      <c r="J535" s="9"/>
      <c r="K535" s="9"/>
      <c r="L535" s="9"/>
      <c r="M535" s="9">
        <f t="shared" si="64"/>
        <v>8.6999999999999993</v>
      </c>
      <c r="N535" s="9">
        <f t="shared" si="65"/>
        <v>3.7</v>
      </c>
      <c r="O535" s="9">
        <v>8.6999999999999993</v>
      </c>
      <c r="P535" s="9">
        <v>3.7</v>
      </c>
      <c r="Q535" s="9" t="s">
        <v>10</v>
      </c>
      <c r="R535" s="1">
        <v>0</v>
      </c>
      <c r="S535" s="26"/>
    </row>
    <row r="536" spans="1:19" ht="16.5" customHeight="1" x14ac:dyDescent="0.25">
      <c r="A536" s="9"/>
      <c r="B536" s="49" t="s">
        <v>104</v>
      </c>
      <c r="C536" s="50"/>
      <c r="D536" s="50"/>
      <c r="E536" s="50"/>
      <c r="F536" s="50"/>
      <c r="G536" s="51"/>
      <c r="H536" s="20"/>
      <c r="I536" s="9">
        <v>3</v>
      </c>
      <c r="J536" s="9"/>
      <c r="K536" s="9"/>
      <c r="L536" s="9"/>
      <c r="M536" s="9">
        <f t="shared" si="64"/>
        <v>22.799999999999997</v>
      </c>
      <c r="N536" s="9">
        <f t="shared" si="65"/>
        <v>9</v>
      </c>
      <c r="O536" s="9">
        <v>7.6</v>
      </c>
      <c r="P536" s="9">
        <v>3</v>
      </c>
      <c r="Q536" s="9" t="s">
        <v>6</v>
      </c>
      <c r="R536" s="1">
        <v>0</v>
      </c>
      <c r="S536" s="26"/>
    </row>
    <row r="537" spans="1:19" ht="16.5" customHeight="1" x14ac:dyDescent="0.25">
      <c r="A537" s="9"/>
      <c r="B537" s="49" t="s">
        <v>79</v>
      </c>
      <c r="C537" s="50"/>
      <c r="D537" s="50"/>
      <c r="E537" s="50"/>
      <c r="F537" s="50"/>
      <c r="G537" s="51"/>
      <c r="H537" s="20"/>
      <c r="I537" s="9">
        <v>2</v>
      </c>
      <c r="J537" s="9"/>
      <c r="K537" s="9"/>
      <c r="L537" s="9"/>
      <c r="M537" s="9">
        <f t="shared" si="64"/>
        <v>13.6</v>
      </c>
      <c r="N537" s="9">
        <f t="shared" si="65"/>
        <v>5</v>
      </c>
      <c r="O537" s="9">
        <v>6.8</v>
      </c>
      <c r="P537" s="9">
        <v>2.5</v>
      </c>
      <c r="Q537" s="9" t="s">
        <v>5</v>
      </c>
      <c r="R537" s="1">
        <v>0</v>
      </c>
      <c r="S537" s="26"/>
    </row>
    <row r="538" spans="1:19" ht="16.5" customHeight="1" x14ac:dyDescent="0.25">
      <c r="A538" s="9"/>
      <c r="B538" s="49" t="s">
        <v>102</v>
      </c>
      <c r="C538" s="50"/>
      <c r="D538" s="50"/>
      <c r="E538" s="50"/>
      <c r="F538" s="50"/>
      <c r="G538" s="51"/>
      <c r="H538" s="20"/>
      <c r="I538" s="9">
        <v>2</v>
      </c>
      <c r="J538" s="9"/>
      <c r="K538" s="9"/>
      <c r="L538" s="9"/>
      <c r="M538" s="9">
        <f t="shared" si="64"/>
        <v>14.4</v>
      </c>
      <c r="N538" s="9">
        <f t="shared" si="65"/>
        <v>6</v>
      </c>
      <c r="O538" s="9">
        <v>7.2</v>
      </c>
      <c r="P538" s="9">
        <v>3</v>
      </c>
      <c r="Q538" s="9" t="s">
        <v>6</v>
      </c>
      <c r="R538" s="1">
        <v>0</v>
      </c>
      <c r="S538" s="26"/>
    </row>
    <row r="539" spans="1:19" ht="16.5" hidden="1" customHeight="1" x14ac:dyDescent="0.25">
      <c r="A539" s="21"/>
      <c r="H539" s="21"/>
      <c r="I539" s="21"/>
      <c r="J539" s="21"/>
      <c r="K539" s="21"/>
      <c r="L539" s="21"/>
      <c r="M539" s="9">
        <f t="shared" si="64"/>
        <v>0</v>
      </c>
      <c r="N539" s="9">
        <f t="shared" si="65"/>
        <v>0</v>
      </c>
      <c r="O539" s="21"/>
      <c r="P539" s="21"/>
      <c r="Q539" s="21"/>
      <c r="S539" s="25"/>
    </row>
    <row r="540" spans="1:19" ht="16.5" customHeight="1" x14ac:dyDescent="0.25">
      <c r="A540" s="9"/>
      <c r="B540" s="38" t="s">
        <v>42</v>
      </c>
      <c r="C540" s="39"/>
      <c r="D540" s="39"/>
      <c r="E540" s="39"/>
      <c r="F540" s="39"/>
      <c r="G540" s="40"/>
      <c r="H540" s="23"/>
      <c r="I540" s="24">
        <f>SUM(I528:I539)</f>
        <v>23</v>
      </c>
      <c r="J540" s="9"/>
      <c r="K540" s="9"/>
      <c r="L540" s="9"/>
      <c r="M540" s="9">
        <f t="shared" si="64"/>
        <v>184.92</v>
      </c>
      <c r="N540" s="9">
        <f t="shared" si="65"/>
        <v>75.209999999999994</v>
      </c>
      <c r="O540" s="24">
        <f>ROUND(SUM(M528:M539)/I540,2)</f>
        <v>8.0399999999999991</v>
      </c>
      <c r="P540" s="24">
        <f>ROUND(SUM(N528:N539)/I540,2)</f>
        <v>3.27</v>
      </c>
      <c r="Q540" s="9"/>
      <c r="S540" s="25"/>
    </row>
    <row r="541" spans="1:19" ht="20.25" customHeight="1" x14ac:dyDescent="0.25">
      <c r="A541" s="27" t="s">
        <v>107</v>
      </c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</row>
    <row r="542" spans="1:19" ht="16.5" customHeight="1" x14ac:dyDescent="0.25">
      <c r="A542" s="9"/>
      <c r="B542" s="49" t="s">
        <v>108</v>
      </c>
      <c r="C542" s="50"/>
      <c r="D542" s="50"/>
      <c r="E542" s="50"/>
      <c r="F542" s="50"/>
      <c r="G542" s="51"/>
      <c r="H542" s="20"/>
      <c r="I542" s="9">
        <v>1</v>
      </c>
      <c r="J542" s="9"/>
      <c r="K542" s="9"/>
      <c r="L542" s="9"/>
      <c r="M542" s="9">
        <f t="shared" ref="M542:M554" si="66">I542*O542</f>
        <v>7.3</v>
      </c>
      <c r="N542" s="9">
        <f t="shared" ref="N542:N554" si="67">I542*P542</f>
        <v>3</v>
      </c>
      <c r="O542" s="9">
        <v>7.3</v>
      </c>
      <c r="P542" s="9">
        <v>3</v>
      </c>
      <c r="Q542" s="9" t="s">
        <v>6</v>
      </c>
      <c r="R542" s="1">
        <v>0</v>
      </c>
      <c r="S542" s="26"/>
    </row>
    <row r="543" spans="1:19" ht="16.5" customHeight="1" x14ac:dyDescent="0.25">
      <c r="A543" s="9"/>
      <c r="B543" s="49" t="s">
        <v>109</v>
      </c>
      <c r="C543" s="50"/>
      <c r="D543" s="50"/>
      <c r="E543" s="50"/>
      <c r="F543" s="50"/>
      <c r="G543" s="51"/>
      <c r="H543" s="20"/>
      <c r="I543" s="9">
        <v>2</v>
      </c>
      <c r="J543" s="9"/>
      <c r="K543" s="9"/>
      <c r="L543" s="9"/>
      <c r="M543" s="9">
        <f t="shared" si="66"/>
        <v>13.2</v>
      </c>
      <c r="N543" s="9">
        <f t="shared" si="67"/>
        <v>5</v>
      </c>
      <c r="O543" s="9">
        <v>6.6</v>
      </c>
      <c r="P543" s="9">
        <v>2.5</v>
      </c>
      <c r="Q543" s="9" t="s">
        <v>5</v>
      </c>
      <c r="R543" s="1">
        <v>0</v>
      </c>
      <c r="S543" s="26"/>
    </row>
    <row r="544" spans="1:19" ht="16.5" customHeight="1" x14ac:dyDescent="0.25">
      <c r="A544" s="9"/>
      <c r="B544" s="49" t="s">
        <v>116</v>
      </c>
      <c r="C544" s="50"/>
      <c r="D544" s="50"/>
      <c r="E544" s="50"/>
      <c r="F544" s="50"/>
      <c r="G544" s="51"/>
      <c r="H544" s="20"/>
      <c r="I544" s="9">
        <v>2</v>
      </c>
      <c r="J544" s="9"/>
      <c r="K544" s="9"/>
      <c r="L544" s="9"/>
      <c r="M544" s="9">
        <f t="shared" si="66"/>
        <v>15.8</v>
      </c>
      <c r="N544" s="9">
        <f t="shared" si="67"/>
        <v>6</v>
      </c>
      <c r="O544" s="9">
        <v>7.9</v>
      </c>
      <c r="P544" s="9">
        <v>3</v>
      </c>
      <c r="Q544" s="9" t="s">
        <v>6</v>
      </c>
      <c r="R544" s="1">
        <v>0</v>
      </c>
      <c r="S544" s="26"/>
    </row>
    <row r="545" spans="1:19" ht="16.5" customHeight="1" x14ac:dyDescent="0.25">
      <c r="A545" s="9"/>
      <c r="B545" s="49" t="s">
        <v>111</v>
      </c>
      <c r="C545" s="50"/>
      <c r="D545" s="50"/>
      <c r="E545" s="50"/>
      <c r="F545" s="50"/>
      <c r="G545" s="51"/>
      <c r="H545" s="20"/>
      <c r="I545" s="9">
        <v>3</v>
      </c>
      <c r="J545" s="9"/>
      <c r="K545" s="9"/>
      <c r="L545" s="9"/>
      <c r="M545" s="9">
        <f t="shared" si="66"/>
        <v>23.1</v>
      </c>
      <c r="N545" s="9">
        <f t="shared" si="67"/>
        <v>9</v>
      </c>
      <c r="O545" s="9">
        <v>7.7</v>
      </c>
      <c r="P545" s="9">
        <v>3</v>
      </c>
      <c r="Q545" s="9" t="s">
        <v>6</v>
      </c>
      <c r="R545" s="1">
        <v>0</v>
      </c>
      <c r="S545" s="26"/>
    </row>
    <row r="546" spans="1:19" ht="16.5" customHeight="1" x14ac:dyDescent="0.25">
      <c r="A546" s="9"/>
      <c r="B546" s="49" t="s">
        <v>112</v>
      </c>
      <c r="C546" s="50"/>
      <c r="D546" s="50"/>
      <c r="E546" s="50"/>
      <c r="F546" s="50"/>
      <c r="G546" s="51"/>
      <c r="H546" s="20"/>
      <c r="I546" s="9">
        <v>4</v>
      </c>
      <c r="J546" s="9"/>
      <c r="K546" s="9"/>
      <c r="L546" s="9"/>
      <c r="M546" s="9">
        <f t="shared" si="66"/>
        <v>32</v>
      </c>
      <c r="N546" s="9">
        <f t="shared" si="67"/>
        <v>14</v>
      </c>
      <c r="O546" s="9">
        <v>8</v>
      </c>
      <c r="P546" s="9">
        <v>3.5</v>
      </c>
      <c r="Q546" s="9" t="s">
        <v>9</v>
      </c>
      <c r="R546" s="1">
        <v>0</v>
      </c>
      <c r="S546" s="26"/>
    </row>
    <row r="547" spans="1:19" ht="16.5" customHeight="1" x14ac:dyDescent="0.25">
      <c r="A547" s="9"/>
      <c r="B547" s="49" t="s">
        <v>113</v>
      </c>
      <c r="C547" s="50"/>
      <c r="D547" s="50"/>
      <c r="E547" s="50"/>
      <c r="F547" s="50"/>
      <c r="G547" s="51"/>
      <c r="H547" s="20"/>
      <c r="I547" s="9">
        <v>4</v>
      </c>
      <c r="J547" s="9"/>
      <c r="K547" s="9"/>
      <c r="L547" s="9"/>
      <c r="M547" s="9">
        <f t="shared" si="66"/>
        <v>22.4</v>
      </c>
      <c r="N547" s="9">
        <f t="shared" si="67"/>
        <v>8</v>
      </c>
      <c r="O547" s="9">
        <v>5.6</v>
      </c>
      <c r="P547" s="9">
        <v>2</v>
      </c>
      <c r="Q547" s="9" t="s">
        <v>3</v>
      </c>
      <c r="R547" s="1">
        <v>0</v>
      </c>
      <c r="S547" s="26"/>
    </row>
    <row r="548" spans="1:19" ht="16.5" customHeight="1" x14ac:dyDescent="0.25">
      <c r="A548" s="9"/>
      <c r="B548" s="49" t="s">
        <v>114</v>
      </c>
      <c r="C548" s="50"/>
      <c r="D548" s="50"/>
      <c r="E548" s="50"/>
      <c r="F548" s="50"/>
      <c r="G548" s="51"/>
      <c r="H548" s="20"/>
      <c r="I548" s="9">
        <v>3</v>
      </c>
      <c r="J548" s="9"/>
      <c r="K548" s="9"/>
      <c r="L548" s="9"/>
      <c r="M548" s="9">
        <f t="shared" si="66"/>
        <v>21.9</v>
      </c>
      <c r="N548" s="9">
        <f t="shared" si="67"/>
        <v>9</v>
      </c>
      <c r="O548" s="9">
        <v>7.3</v>
      </c>
      <c r="P548" s="9">
        <v>3</v>
      </c>
      <c r="Q548" s="9" t="s">
        <v>6</v>
      </c>
      <c r="R548" s="1">
        <v>0</v>
      </c>
      <c r="S548" s="26"/>
    </row>
    <row r="549" spans="1:19" ht="16.5" customHeight="1" x14ac:dyDescent="0.25">
      <c r="A549" s="9"/>
      <c r="B549" s="49" t="s">
        <v>115</v>
      </c>
      <c r="C549" s="50"/>
      <c r="D549" s="50"/>
      <c r="E549" s="50"/>
      <c r="F549" s="50"/>
      <c r="G549" s="51"/>
      <c r="H549" s="20"/>
      <c r="I549" s="9">
        <v>2</v>
      </c>
      <c r="J549" s="9"/>
      <c r="K549" s="9"/>
      <c r="L549" s="9"/>
      <c r="M549" s="9">
        <f t="shared" si="66"/>
        <v>14.4</v>
      </c>
      <c r="N549" s="9">
        <f t="shared" si="67"/>
        <v>6</v>
      </c>
      <c r="O549" s="9">
        <v>7.2</v>
      </c>
      <c r="P549" s="9">
        <v>3</v>
      </c>
      <c r="Q549" s="9" t="s">
        <v>6</v>
      </c>
      <c r="R549" s="1">
        <v>0</v>
      </c>
      <c r="S549" s="26"/>
    </row>
    <row r="550" spans="1:19" ht="16.5" customHeight="1" x14ac:dyDescent="0.25">
      <c r="A550" s="9"/>
      <c r="B550" s="49" t="s">
        <v>110</v>
      </c>
      <c r="C550" s="50"/>
      <c r="D550" s="50"/>
      <c r="E550" s="50"/>
      <c r="F550" s="50"/>
      <c r="G550" s="51"/>
      <c r="H550" s="20"/>
      <c r="I550" s="9">
        <v>3</v>
      </c>
      <c r="J550" s="9"/>
      <c r="K550" s="9"/>
      <c r="L550" s="9"/>
      <c r="M550" s="9">
        <f t="shared" si="66"/>
        <v>24.900000000000002</v>
      </c>
      <c r="N550" s="9">
        <f t="shared" si="67"/>
        <v>10.5</v>
      </c>
      <c r="O550" s="9">
        <v>8.3000000000000007</v>
      </c>
      <c r="P550" s="9">
        <v>3.5</v>
      </c>
      <c r="Q550" s="9" t="s">
        <v>9</v>
      </c>
      <c r="R550" s="1">
        <v>0</v>
      </c>
      <c r="S550" s="26"/>
    </row>
    <row r="551" spans="1:19" ht="16.5" customHeight="1" x14ac:dyDescent="0.25">
      <c r="A551" s="9"/>
      <c r="B551" s="49" t="s">
        <v>117</v>
      </c>
      <c r="C551" s="50"/>
      <c r="D551" s="50"/>
      <c r="E551" s="50"/>
      <c r="F551" s="50"/>
      <c r="G551" s="51"/>
      <c r="H551" s="20"/>
      <c r="I551" s="9">
        <v>3</v>
      </c>
      <c r="J551" s="9"/>
      <c r="K551" s="9"/>
      <c r="L551" s="9"/>
      <c r="M551" s="9">
        <f t="shared" si="66"/>
        <v>24.900000000000002</v>
      </c>
      <c r="N551" s="9">
        <f t="shared" si="67"/>
        <v>10.5</v>
      </c>
      <c r="O551" s="9">
        <v>8.3000000000000007</v>
      </c>
      <c r="P551" s="9">
        <v>3.5</v>
      </c>
      <c r="Q551" s="9" t="s">
        <v>9</v>
      </c>
      <c r="R551" s="1">
        <v>0</v>
      </c>
      <c r="S551" s="26"/>
    </row>
    <row r="552" spans="1:19" ht="16.5" customHeight="1" x14ac:dyDescent="0.25">
      <c r="A552" s="9"/>
      <c r="B552" s="49" t="s">
        <v>118</v>
      </c>
      <c r="C552" s="50"/>
      <c r="D552" s="50"/>
      <c r="E552" s="50"/>
      <c r="F552" s="50"/>
      <c r="G552" s="51"/>
      <c r="H552" s="20"/>
      <c r="I552" s="9">
        <v>2</v>
      </c>
      <c r="J552" s="9"/>
      <c r="K552" s="9"/>
      <c r="L552" s="9"/>
      <c r="M552" s="9">
        <f t="shared" si="66"/>
        <v>15.2</v>
      </c>
      <c r="N552" s="9">
        <f t="shared" si="67"/>
        <v>6</v>
      </c>
      <c r="O552" s="9">
        <v>7.6</v>
      </c>
      <c r="P552" s="9">
        <v>3</v>
      </c>
      <c r="Q552" s="9" t="s">
        <v>6</v>
      </c>
      <c r="R552" s="1">
        <v>0</v>
      </c>
      <c r="S552" s="26"/>
    </row>
    <row r="553" spans="1:19" ht="16.5" hidden="1" customHeight="1" x14ac:dyDescent="0.25">
      <c r="A553" s="21"/>
      <c r="H553" s="21"/>
      <c r="I553" s="21"/>
      <c r="J553" s="21"/>
      <c r="K553" s="21"/>
      <c r="L553" s="21"/>
      <c r="M553" s="9">
        <f t="shared" si="66"/>
        <v>0</v>
      </c>
      <c r="N553" s="9">
        <f t="shared" si="67"/>
        <v>0</v>
      </c>
      <c r="O553" s="21"/>
      <c r="P553" s="21"/>
      <c r="Q553" s="21"/>
      <c r="S553" s="25"/>
    </row>
    <row r="554" spans="1:19" ht="16.5" customHeight="1" x14ac:dyDescent="0.25">
      <c r="A554" s="9"/>
      <c r="B554" s="38" t="s">
        <v>42</v>
      </c>
      <c r="C554" s="39"/>
      <c r="D554" s="39"/>
      <c r="E554" s="39"/>
      <c r="F554" s="39"/>
      <c r="G554" s="40"/>
      <c r="H554" s="23"/>
      <c r="I554" s="24">
        <f>SUM(I542:I553)</f>
        <v>29</v>
      </c>
      <c r="J554" s="9"/>
      <c r="K554" s="9"/>
      <c r="L554" s="9"/>
      <c r="M554" s="9">
        <f t="shared" si="66"/>
        <v>215.18</v>
      </c>
      <c r="N554" s="9">
        <f t="shared" si="67"/>
        <v>87</v>
      </c>
      <c r="O554" s="24">
        <f>ROUND(SUM(M542:M553)/I554,2)</f>
        <v>7.42</v>
      </c>
      <c r="P554" s="24">
        <f>ROUND(SUM(N542:N553)/I554,2)</f>
        <v>3</v>
      </c>
      <c r="Q554" s="9"/>
      <c r="S554" s="25"/>
    </row>
    <row r="555" spans="1:19" ht="20.25" customHeight="1" x14ac:dyDescent="0.25">
      <c r="A555" s="27" t="s">
        <v>120</v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</row>
    <row r="556" spans="1:19" ht="16.5" customHeight="1" x14ac:dyDescent="0.25">
      <c r="A556" s="9"/>
      <c r="B556" s="49" t="s">
        <v>121</v>
      </c>
      <c r="C556" s="50"/>
      <c r="D556" s="50"/>
      <c r="E556" s="50"/>
      <c r="F556" s="50"/>
      <c r="G556" s="51"/>
      <c r="H556" s="20"/>
      <c r="I556" s="9">
        <v>3</v>
      </c>
      <c r="J556" s="9"/>
      <c r="K556" s="9"/>
      <c r="L556" s="9"/>
      <c r="M556" s="9">
        <f t="shared" ref="M556:M565" si="68">I556*O556</f>
        <v>20.399999999999999</v>
      </c>
      <c r="N556" s="9">
        <f t="shared" ref="N556:N565" si="69">I556*P556</f>
        <v>7.5</v>
      </c>
      <c r="O556" s="9">
        <v>6.8</v>
      </c>
      <c r="P556" s="9">
        <v>2.5</v>
      </c>
      <c r="Q556" s="9" t="s">
        <v>5</v>
      </c>
      <c r="R556" s="1">
        <v>0</v>
      </c>
      <c r="S556" s="26"/>
    </row>
    <row r="557" spans="1:19" ht="16.5" customHeight="1" x14ac:dyDescent="0.25">
      <c r="A557" s="9"/>
      <c r="B557" s="49" t="s">
        <v>126</v>
      </c>
      <c r="C557" s="50"/>
      <c r="D557" s="50"/>
      <c r="E557" s="50"/>
      <c r="F557" s="50"/>
      <c r="G557" s="51"/>
      <c r="H557" s="20"/>
      <c r="I557" s="9">
        <v>3</v>
      </c>
      <c r="J557" s="9"/>
      <c r="K557" s="9"/>
      <c r="L557" s="9"/>
      <c r="M557" s="9">
        <f t="shared" si="68"/>
        <v>23.700000000000003</v>
      </c>
      <c r="N557" s="9">
        <f t="shared" si="69"/>
        <v>9</v>
      </c>
      <c r="O557" s="9">
        <v>7.9</v>
      </c>
      <c r="P557" s="9">
        <v>3</v>
      </c>
      <c r="Q557" s="9" t="s">
        <v>6</v>
      </c>
      <c r="R557" s="1">
        <v>0</v>
      </c>
      <c r="S557" s="26"/>
    </row>
    <row r="558" spans="1:19" ht="16.5" customHeight="1" x14ac:dyDescent="0.25">
      <c r="A558" s="9"/>
      <c r="B558" s="49" t="s">
        <v>123</v>
      </c>
      <c r="C558" s="50"/>
      <c r="D558" s="50"/>
      <c r="E558" s="50"/>
      <c r="F558" s="50"/>
      <c r="G558" s="51"/>
      <c r="H558" s="20"/>
      <c r="I558" s="9">
        <v>3</v>
      </c>
      <c r="J558" s="9"/>
      <c r="K558" s="9"/>
      <c r="L558" s="9"/>
      <c r="M558" s="9">
        <f t="shared" si="68"/>
        <v>22.200000000000003</v>
      </c>
      <c r="N558" s="9">
        <f t="shared" si="69"/>
        <v>9</v>
      </c>
      <c r="O558" s="9">
        <v>7.4</v>
      </c>
      <c r="P558" s="9">
        <v>3</v>
      </c>
      <c r="Q558" s="9" t="s">
        <v>6</v>
      </c>
      <c r="R558" s="1">
        <v>0</v>
      </c>
      <c r="S558" s="26"/>
    </row>
    <row r="559" spans="1:19" ht="16.5" customHeight="1" x14ac:dyDescent="0.25">
      <c r="A559" s="9"/>
      <c r="B559" s="49" t="s">
        <v>124</v>
      </c>
      <c r="C559" s="50"/>
      <c r="D559" s="50"/>
      <c r="E559" s="50"/>
      <c r="F559" s="50"/>
      <c r="G559" s="51"/>
      <c r="H559" s="20"/>
      <c r="I559" s="9">
        <v>3</v>
      </c>
      <c r="J559" s="9"/>
      <c r="K559" s="9"/>
      <c r="L559" s="9"/>
      <c r="M559" s="9">
        <f t="shared" si="68"/>
        <v>20.100000000000001</v>
      </c>
      <c r="N559" s="9">
        <f t="shared" si="69"/>
        <v>7.5</v>
      </c>
      <c r="O559" s="9">
        <v>6.7</v>
      </c>
      <c r="P559" s="9">
        <v>2.5</v>
      </c>
      <c r="Q559" s="9" t="s">
        <v>5</v>
      </c>
      <c r="R559" s="1">
        <v>0</v>
      </c>
      <c r="S559" s="26"/>
    </row>
    <row r="560" spans="1:19" ht="16.5" customHeight="1" x14ac:dyDescent="0.25">
      <c r="A560" s="9"/>
      <c r="B560" s="49" t="s">
        <v>125</v>
      </c>
      <c r="C560" s="50"/>
      <c r="D560" s="50"/>
      <c r="E560" s="50"/>
      <c r="F560" s="50"/>
      <c r="G560" s="51"/>
      <c r="H560" s="20"/>
      <c r="I560" s="9">
        <v>3</v>
      </c>
      <c r="J560" s="9"/>
      <c r="K560" s="9"/>
      <c r="L560" s="9"/>
      <c r="M560" s="9">
        <f t="shared" si="68"/>
        <v>24.599999999999998</v>
      </c>
      <c r="N560" s="9">
        <f t="shared" si="69"/>
        <v>10.5</v>
      </c>
      <c r="O560" s="9">
        <v>8.1999999999999993</v>
      </c>
      <c r="P560" s="9">
        <v>3.5</v>
      </c>
      <c r="Q560" s="9" t="s">
        <v>9</v>
      </c>
      <c r="R560" s="1">
        <v>0</v>
      </c>
      <c r="S560" s="26"/>
    </row>
    <row r="561" spans="1:19" ht="16.5" customHeight="1" x14ac:dyDescent="0.25">
      <c r="A561" s="9"/>
      <c r="B561" s="49" t="s">
        <v>127</v>
      </c>
      <c r="C561" s="50"/>
      <c r="D561" s="50"/>
      <c r="E561" s="50"/>
      <c r="F561" s="50"/>
      <c r="G561" s="51"/>
      <c r="H561" s="20"/>
      <c r="I561" s="9">
        <v>2</v>
      </c>
      <c r="J561" s="9"/>
      <c r="K561" s="9"/>
      <c r="L561" s="9"/>
      <c r="M561" s="9">
        <f t="shared" si="68"/>
        <v>15</v>
      </c>
      <c r="N561" s="9">
        <f t="shared" si="69"/>
        <v>6</v>
      </c>
      <c r="O561" s="9">
        <v>7.5</v>
      </c>
      <c r="P561" s="9">
        <v>3</v>
      </c>
      <c r="Q561" s="9" t="s">
        <v>6</v>
      </c>
      <c r="R561" s="1">
        <v>0</v>
      </c>
      <c r="S561" s="26"/>
    </row>
    <row r="562" spans="1:19" ht="16.5" customHeight="1" x14ac:dyDescent="0.25">
      <c r="A562" s="9"/>
      <c r="B562" s="49" t="s">
        <v>128</v>
      </c>
      <c r="C562" s="50"/>
      <c r="D562" s="50"/>
      <c r="E562" s="50"/>
      <c r="F562" s="50"/>
      <c r="G562" s="51"/>
      <c r="H562" s="20"/>
      <c r="I562" s="9">
        <v>2</v>
      </c>
      <c r="J562" s="9"/>
      <c r="K562" s="9"/>
      <c r="L562" s="9"/>
      <c r="M562" s="9">
        <f t="shared" si="68"/>
        <v>14.2</v>
      </c>
      <c r="N562" s="9">
        <f t="shared" si="69"/>
        <v>6</v>
      </c>
      <c r="O562" s="9">
        <v>7.1</v>
      </c>
      <c r="P562" s="9">
        <v>3</v>
      </c>
      <c r="Q562" s="9" t="s">
        <v>6</v>
      </c>
      <c r="R562" s="1">
        <v>0</v>
      </c>
      <c r="S562" s="26"/>
    </row>
    <row r="563" spans="1:19" ht="16.5" customHeight="1" x14ac:dyDescent="0.25">
      <c r="A563" s="9"/>
      <c r="B563" s="49" t="s">
        <v>122</v>
      </c>
      <c r="C563" s="50"/>
      <c r="D563" s="50"/>
      <c r="E563" s="50"/>
      <c r="F563" s="50"/>
      <c r="G563" s="51"/>
      <c r="H563" s="20"/>
      <c r="I563" s="9">
        <v>1</v>
      </c>
      <c r="J563" s="9"/>
      <c r="K563" s="9"/>
      <c r="L563" s="9"/>
      <c r="M563" s="9">
        <f t="shared" si="68"/>
        <v>7.3</v>
      </c>
      <c r="N563" s="9">
        <f t="shared" si="69"/>
        <v>3</v>
      </c>
      <c r="O563" s="9">
        <v>7.3</v>
      </c>
      <c r="P563" s="9">
        <v>3</v>
      </c>
      <c r="Q563" s="9" t="s">
        <v>6</v>
      </c>
      <c r="R563" s="1">
        <v>0</v>
      </c>
      <c r="S563" s="26"/>
    </row>
    <row r="564" spans="1:19" ht="16.5" hidden="1" customHeight="1" x14ac:dyDescent="0.25">
      <c r="A564" s="21"/>
      <c r="H564" s="21"/>
      <c r="I564" s="21"/>
      <c r="J564" s="21"/>
      <c r="K564" s="21"/>
      <c r="L564" s="21"/>
      <c r="M564" s="9">
        <f t="shared" si="68"/>
        <v>0</v>
      </c>
      <c r="N564" s="9">
        <f t="shared" si="69"/>
        <v>0</v>
      </c>
      <c r="O564" s="21"/>
      <c r="P564" s="21"/>
      <c r="Q564" s="21"/>
      <c r="S564" s="25"/>
    </row>
    <row r="565" spans="1:19" ht="16.5" customHeight="1" x14ac:dyDescent="0.25">
      <c r="A565" s="9"/>
      <c r="B565" s="38" t="s">
        <v>42</v>
      </c>
      <c r="C565" s="39"/>
      <c r="D565" s="39"/>
      <c r="E565" s="39"/>
      <c r="F565" s="39"/>
      <c r="G565" s="40"/>
      <c r="H565" s="23"/>
      <c r="I565" s="24">
        <f>SUM(I556:I564)</f>
        <v>20</v>
      </c>
      <c r="J565" s="9"/>
      <c r="K565" s="9"/>
      <c r="L565" s="9"/>
      <c r="M565" s="9">
        <f t="shared" si="68"/>
        <v>147.6</v>
      </c>
      <c r="N565" s="9">
        <f t="shared" si="69"/>
        <v>58.6</v>
      </c>
      <c r="O565" s="24">
        <f>ROUND(SUM(M556:M564)/I565,2)</f>
        <v>7.38</v>
      </c>
      <c r="P565" s="24">
        <f>ROUND(SUM(N556:N564)/I565,2)</f>
        <v>2.93</v>
      </c>
      <c r="Q565" s="9"/>
      <c r="S565" s="25"/>
    </row>
    <row r="566" spans="1:19" ht="16.5" customHeight="1" x14ac:dyDescent="0.25">
      <c r="A566" s="21"/>
      <c r="B566" s="22"/>
      <c r="C566" s="22"/>
      <c r="D566" s="22"/>
      <c r="E566" s="22"/>
      <c r="F566" s="22"/>
      <c r="G566" s="22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8" spans="1:19" ht="18" x14ac:dyDescent="0.25">
      <c r="A568" s="57" t="s">
        <v>140</v>
      </c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</row>
    <row r="569" spans="1:19" ht="18" x14ac:dyDescent="0.25">
      <c r="A569" s="57" t="s">
        <v>152</v>
      </c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</row>
    <row r="570" spans="1:19" ht="18" x14ac:dyDescent="0.25">
      <c r="A570" s="57" t="s">
        <v>153</v>
      </c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</row>
    <row r="571" spans="1:19" ht="18" x14ac:dyDescent="0.25">
      <c r="A571" s="58" t="s">
        <v>135</v>
      </c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</row>
    <row r="572" spans="1:19" ht="19.5" customHeight="1" x14ac:dyDescent="0.25">
      <c r="A572" s="17"/>
      <c r="B572" s="17"/>
      <c r="C572" s="8"/>
      <c r="D572" s="18"/>
      <c r="E572" s="10"/>
      <c r="F572" s="11"/>
      <c r="G572" s="44" t="s">
        <v>49</v>
      </c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</row>
    <row r="573" spans="1:19" ht="31.5" customHeight="1" x14ac:dyDescent="0.3">
      <c r="A573" s="8"/>
      <c r="B573" s="8"/>
      <c r="C573" s="8"/>
      <c r="D573" s="8"/>
      <c r="E573" s="8"/>
      <c r="F573" s="8"/>
      <c r="G573" s="8"/>
      <c r="H573" s="12"/>
      <c r="I573" s="41" t="s">
        <v>40</v>
      </c>
      <c r="J573" s="42"/>
      <c r="K573" s="42"/>
      <c r="L573" s="42"/>
      <c r="M573" s="42"/>
      <c r="N573" s="42"/>
      <c r="O573" s="42"/>
      <c r="P573" s="42"/>
      <c r="Q573" s="42"/>
      <c r="R573" s="42"/>
      <c r="S573" s="42"/>
    </row>
    <row r="574" spans="1:19" ht="16.8" x14ac:dyDescent="0.3">
      <c r="A574" s="8"/>
      <c r="B574" s="8"/>
      <c r="C574" s="8"/>
      <c r="D574" s="8"/>
      <c r="E574" s="8"/>
      <c r="F574" s="8"/>
      <c r="G574" s="8"/>
      <c r="H574" s="12"/>
      <c r="I574" s="12"/>
      <c r="J574" s="12"/>
      <c r="K574" s="12"/>
      <c r="L574" s="8"/>
      <c r="M574" s="8"/>
      <c r="N574" s="8"/>
      <c r="O574" s="8"/>
      <c r="P574" s="8"/>
      <c r="Q574" s="8"/>
    </row>
    <row r="575" spans="1:19" ht="33" customHeight="1" x14ac:dyDescent="0.3">
      <c r="A575" s="8"/>
      <c r="B575" s="8"/>
      <c r="C575" s="8"/>
      <c r="D575" s="8"/>
      <c r="E575" s="8"/>
      <c r="F575" s="8"/>
      <c r="G575" s="8"/>
      <c r="H575" s="12"/>
      <c r="I575" s="12"/>
      <c r="J575" s="12"/>
      <c r="K575" s="12"/>
      <c r="L575" s="8"/>
      <c r="M575" s="8"/>
      <c r="N575" s="8"/>
      <c r="O575" s="8"/>
      <c r="P575" s="8"/>
      <c r="Q575" s="8"/>
    </row>
    <row r="576" spans="1:19" ht="11.25" customHeight="1" x14ac:dyDescent="0.3">
      <c r="A576" s="8"/>
      <c r="B576" s="8"/>
      <c r="C576" s="8"/>
      <c r="D576" s="8"/>
      <c r="E576" s="8"/>
      <c r="F576" s="8"/>
      <c r="G576" s="8"/>
      <c r="H576" s="12"/>
      <c r="I576" s="12"/>
      <c r="J576" s="12"/>
      <c r="K576" s="12"/>
      <c r="L576" s="8"/>
      <c r="M576" s="8"/>
      <c r="N576" s="8"/>
      <c r="O576" s="8"/>
      <c r="P576" s="8"/>
      <c r="Q576" s="8"/>
    </row>
    <row r="577" spans="1:20" ht="17.399999999999999" x14ac:dyDescent="0.3">
      <c r="A577" s="8"/>
      <c r="B577" s="8"/>
      <c r="C577" s="8"/>
      <c r="D577" s="8"/>
      <c r="E577" s="8"/>
      <c r="F577" s="8"/>
      <c r="G577" s="45" t="s">
        <v>41</v>
      </c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</row>
    <row r="578" spans="1:20" ht="54" customHeight="1" x14ac:dyDescent="0.25">
      <c r="A578" s="46" t="s">
        <v>33</v>
      </c>
      <c r="B578" s="46"/>
      <c r="C578" s="46"/>
      <c r="D578" s="46"/>
      <c r="E578" s="46"/>
      <c r="F578" s="41" t="s">
        <v>24</v>
      </c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</row>
    <row r="579" spans="1:20" ht="17.399999999999999" x14ac:dyDescent="0.25">
      <c r="A579" s="47" t="s">
        <v>34</v>
      </c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</row>
    <row r="580" spans="1:20" ht="4.5" customHeight="1" x14ac:dyDescent="0.2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</row>
    <row r="581" spans="1:20" ht="5.25" customHeight="1" x14ac:dyDescent="0.2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</row>
    <row r="582" spans="1:20" ht="16.5" customHeight="1" x14ac:dyDescent="0.25">
      <c r="A582" s="52" t="s">
        <v>154</v>
      </c>
      <c r="B582" s="52"/>
      <c r="C582" s="52"/>
      <c r="D582" s="52"/>
      <c r="E582" s="52"/>
      <c r="F582" s="52"/>
      <c r="G582" s="56" t="s">
        <v>155</v>
      </c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</row>
    <row r="583" spans="1:20" ht="16.5" customHeight="1" x14ac:dyDescent="0.25">
      <c r="A583" s="52" t="s">
        <v>156</v>
      </c>
      <c r="B583" s="52"/>
      <c r="C583" s="52"/>
      <c r="D583" s="52"/>
      <c r="E583" s="52"/>
      <c r="F583" s="52"/>
      <c r="G583" s="8" t="s">
        <v>46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T583" s="2"/>
    </row>
    <row r="584" spans="1:20" ht="16.5" customHeight="1" x14ac:dyDescent="0.25">
      <c r="A584" s="52" t="s">
        <v>47</v>
      </c>
      <c r="B584" s="52"/>
      <c r="C584" s="52"/>
      <c r="D584" s="52"/>
      <c r="E584" s="52"/>
      <c r="F584" s="52"/>
      <c r="G584" s="56" t="s">
        <v>48</v>
      </c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</row>
    <row r="585" spans="1:20" ht="5.2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19"/>
      <c r="K585" s="19"/>
      <c r="L585" s="19"/>
      <c r="M585" s="19"/>
      <c r="N585" s="19"/>
      <c r="O585" s="19"/>
      <c r="P585" s="19"/>
      <c r="Q585" s="19"/>
    </row>
    <row r="586" spans="1:20" ht="15" customHeight="1" x14ac:dyDescent="0.25">
      <c r="A586" s="35" t="s">
        <v>0</v>
      </c>
      <c r="B586" s="29" t="s">
        <v>1</v>
      </c>
      <c r="C586" s="30"/>
      <c r="D586" s="30"/>
      <c r="E586" s="30"/>
      <c r="F586" s="30"/>
      <c r="G586" s="31"/>
      <c r="H586" s="35" t="s">
        <v>32</v>
      </c>
      <c r="I586" s="35" t="s">
        <v>39</v>
      </c>
      <c r="J586" s="53" t="s">
        <v>2</v>
      </c>
      <c r="K586" s="54"/>
      <c r="L586" s="54"/>
      <c r="M586" s="54"/>
      <c r="N586" s="54"/>
      <c r="O586" s="54"/>
      <c r="P586" s="54"/>
      <c r="Q586" s="55"/>
      <c r="S586" s="35" t="s">
        <v>38</v>
      </c>
    </row>
    <row r="587" spans="1:20" ht="24" customHeight="1" x14ac:dyDescent="0.25">
      <c r="A587" s="36"/>
      <c r="B587" s="32"/>
      <c r="C587" s="33"/>
      <c r="D587" s="33"/>
      <c r="E587" s="33"/>
      <c r="F587" s="33"/>
      <c r="G587" s="34"/>
      <c r="H587" s="36"/>
      <c r="I587" s="36"/>
      <c r="J587" s="7" t="s">
        <v>28</v>
      </c>
      <c r="K587" s="7" t="s">
        <v>29</v>
      </c>
      <c r="L587" s="7" t="s">
        <v>30</v>
      </c>
      <c r="M587" s="7"/>
      <c r="N587" s="7"/>
      <c r="O587" s="6" t="s">
        <v>35</v>
      </c>
      <c r="P587" s="6" t="s">
        <v>36</v>
      </c>
      <c r="Q587" s="6" t="s">
        <v>37</v>
      </c>
      <c r="S587" s="36"/>
    </row>
    <row r="588" spans="1:20" ht="20.25" customHeight="1" x14ac:dyDescent="0.25">
      <c r="A588" s="27" t="s">
        <v>50</v>
      </c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</row>
    <row r="589" spans="1:20" ht="16.5" customHeight="1" x14ac:dyDescent="0.25">
      <c r="A589" s="9"/>
      <c r="B589" s="49" t="s">
        <v>51</v>
      </c>
      <c r="C589" s="50"/>
      <c r="D589" s="50"/>
      <c r="E589" s="50"/>
      <c r="F589" s="50"/>
      <c r="G589" s="51"/>
      <c r="H589" s="20"/>
      <c r="I589" s="9">
        <v>1</v>
      </c>
      <c r="J589" s="9"/>
      <c r="K589" s="9"/>
      <c r="L589" s="9"/>
      <c r="M589" s="9">
        <f t="shared" ref="M589:M597" si="70">I589*O589</f>
        <v>6.9</v>
      </c>
      <c r="N589" s="9">
        <f t="shared" ref="N589:N597" si="71">I589*P589</f>
        <v>2.5</v>
      </c>
      <c r="O589" s="9">
        <v>6.9</v>
      </c>
      <c r="P589" s="9">
        <v>2.5</v>
      </c>
      <c r="Q589" s="9" t="s">
        <v>5</v>
      </c>
      <c r="R589" s="1">
        <v>0</v>
      </c>
      <c r="S589" s="26"/>
    </row>
    <row r="590" spans="1:20" ht="16.5" customHeight="1" x14ac:dyDescent="0.25">
      <c r="A590" s="9"/>
      <c r="B590" s="49" t="s">
        <v>78</v>
      </c>
      <c r="C590" s="50"/>
      <c r="D590" s="50"/>
      <c r="E590" s="50"/>
      <c r="F590" s="50"/>
      <c r="G590" s="51"/>
      <c r="H590" s="20"/>
      <c r="I590" s="9">
        <v>3</v>
      </c>
      <c r="J590" s="9"/>
      <c r="K590" s="9"/>
      <c r="L590" s="9"/>
      <c r="M590" s="9">
        <f t="shared" si="70"/>
        <v>18.299999999999997</v>
      </c>
      <c r="N590" s="9">
        <f t="shared" si="71"/>
        <v>6</v>
      </c>
      <c r="O590" s="9">
        <v>6.1</v>
      </c>
      <c r="P590" s="9">
        <v>2</v>
      </c>
      <c r="Q590" s="9" t="s">
        <v>3</v>
      </c>
      <c r="R590" s="1">
        <v>0</v>
      </c>
      <c r="S590" s="26"/>
    </row>
    <row r="591" spans="1:20" ht="31.2" customHeight="1" x14ac:dyDescent="0.25">
      <c r="A591" s="9"/>
      <c r="B591" s="49" t="s">
        <v>53</v>
      </c>
      <c r="C591" s="50"/>
      <c r="D591" s="50"/>
      <c r="E591" s="50"/>
      <c r="F591" s="50"/>
      <c r="G591" s="51"/>
      <c r="H591" s="20"/>
      <c r="I591" s="9">
        <v>3</v>
      </c>
      <c r="J591" s="9"/>
      <c r="K591" s="9"/>
      <c r="L591" s="9"/>
      <c r="M591" s="9">
        <f t="shared" si="70"/>
        <v>21.299999999999997</v>
      </c>
      <c r="N591" s="9">
        <f t="shared" si="71"/>
        <v>9</v>
      </c>
      <c r="O591" s="9">
        <v>7.1</v>
      </c>
      <c r="P591" s="9">
        <v>3</v>
      </c>
      <c r="Q591" s="9" t="s">
        <v>6</v>
      </c>
      <c r="R591" s="1">
        <v>0</v>
      </c>
      <c r="S591" s="26"/>
    </row>
    <row r="592" spans="1:20" ht="16.5" customHeight="1" x14ac:dyDescent="0.25">
      <c r="A592" s="9"/>
      <c r="B592" s="49" t="s">
        <v>52</v>
      </c>
      <c r="C592" s="50"/>
      <c r="D592" s="50"/>
      <c r="E592" s="50"/>
      <c r="F592" s="50"/>
      <c r="G592" s="51"/>
      <c r="H592" s="20"/>
      <c r="I592" s="9">
        <v>1</v>
      </c>
      <c r="J592" s="9"/>
      <c r="K592" s="9"/>
      <c r="L592" s="9"/>
      <c r="M592" s="9">
        <f t="shared" si="70"/>
        <v>6.7</v>
      </c>
      <c r="N592" s="9">
        <f t="shared" si="71"/>
        <v>2.5</v>
      </c>
      <c r="O592" s="9">
        <v>6.7</v>
      </c>
      <c r="P592" s="9">
        <v>2.5</v>
      </c>
      <c r="Q592" s="9" t="s">
        <v>5</v>
      </c>
      <c r="R592" s="1">
        <v>0</v>
      </c>
      <c r="S592" s="26"/>
    </row>
    <row r="593" spans="1:19" ht="16.5" customHeight="1" x14ac:dyDescent="0.25">
      <c r="A593" s="9"/>
      <c r="B593" s="49" t="s">
        <v>55</v>
      </c>
      <c r="C593" s="50"/>
      <c r="D593" s="50"/>
      <c r="E593" s="50"/>
      <c r="F593" s="50"/>
      <c r="G593" s="51"/>
      <c r="H593" s="20"/>
      <c r="I593" s="9">
        <v>1</v>
      </c>
      <c r="J593" s="9"/>
      <c r="K593" s="9"/>
      <c r="L593" s="9"/>
      <c r="M593" s="9">
        <f t="shared" si="70"/>
        <v>7.3</v>
      </c>
      <c r="N593" s="9">
        <f t="shared" si="71"/>
        <v>3</v>
      </c>
      <c r="O593" s="9">
        <v>7.3</v>
      </c>
      <c r="P593" s="9">
        <v>3</v>
      </c>
      <c r="Q593" s="9" t="s">
        <v>6</v>
      </c>
      <c r="R593" s="1">
        <v>0</v>
      </c>
      <c r="S593" s="26"/>
    </row>
    <row r="594" spans="1:19" ht="16.5" customHeight="1" x14ac:dyDescent="0.25">
      <c r="A594" s="9"/>
      <c r="B594" s="49" t="s">
        <v>54</v>
      </c>
      <c r="C594" s="50"/>
      <c r="D594" s="50"/>
      <c r="E594" s="50"/>
      <c r="F594" s="50"/>
      <c r="G594" s="51"/>
      <c r="H594" s="20"/>
      <c r="I594" s="9">
        <v>3</v>
      </c>
      <c r="J594" s="9"/>
      <c r="K594" s="9"/>
      <c r="L594" s="9"/>
      <c r="M594" s="9">
        <f t="shared" si="70"/>
        <v>21.9</v>
      </c>
      <c r="N594" s="9">
        <f t="shared" si="71"/>
        <v>9</v>
      </c>
      <c r="O594" s="9">
        <v>7.3</v>
      </c>
      <c r="P594" s="9">
        <v>3</v>
      </c>
      <c r="Q594" s="9" t="s">
        <v>6</v>
      </c>
      <c r="R594" s="1">
        <v>0</v>
      </c>
      <c r="S594" s="26"/>
    </row>
    <row r="595" spans="1:19" ht="16.5" customHeight="1" x14ac:dyDescent="0.25">
      <c r="A595" s="9"/>
      <c r="B595" s="49" t="s">
        <v>56</v>
      </c>
      <c r="C595" s="50"/>
      <c r="D595" s="50"/>
      <c r="E595" s="50"/>
      <c r="F595" s="50"/>
      <c r="G595" s="51"/>
      <c r="H595" s="20"/>
      <c r="I595" s="9">
        <v>2</v>
      </c>
      <c r="J595" s="9"/>
      <c r="K595" s="9"/>
      <c r="L595" s="9"/>
      <c r="M595" s="9">
        <f t="shared" si="70"/>
        <v>14.2</v>
      </c>
      <c r="N595" s="9">
        <f t="shared" si="71"/>
        <v>6</v>
      </c>
      <c r="O595" s="9">
        <v>7.1</v>
      </c>
      <c r="P595" s="9">
        <v>3</v>
      </c>
      <c r="Q595" s="9" t="s">
        <v>6</v>
      </c>
      <c r="R595" s="1">
        <v>0</v>
      </c>
      <c r="S595" s="26"/>
    </row>
    <row r="596" spans="1:19" ht="16.5" hidden="1" customHeight="1" x14ac:dyDescent="0.25">
      <c r="A596" s="21"/>
      <c r="H596" s="21"/>
      <c r="I596" s="21"/>
      <c r="J596" s="21"/>
      <c r="K596" s="21"/>
      <c r="L596" s="21"/>
      <c r="M596" s="9">
        <f t="shared" si="70"/>
        <v>0</v>
      </c>
      <c r="N596" s="9">
        <f t="shared" si="71"/>
        <v>0</v>
      </c>
      <c r="O596" s="21"/>
      <c r="P596" s="21"/>
      <c r="Q596" s="21"/>
      <c r="S596" s="25"/>
    </row>
    <row r="597" spans="1:19" ht="16.5" customHeight="1" x14ac:dyDescent="0.25">
      <c r="A597" s="9"/>
      <c r="B597" s="38" t="s">
        <v>42</v>
      </c>
      <c r="C597" s="39"/>
      <c r="D597" s="39"/>
      <c r="E597" s="39"/>
      <c r="F597" s="39"/>
      <c r="G597" s="40"/>
      <c r="H597" s="23"/>
      <c r="I597" s="24">
        <f>SUM(I589:I596)</f>
        <v>14</v>
      </c>
      <c r="J597" s="9"/>
      <c r="K597" s="9"/>
      <c r="L597" s="9"/>
      <c r="M597" s="9">
        <f t="shared" si="70"/>
        <v>96.600000000000009</v>
      </c>
      <c r="N597" s="9">
        <f t="shared" si="71"/>
        <v>37.94</v>
      </c>
      <c r="O597" s="24">
        <f>ROUND(SUM(M589:M596)/I597,2)</f>
        <v>6.9</v>
      </c>
      <c r="P597" s="24">
        <f>ROUND(SUM(N589:N596)/I597,2)</f>
        <v>2.71</v>
      </c>
      <c r="Q597" s="9"/>
      <c r="S597" s="25"/>
    </row>
    <row r="598" spans="1:19" ht="20.25" customHeight="1" x14ac:dyDescent="0.25">
      <c r="A598" s="27" t="s">
        <v>57</v>
      </c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</row>
    <row r="599" spans="1:19" ht="16.5" customHeight="1" x14ac:dyDescent="0.25">
      <c r="A599" s="9"/>
      <c r="B599" s="49" t="s">
        <v>136</v>
      </c>
      <c r="C599" s="50"/>
      <c r="D599" s="50"/>
      <c r="E599" s="50"/>
      <c r="F599" s="50"/>
      <c r="G599" s="51"/>
      <c r="H599" s="20"/>
      <c r="I599" s="9">
        <v>4</v>
      </c>
      <c r="J599" s="9"/>
      <c r="K599" s="9"/>
      <c r="L599" s="9"/>
      <c r="M599" s="9">
        <f t="shared" ref="M599:M607" si="72">I599*O599</f>
        <v>23.6</v>
      </c>
      <c r="N599" s="9">
        <f t="shared" ref="N599:N607" si="73">I599*P599</f>
        <v>8</v>
      </c>
      <c r="O599" s="9">
        <v>5.9</v>
      </c>
      <c r="P599" s="9">
        <v>2</v>
      </c>
      <c r="Q599" s="9" t="s">
        <v>3</v>
      </c>
      <c r="R599" s="1">
        <v>0</v>
      </c>
      <c r="S599" s="26"/>
    </row>
    <row r="600" spans="1:19" ht="16.5" customHeight="1" x14ac:dyDescent="0.25">
      <c r="A600" s="9"/>
      <c r="B600" s="49" t="s">
        <v>91</v>
      </c>
      <c r="C600" s="50"/>
      <c r="D600" s="50"/>
      <c r="E600" s="50"/>
      <c r="F600" s="50"/>
      <c r="G600" s="51"/>
      <c r="H600" s="20"/>
      <c r="I600" s="9">
        <v>4</v>
      </c>
      <c r="J600" s="9"/>
      <c r="K600" s="9"/>
      <c r="L600" s="9"/>
      <c r="M600" s="9">
        <f t="shared" si="72"/>
        <v>21.2</v>
      </c>
      <c r="N600" s="9">
        <f t="shared" si="73"/>
        <v>6</v>
      </c>
      <c r="O600" s="9">
        <v>5.3</v>
      </c>
      <c r="P600" s="9">
        <v>1.5</v>
      </c>
      <c r="Q600" s="9" t="s">
        <v>4</v>
      </c>
      <c r="R600" s="1">
        <v>0</v>
      </c>
      <c r="S600" s="26"/>
    </row>
    <row r="601" spans="1:19" ht="16.5" customHeight="1" x14ac:dyDescent="0.25">
      <c r="A601" s="9"/>
      <c r="B601" s="49" t="s">
        <v>60</v>
      </c>
      <c r="C601" s="50"/>
      <c r="D601" s="50"/>
      <c r="E601" s="50"/>
      <c r="F601" s="50"/>
      <c r="G601" s="51"/>
      <c r="H601" s="20"/>
      <c r="I601" s="9">
        <v>4</v>
      </c>
      <c r="J601" s="9"/>
      <c r="K601" s="9"/>
      <c r="L601" s="9"/>
      <c r="M601" s="9">
        <f t="shared" si="72"/>
        <v>32</v>
      </c>
      <c r="N601" s="9">
        <f t="shared" si="73"/>
        <v>14</v>
      </c>
      <c r="O601" s="9">
        <v>8</v>
      </c>
      <c r="P601" s="9">
        <v>3.5</v>
      </c>
      <c r="Q601" s="9" t="s">
        <v>9</v>
      </c>
      <c r="R601" s="1">
        <v>0</v>
      </c>
      <c r="S601" s="26"/>
    </row>
    <row r="602" spans="1:19" ht="16.5" customHeight="1" x14ac:dyDescent="0.25">
      <c r="A602" s="9"/>
      <c r="B602" s="49" t="s">
        <v>59</v>
      </c>
      <c r="C602" s="50"/>
      <c r="D602" s="50"/>
      <c r="E602" s="50"/>
      <c r="F602" s="50"/>
      <c r="G602" s="51"/>
      <c r="H602" s="20"/>
      <c r="I602" s="9">
        <v>1</v>
      </c>
      <c r="J602" s="9"/>
      <c r="K602" s="9"/>
      <c r="L602" s="9"/>
      <c r="M602" s="9">
        <f t="shared" si="72"/>
        <v>8.1999999999999993</v>
      </c>
      <c r="N602" s="9">
        <f t="shared" si="73"/>
        <v>3.5</v>
      </c>
      <c r="O602" s="9">
        <v>8.1999999999999993</v>
      </c>
      <c r="P602" s="9">
        <v>3.5</v>
      </c>
      <c r="Q602" s="9" t="s">
        <v>9</v>
      </c>
      <c r="R602" s="1">
        <v>0</v>
      </c>
      <c r="S602" s="26"/>
    </row>
    <row r="603" spans="1:19" ht="16.5" customHeight="1" x14ac:dyDescent="0.25">
      <c r="A603" s="9"/>
      <c r="B603" s="49" t="s">
        <v>58</v>
      </c>
      <c r="C603" s="50"/>
      <c r="D603" s="50"/>
      <c r="E603" s="50"/>
      <c r="F603" s="50"/>
      <c r="G603" s="51"/>
      <c r="H603" s="20"/>
      <c r="I603" s="9">
        <v>1</v>
      </c>
      <c r="J603" s="9"/>
      <c r="K603" s="9"/>
      <c r="L603" s="9"/>
      <c r="M603" s="9">
        <f t="shared" si="72"/>
        <v>8</v>
      </c>
      <c r="N603" s="9">
        <f t="shared" si="73"/>
        <v>3.5</v>
      </c>
      <c r="O603" s="9">
        <v>8</v>
      </c>
      <c r="P603" s="9">
        <v>3.5</v>
      </c>
      <c r="Q603" s="9" t="s">
        <v>9</v>
      </c>
      <c r="R603" s="1">
        <v>0</v>
      </c>
      <c r="S603" s="26"/>
    </row>
    <row r="604" spans="1:19" ht="16.5" customHeight="1" x14ac:dyDescent="0.25">
      <c r="A604" s="9"/>
      <c r="B604" s="49" t="s">
        <v>61</v>
      </c>
      <c r="C604" s="50"/>
      <c r="D604" s="50"/>
      <c r="E604" s="50"/>
      <c r="F604" s="50"/>
      <c r="G604" s="51"/>
      <c r="H604" s="20"/>
      <c r="I604" s="9">
        <v>1</v>
      </c>
      <c r="J604" s="9"/>
      <c r="K604" s="9"/>
      <c r="L604" s="9"/>
      <c r="M604" s="9">
        <f t="shared" si="72"/>
        <v>7.9</v>
      </c>
      <c r="N604" s="9">
        <f t="shared" si="73"/>
        <v>3</v>
      </c>
      <c r="O604" s="9">
        <v>7.9</v>
      </c>
      <c r="P604" s="9">
        <v>3</v>
      </c>
      <c r="Q604" s="9" t="s">
        <v>6</v>
      </c>
      <c r="R604" s="1">
        <v>0</v>
      </c>
      <c r="S604" s="26"/>
    </row>
    <row r="605" spans="1:19" ht="16.5" customHeight="1" x14ac:dyDescent="0.25">
      <c r="A605" s="9"/>
      <c r="B605" s="49" t="s">
        <v>62</v>
      </c>
      <c r="C605" s="50"/>
      <c r="D605" s="50"/>
      <c r="E605" s="50"/>
      <c r="F605" s="50"/>
      <c r="G605" s="51"/>
      <c r="H605" s="20"/>
      <c r="I605" s="9">
        <v>1</v>
      </c>
      <c r="J605" s="9"/>
      <c r="K605" s="9"/>
      <c r="L605" s="9"/>
      <c r="M605" s="9">
        <f t="shared" si="72"/>
        <v>7.6</v>
      </c>
      <c r="N605" s="9">
        <f t="shared" si="73"/>
        <v>3</v>
      </c>
      <c r="O605" s="9">
        <v>7.6</v>
      </c>
      <c r="P605" s="9">
        <v>3</v>
      </c>
      <c r="Q605" s="9" t="s">
        <v>6</v>
      </c>
      <c r="R605" s="1">
        <v>0</v>
      </c>
      <c r="S605" s="26"/>
    </row>
    <row r="606" spans="1:19" ht="16.5" hidden="1" customHeight="1" x14ac:dyDescent="0.25">
      <c r="A606" s="21"/>
      <c r="H606" s="21"/>
      <c r="I606" s="21"/>
      <c r="J606" s="21"/>
      <c r="K606" s="21"/>
      <c r="L606" s="21"/>
      <c r="M606" s="9">
        <f t="shared" si="72"/>
        <v>0</v>
      </c>
      <c r="N606" s="9">
        <f t="shared" si="73"/>
        <v>0</v>
      </c>
      <c r="O606" s="21"/>
      <c r="P606" s="21"/>
      <c r="Q606" s="21"/>
      <c r="S606" s="25"/>
    </row>
    <row r="607" spans="1:19" ht="16.5" customHeight="1" x14ac:dyDescent="0.25">
      <c r="A607" s="9"/>
      <c r="B607" s="38" t="s">
        <v>42</v>
      </c>
      <c r="C607" s="39"/>
      <c r="D607" s="39"/>
      <c r="E607" s="39"/>
      <c r="F607" s="39"/>
      <c r="G607" s="40"/>
      <c r="H607" s="23"/>
      <c r="I607" s="24">
        <f>SUM(I599:I606)</f>
        <v>16</v>
      </c>
      <c r="J607" s="9"/>
      <c r="K607" s="9"/>
      <c r="L607" s="9"/>
      <c r="M607" s="9">
        <f t="shared" si="72"/>
        <v>108.48</v>
      </c>
      <c r="N607" s="9">
        <f t="shared" si="73"/>
        <v>40.96</v>
      </c>
      <c r="O607" s="24">
        <f>ROUND(SUM(M599:M606)/I607,2)</f>
        <v>6.78</v>
      </c>
      <c r="P607" s="24">
        <f>ROUND(SUM(N599:N606)/I607,2)</f>
        <v>2.56</v>
      </c>
      <c r="Q607" s="9"/>
      <c r="S607" s="25"/>
    </row>
    <row r="608" spans="1:19" ht="20.25" customHeight="1" x14ac:dyDescent="0.25">
      <c r="A608" s="27" t="s">
        <v>67</v>
      </c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</row>
    <row r="609" spans="1:19" ht="16.5" customHeight="1" x14ac:dyDescent="0.25">
      <c r="A609" s="9"/>
      <c r="B609" s="49" t="s">
        <v>73</v>
      </c>
      <c r="C609" s="50"/>
      <c r="D609" s="50"/>
      <c r="E609" s="50"/>
      <c r="F609" s="50"/>
      <c r="G609" s="51"/>
      <c r="H609" s="20"/>
      <c r="I609" s="9">
        <v>4</v>
      </c>
      <c r="J609" s="9"/>
      <c r="K609" s="9"/>
      <c r="L609" s="9"/>
      <c r="M609" s="9">
        <f t="shared" ref="M609:M619" si="74">I609*O609</f>
        <v>30.4</v>
      </c>
      <c r="N609" s="9">
        <f t="shared" ref="N609:N619" si="75">I609*P609</f>
        <v>12</v>
      </c>
      <c r="O609" s="9">
        <v>7.6</v>
      </c>
      <c r="P609" s="9">
        <v>3</v>
      </c>
      <c r="Q609" s="9" t="s">
        <v>6</v>
      </c>
      <c r="R609" s="1">
        <v>0</v>
      </c>
      <c r="S609" s="26"/>
    </row>
    <row r="610" spans="1:19" ht="16.5" customHeight="1" x14ac:dyDescent="0.25">
      <c r="A610" s="9"/>
      <c r="B610" s="49" t="s">
        <v>68</v>
      </c>
      <c r="C610" s="50"/>
      <c r="D610" s="50"/>
      <c r="E610" s="50"/>
      <c r="F610" s="50"/>
      <c r="G610" s="51"/>
      <c r="H610" s="20"/>
      <c r="I610" s="9">
        <v>3</v>
      </c>
      <c r="J610" s="9"/>
      <c r="K610" s="9"/>
      <c r="L610" s="9"/>
      <c r="M610" s="9">
        <f t="shared" si="74"/>
        <v>24</v>
      </c>
      <c r="N610" s="9">
        <f t="shared" si="75"/>
        <v>10.5</v>
      </c>
      <c r="O610" s="9">
        <v>8</v>
      </c>
      <c r="P610" s="9">
        <v>3.5</v>
      </c>
      <c r="Q610" s="9" t="s">
        <v>9</v>
      </c>
      <c r="R610" s="1">
        <v>0</v>
      </c>
      <c r="S610" s="26"/>
    </row>
    <row r="611" spans="1:19" ht="16.5" customHeight="1" x14ac:dyDescent="0.25">
      <c r="A611" s="9"/>
      <c r="B611" s="49" t="s">
        <v>71</v>
      </c>
      <c r="C611" s="50"/>
      <c r="D611" s="50"/>
      <c r="E611" s="50"/>
      <c r="F611" s="50"/>
      <c r="G611" s="51"/>
      <c r="H611" s="20"/>
      <c r="I611" s="9">
        <v>1</v>
      </c>
      <c r="J611" s="9"/>
      <c r="K611" s="9"/>
      <c r="L611" s="9"/>
      <c r="M611" s="9">
        <f t="shared" si="74"/>
        <v>7.1</v>
      </c>
      <c r="N611" s="9">
        <f t="shared" si="75"/>
        <v>3</v>
      </c>
      <c r="O611" s="9">
        <v>7.1</v>
      </c>
      <c r="P611" s="9">
        <v>3</v>
      </c>
      <c r="Q611" s="9" t="s">
        <v>6</v>
      </c>
      <c r="R611" s="1">
        <v>0</v>
      </c>
      <c r="S611" s="26"/>
    </row>
    <row r="612" spans="1:19" ht="16.5" customHeight="1" x14ac:dyDescent="0.25">
      <c r="A612" s="9"/>
      <c r="B612" s="49" t="s">
        <v>70</v>
      </c>
      <c r="C612" s="50"/>
      <c r="D612" s="50"/>
      <c r="E612" s="50"/>
      <c r="F612" s="50"/>
      <c r="G612" s="51"/>
      <c r="H612" s="20"/>
      <c r="I612" s="9">
        <v>2</v>
      </c>
      <c r="J612" s="9"/>
      <c r="K612" s="9"/>
      <c r="L612" s="9"/>
      <c r="M612" s="9">
        <f t="shared" si="74"/>
        <v>14.4</v>
      </c>
      <c r="N612" s="9">
        <f t="shared" si="75"/>
        <v>6</v>
      </c>
      <c r="O612" s="9">
        <v>7.2</v>
      </c>
      <c r="P612" s="9">
        <v>3</v>
      </c>
      <c r="Q612" s="9" t="s">
        <v>6</v>
      </c>
      <c r="R612" s="1">
        <v>0</v>
      </c>
      <c r="S612" s="26"/>
    </row>
    <row r="613" spans="1:19" ht="16.5" customHeight="1" x14ac:dyDescent="0.25">
      <c r="A613" s="9"/>
      <c r="B613" s="49" t="s">
        <v>77</v>
      </c>
      <c r="C613" s="50"/>
      <c r="D613" s="50"/>
      <c r="E613" s="50"/>
      <c r="F613" s="50"/>
      <c r="G613" s="51"/>
      <c r="H613" s="20"/>
      <c r="I613" s="9">
        <v>1</v>
      </c>
      <c r="J613" s="9"/>
      <c r="K613" s="9"/>
      <c r="L613" s="9"/>
      <c r="M613" s="9">
        <f t="shared" si="74"/>
        <v>7.3</v>
      </c>
      <c r="N613" s="9">
        <f t="shared" si="75"/>
        <v>3</v>
      </c>
      <c r="O613" s="9">
        <v>7.3</v>
      </c>
      <c r="P613" s="9">
        <v>3</v>
      </c>
      <c r="Q613" s="9" t="s">
        <v>6</v>
      </c>
      <c r="R613" s="1">
        <v>0</v>
      </c>
      <c r="S613" s="26"/>
    </row>
    <row r="614" spans="1:19" ht="16.5" customHeight="1" x14ac:dyDescent="0.25">
      <c r="A614" s="9"/>
      <c r="B614" s="49" t="s">
        <v>72</v>
      </c>
      <c r="C614" s="50"/>
      <c r="D614" s="50"/>
      <c r="E614" s="50"/>
      <c r="F614" s="50"/>
      <c r="G614" s="51"/>
      <c r="H614" s="20"/>
      <c r="I614" s="9">
        <v>4</v>
      </c>
      <c r="J614" s="9"/>
      <c r="K614" s="9"/>
      <c r="L614" s="9"/>
      <c r="M614" s="9">
        <f t="shared" si="74"/>
        <v>24.4</v>
      </c>
      <c r="N614" s="9">
        <f t="shared" si="75"/>
        <v>8</v>
      </c>
      <c r="O614" s="9">
        <v>6.1</v>
      </c>
      <c r="P614" s="9">
        <v>2</v>
      </c>
      <c r="Q614" s="9" t="s">
        <v>3</v>
      </c>
      <c r="R614" s="1">
        <v>0</v>
      </c>
      <c r="S614" s="26"/>
    </row>
    <row r="615" spans="1:19" ht="16.5" customHeight="1" x14ac:dyDescent="0.25">
      <c r="A615" s="9"/>
      <c r="B615" s="49" t="s">
        <v>74</v>
      </c>
      <c r="C615" s="50"/>
      <c r="D615" s="50"/>
      <c r="E615" s="50"/>
      <c r="F615" s="50"/>
      <c r="G615" s="51"/>
      <c r="H615" s="20"/>
      <c r="I615" s="9">
        <v>3</v>
      </c>
      <c r="J615" s="9"/>
      <c r="K615" s="9"/>
      <c r="L615" s="9"/>
      <c r="M615" s="9">
        <f t="shared" si="74"/>
        <v>21.299999999999997</v>
      </c>
      <c r="N615" s="9">
        <f t="shared" si="75"/>
        <v>9</v>
      </c>
      <c r="O615" s="9">
        <v>7.1</v>
      </c>
      <c r="P615" s="9">
        <v>3</v>
      </c>
      <c r="Q615" s="9" t="s">
        <v>6</v>
      </c>
      <c r="R615" s="1">
        <v>0</v>
      </c>
      <c r="S615" s="26"/>
    </row>
    <row r="616" spans="1:19" ht="16.5" customHeight="1" x14ac:dyDescent="0.25">
      <c r="A616" s="9"/>
      <c r="B616" s="49" t="s">
        <v>76</v>
      </c>
      <c r="C616" s="50"/>
      <c r="D616" s="50"/>
      <c r="E616" s="50"/>
      <c r="F616" s="50"/>
      <c r="G616" s="51"/>
      <c r="H616" s="20"/>
      <c r="I616" s="9">
        <v>4</v>
      </c>
      <c r="J616" s="9"/>
      <c r="K616" s="9"/>
      <c r="L616" s="9"/>
      <c r="M616" s="9">
        <f t="shared" si="74"/>
        <v>30.8</v>
      </c>
      <c r="N616" s="9">
        <f t="shared" si="75"/>
        <v>12</v>
      </c>
      <c r="O616" s="9">
        <v>7.7</v>
      </c>
      <c r="P616" s="9">
        <v>3</v>
      </c>
      <c r="Q616" s="9" t="s">
        <v>6</v>
      </c>
      <c r="R616" s="1">
        <v>0</v>
      </c>
      <c r="S616" s="26"/>
    </row>
    <row r="617" spans="1:19" ht="16.5" customHeight="1" x14ac:dyDescent="0.25">
      <c r="A617" s="9"/>
      <c r="B617" s="49" t="s">
        <v>80</v>
      </c>
      <c r="C617" s="50"/>
      <c r="D617" s="50"/>
      <c r="E617" s="50"/>
      <c r="F617" s="50"/>
      <c r="G617" s="51"/>
      <c r="H617" s="20"/>
      <c r="I617" s="9">
        <v>4</v>
      </c>
      <c r="J617" s="9"/>
      <c r="K617" s="9"/>
      <c r="L617" s="9"/>
      <c r="M617" s="9">
        <f t="shared" si="74"/>
        <v>25.2</v>
      </c>
      <c r="N617" s="9">
        <f t="shared" si="75"/>
        <v>8</v>
      </c>
      <c r="O617" s="9">
        <v>6.3</v>
      </c>
      <c r="P617" s="9">
        <v>2</v>
      </c>
      <c r="Q617" s="9" t="s">
        <v>3</v>
      </c>
      <c r="R617" s="1">
        <v>0</v>
      </c>
      <c r="S617" s="26"/>
    </row>
    <row r="618" spans="1:19" ht="16.5" hidden="1" customHeight="1" x14ac:dyDescent="0.25">
      <c r="A618" s="21"/>
      <c r="H618" s="21"/>
      <c r="I618" s="21"/>
      <c r="J618" s="21"/>
      <c r="K618" s="21"/>
      <c r="L618" s="21"/>
      <c r="M618" s="9">
        <f t="shared" si="74"/>
        <v>0</v>
      </c>
      <c r="N618" s="9">
        <f t="shared" si="75"/>
        <v>0</v>
      </c>
      <c r="O618" s="21"/>
      <c r="P618" s="21"/>
      <c r="Q618" s="21"/>
      <c r="S618" s="25"/>
    </row>
    <row r="619" spans="1:19" ht="16.5" customHeight="1" x14ac:dyDescent="0.25">
      <c r="A619" s="9"/>
      <c r="B619" s="38" t="s">
        <v>42</v>
      </c>
      <c r="C619" s="39"/>
      <c r="D619" s="39"/>
      <c r="E619" s="39"/>
      <c r="F619" s="39"/>
      <c r="G619" s="40"/>
      <c r="H619" s="23"/>
      <c r="I619" s="24">
        <f>SUM(I609:I618)</f>
        <v>26</v>
      </c>
      <c r="J619" s="9"/>
      <c r="K619" s="9"/>
      <c r="L619" s="9"/>
      <c r="M619" s="9">
        <f t="shared" si="74"/>
        <v>184.86</v>
      </c>
      <c r="N619" s="9">
        <f t="shared" si="75"/>
        <v>71.5</v>
      </c>
      <c r="O619" s="24">
        <f>ROUND(SUM(M609:M618)/I619,2)</f>
        <v>7.11</v>
      </c>
      <c r="P619" s="24">
        <f>ROUND(SUM(N609:N618)/I619,2)</f>
        <v>2.75</v>
      </c>
      <c r="Q619" s="9"/>
      <c r="S619" s="25"/>
    </row>
    <row r="620" spans="1:19" ht="20.25" customHeight="1" x14ac:dyDescent="0.25">
      <c r="A620" s="27" t="s">
        <v>82</v>
      </c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</row>
    <row r="621" spans="1:19" ht="16.5" customHeight="1" x14ac:dyDescent="0.25">
      <c r="A621" s="9"/>
      <c r="B621" s="49" t="s">
        <v>86</v>
      </c>
      <c r="C621" s="50"/>
      <c r="D621" s="50"/>
      <c r="E621" s="50"/>
      <c r="F621" s="50"/>
      <c r="G621" s="51"/>
      <c r="H621" s="20"/>
      <c r="I621" s="9">
        <v>3</v>
      </c>
      <c r="J621" s="9"/>
      <c r="K621" s="9"/>
      <c r="L621" s="9"/>
      <c r="M621" s="9">
        <f>I621*O621</f>
        <v>18.899999999999999</v>
      </c>
      <c r="N621" s="9">
        <f>I621*P621</f>
        <v>6</v>
      </c>
      <c r="O621" s="9">
        <v>6.3</v>
      </c>
      <c r="P621" s="9">
        <v>2</v>
      </c>
      <c r="Q621" s="9" t="s">
        <v>3</v>
      </c>
      <c r="R621" s="1">
        <v>0</v>
      </c>
      <c r="S621" s="26"/>
    </row>
    <row r="622" spans="1:19" ht="16.5" customHeight="1" x14ac:dyDescent="0.25">
      <c r="A622" s="9"/>
      <c r="B622" s="49" t="s">
        <v>83</v>
      </c>
      <c r="C622" s="50"/>
      <c r="D622" s="50"/>
      <c r="E622" s="50"/>
      <c r="F622" s="50"/>
      <c r="G622" s="51"/>
      <c r="H622" s="20"/>
      <c r="I622" s="9">
        <v>1</v>
      </c>
      <c r="J622" s="9"/>
      <c r="K622" s="9"/>
      <c r="L622" s="9"/>
      <c r="M622" s="9">
        <f>I622*O622</f>
        <v>7.9</v>
      </c>
      <c r="N622" s="9">
        <f>I622*P622</f>
        <v>3</v>
      </c>
      <c r="O622" s="9">
        <v>7.9</v>
      </c>
      <c r="P622" s="9">
        <v>3</v>
      </c>
      <c r="Q622" s="9" t="s">
        <v>6</v>
      </c>
      <c r="R622" s="1">
        <v>0</v>
      </c>
      <c r="S622" s="26"/>
    </row>
    <row r="623" spans="1:19" ht="16.5" customHeight="1" x14ac:dyDescent="0.25">
      <c r="A623" s="9"/>
      <c r="B623" s="49" t="s">
        <v>75</v>
      </c>
      <c r="C623" s="50"/>
      <c r="D623" s="50"/>
      <c r="E623" s="50"/>
      <c r="F623" s="50"/>
      <c r="G623" s="51"/>
      <c r="H623" s="20"/>
      <c r="I623" s="9">
        <v>3</v>
      </c>
      <c r="J623" s="9"/>
      <c r="K623" s="9"/>
      <c r="L623" s="9"/>
      <c r="M623" s="9">
        <f>I623*O623</f>
        <v>21.9</v>
      </c>
      <c r="N623" s="9">
        <f>I623*P623</f>
        <v>9</v>
      </c>
      <c r="O623" s="9">
        <v>7.3</v>
      </c>
      <c r="P623" s="9">
        <v>3</v>
      </c>
      <c r="Q623" s="9" t="s">
        <v>6</v>
      </c>
      <c r="R623" s="1">
        <v>0</v>
      </c>
      <c r="S623" s="26"/>
    </row>
    <row r="624" spans="1:19" ht="16.5" customHeight="1" x14ac:dyDescent="0.25">
      <c r="A624" s="9"/>
      <c r="B624" s="49" t="s">
        <v>93</v>
      </c>
      <c r="C624" s="50"/>
      <c r="D624" s="50"/>
      <c r="E624" s="50"/>
      <c r="F624" s="50"/>
      <c r="G624" s="51"/>
      <c r="H624" s="20"/>
      <c r="I624" s="9">
        <v>2</v>
      </c>
      <c r="J624" s="9"/>
      <c r="K624" s="9"/>
      <c r="L624" s="9"/>
      <c r="M624" s="9">
        <f>I624*O624</f>
        <v>16.600000000000001</v>
      </c>
      <c r="N624" s="9">
        <f>I624*P624</f>
        <v>7</v>
      </c>
      <c r="O624" s="9">
        <v>8.3000000000000007</v>
      </c>
      <c r="P624" s="9">
        <v>3.5</v>
      </c>
      <c r="Q624" s="9" t="s">
        <v>9</v>
      </c>
      <c r="R624" s="1">
        <v>0</v>
      </c>
      <c r="S624" s="26"/>
    </row>
    <row r="625" spans="1:19" ht="16.5" customHeight="1" x14ac:dyDescent="0.25">
      <c r="A625" s="9"/>
      <c r="B625" s="49" t="s">
        <v>90</v>
      </c>
      <c r="C625" s="50"/>
      <c r="D625" s="50"/>
      <c r="E625" s="50"/>
      <c r="F625" s="50"/>
      <c r="G625" s="51"/>
      <c r="H625" s="20"/>
      <c r="I625" s="9">
        <v>2</v>
      </c>
      <c r="J625" s="9"/>
      <c r="K625" s="9"/>
      <c r="L625" s="9"/>
      <c r="M625" s="9">
        <f>I625*O625</f>
        <v>14.6</v>
      </c>
      <c r="N625" s="9">
        <f>I625*P625</f>
        <v>6</v>
      </c>
      <c r="O625" s="9">
        <v>7.3</v>
      </c>
      <c r="P625" s="9">
        <v>3</v>
      </c>
      <c r="Q625" s="9" t="s">
        <v>6</v>
      </c>
      <c r="R625" s="1">
        <v>0</v>
      </c>
      <c r="S625" s="26"/>
    </row>
    <row r="626" spans="1:19" ht="15" customHeight="1" x14ac:dyDescent="0.25">
      <c r="A626" s="35" t="s">
        <v>0</v>
      </c>
      <c r="B626" s="29" t="s">
        <v>1</v>
      </c>
      <c r="C626" s="30"/>
      <c r="D626" s="30"/>
      <c r="E626" s="30"/>
      <c r="F626" s="30"/>
      <c r="G626" s="31"/>
      <c r="H626" s="35" t="s">
        <v>32</v>
      </c>
      <c r="I626" s="35" t="s">
        <v>39</v>
      </c>
      <c r="J626" s="53" t="s">
        <v>2</v>
      </c>
      <c r="K626" s="54"/>
      <c r="L626" s="54"/>
      <c r="M626" s="54"/>
      <c r="N626" s="54"/>
      <c r="O626" s="54"/>
      <c r="P626" s="54"/>
      <c r="Q626" s="55"/>
      <c r="S626" s="35" t="s">
        <v>38</v>
      </c>
    </row>
    <row r="627" spans="1:19" ht="24" customHeight="1" x14ac:dyDescent="0.25">
      <c r="A627" s="36"/>
      <c r="B627" s="32"/>
      <c r="C627" s="33"/>
      <c r="D627" s="33"/>
      <c r="E627" s="33"/>
      <c r="F627" s="33"/>
      <c r="G627" s="34"/>
      <c r="H627" s="36"/>
      <c r="I627" s="36"/>
      <c r="J627" s="7" t="s">
        <v>28</v>
      </c>
      <c r="K627" s="7" t="s">
        <v>29</v>
      </c>
      <c r="L627" s="7" t="s">
        <v>30</v>
      </c>
      <c r="M627" s="7"/>
      <c r="N627" s="7"/>
      <c r="O627" s="6" t="s">
        <v>35</v>
      </c>
      <c r="P627" s="6" t="s">
        <v>36</v>
      </c>
      <c r="Q627" s="6" t="s">
        <v>37</v>
      </c>
      <c r="S627" s="36"/>
    </row>
    <row r="628" spans="1:19" ht="16.5" customHeight="1" x14ac:dyDescent="0.25">
      <c r="A628" s="9"/>
      <c r="B628" s="49" t="s">
        <v>95</v>
      </c>
      <c r="C628" s="50"/>
      <c r="D628" s="50"/>
      <c r="E628" s="50"/>
      <c r="F628" s="50"/>
      <c r="G628" s="51"/>
      <c r="H628" s="20"/>
      <c r="I628" s="9">
        <v>1</v>
      </c>
      <c r="J628" s="9"/>
      <c r="K628" s="9"/>
      <c r="L628" s="9"/>
      <c r="M628" s="9">
        <f t="shared" ref="M628:M634" si="76">I628*O628</f>
        <v>8</v>
      </c>
      <c r="N628" s="9">
        <f t="shared" ref="N628:N634" si="77">I628*P628</f>
        <v>3.5</v>
      </c>
      <c r="O628" s="9">
        <v>8</v>
      </c>
      <c r="P628" s="9">
        <v>3.5</v>
      </c>
      <c r="Q628" s="9" t="s">
        <v>9</v>
      </c>
      <c r="R628" s="1">
        <v>0</v>
      </c>
      <c r="S628" s="26"/>
    </row>
    <row r="629" spans="1:19" ht="16.5" customHeight="1" x14ac:dyDescent="0.25">
      <c r="A629" s="9"/>
      <c r="B629" s="49" t="s">
        <v>88</v>
      </c>
      <c r="C629" s="50"/>
      <c r="D629" s="50"/>
      <c r="E629" s="50"/>
      <c r="F629" s="50"/>
      <c r="G629" s="51"/>
      <c r="H629" s="20"/>
      <c r="I629" s="9">
        <v>2</v>
      </c>
      <c r="J629" s="9"/>
      <c r="K629" s="9"/>
      <c r="L629" s="9"/>
      <c r="M629" s="9">
        <f t="shared" si="76"/>
        <v>15.4</v>
      </c>
      <c r="N629" s="9">
        <f t="shared" si="77"/>
        <v>6</v>
      </c>
      <c r="O629" s="9">
        <v>7.7</v>
      </c>
      <c r="P629" s="9">
        <v>3</v>
      </c>
      <c r="Q629" s="9" t="s">
        <v>6</v>
      </c>
      <c r="R629" s="1">
        <v>0</v>
      </c>
      <c r="S629" s="26"/>
    </row>
    <row r="630" spans="1:19" ht="16.5" customHeight="1" x14ac:dyDescent="0.25">
      <c r="A630" s="9"/>
      <c r="B630" s="49" t="s">
        <v>89</v>
      </c>
      <c r="C630" s="50"/>
      <c r="D630" s="50"/>
      <c r="E630" s="50"/>
      <c r="F630" s="50"/>
      <c r="G630" s="51"/>
      <c r="H630" s="20"/>
      <c r="I630" s="9">
        <v>2</v>
      </c>
      <c r="J630" s="9"/>
      <c r="K630" s="9"/>
      <c r="L630" s="9"/>
      <c r="M630" s="9">
        <f t="shared" si="76"/>
        <v>18</v>
      </c>
      <c r="N630" s="9">
        <f t="shared" si="77"/>
        <v>8</v>
      </c>
      <c r="O630" s="9">
        <v>9</v>
      </c>
      <c r="P630" s="9">
        <v>4</v>
      </c>
      <c r="Q630" s="9" t="s">
        <v>12</v>
      </c>
      <c r="R630" s="1">
        <v>0</v>
      </c>
      <c r="S630" s="26"/>
    </row>
    <row r="631" spans="1:19" ht="16.5" customHeight="1" x14ac:dyDescent="0.25">
      <c r="A631" s="9"/>
      <c r="B631" s="49" t="s">
        <v>92</v>
      </c>
      <c r="C631" s="50"/>
      <c r="D631" s="50"/>
      <c r="E631" s="50"/>
      <c r="F631" s="50"/>
      <c r="G631" s="51"/>
      <c r="H631" s="20"/>
      <c r="I631" s="9">
        <v>4</v>
      </c>
      <c r="J631" s="9"/>
      <c r="K631" s="9"/>
      <c r="L631" s="9"/>
      <c r="M631" s="9">
        <f t="shared" si="76"/>
        <v>30</v>
      </c>
      <c r="N631" s="9">
        <f t="shared" si="77"/>
        <v>12</v>
      </c>
      <c r="O631" s="9">
        <v>7.5</v>
      </c>
      <c r="P631" s="9">
        <v>3</v>
      </c>
      <c r="Q631" s="9" t="s">
        <v>6</v>
      </c>
      <c r="R631" s="1">
        <v>0</v>
      </c>
      <c r="S631" s="26"/>
    </row>
    <row r="632" spans="1:19" ht="16.5" customHeight="1" x14ac:dyDescent="0.25">
      <c r="A632" s="9"/>
      <c r="B632" s="49" t="s">
        <v>84</v>
      </c>
      <c r="C632" s="50"/>
      <c r="D632" s="50"/>
      <c r="E632" s="50"/>
      <c r="F632" s="50"/>
      <c r="G632" s="51"/>
      <c r="H632" s="20"/>
      <c r="I632" s="9">
        <v>3</v>
      </c>
      <c r="J632" s="9"/>
      <c r="K632" s="9"/>
      <c r="L632" s="9"/>
      <c r="M632" s="9">
        <f t="shared" si="76"/>
        <v>25.5</v>
      </c>
      <c r="N632" s="9">
        <f t="shared" si="77"/>
        <v>11.100000000000001</v>
      </c>
      <c r="O632" s="9">
        <v>8.5</v>
      </c>
      <c r="P632" s="9">
        <v>3.7</v>
      </c>
      <c r="Q632" s="9" t="s">
        <v>10</v>
      </c>
      <c r="R632" s="1">
        <v>0</v>
      </c>
      <c r="S632" s="26"/>
    </row>
    <row r="633" spans="1:19" ht="16.5" hidden="1" customHeight="1" x14ac:dyDescent="0.25">
      <c r="A633" s="21"/>
      <c r="H633" s="21"/>
      <c r="I633" s="21"/>
      <c r="J633" s="21"/>
      <c r="K633" s="21"/>
      <c r="L633" s="21"/>
      <c r="M633" s="9">
        <f t="shared" si="76"/>
        <v>0</v>
      </c>
      <c r="N633" s="9">
        <f t="shared" si="77"/>
        <v>0</v>
      </c>
      <c r="O633" s="21"/>
      <c r="P633" s="21"/>
      <c r="Q633" s="21"/>
      <c r="S633" s="25"/>
    </row>
    <row r="634" spans="1:19" ht="16.5" customHeight="1" x14ac:dyDescent="0.25">
      <c r="A634" s="9"/>
      <c r="B634" s="38" t="s">
        <v>42</v>
      </c>
      <c r="C634" s="39"/>
      <c r="D634" s="39"/>
      <c r="E634" s="39"/>
      <c r="F634" s="39"/>
      <c r="G634" s="40"/>
      <c r="H634" s="23"/>
      <c r="I634" s="24">
        <f>SUM(I621:I633)</f>
        <v>23</v>
      </c>
      <c r="J634" s="9"/>
      <c r="K634" s="9"/>
      <c r="L634" s="9"/>
      <c r="M634" s="9">
        <f t="shared" si="76"/>
        <v>176.87</v>
      </c>
      <c r="N634" s="9">
        <f t="shared" si="77"/>
        <v>71.53</v>
      </c>
      <c r="O634" s="24">
        <f>ROUND(SUM(M621:M633)/I634,2)</f>
        <v>7.69</v>
      </c>
      <c r="P634" s="24">
        <f>ROUND(SUM(N621:N633)/I634,2)</f>
        <v>3.11</v>
      </c>
      <c r="Q634" s="9"/>
      <c r="S634" s="25"/>
    </row>
    <row r="635" spans="1:19" ht="20.25" customHeight="1" x14ac:dyDescent="0.25">
      <c r="A635" s="27" t="s">
        <v>96</v>
      </c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</row>
    <row r="636" spans="1:19" ht="16.5" customHeight="1" x14ac:dyDescent="0.25">
      <c r="A636" s="9"/>
      <c r="B636" s="49" t="s">
        <v>97</v>
      </c>
      <c r="C636" s="50"/>
      <c r="D636" s="50"/>
      <c r="E636" s="50"/>
      <c r="F636" s="50"/>
      <c r="G636" s="51"/>
      <c r="H636" s="20"/>
      <c r="I636" s="9">
        <v>2</v>
      </c>
      <c r="J636" s="9"/>
      <c r="K636" s="9"/>
      <c r="L636" s="9"/>
      <c r="M636" s="9">
        <f t="shared" ref="M636:M648" si="78">I636*O636</f>
        <v>15.4</v>
      </c>
      <c r="N636" s="9">
        <f t="shared" ref="N636:N648" si="79">I636*P636</f>
        <v>6</v>
      </c>
      <c r="O636" s="9">
        <v>7.7</v>
      </c>
      <c r="P636" s="9">
        <v>3</v>
      </c>
      <c r="Q636" s="9" t="s">
        <v>6</v>
      </c>
      <c r="R636" s="1">
        <v>0</v>
      </c>
      <c r="S636" s="26"/>
    </row>
    <row r="637" spans="1:19" ht="16.5" customHeight="1" x14ac:dyDescent="0.25">
      <c r="A637" s="9"/>
      <c r="B637" s="49" t="s">
        <v>99</v>
      </c>
      <c r="C637" s="50"/>
      <c r="D637" s="50"/>
      <c r="E637" s="50"/>
      <c r="F637" s="50"/>
      <c r="G637" s="51"/>
      <c r="H637" s="20"/>
      <c r="I637" s="9">
        <v>2</v>
      </c>
      <c r="J637" s="9"/>
      <c r="K637" s="9"/>
      <c r="L637" s="9"/>
      <c r="M637" s="9">
        <f t="shared" si="78"/>
        <v>15.6</v>
      </c>
      <c r="N637" s="9">
        <f t="shared" si="79"/>
        <v>6</v>
      </c>
      <c r="O637" s="9">
        <v>7.8</v>
      </c>
      <c r="P637" s="9">
        <v>3</v>
      </c>
      <c r="Q637" s="9" t="s">
        <v>6</v>
      </c>
      <c r="R637" s="1">
        <v>0</v>
      </c>
      <c r="S637" s="26"/>
    </row>
    <row r="638" spans="1:19" ht="16.5" customHeight="1" x14ac:dyDescent="0.25">
      <c r="A638" s="9"/>
      <c r="B638" s="49" t="s">
        <v>98</v>
      </c>
      <c r="C638" s="50"/>
      <c r="D638" s="50"/>
      <c r="E638" s="50"/>
      <c r="F638" s="50"/>
      <c r="G638" s="51"/>
      <c r="H638" s="20"/>
      <c r="I638" s="9">
        <v>3</v>
      </c>
      <c r="J638" s="9"/>
      <c r="K638" s="9"/>
      <c r="L638" s="9"/>
      <c r="M638" s="9">
        <f t="shared" si="78"/>
        <v>26.400000000000002</v>
      </c>
      <c r="N638" s="9">
        <f t="shared" si="79"/>
        <v>11.100000000000001</v>
      </c>
      <c r="O638" s="9">
        <v>8.8000000000000007</v>
      </c>
      <c r="P638" s="9">
        <v>3.7</v>
      </c>
      <c r="Q638" s="9" t="s">
        <v>10</v>
      </c>
      <c r="R638" s="1">
        <v>0</v>
      </c>
      <c r="S638" s="26"/>
    </row>
    <row r="639" spans="1:19" ht="16.5" customHeight="1" x14ac:dyDescent="0.25">
      <c r="A639" s="9"/>
      <c r="B639" s="49" t="s">
        <v>79</v>
      </c>
      <c r="C639" s="50"/>
      <c r="D639" s="50"/>
      <c r="E639" s="50"/>
      <c r="F639" s="50"/>
      <c r="G639" s="51"/>
      <c r="H639" s="20"/>
      <c r="I639" s="9">
        <v>2</v>
      </c>
      <c r="J639" s="9"/>
      <c r="K639" s="9"/>
      <c r="L639" s="9"/>
      <c r="M639" s="9">
        <f t="shared" si="78"/>
        <v>14.6</v>
      </c>
      <c r="N639" s="9">
        <f t="shared" si="79"/>
        <v>6</v>
      </c>
      <c r="O639" s="9">
        <v>7.3</v>
      </c>
      <c r="P639" s="9">
        <v>3</v>
      </c>
      <c r="Q639" s="9" t="s">
        <v>6</v>
      </c>
      <c r="R639" s="1">
        <v>0</v>
      </c>
      <c r="S639" s="26"/>
    </row>
    <row r="640" spans="1:19" ht="16.5" customHeight="1" x14ac:dyDescent="0.25">
      <c r="A640" s="9"/>
      <c r="B640" s="49" t="s">
        <v>69</v>
      </c>
      <c r="C640" s="50"/>
      <c r="D640" s="50"/>
      <c r="E640" s="50"/>
      <c r="F640" s="50"/>
      <c r="G640" s="51"/>
      <c r="H640" s="20"/>
      <c r="I640" s="9">
        <v>1</v>
      </c>
      <c r="J640" s="9"/>
      <c r="K640" s="9"/>
      <c r="L640" s="9"/>
      <c r="M640" s="9">
        <f t="shared" si="78"/>
        <v>7.2</v>
      </c>
      <c r="N640" s="9">
        <f t="shared" si="79"/>
        <v>3</v>
      </c>
      <c r="O640" s="9">
        <v>7.2</v>
      </c>
      <c r="P640" s="9">
        <v>3</v>
      </c>
      <c r="Q640" s="9" t="s">
        <v>6</v>
      </c>
      <c r="R640" s="1">
        <v>0</v>
      </c>
      <c r="S640" s="26"/>
    </row>
    <row r="641" spans="1:19" ht="16.5" customHeight="1" x14ac:dyDescent="0.25">
      <c r="A641" s="9"/>
      <c r="B641" s="49" t="s">
        <v>102</v>
      </c>
      <c r="C641" s="50"/>
      <c r="D641" s="50"/>
      <c r="E641" s="50"/>
      <c r="F641" s="50"/>
      <c r="G641" s="51"/>
      <c r="H641" s="20"/>
      <c r="I641" s="9">
        <v>2</v>
      </c>
      <c r="J641" s="9"/>
      <c r="K641" s="9"/>
      <c r="L641" s="9"/>
      <c r="M641" s="9">
        <f t="shared" si="78"/>
        <v>14.2</v>
      </c>
      <c r="N641" s="9">
        <f t="shared" si="79"/>
        <v>6</v>
      </c>
      <c r="O641" s="9">
        <v>7.1</v>
      </c>
      <c r="P641" s="9">
        <v>3</v>
      </c>
      <c r="Q641" s="9" t="s">
        <v>6</v>
      </c>
      <c r="R641" s="1">
        <v>0</v>
      </c>
      <c r="S641" s="26"/>
    </row>
    <row r="642" spans="1:19" ht="16.5" customHeight="1" x14ac:dyDescent="0.25">
      <c r="A642" s="9"/>
      <c r="B642" s="49" t="s">
        <v>101</v>
      </c>
      <c r="C642" s="50"/>
      <c r="D642" s="50"/>
      <c r="E642" s="50"/>
      <c r="F642" s="50"/>
      <c r="G642" s="51"/>
      <c r="H642" s="20"/>
      <c r="I642" s="9">
        <v>1</v>
      </c>
      <c r="J642" s="9"/>
      <c r="K642" s="9"/>
      <c r="L642" s="9"/>
      <c r="M642" s="9">
        <f t="shared" si="78"/>
        <v>8</v>
      </c>
      <c r="N642" s="9">
        <f t="shared" si="79"/>
        <v>3.5</v>
      </c>
      <c r="O642" s="9">
        <v>8</v>
      </c>
      <c r="P642" s="9">
        <v>3.5</v>
      </c>
      <c r="Q642" s="9" t="s">
        <v>9</v>
      </c>
      <c r="R642" s="1">
        <v>0</v>
      </c>
      <c r="S642" s="26"/>
    </row>
    <row r="643" spans="1:19" ht="16.5" customHeight="1" x14ac:dyDescent="0.25">
      <c r="A643" s="9"/>
      <c r="B643" s="49" t="s">
        <v>100</v>
      </c>
      <c r="C643" s="50"/>
      <c r="D643" s="50"/>
      <c r="E643" s="50"/>
      <c r="F643" s="50"/>
      <c r="G643" s="51"/>
      <c r="H643" s="20"/>
      <c r="I643" s="9">
        <v>1</v>
      </c>
      <c r="J643" s="9"/>
      <c r="K643" s="9"/>
      <c r="L643" s="9"/>
      <c r="M643" s="9">
        <f t="shared" si="78"/>
        <v>8.4</v>
      </c>
      <c r="N643" s="9">
        <f t="shared" si="79"/>
        <v>3.5</v>
      </c>
      <c r="O643" s="9">
        <v>8.4</v>
      </c>
      <c r="P643" s="9">
        <v>3.5</v>
      </c>
      <c r="Q643" s="9" t="s">
        <v>9</v>
      </c>
      <c r="R643" s="1">
        <v>0</v>
      </c>
      <c r="S643" s="26"/>
    </row>
    <row r="644" spans="1:19" ht="16.5" customHeight="1" x14ac:dyDescent="0.25">
      <c r="A644" s="9"/>
      <c r="B644" s="49" t="s">
        <v>104</v>
      </c>
      <c r="C644" s="50"/>
      <c r="D644" s="50"/>
      <c r="E644" s="50"/>
      <c r="F644" s="50"/>
      <c r="G644" s="51"/>
      <c r="H644" s="20"/>
      <c r="I644" s="9">
        <v>3</v>
      </c>
      <c r="J644" s="9"/>
      <c r="K644" s="9"/>
      <c r="L644" s="9"/>
      <c r="M644" s="9">
        <f t="shared" si="78"/>
        <v>23.1</v>
      </c>
      <c r="N644" s="9">
        <f t="shared" si="79"/>
        <v>9</v>
      </c>
      <c r="O644" s="9">
        <v>7.7</v>
      </c>
      <c r="P644" s="9">
        <v>3</v>
      </c>
      <c r="Q644" s="9" t="s">
        <v>6</v>
      </c>
      <c r="R644" s="1">
        <v>0</v>
      </c>
      <c r="S644" s="26"/>
    </row>
    <row r="645" spans="1:19" ht="16.5" customHeight="1" x14ac:dyDescent="0.25">
      <c r="A645" s="9"/>
      <c r="B645" s="49" t="s">
        <v>103</v>
      </c>
      <c r="C645" s="50"/>
      <c r="D645" s="50"/>
      <c r="E645" s="50"/>
      <c r="F645" s="50"/>
      <c r="G645" s="51"/>
      <c r="H645" s="20"/>
      <c r="I645" s="9">
        <v>2</v>
      </c>
      <c r="J645" s="9"/>
      <c r="K645" s="9"/>
      <c r="L645" s="9"/>
      <c r="M645" s="9">
        <f t="shared" si="78"/>
        <v>16</v>
      </c>
      <c r="N645" s="9">
        <f t="shared" si="79"/>
        <v>7</v>
      </c>
      <c r="O645" s="9">
        <v>8</v>
      </c>
      <c r="P645" s="9">
        <v>3.5</v>
      </c>
      <c r="Q645" s="9" t="s">
        <v>9</v>
      </c>
      <c r="R645" s="1">
        <v>0</v>
      </c>
      <c r="S645" s="26"/>
    </row>
    <row r="646" spans="1:19" ht="16.5" customHeight="1" x14ac:dyDescent="0.25">
      <c r="A646" s="9"/>
      <c r="B646" s="49" t="s">
        <v>105</v>
      </c>
      <c r="C646" s="50"/>
      <c r="D646" s="50"/>
      <c r="E646" s="50"/>
      <c r="F646" s="50"/>
      <c r="G646" s="51"/>
      <c r="H646" s="20"/>
      <c r="I646" s="9">
        <v>4</v>
      </c>
      <c r="J646" s="9"/>
      <c r="K646" s="9"/>
      <c r="L646" s="9"/>
      <c r="M646" s="9">
        <f t="shared" si="78"/>
        <v>34.4</v>
      </c>
      <c r="N646" s="9">
        <f t="shared" si="79"/>
        <v>14.8</v>
      </c>
      <c r="O646" s="9">
        <v>8.6</v>
      </c>
      <c r="P646" s="9">
        <v>3.7</v>
      </c>
      <c r="Q646" s="9" t="s">
        <v>10</v>
      </c>
      <c r="R646" s="1">
        <v>0</v>
      </c>
      <c r="S646" s="26"/>
    </row>
    <row r="647" spans="1:19" ht="16.5" hidden="1" customHeight="1" x14ac:dyDescent="0.25">
      <c r="A647" s="21"/>
      <c r="H647" s="21"/>
      <c r="I647" s="21"/>
      <c r="J647" s="21"/>
      <c r="K647" s="21"/>
      <c r="L647" s="21"/>
      <c r="M647" s="9">
        <f t="shared" si="78"/>
        <v>0</v>
      </c>
      <c r="N647" s="9">
        <f t="shared" si="79"/>
        <v>0</v>
      </c>
      <c r="O647" s="21"/>
      <c r="P647" s="21"/>
      <c r="Q647" s="21"/>
      <c r="S647" s="25"/>
    </row>
    <row r="648" spans="1:19" ht="16.5" customHeight="1" x14ac:dyDescent="0.25">
      <c r="A648" s="9"/>
      <c r="B648" s="38" t="s">
        <v>42</v>
      </c>
      <c r="C648" s="39"/>
      <c r="D648" s="39"/>
      <c r="E648" s="39"/>
      <c r="F648" s="39"/>
      <c r="G648" s="40"/>
      <c r="H648" s="23"/>
      <c r="I648" s="24">
        <f>SUM(I636:I647)</f>
        <v>23</v>
      </c>
      <c r="J648" s="9"/>
      <c r="K648" s="9"/>
      <c r="L648" s="9"/>
      <c r="M648" s="9">
        <f t="shared" si="78"/>
        <v>183.31</v>
      </c>
      <c r="N648" s="9">
        <f t="shared" si="79"/>
        <v>75.899999999999991</v>
      </c>
      <c r="O648" s="24">
        <f>ROUND(SUM(M636:M647)/I648,2)</f>
        <v>7.97</v>
      </c>
      <c r="P648" s="24">
        <f>ROUND(SUM(N636:N647)/I648,2)</f>
        <v>3.3</v>
      </c>
      <c r="Q648" s="9"/>
      <c r="S648" s="25"/>
    </row>
    <row r="649" spans="1:19" ht="20.25" customHeight="1" x14ac:dyDescent="0.25">
      <c r="A649" s="27" t="s">
        <v>107</v>
      </c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</row>
    <row r="650" spans="1:19" ht="16.5" customHeight="1" x14ac:dyDescent="0.25">
      <c r="A650" s="9"/>
      <c r="B650" s="49" t="s">
        <v>108</v>
      </c>
      <c r="C650" s="50"/>
      <c r="D650" s="50"/>
      <c r="E650" s="50"/>
      <c r="F650" s="50"/>
      <c r="G650" s="51"/>
      <c r="H650" s="20"/>
      <c r="I650" s="9">
        <v>1</v>
      </c>
      <c r="J650" s="9"/>
      <c r="K650" s="9"/>
      <c r="L650" s="9"/>
      <c r="M650" s="9">
        <f t="shared" ref="M650:M662" si="80">I650*O650</f>
        <v>7.7</v>
      </c>
      <c r="N650" s="9">
        <f t="shared" ref="N650:N662" si="81">I650*P650</f>
        <v>3</v>
      </c>
      <c r="O650" s="9">
        <v>7.7</v>
      </c>
      <c r="P650" s="9">
        <v>3</v>
      </c>
      <c r="Q650" s="9" t="s">
        <v>6</v>
      </c>
      <c r="R650" s="1">
        <v>0</v>
      </c>
      <c r="S650" s="26"/>
    </row>
    <row r="651" spans="1:19" ht="16.5" customHeight="1" x14ac:dyDescent="0.25">
      <c r="A651" s="9"/>
      <c r="B651" s="49" t="s">
        <v>113</v>
      </c>
      <c r="C651" s="50"/>
      <c r="D651" s="50"/>
      <c r="E651" s="50"/>
      <c r="F651" s="50"/>
      <c r="G651" s="51"/>
      <c r="H651" s="20"/>
      <c r="I651" s="9">
        <v>4</v>
      </c>
      <c r="J651" s="9"/>
      <c r="K651" s="9"/>
      <c r="L651" s="9"/>
      <c r="M651" s="9">
        <f t="shared" si="80"/>
        <v>30</v>
      </c>
      <c r="N651" s="9">
        <f t="shared" si="81"/>
        <v>12</v>
      </c>
      <c r="O651" s="9">
        <v>7.5</v>
      </c>
      <c r="P651" s="9">
        <v>3</v>
      </c>
      <c r="Q651" s="9" t="s">
        <v>6</v>
      </c>
      <c r="R651" s="1">
        <v>0</v>
      </c>
      <c r="S651" s="26"/>
    </row>
    <row r="652" spans="1:19" ht="16.5" customHeight="1" x14ac:dyDescent="0.25">
      <c r="A652" s="9"/>
      <c r="B652" s="49" t="s">
        <v>116</v>
      </c>
      <c r="C652" s="50"/>
      <c r="D652" s="50"/>
      <c r="E652" s="50"/>
      <c r="F652" s="50"/>
      <c r="G652" s="51"/>
      <c r="H652" s="20"/>
      <c r="I652" s="9">
        <v>2</v>
      </c>
      <c r="J652" s="9"/>
      <c r="K652" s="9"/>
      <c r="L652" s="9"/>
      <c r="M652" s="9">
        <f t="shared" si="80"/>
        <v>15.6</v>
      </c>
      <c r="N652" s="9">
        <f t="shared" si="81"/>
        <v>6</v>
      </c>
      <c r="O652" s="9">
        <v>7.8</v>
      </c>
      <c r="P652" s="9">
        <v>3</v>
      </c>
      <c r="Q652" s="9" t="s">
        <v>6</v>
      </c>
      <c r="R652" s="1">
        <v>0</v>
      </c>
      <c r="S652" s="26"/>
    </row>
    <row r="653" spans="1:19" ht="16.5" customHeight="1" x14ac:dyDescent="0.25">
      <c r="A653" s="9"/>
      <c r="B653" s="49" t="s">
        <v>111</v>
      </c>
      <c r="C653" s="50"/>
      <c r="D653" s="50"/>
      <c r="E653" s="50"/>
      <c r="F653" s="50"/>
      <c r="G653" s="51"/>
      <c r="H653" s="20"/>
      <c r="I653" s="9">
        <v>3</v>
      </c>
      <c r="J653" s="9"/>
      <c r="K653" s="9"/>
      <c r="L653" s="9"/>
      <c r="M653" s="9">
        <f t="shared" si="80"/>
        <v>22.799999999999997</v>
      </c>
      <c r="N653" s="9">
        <f t="shared" si="81"/>
        <v>9</v>
      </c>
      <c r="O653" s="9">
        <v>7.6</v>
      </c>
      <c r="P653" s="9">
        <v>3</v>
      </c>
      <c r="Q653" s="9" t="s">
        <v>6</v>
      </c>
      <c r="R653" s="1">
        <v>0</v>
      </c>
      <c r="S653" s="26"/>
    </row>
    <row r="654" spans="1:19" ht="16.5" customHeight="1" x14ac:dyDescent="0.25">
      <c r="A654" s="9"/>
      <c r="B654" s="49" t="s">
        <v>112</v>
      </c>
      <c r="C654" s="50"/>
      <c r="D654" s="50"/>
      <c r="E654" s="50"/>
      <c r="F654" s="50"/>
      <c r="G654" s="51"/>
      <c r="H654" s="20"/>
      <c r="I654" s="9">
        <v>4</v>
      </c>
      <c r="J654" s="9"/>
      <c r="K654" s="9"/>
      <c r="L654" s="9"/>
      <c r="M654" s="9">
        <f t="shared" si="80"/>
        <v>31.6</v>
      </c>
      <c r="N654" s="9">
        <f t="shared" si="81"/>
        <v>12</v>
      </c>
      <c r="O654" s="9">
        <v>7.9</v>
      </c>
      <c r="P654" s="9">
        <v>3</v>
      </c>
      <c r="Q654" s="9" t="s">
        <v>6</v>
      </c>
      <c r="R654" s="1">
        <v>0</v>
      </c>
      <c r="S654" s="26"/>
    </row>
    <row r="655" spans="1:19" ht="16.5" customHeight="1" x14ac:dyDescent="0.25">
      <c r="A655" s="9"/>
      <c r="B655" s="49" t="s">
        <v>109</v>
      </c>
      <c r="C655" s="50"/>
      <c r="D655" s="50"/>
      <c r="E655" s="50"/>
      <c r="F655" s="50"/>
      <c r="G655" s="51"/>
      <c r="H655" s="20"/>
      <c r="I655" s="9">
        <v>2</v>
      </c>
      <c r="J655" s="9"/>
      <c r="K655" s="9"/>
      <c r="L655" s="9"/>
      <c r="M655" s="9">
        <f t="shared" si="80"/>
        <v>14.4</v>
      </c>
      <c r="N655" s="9">
        <f t="shared" si="81"/>
        <v>6</v>
      </c>
      <c r="O655" s="9">
        <v>7.2</v>
      </c>
      <c r="P655" s="9">
        <v>3</v>
      </c>
      <c r="Q655" s="9" t="s">
        <v>6</v>
      </c>
      <c r="R655" s="1">
        <v>0</v>
      </c>
      <c r="S655" s="26"/>
    </row>
    <row r="656" spans="1:19" ht="16.5" customHeight="1" x14ac:dyDescent="0.25">
      <c r="A656" s="9"/>
      <c r="B656" s="49" t="s">
        <v>114</v>
      </c>
      <c r="C656" s="50"/>
      <c r="D656" s="50"/>
      <c r="E656" s="50"/>
      <c r="F656" s="50"/>
      <c r="G656" s="51"/>
      <c r="H656" s="20"/>
      <c r="I656" s="9">
        <v>3</v>
      </c>
      <c r="J656" s="9"/>
      <c r="K656" s="9"/>
      <c r="L656" s="9"/>
      <c r="M656" s="9">
        <f t="shared" si="80"/>
        <v>20.100000000000001</v>
      </c>
      <c r="N656" s="9">
        <f t="shared" si="81"/>
        <v>7.5</v>
      </c>
      <c r="O656" s="9">
        <v>6.7</v>
      </c>
      <c r="P656" s="9">
        <v>2.5</v>
      </c>
      <c r="Q656" s="9" t="s">
        <v>5</v>
      </c>
      <c r="R656" s="1">
        <v>0</v>
      </c>
      <c r="S656" s="26"/>
    </row>
    <row r="657" spans="1:19" ht="16.5" customHeight="1" x14ac:dyDescent="0.25">
      <c r="A657" s="9"/>
      <c r="B657" s="49" t="s">
        <v>115</v>
      </c>
      <c r="C657" s="50"/>
      <c r="D657" s="50"/>
      <c r="E657" s="50"/>
      <c r="F657" s="50"/>
      <c r="G657" s="51"/>
      <c r="H657" s="20"/>
      <c r="I657" s="9">
        <v>2</v>
      </c>
      <c r="J657" s="9"/>
      <c r="K657" s="9"/>
      <c r="L657" s="9"/>
      <c r="M657" s="9">
        <f t="shared" si="80"/>
        <v>14.6</v>
      </c>
      <c r="N657" s="9">
        <f t="shared" si="81"/>
        <v>6</v>
      </c>
      <c r="O657" s="9">
        <v>7.3</v>
      </c>
      <c r="P657" s="9">
        <v>3</v>
      </c>
      <c r="Q657" s="9" t="s">
        <v>6</v>
      </c>
      <c r="R657" s="1">
        <v>0</v>
      </c>
      <c r="S657" s="26"/>
    </row>
    <row r="658" spans="1:19" ht="16.5" customHeight="1" x14ac:dyDescent="0.25">
      <c r="A658" s="9"/>
      <c r="B658" s="49" t="s">
        <v>110</v>
      </c>
      <c r="C658" s="50"/>
      <c r="D658" s="50"/>
      <c r="E658" s="50"/>
      <c r="F658" s="50"/>
      <c r="G658" s="51"/>
      <c r="H658" s="20"/>
      <c r="I658" s="9">
        <v>3</v>
      </c>
      <c r="J658" s="9"/>
      <c r="K658" s="9"/>
      <c r="L658" s="9"/>
      <c r="M658" s="9">
        <f t="shared" si="80"/>
        <v>24</v>
      </c>
      <c r="N658" s="9">
        <f t="shared" si="81"/>
        <v>10.5</v>
      </c>
      <c r="O658" s="9">
        <v>8</v>
      </c>
      <c r="P658" s="9">
        <v>3.5</v>
      </c>
      <c r="Q658" s="9" t="s">
        <v>9</v>
      </c>
      <c r="R658" s="1">
        <v>0</v>
      </c>
      <c r="S658" s="26"/>
    </row>
    <row r="659" spans="1:19" ht="16.5" customHeight="1" x14ac:dyDescent="0.25">
      <c r="A659" s="9"/>
      <c r="B659" s="49" t="s">
        <v>118</v>
      </c>
      <c r="C659" s="50"/>
      <c r="D659" s="50"/>
      <c r="E659" s="50"/>
      <c r="F659" s="50"/>
      <c r="G659" s="51"/>
      <c r="H659" s="20"/>
      <c r="I659" s="9">
        <v>2</v>
      </c>
      <c r="J659" s="9"/>
      <c r="K659" s="9"/>
      <c r="L659" s="9"/>
      <c r="M659" s="9">
        <f t="shared" si="80"/>
        <v>15.2</v>
      </c>
      <c r="N659" s="9">
        <f t="shared" si="81"/>
        <v>6</v>
      </c>
      <c r="O659" s="9">
        <v>7.6</v>
      </c>
      <c r="P659" s="9">
        <v>3</v>
      </c>
      <c r="Q659" s="9" t="s">
        <v>6</v>
      </c>
      <c r="R659" s="1">
        <v>0</v>
      </c>
      <c r="S659" s="26"/>
    </row>
    <row r="660" spans="1:19" ht="16.5" customHeight="1" x14ac:dyDescent="0.25">
      <c r="A660" s="9"/>
      <c r="B660" s="49" t="s">
        <v>117</v>
      </c>
      <c r="C660" s="50"/>
      <c r="D660" s="50"/>
      <c r="E660" s="50"/>
      <c r="F660" s="50"/>
      <c r="G660" s="51"/>
      <c r="H660" s="20"/>
      <c r="I660" s="9">
        <v>3</v>
      </c>
      <c r="J660" s="9"/>
      <c r="K660" s="9"/>
      <c r="L660" s="9"/>
      <c r="M660" s="9">
        <f t="shared" si="80"/>
        <v>23.4</v>
      </c>
      <c r="N660" s="9">
        <f t="shared" si="81"/>
        <v>9</v>
      </c>
      <c r="O660" s="9">
        <v>7.8</v>
      </c>
      <c r="P660" s="9">
        <v>3</v>
      </c>
      <c r="Q660" s="9" t="s">
        <v>6</v>
      </c>
      <c r="R660" s="1">
        <v>0</v>
      </c>
      <c r="S660" s="26"/>
    </row>
    <row r="661" spans="1:19" ht="16.5" hidden="1" customHeight="1" x14ac:dyDescent="0.25">
      <c r="A661" s="21"/>
      <c r="H661" s="21"/>
      <c r="I661" s="21"/>
      <c r="J661" s="21"/>
      <c r="K661" s="21"/>
      <c r="L661" s="21"/>
      <c r="M661" s="9">
        <f t="shared" si="80"/>
        <v>0</v>
      </c>
      <c r="N661" s="9">
        <f t="shared" si="81"/>
        <v>0</v>
      </c>
      <c r="O661" s="21"/>
      <c r="P661" s="21"/>
      <c r="Q661" s="21"/>
      <c r="S661" s="25"/>
    </row>
    <row r="662" spans="1:19" ht="16.5" customHeight="1" x14ac:dyDescent="0.25">
      <c r="A662" s="9"/>
      <c r="B662" s="38" t="s">
        <v>42</v>
      </c>
      <c r="C662" s="39"/>
      <c r="D662" s="39"/>
      <c r="E662" s="39"/>
      <c r="F662" s="39"/>
      <c r="G662" s="40"/>
      <c r="H662" s="23"/>
      <c r="I662" s="24">
        <f>SUM(I650:I661)</f>
        <v>29</v>
      </c>
      <c r="J662" s="9"/>
      <c r="K662" s="9"/>
      <c r="L662" s="9"/>
      <c r="M662" s="9">
        <f t="shared" si="80"/>
        <v>219.53</v>
      </c>
      <c r="N662" s="9">
        <f t="shared" si="81"/>
        <v>87</v>
      </c>
      <c r="O662" s="24">
        <f>ROUND(SUM(M650:M661)/I662,2)</f>
        <v>7.57</v>
      </c>
      <c r="P662" s="24">
        <f>ROUND(SUM(N650:N661)/I662,2)</f>
        <v>3</v>
      </c>
      <c r="Q662" s="9"/>
      <c r="S662" s="25"/>
    </row>
    <row r="663" spans="1:19" ht="20.25" customHeight="1" x14ac:dyDescent="0.25">
      <c r="A663" s="27" t="s">
        <v>120</v>
      </c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</row>
    <row r="664" spans="1:19" ht="16.5" customHeight="1" x14ac:dyDescent="0.25">
      <c r="A664" s="9"/>
      <c r="B664" s="49" t="s">
        <v>121</v>
      </c>
      <c r="C664" s="50"/>
      <c r="D664" s="50"/>
      <c r="E664" s="50"/>
      <c r="F664" s="50"/>
      <c r="G664" s="51"/>
      <c r="H664" s="20"/>
      <c r="I664" s="9">
        <v>3</v>
      </c>
      <c r="J664" s="9"/>
      <c r="K664" s="9"/>
      <c r="L664" s="9"/>
      <c r="M664" s="9">
        <f t="shared" ref="M664:M673" si="82">I664*O664</f>
        <v>24</v>
      </c>
      <c r="N664" s="9">
        <f t="shared" ref="N664:N673" si="83">I664*P664</f>
        <v>10.5</v>
      </c>
      <c r="O664" s="9">
        <v>8</v>
      </c>
      <c r="P664" s="9">
        <v>3.5</v>
      </c>
      <c r="Q664" s="9" t="s">
        <v>9</v>
      </c>
      <c r="R664" s="1">
        <v>0</v>
      </c>
      <c r="S664" s="26"/>
    </row>
    <row r="665" spans="1:19" ht="16.5" customHeight="1" x14ac:dyDescent="0.25">
      <c r="A665" s="9"/>
      <c r="B665" s="49" t="s">
        <v>122</v>
      </c>
      <c r="C665" s="50"/>
      <c r="D665" s="50"/>
      <c r="E665" s="50"/>
      <c r="F665" s="50"/>
      <c r="G665" s="51"/>
      <c r="H665" s="20"/>
      <c r="I665" s="9">
        <v>1</v>
      </c>
      <c r="J665" s="9"/>
      <c r="K665" s="9"/>
      <c r="L665" s="9"/>
      <c r="M665" s="9">
        <f t="shared" si="82"/>
        <v>7.8</v>
      </c>
      <c r="N665" s="9">
        <f t="shared" si="83"/>
        <v>3</v>
      </c>
      <c r="O665" s="9">
        <v>7.8</v>
      </c>
      <c r="P665" s="9">
        <v>3</v>
      </c>
      <c r="Q665" s="9" t="s">
        <v>6</v>
      </c>
      <c r="R665" s="1">
        <v>0</v>
      </c>
      <c r="S665" s="26"/>
    </row>
    <row r="666" spans="1:19" ht="16.5" customHeight="1" x14ac:dyDescent="0.25">
      <c r="A666" s="9"/>
      <c r="B666" s="49" t="s">
        <v>123</v>
      </c>
      <c r="C666" s="50"/>
      <c r="D666" s="50"/>
      <c r="E666" s="50"/>
      <c r="F666" s="50"/>
      <c r="G666" s="51"/>
      <c r="H666" s="20"/>
      <c r="I666" s="9">
        <v>3</v>
      </c>
      <c r="J666" s="9"/>
      <c r="K666" s="9"/>
      <c r="L666" s="9"/>
      <c r="M666" s="9">
        <f t="shared" si="82"/>
        <v>24.900000000000002</v>
      </c>
      <c r="N666" s="9">
        <f t="shared" si="83"/>
        <v>10.5</v>
      </c>
      <c r="O666" s="9">
        <v>8.3000000000000007</v>
      </c>
      <c r="P666" s="9">
        <v>3.5</v>
      </c>
      <c r="Q666" s="9" t="s">
        <v>9</v>
      </c>
      <c r="R666" s="1">
        <v>0</v>
      </c>
      <c r="S666" s="26"/>
    </row>
    <row r="667" spans="1:19" ht="16.5" customHeight="1" x14ac:dyDescent="0.25">
      <c r="A667" s="9"/>
      <c r="B667" s="49" t="s">
        <v>124</v>
      </c>
      <c r="C667" s="50"/>
      <c r="D667" s="50"/>
      <c r="E667" s="50"/>
      <c r="F667" s="50"/>
      <c r="G667" s="51"/>
      <c r="H667" s="20"/>
      <c r="I667" s="9">
        <v>3</v>
      </c>
      <c r="J667" s="9"/>
      <c r="K667" s="9"/>
      <c r="L667" s="9"/>
      <c r="M667" s="9">
        <f t="shared" si="82"/>
        <v>23.700000000000003</v>
      </c>
      <c r="N667" s="9">
        <f t="shared" si="83"/>
        <v>9</v>
      </c>
      <c r="O667" s="9">
        <v>7.9</v>
      </c>
      <c r="P667" s="9">
        <v>3</v>
      </c>
      <c r="Q667" s="9" t="s">
        <v>6</v>
      </c>
      <c r="R667" s="1">
        <v>0</v>
      </c>
      <c r="S667" s="26"/>
    </row>
    <row r="668" spans="1:19" ht="16.5" customHeight="1" x14ac:dyDescent="0.25">
      <c r="A668" s="9"/>
      <c r="B668" s="49" t="s">
        <v>125</v>
      </c>
      <c r="C668" s="50"/>
      <c r="D668" s="50"/>
      <c r="E668" s="50"/>
      <c r="F668" s="50"/>
      <c r="G668" s="51"/>
      <c r="H668" s="20"/>
      <c r="I668" s="9">
        <v>3</v>
      </c>
      <c r="J668" s="9"/>
      <c r="K668" s="9"/>
      <c r="L668" s="9"/>
      <c r="M668" s="9">
        <f t="shared" si="82"/>
        <v>20.700000000000003</v>
      </c>
      <c r="N668" s="9">
        <f t="shared" si="83"/>
        <v>7.5</v>
      </c>
      <c r="O668" s="9">
        <v>6.9</v>
      </c>
      <c r="P668" s="9">
        <v>2.5</v>
      </c>
      <c r="Q668" s="9" t="s">
        <v>5</v>
      </c>
      <c r="R668" s="1">
        <v>0</v>
      </c>
      <c r="S668" s="26"/>
    </row>
    <row r="669" spans="1:19" ht="16.5" customHeight="1" x14ac:dyDescent="0.25">
      <c r="A669" s="9"/>
      <c r="B669" s="49" t="s">
        <v>128</v>
      </c>
      <c r="C669" s="50"/>
      <c r="D669" s="50"/>
      <c r="E669" s="50"/>
      <c r="F669" s="50"/>
      <c r="G669" s="51"/>
      <c r="H669" s="20"/>
      <c r="I669" s="9">
        <v>2</v>
      </c>
      <c r="J669" s="9"/>
      <c r="K669" s="9"/>
      <c r="L669" s="9"/>
      <c r="M669" s="9">
        <f t="shared" si="82"/>
        <v>15.4</v>
      </c>
      <c r="N669" s="9">
        <f t="shared" si="83"/>
        <v>6</v>
      </c>
      <c r="O669" s="9">
        <v>7.7</v>
      </c>
      <c r="P669" s="9">
        <v>3</v>
      </c>
      <c r="Q669" s="9" t="s">
        <v>6</v>
      </c>
      <c r="R669" s="1">
        <v>0</v>
      </c>
      <c r="S669" s="26"/>
    </row>
    <row r="670" spans="1:19" ht="16.5" customHeight="1" x14ac:dyDescent="0.25">
      <c r="A670" s="9"/>
      <c r="B670" s="49" t="s">
        <v>127</v>
      </c>
      <c r="C670" s="50"/>
      <c r="D670" s="50"/>
      <c r="E670" s="50"/>
      <c r="F670" s="50"/>
      <c r="G670" s="51"/>
      <c r="H670" s="20"/>
      <c r="I670" s="9">
        <v>2</v>
      </c>
      <c r="J670" s="9"/>
      <c r="K670" s="9"/>
      <c r="L670" s="9"/>
      <c r="M670" s="9">
        <f t="shared" si="82"/>
        <v>10</v>
      </c>
      <c r="N670" s="9">
        <f t="shared" si="83"/>
        <v>3</v>
      </c>
      <c r="O670" s="9">
        <v>5</v>
      </c>
      <c r="P670" s="9">
        <v>1.5</v>
      </c>
      <c r="Q670" s="9" t="s">
        <v>4</v>
      </c>
      <c r="R670" s="1">
        <v>0</v>
      </c>
      <c r="S670" s="26"/>
    </row>
    <row r="671" spans="1:19" ht="16.5" customHeight="1" x14ac:dyDescent="0.25">
      <c r="A671" s="9"/>
      <c r="B671" s="49" t="s">
        <v>126</v>
      </c>
      <c r="C671" s="50"/>
      <c r="D671" s="50"/>
      <c r="E671" s="50"/>
      <c r="F671" s="50"/>
      <c r="G671" s="51"/>
      <c r="H671" s="20"/>
      <c r="I671" s="9">
        <v>3</v>
      </c>
      <c r="J671" s="9"/>
      <c r="K671" s="9"/>
      <c r="L671" s="9"/>
      <c r="M671" s="9">
        <f t="shared" si="82"/>
        <v>25.200000000000003</v>
      </c>
      <c r="N671" s="9">
        <f t="shared" si="83"/>
        <v>10.5</v>
      </c>
      <c r="O671" s="9">
        <v>8.4</v>
      </c>
      <c r="P671" s="9">
        <v>3.5</v>
      </c>
      <c r="Q671" s="9" t="s">
        <v>9</v>
      </c>
      <c r="R671" s="1">
        <v>0</v>
      </c>
      <c r="S671" s="26"/>
    </row>
    <row r="672" spans="1:19" ht="16.5" hidden="1" customHeight="1" x14ac:dyDescent="0.25">
      <c r="A672" s="21"/>
      <c r="H672" s="21"/>
      <c r="I672" s="21"/>
      <c r="J672" s="21"/>
      <c r="K672" s="21"/>
      <c r="L672" s="21"/>
      <c r="M672" s="9">
        <f t="shared" si="82"/>
        <v>0</v>
      </c>
      <c r="N672" s="9">
        <f t="shared" si="83"/>
        <v>0</v>
      </c>
      <c r="O672" s="21"/>
      <c r="P672" s="21"/>
      <c r="Q672" s="21"/>
      <c r="S672" s="25"/>
    </row>
    <row r="673" spans="1:19" ht="16.5" customHeight="1" x14ac:dyDescent="0.25">
      <c r="A673" s="9"/>
      <c r="B673" s="38" t="s">
        <v>42</v>
      </c>
      <c r="C673" s="39"/>
      <c r="D673" s="39"/>
      <c r="E673" s="39"/>
      <c r="F673" s="39"/>
      <c r="G673" s="40"/>
      <c r="H673" s="23"/>
      <c r="I673" s="24">
        <f>SUM(I664:I672)</f>
        <v>20</v>
      </c>
      <c r="J673" s="9"/>
      <c r="K673" s="9"/>
      <c r="L673" s="9"/>
      <c r="M673" s="9">
        <f t="shared" si="82"/>
        <v>151.80000000000001</v>
      </c>
      <c r="N673" s="9">
        <f t="shared" si="83"/>
        <v>60</v>
      </c>
      <c r="O673" s="24">
        <f>ROUND(SUM(M664:M672)/I673,2)</f>
        <v>7.59</v>
      </c>
      <c r="P673" s="24">
        <f>ROUND(SUM(N664:N672)/I673,2)</f>
        <v>3</v>
      </c>
      <c r="Q673" s="9"/>
      <c r="S673" s="25"/>
    </row>
    <row r="674" spans="1:19" ht="16.5" customHeight="1" x14ac:dyDescent="0.25">
      <c r="A674" s="21"/>
      <c r="B674" s="22"/>
      <c r="C674" s="22"/>
      <c r="D674" s="22"/>
      <c r="E674" s="22"/>
      <c r="F674" s="22"/>
      <c r="G674" s="22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6" spans="1:19" ht="18" x14ac:dyDescent="0.25">
      <c r="A676" s="57" t="s">
        <v>132</v>
      </c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</row>
    <row r="677" spans="1:19" ht="18" x14ac:dyDescent="0.25">
      <c r="A677" s="57" t="s">
        <v>157</v>
      </c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</row>
    <row r="678" spans="1:19" ht="18" x14ac:dyDescent="0.25">
      <c r="A678" s="57" t="s">
        <v>158</v>
      </c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</row>
    <row r="679" spans="1:19" ht="18" x14ac:dyDescent="0.25">
      <c r="A679" s="58" t="s">
        <v>135</v>
      </c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</row>
    <row r="680" spans="1:19" ht="19.5" customHeight="1" x14ac:dyDescent="0.25">
      <c r="A680" s="17"/>
      <c r="B680" s="17"/>
      <c r="C680" s="8"/>
      <c r="D680" s="18"/>
      <c r="E680" s="10"/>
      <c r="F680" s="11"/>
      <c r="G680" s="44" t="s">
        <v>49</v>
      </c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</row>
    <row r="681" spans="1:19" ht="31.5" customHeight="1" x14ac:dyDescent="0.3">
      <c r="A681" s="8"/>
      <c r="B681" s="8"/>
      <c r="C681" s="8"/>
      <c r="D681" s="8"/>
      <c r="E681" s="8"/>
      <c r="F681" s="8"/>
      <c r="G681" s="8"/>
      <c r="H681" s="12"/>
      <c r="I681" s="41" t="s">
        <v>40</v>
      </c>
      <c r="J681" s="42"/>
      <c r="K681" s="42"/>
      <c r="L681" s="42"/>
      <c r="M681" s="42"/>
      <c r="N681" s="42"/>
      <c r="O681" s="42"/>
      <c r="P681" s="42"/>
      <c r="Q681" s="42"/>
      <c r="R681" s="42"/>
      <c r="S681" s="42"/>
    </row>
    <row r="682" spans="1:19" ht="16.8" x14ac:dyDescent="0.3">
      <c r="A682" s="8"/>
      <c r="B682" s="8"/>
      <c r="C682" s="8"/>
      <c r="D682" s="8"/>
      <c r="E682" s="8"/>
      <c r="F682" s="8"/>
      <c r="G682" s="8"/>
      <c r="H682" s="12"/>
      <c r="I682" s="12"/>
      <c r="J682" s="12"/>
      <c r="K682" s="12"/>
      <c r="L682" s="8"/>
      <c r="M682" s="8"/>
      <c r="N682" s="8"/>
      <c r="O682" s="8"/>
      <c r="P682" s="8"/>
      <c r="Q682" s="8"/>
    </row>
    <row r="683" spans="1:19" ht="33" customHeight="1" x14ac:dyDescent="0.3">
      <c r="A683" s="8"/>
      <c r="B683" s="8"/>
      <c r="C683" s="8"/>
      <c r="D683" s="8"/>
      <c r="E683" s="8"/>
      <c r="F683" s="8"/>
      <c r="G683" s="8"/>
      <c r="H683" s="12"/>
      <c r="I683" s="12"/>
      <c r="J683" s="12"/>
      <c r="K683" s="12"/>
      <c r="L683" s="8"/>
      <c r="M683" s="8"/>
      <c r="N683" s="8"/>
      <c r="O683" s="8"/>
      <c r="P683" s="8"/>
      <c r="Q683" s="8"/>
    </row>
    <row r="684" spans="1:19" ht="11.25" customHeight="1" x14ac:dyDescent="0.3">
      <c r="A684" s="8"/>
      <c r="B684" s="8"/>
      <c r="C684" s="8"/>
      <c r="D684" s="8"/>
      <c r="E684" s="8"/>
      <c r="F684" s="8"/>
      <c r="G684" s="8"/>
      <c r="H684" s="12"/>
      <c r="I684" s="12"/>
      <c r="J684" s="12"/>
      <c r="K684" s="12"/>
      <c r="L684" s="8"/>
      <c r="M684" s="8"/>
      <c r="N684" s="8"/>
      <c r="O684" s="8"/>
      <c r="P684" s="8"/>
      <c r="Q684" s="8"/>
    </row>
    <row r="685" spans="1:19" ht="17.399999999999999" x14ac:dyDescent="0.3">
      <c r="A685" s="8"/>
      <c r="B685" s="8"/>
      <c r="C685" s="8"/>
      <c r="D685" s="8"/>
      <c r="E685" s="8"/>
      <c r="F685" s="8"/>
      <c r="G685" s="45" t="s">
        <v>41</v>
      </c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</row>
    <row r="686" spans="1:19" ht="54" customHeight="1" x14ac:dyDescent="0.25">
      <c r="A686" s="46" t="s">
        <v>33</v>
      </c>
      <c r="B686" s="46"/>
      <c r="C686" s="46"/>
      <c r="D686" s="46"/>
      <c r="E686" s="46"/>
      <c r="F686" s="41" t="s">
        <v>24</v>
      </c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</row>
    <row r="687" spans="1:19" ht="17.399999999999999" x14ac:dyDescent="0.25">
      <c r="A687" s="47" t="s">
        <v>34</v>
      </c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</row>
    <row r="688" spans="1:19" ht="4.5" customHeight="1" x14ac:dyDescent="0.2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</row>
    <row r="689" spans="1:20" ht="5.25" customHeight="1" x14ac:dyDescent="0.2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</row>
    <row r="690" spans="1:20" ht="16.5" customHeight="1" x14ac:dyDescent="0.25">
      <c r="A690" s="52" t="s">
        <v>159</v>
      </c>
      <c r="B690" s="52"/>
      <c r="C690" s="52"/>
      <c r="D690" s="52"/>
      <c r="E690" s="52"/>
      <c r="F690" s="52"/>
      <c r="G690" s="56" t="s">
        <v>160</v>
      </c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</row>
    <row r="691" spans="1:20" ht="16.5" customHeight="1" x14ac:dyDescent="0.25">
      <c r="A691" s="52" t="s">
        <v>161</v>
      </c>
      <c r="B691" s="52"/>
      <c r="C691" s="52"/>
      <c r="D691" s="52"/>
      <c r="E691" s="52"/>
      <c r="F691" s="52"/>
      <c r="G691" s="8" t="s">
        <v>46</v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T691" s="2"/>
    </row>
    <row r="692" spans="1:20" ht="16.5" customHeight="1" x14ac:dyDescent="0.25">
      <c r="A692" s="52" t="s">
        <v>47</v>
      </c>
      <c r="B692" s="52"/>
      <c r="C692" s="52"/>
      <c r="D692" s="52"/>
      <c r="E692" s="52"/>
      <c r="F692" s="52"/>
      <c r="G692" s="56" t="s">
        <v>48</v>
      </c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</row>
    <row r="693" spans="1:20" ht="5.2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19"/>
      <c r="K693" s="19"/>
      <c r="L693" s="19"/>
      <c r="M693" s="19"/>
      <c r="N693" s="19"/>
      <c r="O693" s="19"/>
      <c r="P693" s="19"/>
      <c r="Q693" s="19"/>
    </row>
    <row r="694" spans="1:20" ht="15" customHeight="1" x14ac:dyDescent="0.25">
      <c r="A694" s="35" t="s">
        <v>0</v>
      </c>
      <c r="B694" s="29" t="s">
        <v>1</v>
      </c>
      <c r="C694" s="30"/>
      <c r="D694" s="30"/>
      <c r="E694" s="30"/>
      <c r="F694" s="30"/>
      <c r="G694" s="31"/>
      <c r="H694" s="35" t="s">
        <v>32</v>
      </c>
      <c r="I694" s="35" t="s">
        <v>39</v>
      </c>
      <c r="J694" s="53" t="s">
        <v>2</v>
      </c>
      <c r="K694" s="54"/>
      <c r="L694" s="54"/>
      <c r="M694" s="54"/>
      <c r="N694" s="54"/>
      <c r="O694" s="54"/>
      <c r="P694" s="54"/>
      <c r="Q694" s="55"/>
      <c r="S694" s="35" t="s">
        <v>38</v>
      </c>
    </row>
    <row r="695" spans="1:20" ht="24" customHeight="1" x14ac:dyDescent="0.25">
      <c r="A695" s="36"/>
      <c r="B695" s="32"/>
      <c r="C695" s="33"/>
      <c r="D695" s="33"/>
      <c r="E695" s="33"/>
      <c r="F695" s="33"/>
      <c r="G695" s="34"/>
      <c r="H695" s="36"/>
      <c r="I695" s="36"/>
      <c r="J695" s="7" t="s">
        <v>28</v>
      </c>
      <c r="K695" s="7" t="s">
        <v>29</v>
      </c>
      <c r="L695" s="7" t="s">
        <v>30</v>
      </c>
      <c r="M695" s="7"/>
      <c r="N695" s="7"/>
      <c r="O695" s="6" t="s">
        <v>35</v>
      </c>
      <c r="P695" s="6" t="s">
        <v>36</v>
      </c>
      <c r="Q695" s="6" t="s">
        <v>37</v>
      </c>
      <c r="S695" s="36"/>
    </row>
    <row r="696" spans="1:20" ht="20.25" customHeight="1" x14ac:dyDescent="0.25">
      <c r="A696" s="27" t="s">
        <v>50</v>
      </c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</row>
    <row r="697" spans="1:20" ht="16.5" customHeight="1" x14ac:dyDescent="0.25">
      <c r="A697" s="9"/>
      <c r="B697" s="49" t="s">
        <v>51</v>
      </c>
      <c r="C697" s="50"/>
      <c r="D697" s="50"/>
      <c r="E697" s="50"/>
      <c r="F697" s="50"/>
      <c r="G697" s="51"/>
      <c r="H697" s="20"/>
      <c r="I697" s="9">
        <v>1</v>
      </c>
      <c r="J697" s="9"/>
      <c r="K697" s="9"/>
      <c r="L697" s="9"/>
      <c r="M697" s="9">
        <f t="shared" ref="M697:M705" si="84">I697*O697</f>
        <v>5.0999999999999996</v>
      </c>
      <c r="N697" s="9">
        <f t="shared" ref="N697:N705" si="85">I697*P697</f>
        <v>1.5</v>
      </c>
      <c r="O697" s="9">
        <v>5.0999999999999996</v>
      </c>
      <c r="P697" s="9">
        <v>1.5</v>
      </c>
      <c r="Q697" s="9" t="s">
        <v>4</v>
      </c>
      <c r="R697" s="1">
        <v>0</v>
      </c>
      <c r="S697" s="26"/>
    </row>
    <row r="698" spans="1:20" ht="16.5" customHeight="1" x14ac:dyDescent="0.25">
      <c r="A698" s="9"/>
      <c r="B698" s="49" t="s">
        <v>78</v>
      </c>
      <c r="C698" s="50"/>
      <c r="D698" s="50"/>
      <c r="E698" s="50"/>
      <c r="F698" s="50"/>
      <c r="G698" s="51"/>
      <c r="H698" s="20"/>
      <c r="I698" s="9">
        <v>3</v>
      </c>
      <c r="J698" s="9"/>
      <c r="K698" s="9"/>
      <c r="L698" s="9"/>
      <c r="M698" s="9">
        <f t="shared" si="84"/>
        <v>14.700000000000001</v>
      </c>
      <c r="N698" s="9">
        <f t="shared" si="85"/>
        <v>3</v>
      </c>
      <c r="O698" s="9">
        <v>4.9000000000000004</v>
      </c>
      <c r="P698" s="9">
        <v>1</v>
      </c>
      <c r="Q698" s="9" t="s">
        <v>8</v>
      </c>
      <c r="R698" s="1">
        <v>0</v>
      </c>
      <c r="S698" s="26"/>
    </row>
    <row r="699" spans="1:20" ht="31.2" customHeight="1" x14ac:dyDescent="0.25">
      <c r="A699" s="9"/>
      <c r="B699" s="49" t="s">
        <v>53</v>
      </c>
      <c r="C699" s="50"/>
      <c r="D699" s="50"/>
      <c r="E699" s="50"/>
      <c r="F699" s="50"/>
      <c r="G699" s="51"/>
      <c r="H699" s="20"/>
      <c r="I699" s="9">
        <v>3</v>
      </c>
      <c r="J699" s="9"/>
      <c r="K699" s="9"/>
      <c r="L699" s="9"/>
      <c r="M699" s="9">
        <f t="shared" si="84"/>
        <v>22.5</v>
      </c>
      <c r="N699" s="9">
        <f t="shared" si="85"/>
        <v>9</v>
      </c>
      <c r="O699" s="9">
        <v>7.5</v>
      </c>
      <c r="P699" s="9">
        <v>3</v>
      </c>
      <c r="Q699" s="9" t="s">
        <v>6</v>
      </c>
      <c r="R699" s="1">
        <v>0</v>
      </c>
      <c r="S699" s="26"/>
    </row>
    <row r="700" spans="1:20" ht="16.5" customHeight="1" x14ac:dyDescent="0.25">
      <c r="A700" s="9"/>
      <c r="B700" s="49" t="s">
        <v>52</v>
      </c>
      <c r="C700" s="50"/>
      <c r="D700" s="50"/>
      <c r="E700" s="50"/>
      <c r="F700" s="50"/>
      <c r="G700" s="51"/>
      <c r="H700" s="20"/>
      <c r="I700" s="9">
        <v>1</v>
      </c>
      <c r="J700" s="9"/>
      <c r="K700" s="9"/>
      <c r="L700" s="9"/>
      <c r="M700" s="9">
        <f t="shared" si="84"/>
        <v>7.1</v>
      </c>
      <c r="N700" s="9">
        <f t="shared" si="85"/>
        <v>3</v>
      </c>
      <c r="O700" s="9">
        <v>7.1</v>
      </c>
      <c r="P700" s="9">
        <v>3</v>
      </c>
      <c r="Q700" s="9" t="s">
        <v>6</v>
      </c>
      <c r="R700" s="1">
        <v>0</v>
      </c>
      <c r="S700" s="26"/>
    </row>
    <row r="701" spans="1:20" ht="16.5" customHeight="1" x14ac:dyDescent="0.25">
      <c r="A701" s="9"/>
      <c r="B701" s="49" t="s">
        <v>55</v>
      </c>
      <c r="C701" s="50"/>
      <c r="D701" s="50"/>
      <c r="E701" s="50"/>
      <c r="F701" s="50"/>
      <c r="G701" s="51"/>
      <c r="H701" s="20"/>
      <c r="I701" s="9">
        <v>1</v>
      </c>
      <c r="J701" s="9"/>
      <c r="K701" s="9"/>
      <c r="L701" s="9"/>
      <c r="M701" s="9">
        <f t="shared" si="84"/>
        <v>7</v>
      </c>
      <c r="N701" s="9">
        <f t="shared" si="85"/>
        <v>3</v>
      </c>
      <c r="O701" s="9">
        <v>7</v>
      </c>
      <c r="P701" s="9">
        <v>3</v>
      </c>
      <c r="Q701" s="9" t="s">
        <v>6</v>
      </c>
      <c r="R701" s="1">
        <v>0</v>
      </c>
      <c r="S701" s="26"/>
    </row>
    <row r="702" spans="1:20" ht="16.5" customHeight="1" x14ac:dyDescent="0.25">
      <c r="A702" s="9"/>
      <c r="B702" s="49" t="s">
        <v>54</v>
      </c>
      <c r="C702" s="50"/>
      <c r="D702" s="50"/>
      <c r="E702" s="50"/>
      <c r="F702" s="50"/>
      <c r="G702" s="51"/>
      <c r="H702" s="20"/>
      <c r="I702" s="9">
        <v>3</v>
      </c>
      <c r="J702" s="9"/>
      <c r="K702" s="9"/>
      <c r="L702" s="9"/>
      <c r="M702" s="9">
        <f t="shared" si="84"/>
        <v>23.700000000000003</v>
      </c>
      <c r="N702" s="9">
        <f t="shared" si="85"/>
        <v>9</v>
      </c>
      <c r="O702" s="9">
        <v>7.9</v>
      </c>
      <c r="P702" s="9">
        <v>3</v>
      </c>
      <c r="Q702" s="9" t="s">
        <v>6</v>
      </c>
      <c r="R702" s="1">
        <v>0</v>
      </c>
      <c r="S702" s="26"/>
    </row>
    <row r="703" spans="1:20" ht="16.5" customHeight="1" x14ac:dyDescent="0.25">
      <c r="A703" s="9"/>
      <c r="B703" s="49" t="s">
        <v>56</v>
      </c>
      <c r="C703" s="50"/>
      <c r="D703" s="50"/>
      <c r="E703" s="50"/>
      <c r="F703" s="50"/>
      <c r="G703" s="51"/>
      <c r="H703" s="20"/>
      <c r="I703" s="9">
        <v>2</v>
      </c>
      <c r="J703" s="9"/>
      <c r="K703" s="9"/>
      <c r="L703" s="9"/>
      <c r="M703" s="9">
        <f t="shared" si="84"/>
        <v>13</v>
      </c>
      <c r="N703" s="9">
        <f t="shared" si="85"/>
        <v>5</v>
      </c>
      <c r="O703" s="9">
        <v>6.5</v>
      </c>
      <c r="P703" s="9">
        <v>2.5</v>
      </c>
      <c r="Q703" s="9" t="s">
        <v>5</v>
      </c>
      <c r="R703" s="1">
        <v>0</v>
      </c>
      <c r="S703" s="26"/>
    </row>
    <row r="704" spans="1:20" ht="16.5" hidden="1" customHeight="1" x14ac:dyDescent="0.25">
      <c r="A704" s="21"/>
      <c r="H704" s="21"/>
      <c r="I704" s="21"/>
      <c r="J704" s="21"/>
      <c r="K704" s="21"/>
      <c r="L704" s="21"/>
      <c r="M704" s="9">
        <f t="shared" si="84"/>
        <v>0</v>
      </c>
      <c r="N704" s="9">
        <f t="shared" si="85"/>
        <v>0</v>
      </c>
      <c r="O704" s="21"/>
      <c r="P704" s="21"/>
      <c r="Q704" s="21"/>
      <c r="S704" s="25"/>
    </row>
    <row r="705" spans="1:19" ht="16.5" customHeight="1" x14ac:dyDescent="0.25">
      <c r="A705" s="9"/>
      <c r="B705" s="38" t="s">
        <v>42</v>
      </c>
      <c r="C705" s="39"/>
      <c r="D705" s="39"/>
      <c r="E705" s="39"/>
      <c r="F705" s="39"/>
      <c r="G705" s="40"/>
      <c r="H705" s="23"/>
      <c r="I705" s="24">
        <f>SUM(I697:I704)</f>
        <v>14</v>
      </c>
      <c r="J705" s="9"/>
      <c r="K705" s="9"/>
      <c r="L705" s="9"/>
      <c r="M705" s="9">
        <f t="shared" si="84"/>
        <v>93.100000000000009</v>
      </c>
      <c r="N705" s="9">
        <f t="shared" si="85"/>
        <v>33.46</v>
      </c>
      <c r="O705" s="24">
        <f>ROUND(SUM(M697:M704)/I705,2)</f>
        <v>6.65</v>
      </c>
      <c r="P705" s="24">
        <f>ROUND(SUM(N697:N704)/I705,2)</f>
        <v>2.39</v>
      </c>
      <c r="Q705" s="9"/>
      <c r="S705" s="25"/>
    </row>
    <row r="706" spans="1:19" ht="20.25" customHeight="1" x14ac:dyDescent="0.25">
      <c r="A706" s="27" t="s">
        <v>57</v>
      </c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</row>
    <row r="707" spans="1:19" ht="16.5" customHeight="1" x14ac:dyDescent="0.25">
      <c r="A707" s="9"/>
      <c r="B707" s="49" t="s">
        <v>136</v>
      </c>
      <c r="C707" s="50"/>
      <c r="D707" s="50"/>
      <c r="E707" s="50"/>
      <c r="F707" s="50"/>
      <c r="G707" s="51"/>
      <c r="H707" s="20"/>
      <c r="I707" s="9">
        <v>4</v>
      </c>
      <c r="J707" s="9"/>
      <c r="K707" s="9"/>
      <c r="L707" s="9"/>
      <c r="M707" s="9">
        <f t="shared" ref="M707:M715" si="86">I707*O707</f>
        <v>24.4</v>
      </c>
      <c r="N707" s="9">
        <f t="shared" ref="N707:N715" si="87">I707*P707</f>
        <v>8</v>
      </c>
      <c r="O707" s="9">
        <v>6.1</v>
      </c>
      <c r="P707" s="9">
        <v>2</v>
      </c>
      <c r="Q707" s="9" t="s">
        <v>3</v>
      </c>
      <c r="R707" s="1">
        <v>0</v>
      </c>
      <c r="S707" s="26"/>
    </row>
    <row r="708" spans="1:19" ht="16.5" customHeight="1" x14ac:dyDescent="0.25">
      <c r="A708" s="9"/>
      <c r="B708" s="49" t="s">
        <v>91</v>
      </c>
      <c r="C708" s="50"/>
      <c r="D708" s="50"/>
      <c r="E708" s="50"/>
      <c r="F708" s="50"/>
      <c r="G708" s="51"/>
      <c r="H708" s="20"/>
      <c r="I708" s="9">
        <v>4</v>
      </c>
      <c r="J708" s="9"/>
      <c r="K708" s="9"/>
      <c r="L708" s="9"/>
      <c r="M708" s="9">
        <f t="shared" si="86"/>
        <v>20.8</v>
      </c>
      <c r="N708" s="9">
        <f t="shared" si="87"/>
        <v>6</v>
      </c>
      <c r="O708" s="9">
        <v>5.2</v>
      </c>
      <c r="P708" s="9">
        <v>1.5</v>
      </c>
      <c r="Q708" s="9" t="s">
        <v>4</v>
      </c>
      <c r="R708" s="1">
        <v>0</v>
      </c>
      <c r="S708" s="26"/>
    </row>
    <row r="709" spans="1:19" ht="16.5" customHeight="1" x14ac:dyDescent="0.25">
      <c r="A709" s="9"/>
      <c r="B709" s="49" t="s">
        <v>60</v>
      </c>
      <c r="C709" s="50"/>
      <c r="D709" s="50"/>
      <c r="E709" s="50"/>
      <c r="F709" s="50"/>
      <c r="G709" s="51"/>
      <c r="H709" s="20"/>
      <c r="I709" s="9">
        <v>4</v>
      </c>
      <c r="J709" s="9"/>
      <c r="K709" s="9"/>
      <c r="L709" s="9"/>
      <c r="M709" s="9">
        <f t="shared" si="86"/>
        <v>29.2</v>
      </c>
      <c r="N709" s="9">
        <f t="shared" si="87"/>
        <v>12</v>
      </c>
      <c r="O709" s="9">
        <v>7.3</v>
      </c>
      <c r="P709" s="9">
        <v>3</v>
      </c>
      <c r="Q709" s="9" t="s">
        <v>6</v>
      </c>
      <c r="R709" s="1">
        <v>0</v>
      </c>
      <c r="S709" s="26"/>
    </row>
    <row r="710" spans="1:19" ht="16.5" customHeight="1" x14ac:dyDescent="0.25">
      <c r="A710" s="9"/>
      <c r="B710" s="49" t="s">
        <v>59</v>
      </c>
      <c r="C710" s="50"/>
      <c r="D710" s="50"/>
      <c r="E710" s="50"/>
      <c r="F710" s="50"/>
      <c r="G710" s="51"/>
      <c r="H710" s="20"/>
      <c r="I710" s="9">
        <v>1</v>
      </c>
      <c r="J710" s="9"/>
      <c r="K710" s="9"/>
      <c r="L710" s="9"/>
      <c r="M710" s="9">
        <f t="shared" si="86"/>
        <v>8</v>
      </c>
      <c r="N710" s="9">
        <f t="shared" si="87"/>
        <v>3.5</v>
      </c>
      <c r="O710" s="9">
        <v>8</v>
      </c>
      <c r="P710" s="9">
        <v>3.5</v>
      </c>
      <c r="Q710" s="9" t="s">
        <v>9</v>
      </c>
      <c r="R710" s="1">
        <v>0</v>
      </c>
      <c r="S710" s="26"/>
    </row>
    <row r="711" spans="1:19" ht="16.5" customHeight="1" x14ac:dyDescent="0.25">
      <c r="A711" s="9"/>
      <c r="B711" s="49" t="s">
        <v>58</v>
      </c>
      <c r="C711" s="50"/>
      <c r="D711" s="50"/>
      <c r="E711" s="50"/>
      <c r="F711" s="50"/>
      <c r="G711" s="51"/>
      <c r="H711" s="20"/>
      <c r="I711" s="9">
        <v>1</v>
      </c>
      <c r="J711" s="9"/>
      <c r="K711" s="9"/>
      <c r="L711" s="9"/>
      <c r="M711" s="9">
        <f t="shared" si="86"/>
        <v>8</v>
      </c>
      <c r="N711" s="9">
        <f t="shared" si="87"/>
        <v>3.5</v>
      </c>
      <c r="O711" s="9">
        <v>8</v>
      </c>
      <c r="P711" s="9">
        <v>3.5</v>
      </c>
      <c r="Q711" s="9" t="s">
        <v>9</v>
      </c>
      <c r="R711" s="1">
        <v>0</v>
      </c>
      <c r="S711" s="26"/>
    </row>
    <row r="712" spans="1:19" ht="16.5" customHeight="1" x14ac:dyDescent="0.25">
      <c r="A712" s="9"/>
      <c r="B712" s="49" t="s">
        <v>61</v>
      </c>
      <c r="C712" s="50"/>
      <c r="D712" s="50"/>
      <c r="E712" s="50"/>
      <c r="F712" s="50"/>
      <c r="G712" s="51"/>
      <c r="H712" s="20"/>
      <c r="I712" s="9">
        <v>1</v>
      </c>
      <c r="J712" s="9"/>
      <c r="K712" s="9"/>
      <c r="L712" s="9"/>
      <c r="M712" s="9">
        <f t="shared" si="86"/>
        <v>7.3</v>
      </c>
      <c r="N712" s="9">
        <f t="shared" si="87"/>
        <v>3</v>
      </c>
      <c r="O712" s="9">
        <v>7.3</v>
      </c>
      <c r="P712" s="9">
        <v>3</v>
      </c>
      <c r="Q712" s="9" t="s">
        <v>6</v>
      </c>
      <c r="R712" s="1">
        <v>0</v>
      </c>
      <c r="S712" s="26"/>
    </row>
    <row r="713" spans="1:19" ht="16.5" customHeight="1" x14ac:dyDescent="0.25">
      <c r="A713" s="9"/>
      <c r="B713" s="49" t="s">
        <v>62</v>
      </c>
      <c r="C713" s="50"/>
      <c r="D713" s="50"/>
      <c r="E713" s="50"/>
      <c r="F713" s="50"/>
      <c r="G713" s="51"/>
      <c r="H713" s="20"/>
      <c r="I713" s="9">
        <v>1</v>
      </c>
      <c r="J713" s="9"/>
      <c r="K713" s="9"/>
      <c r="L713" s="9"/>
      <c r="M713" s="9">
        <f t="shared" si="86"/>
        <v>7.4</v>
      </c>
      <c r="N713" s="9">
        <f t="shared" si="87"/>
        <v>3</v>
      </c>
      <c r="O713" s="9">
        <v>7.4</v>
      </c>
      <c r="P713" s="9">
        <v>3</v>
      </c>
      <c r="Q713" s="9" t="s">
        <v>6</v>
      </c>
      <c r="R713" s="1">
        <v>0</v>
      </c>
      <c r="S713" s="26"/>
    </row>
    <row r="714" spans="1:19" ht="16.5" hidden="1" customHeight="1" x14ac:dyDescent="0.25">
      <c r="A714" s="21"/>
      <c r="H714" s="21"/>
      <c r="I714" s="21"/>
      <c r="J714" s="21"/>
      <c r="K714" s="21"/>
      <c r="L714" s="21"/>
      <c r="M714" s="9">
        <f t="shared" si="86"/>
        <v>0</v>
      </c>
      <c r="N714" s="9">
        <f t="shared" si="87"/>
        <v>0</v>
      </c>
      <c r="O714" s="21"/>
      <c r="P714" s="21"/>
      <c r="Q714" s="21"/>
      <c r="S714" s="25"/>
    </row>
    <row r="715" spans="1:19" ht="16.5" customHeight="1" x14ac:dyDescent="0.25">
      <c r="A715" s="9"/>
      <c r="B715" s="38" t="s">
        <v>42</v>
      </c>
      <c r="C715" s="39"/>
      <c r="D715" s="39"/>
      <c r="E715" s="39"/>
      <c r="F715" s="39"/>
      <c r="G715" s="40"/>
      <c r="H715" s="23"/>
      <c r="I715" s="24">
        <f>SUM(I707:I714)</f>
        <v>16</v>
      </c>
      <c r="J715" s="9"/>
      <c r="K715" s="9"/>
      <c r="L715" s="9"/>
      <c r="M715" s="9">
        <f t="shared" si="86"/>
        <v>105.12</v>
      </c>
      <c r="N715" s="9">
        <f t="shared" si="87"/>
        <v>39.04</v>
      </c>
      <c r="O715" s="24">
        <f>ROUND(SUM(M707:M714)/I715,2)</f>
        <v>6.57</v>
      </c>
      <c r="P715" s="24">
        <f>ROUND(SUM(N707:N714)/I715,2)</f>
        <v>2.44</v>
      </c>
      <c r="Q715" s="9"/>
      <c r="S715" s="25"/>
    </row>
    <row r="716" spans="1:19" ht="20.25" customHeight="1" x14ac:dyDescent="0.25">
      <c r="A716" s="27" t="s">
        <v>67</v>
      </c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</row>
    <row r="717" spans="1:19" ht="16.5" customHeight="1" x14ac:dyDescent="0.25">
      <c r="A717" s="9"/>
      <c r="B717" s="49" t="s">
        <v>73</v>
      </c>
      <c r="C717" s="50"/>
      <c r="D717" s="50"/>
      <c r="E717" s="50"/>
      <c r="F717" s="50"/>
      <c r="G717" s="51"/>
      <c r="H717" s="20"/>
      <c r="I717" s="9">
        <v>4</v>
      </c>
      <c r="J717" s="9"/>
      <c r="K717" s="9"/>
      <c r="L717" s="9"/>
      <c r="M717" s="9">
        <f t="shared" ref="M717:M727" si="88">I717*O717</f>
        <v>12</v>
      </c>
      <c r="N717" s="9">
        <f t="shared" ref="N717:N727" si="89">I717*P717</f>
        <v>0</v>
      </c>
      <c r="O717" s="9">
        <v>3</v>
      </c>
      <c r="P717" s="9">
        <v>0</v>
      </c>
      <c r="Q717" s="9" t="s">
        <v>7</v>
      </c>
      <c r="R717" s="1">
        <v>0</v>
      </c>
      <c r="S717" s="26"/>
    </row>
    <row r="718" spans="1:19" ht="16.5" customHeight="1" x14ac:dyDescent="0.25">
      <c r="A718" s="9"/>
      <c r="B718" s="49" t="s">
        <v>68</v>
      </c>
      <c r="C718" s="50"/>
      <c r="D718" s="50"/>
      <c r="E718" s="50"/>
      <c r="F718" s="50"/>
      <c r="G718" s="51"/>
      <c r="H718" s="20"/>
      <c r="I718" s="9">
        <v>3</v>
      </c>
      <c r="J718" s="9"/>
      <c r="K718" s="9"/>
      <c r="L718" s="9"/>
      <c r="M718" s="9">
        <f t="shared" si="88"/>
        <v>22.5</v>
      </c>
      <c r="N718" s="9">
        <f t="shared" si="89"/>
        <v>9</v>
      </c>
      <c r="O718" s="9">
        <v>7.5</v>
      </c>
      <c r="P718" s="9">
        <v>3</v>
      </c>
      <c r="Q718" s="9" t="s">
        <v>6</v>
      </c>
      <c r="R718" s="1">
        <v>0</v>
      </c>
      <c r="S718" s="26"/>
    </row>
    <row r="719" spans="1:19" ht="16.5" customHeight="1" x14ac:dyDescent="0.25">
      <c r="A719" s="9"/>
      <c r="B719" s="49" t="s">
        <v>71</v>
      </c>
      <c r="C719" s="50"/>
      <c r="D719" s="50"/>
      <c r="E719" s="50"/>
      <c r="F719" s="50"/>
      <c r="G719" s="51"/>
      <c r="H719" s="20"/>
      <c r="I719" s="9">
        <v>1</v>
      </c>
      <c r="J719" s="9"/>
      <c r="K719" s="9"/>
      <c r="L719" s="9"/>
      <c r="M719" s="9">
        <f t="shared" si="88"/>
        <v>7.6</v>
      </c>
      <c r="N719" s="9">
        <f t="shared" si="89"/>
        <v>3</v>
      </c>
      <c r="O719" s="9">
        <v>7.6</v>
      </c>
      <c r="P719" s="9">
        <v>3</v>
      </c>
      <c r="Q719" s="9" t="s">
        <v>6</v>
      </c>
      <c r="R719" s="1">
        <v>0</v>
      </c>
      <c r="S719" s="26"/>
    </row>
    <row r="720" spans="1:19" ht="16.5" customHeight="1" x14ac:dyDescent="0.25">
      <c r="A720" s="9"/>
      <c r="B720" s="49" t="s">
        <v>70</v>
      </c>
      <c r="C720" s="50"/>
      <c r="D720" s="50"/>
      <c r="E720" s="50"/>
      <c r="F720" s="50"/>
      <c r="G720" s="51"/>
      <c r="H720" s="20"/>
      <c r="I720" s="9">
        <v>2</v>
      </c>
      <c r="J720" s="9"/>
      <c r="K720" s="9"/>
      <c r="L720" s="9"/>
      <c r="M720" s="9">
        <f t="shared" si="88"/>
        <v>14</v>
      </c>
      <c r="N720" s="9">
        <f t="shared" si="89"/>
        <v>6</v>
      </c>
      <c r="O720" s="9">
        <v>7</v>
      </c>
      <c r="P720" s="9">
        <v>3</v>
      </c>
      <c r="Q720" s="9" t="s">
        <v>6</v>
      </c>
      <c r="R720" s="1">
        <v>0</v>
      </c>
      <c r="S720" s="26"/>
    </row>
    <row r="721" spans="1:19" ht="16.5" customHeight="1" x14ac:dyDescent="0.25">
      <c r="A721" s="9"/>
      <c r="B721" s="49" t="s">
        <v>77</v>
      </c>
      <c r="C721" s="50"/>
      <c r="D721" s="50"/>
      <c r="E721" s="50"/>
      <c r="F721" s="50"/>
      <c r="G721" s="51"/>
      <c r="H721" s="20"/>
      <c r="I721" s="9">
        <v>1</v>
      </c>
      <c r="J721" s="9"/>
      <c r="K721" s="9"/>
      <c r="L721" s="9"/>
      <c r="M721" s="9">
        <f t="shared" si="88"/>
        <v>6.4</v>
      </c>
      <c r="N721" s="9">
        <f t="shared" si="89"/>
        <v>2</v>
      </c>
      <c r="O721" s="9">
        <v>6.4</v>
      </c>
      <c r="P721" s="9">
        <v>2</v>
      </c>
      <c r="Q721" s="9" t="s">
        <v>3</v>
      </c>
      <c r="R721" s="1">
        <v>0</v>
      </c>
      <c r="S721" s="26"/>
    </row>
    <row r="722" spans="1:19" ht="16.5" customHeight="1" x14ac:dyDescent="0.25">
      <c r="A722" s="9"/>
      <c r="B722" s="49" t="s">
        <v>72</v>
      </c>
      <c r="C722" s="50"/>
      <c r="D722" s="50"/>
      <c r="E722" s="50"/>
      <c r="F722" s="50"/>
      <c r="G722" s="51"/>
      <c r="H722" s="20"/>
      <c r="I722" s="9">
        <v>4</v>
      </c>
      <c r="J722" s="9"/>
      <c r="K722" s="9"/>
      <c r="L722" s="9"/>
      <c r="M722" s="9">
        <f t="shared" si="88"/>
        <v>26.8</v>
      </c>
      <c r="N722" s="9">
        <f t="shared" si="89"/>
        <v>10</v>
      </c>
      <c r="O722" s="9">
        <v>6.7</v>
      </c>
      <c r="P722" s="9">
        <v>2.5</v>
      </c>
      <c r="Q722" s="9" t="s">
        <v>5</v>
      </c>
      <c r="R722" s="1">
        <v>0</v>
      </c>
      <c r="S722" s="26"/>
    </row>
    <row r="723" spans="1:19" ht="16.5" customHeight="1" x14ac:dyDescent="0.25">
      <c r="A723" s="9"/>
      <c r="B723" s="49" t="s">
        <v>74</v>
      </c>
      <c r="C723" s="50"/>
      <c r="D723" s="50"/>
      <c r="E723" s="50"/>
      <c r="F723" s="50"/>
      <c r="G723" s="51"/>
      <c r="H723" s="20"/>
      <c r="I723" s="9">
        <v>3</v>
      </c>
      <c r="J723" s="9"/>
      <c r="K723" s="9"/>
      <c r="L723" s="9"/>
      <c r="M723" s="9">
        <f t="shared" si="88"/>
        <v>18.899999999999999</v>
      </c>
      <c r="N723" s="9">
        <f t="shared" si="89"/>
        <v>6</v>
      </c>
      <c r="O723" s="9">
        <v>6.3</v>
      </c>
      <c r="P723" s="9">
        <v>2</v>
      </c>
      <c r="Q723" s="9" t="s">
        <v>3</v>
      </c>
      <c r="R723" s="1">
        <v>0</v>
      </c>
      <c r="S723" s="26"/>
    </row>
    <row r="724" spans="1:19" ht="16.5" customHeight="1" x14ac:dyDescent="0.25">
      <c r="A724" s="9"/>
      <c r="B724" s="49" t="s">
        <v>76</v>
      </c>
      <c r="C724" s="50"/>
      <c r="D724" s="50"/>
      <c r="E724" s="50"/>
      <c r="F724" s="50"/>
      <c r="G724" s="51"/>
      <c r="H724" s="20"/>
      <c r="I724" s="9">
        <v>4</v>
      </c>
      <c r="J724" s="9"/>
      <c r="K724" s="9"/>
      <c r="L724" s="9"/>
      <c r="M724" s="9">
        <f t="shared" si="88"/>
        <v>30.8</v>
      </c>
      <c r="N724" s="9">
        <f t="shared" si="89"/>
        <v>12</v>
      </c>
      <c r="O724" s="9">
        <v>7.7</v>
      </c>
      <c r="P724" s="9">
        <v>3</v>
      </c>
      <c r="Q724" s="9" t="s">
        <v>6</v>
      </c>
      <c r="R724" s="1">
        <v>0</v>
      </c>
      <c r="S724" s="26"/>
    </row>
    <row r="725" spans="1:19" ht="16.5" customHeight="1" x14ac:dyDescent="0.25">
      <c r="A725" s="9"/>
      <c r="B725" s="49" t="s">
        <v>80</v>
      </c>
      <c r="C725" s="50"/>
      <c r="D725" s="50"/>
      <c r="E725" s="50"/>
      <c r="F725" s="50"/>
      <c r="G725" s="51"/>
      <c r="H725" s="20"/>
      <c r="I725" s="9">
        <v>4</v>
      </c>
      <c r="J725" s="9"/>
      <c r="K725" s="9"/>
      <c r="L725" s="9"/>
      <c r="M725" s="9">
        <f t="shared" si="88"/>
        <v>21.6</v>
      </c>
      <c r="N725" s="9">
        <f t="shared" si="89"/>
        <v>6</v>
      </c>
      <c r="O725" s="9">
        <v>5.4</v>
      </c>
      <c r="P725" s="9">
        <v>1.5</v>
      </c>
      <c r="Q725" s="9" t="s">
        <v>4</v>
      </c>
      <c r="R725" s="1">
        <v>0</v>
      </c>
      <c r="S725" s="26"/>
    </row>
    <row r="726" spans="1:19" ht="16.5" hidden="1" customHeight="1" x14ac:dyDescent="0.25">
      <c r="A726" s="21"/>
      <c r="H726" s="21"/>
      <c r="I726" s="21"/>
      <c r="J726" s="21"/>
      <c r="K726" s="21"/>
      <c r="L726" s="21"/>
      <c r="M726" s="9">
        <f t="shared" si="88"/>
        <v>0</v>
      </c>
      <c r="N726" s="9">
        <f t="shared" si="89"/>
        <v>0</v>
      </c>
      <c r="O726" s="21"/>
      <c r="P726" s="21"/>
      <c r="Q726" s="21"/>
      <c r="S726" s="25"/>
    </row>
    <row r="727" spans="1:19" ht="16.5" customHeight="1" x14ac:dyDescent="0.25">
      <c r="A727" s="9"/>
      <c r="B727" s="38" t="s">
        <v>42</v>
      </c>
      <c r="C727" s="39"/>
      <c r="D727" s="39"/>
      <c r="E727" s="39"/>
      <c r="F727" s="39"/>
      <c r="G727" s="40"/>
      <c r="H727" s="23"/>
      <c r="I727" s="24">
        <f>SUM(I717:I726)</f>
        <v>26</v>
      </c>
      <c r="J727" s="9"/>
      <c r="K727" s="9"/>
      <c r="L727" s="9"/>
      <c r="M727" s="9">
        <f t="shared" si="88"/>
        <v>160.68</v>
      </c>
      <c r="N727" s="9">
        <f t="shared" si="89"/>
        <v>54.08</v>
      </c>
      <c r="O727" s="24">
        <f>ROUND(SUM(M717:M726)/I727,2)</f>
        <v>6.18</v>
      </c>
      <c r="P727" s="24">
        <f>ROUND(SUM(N717:N726)/I727,2)</f>
        <v>2.08</v>
      </c>
      <c r="Q727" s="9"/>
      <c r="S727" s="25"/>
    </row>
    <row r="728" spans="1:19" ht="20.25" customHeight="1" x14ac:dyDescent="0.25">
      <c r="A728" s="27" t="s">
        <v>81</v>
      </c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</row>
    <row r="729" spans="1:19" ht="16.5" customHeight="1" x14ac:dyDescent="0.25">
      <c r="A729" s="9"/>
      <c r="B729" s="49" t="s">
        <v>73</v>
      </c>
      <c r="C729" s="50"/>
      <c r="D729" s="50"/>
      <c r="E729" s="50"/>
      <c r="F729" s="50"/>
      <c r="G729" s="51"/>
      <c r="H729" s="20"/>
      <c r="I729" s="9">
        <v>4</v>
      </c>
      <c r="J729" s="9"/>
      <c r="K729" s="9"/>
      <c r="L729" s="9"/>
      <c r="M729" s="9">
        <f>I729*O729</f>
        <v>25.2</v>
      </c>
      <c r="N729" s="9">
        <f>I729*P729</f>
        <v>8</v>
      </c>
      <c r="O729" s="9">
        <v>6.3</v>
      </c>
      <c r="P729" s="9">
        <v>2</v>
      </c>
      <c r="Q729" s="9" t="s">
        <v>3</v>
      </c>
      <c r="R729" s="1">
        <v>6</v>
      </c>
      <c r="S729" s="26" t="s">
        <v>64</v>
      </c>
    </row>
    <row r="730" spans="1:19" ht="16.5" hidden="1" customHeight="1" x14ac:dyDescent="0.25">
      <c r="A730" s="21"/>
      <c r="H730" s="21"/>
      <c r="I730" s="21"/>
      <c r="J730" s="21"/>
      <c r="K730" s="21"/>
      <c r="L730" s="21"/>
      <c r="M730" s="9">
        <f>I730*O730</f>
        <v>0</v>
      </c>
      <c r="N730" s="9">
        <f>I730*P730</f>
        <v>0</v>
      </c>
      <c r="O730" s="21"/>
      <c r="P730" s="21"/>
      <c r="Q730" s="21"/>
      <c r="S730" s="25"/>
    </row>
    <row r="731" spans="1:19" ht="16.5" customHeight="1" x14ac:dyDescent="0.25">
      <c r="A731" s="9"/>
      <c r="B731" s="38" t="s">
        <v>42</v>
      </c>
      <c r="C731" s="39"/>
      <c r="D731" s="39"/>
      <c r="E731" s="39"/>
      <c r="F731" s="39"/>
      <c r="G731" s="40"/>
      <c r="H731" s="23"/>
      <c r="I731" s="24">
        <f>SUM(I729:I730)</f>
        <v>4</v>
      </c>
      <c r="J731" s="9"/>
      <c r="K731" s="9"/>
      <c r="L731" s="9"/>
      <c r="M731" s="9">
        <f>I731*O731</f>
        <v>25.2</v>
      </c>
      <c r="N731" s="9">
        <f>I731*P731</f>
        <v>8</v>
      </c>
      <c r="O731" s="24">
        <f>ROUND(SUM(M729:M730)/I731,2)</f>
        <v>6.3</v>
      </c>
      <c r="P731" s="24">
        <f>ROUND(SUM(N729:N730)/I731,2)</f>
        <v>2</v>
      </c>
      <c r="Q731" s="9"/>
      <c r="S731" s="25"/>
    </row>
    <row r="732" spans="1:19" ht="20.25" customHeight="1" x14ac:dyDescent="0.25">
      <c r="A732" s="27" t="s">
        <v>82</v>
      </c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</row>
    <row r="733" spans="1:19" ht="16.5" customHeight="1" x14ac:dyDescent="0.25">
      <c r="A733" s="9"/>
      <c r="B733" s="49" t="s">
        <v>83</v>
      </c>
      <c r="C733" s="50"/>
      <c r="D733" s="50"/>
      <c r="E733" s="50"/>
      <c r="F733" s="50"/>
      <c r="G733" s="51"/>
      <c r="H733" s="20"/>
      <c r="I733" s="9">
        <v>1</v>
      </c>
      <c r="J733" s="9"/>
      <c r="K733" s="9"/>
      <c r="L733" s="9"/>
      <c r="M733" s="9">
        <f>I733*O733</f>
        <v>7.8</v>
      </c>
      <c r="N733" s="9">
        <f>I733*P733</f>
        <v>3</v>
      </c>
      <c r="O733" s="9">
        <v>7.8</v>
      </c>
      <c r="P733" s="9">
        <v>3</v>
      </c>
      <c r="Q733" s="9" t="s">
        <v>6</v>
      </c>
      <c r="R733" s="1">
        <v>0</v>
      </c>
      <c r="S733" s="26"/>
    </row>
    <row r="734" spans="1:19" ht="15" customHeight="1" x14ac:dyDescent="0.25">
      <c r="A734" s="35" t="s">
        <v>0</v>
      </c>
      <c r="B734" s="29" t="s">
        <v>1</v>
      </c>
      <c r="C734" s="30"/>
      <c r="D734" s="30"/>
      <c r="E734" s="30"/>
      <c r="F734" s="30"/>
      <c r="G734" s="31"/>
      <c r="H734" s="35" t="s">
        <v>32</v>
      </c>
      <c r="I734" s="35" t="s">
        <v>39</v>
      </c>
      <c r="J734" s="53" t="s">
        <v>2</v>
      </c>
      <c r="K734" s="54"/>
      <c r="L734" s="54"/>
      <c r="M734" s="54"/>
      <c r="N734" s="54"/>
      <c r="O734" s="54"/>
      <c r="P734" s="54"/>
      <c r="Q734" s="55"/>
      <c r="S734" s="35" t="s">
        <v>38</v>
      </c>
    </row>
    <row r="735" spans="1:19" ht="24" customHeight="1" x14ac:dyDescent="0.25">
      <c r="A735" s="36"/>
      <c r="B735" s="32"/>
      <c r="C735" s="33"/>
      <c r="D735" s="33"/>
      <c r="E735" s="33"/>
      <c r="F735" s="33"/>
      <c r="G735" s="34"/>
      <c r="H735" s="36"/>
      <c r="I735" s="36"/>
      <c r="J735" s="7" t="s">
        <v>28</v>
      </c>
      <c r="K735" s="7" t="s">
        <v>29</v>
      </c>
      <c r="L735" s="7" t="s">
        <v>30</v>
      </c>
      <c r="M735" s="7"/>
      <c r="N735" s="7"/>
      <c r="O735" s="6" t="s">
        <v>35</v>
      </c>
      <c r="P735" s="6" t="s">
        <v>36</v>
      </c>
      <c r="Q735" s="6" t="s">
        <v>37</v>
      </c>
      <c r="S735" s="36"/>
    </row>
    <row r="736" spans="1:19" ht="16.5" customHeight="1" x14ac:dyDescent="0.25">
      <c r="A736" s="9"/>
      <c r="B736" s="49" t="s">
        <v>75</v>
      </c>
      <c r="C736" s="50"/>
      <c r="D736" s="50"/>
      <c r="E736" s="50"/>
      <c r="F736" s="50"/>
      <c r="G736" s="51"/>
      <c r="H736" s="20"/>
      <c r="I736" s="9">
        <v>3</v>
      </c>
      <c r="J736" s="9"/>
      <c r="K736" s="9"/>
      <c r="L736" s="9"/>
      <c r="M736" s="9">
        <f t="shared" ref="M736:M746" si="90">I736*O736</f>
        <v>22.200000000000003</v>
      </c>
      <c r="N736" s="9">
        <f t="shared" ref="N736:N746" si="91">I736*P736</f>
        <v>9</v>
      </c>
      <c r="O736" s="9">
        <v>7.4</v>
      </c>
      <c r="P736" s="9">
        <v>3</v>
      </c>
      <c r="Q736" s="9" t="s">
        <v>6</v>
      </c>
      <c r="R736" s="1">
        <v>0</v>
      </c>
      <c r="S736" s="26"/>
    </row>
    <row r="737" spans="1:19" ht="16.5" customHeight="1" x14ac:dyDescent="0.25">
      <c r="A737" s="9"/>
      <c r="B737" s="49" t="s">
        <v>93</v>
      </c>
      <c r="C737" s="50"/>
      <c r="D737" s="50"/>
      <c r="E737" s="50"/>
      <c r="F737" s="50"/>
      <c r="G737" s="51"/>
      <c r="H737" s="20"/>
      <c r="I737" s="9">
        <v>2</v>
      </c>
      <c r="J737" s="9"/>
      <c r="K737" s="9"/>
      <c r="L737" s="9"/>
      <c r="M737" s="9">
        <f t="shared" si="90"/>
        <v>16.600000000000001</v>
      </c>
      <c r="N737" s="9">
        <f t="shared" si="91"/>
        <v>7</v>
      </c>
      <c r="O737" s="9">
        <v>8.3000000000000007</v>
      </c>
      <c r="P737" s="9">
        <v>3.5</v>
      </c>
      <c r="Q737" s="9" t="s">
        <v>9</v>
      </c>
      <c r="R737" s="1">
        <v>0</v>
      </c>
      <c r="S737" s="26"/>
    </row>
    <row r="738" spans="1:19" ht="16.5" customHeight="1" x14ac:dyDescent="0.25">
      <c r="A738" s="9"/>
      <c r="B738" s="49" t="s">
        <v>86</v>
      </c>
      <c r="C738" s="50"/>
      <c r="D738" s="50"/>
      <c r="E738" s="50"/>
      <c r="F738" s="50"/>
      <c r="G738" s="51"/>
      <c r="H738" s="20"/>
      <c r="I738" s="9">
        <v>3</v>
      </c>
      <c r="J738" s="9"/>
      <c r="K738" s="9"/>
      <c r="L738" s="9"/>
      <c r="M738" s="9">
        <f t="shared" si="90"/>
        <v>9</v>
      </c>
      <c r="N738" s="9">
        <f t="shared" si="91"/>
        <v>0</v>
      </c>
      <c r="O738" s="9">
        <v>3</v>
      </c>
      <c r="P738" s="9">
        <v>0</v>
      </c>
      <c r="Q738" s="9" t="s">
        <v>7</v>
      </c>
      <c r="R738" s="1">
        <v>0</v>
      </c>
      <c r="S738" s="26"/>
    </row>
    <row r="739" spans="1:19" ht="16.5" customHeight="1" x14ac:dyDescent="0.25">
      <c r="A739" s="9"/>
      <c r="B739" s="49" t="s">
        <v>95</v>
      </c>
      <c r="C739" s="50"/>
      <c r="D739" s="50"/>
      <c r="E739" s="50"/>
      <c r="F739" s="50"/>
      <c r="G739" s="51"/>
      <c r="H739" s="20"/>
      <c r="I739" s="9">
        <v>1</v>
      </c>
      <c r="J739" s="9"/>
      <c r="K739" s="9"/>
      <c r="L739" s="9"/>
      <c r="M739" s="9">
        <f t="shared" si="90"/>
        <v>8</v>
      </c>
      <c r="N739" s="9">
        <f t="shared" si="91"/>
        <v>3.5</v>
      </c>
      <c r="O739" s="9">
        <v>8</v>
      </c>
      <c r="P739" s="9">
        <v>3.5</v>
      </c>
      <c r="Q739" s="9" t="s">
        <v>9</v>
      </c>
      <c r="R739" s="1">
        <v>0</v>
      </c>
      <c r="S739" s="26"/>
    </row>
    <row r="740" spans="1:19" ht="16.5" customHeight="1" x14ac:dyDescent="0.25">
      <c r="A740" s="9"/>
      <c r="B740" s="49" t="s">
        <v>88</v>
      </c>
      <c r="C740" s="50"/>
      <c r="D740" s="50"/>
      <c r="E740" s="50"/>
      <c r="F740" s="50"/>
      <c r="G740" s="51"/>
      <c r="H740" s="20"/>
      <c r="I740" s="9">
        <v>2</v>
      </c>
      <c r="J740" s="9"/>
      <c r="K740" s="9"/>
      <c r="L740" s="9"/>
      <c r="M740" s="9">
        <f t="shared" si="90"/>
        <v>16.600000000000001</v>
      </c>
      <c r="N740" s="9">
        <f t="shared" si="91"/>
        <v>7</v>
      </c>
      <c r="O740" s="9">
        <v>8.3000000000000007</v>
      </c>
      <c r="P740" s="9">
        <v>3.5</v>
      </c>
      <c r="Q740" s="9" t="s">
        <v>9</v>
      </c>
      <c r="R740" s="1">
        <v>0</v>
      </c>
      <c r="S740" s="26"/>
    </row>
    <row r="741" spans="1:19" ht="16.5" customHeight="1" x14ac:dyDescent="0.25">
      <c r="A741" s="9"/>
      <c r="B741" s="49" t="s">
        <v>89</v>
      </c>
      <c r="C741" s="50"/>
      <c r="D741" s="50"/>
      <c r="E741" s="50"/>
      <c r="F741" s="50"/>
      <c r="G741" s="51"/>
      <c r="H741" s="20"/>
      <c r="I741" s="9">
        <v>2</v>
      </c>
      <c r="J741" s="9"/>
      <c r="K741" s="9"/>
      <c r="L741" s="9"/>
      <c r="M741" s="9">
        <f t="shared" si="90"/>
        <v>15.2</v>
      </c>
      <c r="N741" s="9">
        <f t="shared" si="91"/>
        <v>6</v>
      </c>
      <c r="O741" s="9">
        <v>7.6</v>
      </c>
      <c r="P741" s="9">
        <v>3</v>
      </c>
      <c r="Q741" s="9" t="s">
        <v>6</v>
      </c>
      <c r="R741" s="1">
        <v>0</v>
      </c>
      <c r="S741" s="26"/>
    </row>
    <row r="742" spans="1:19" ht="16.5" customHeight="1" x14ac:dyDescent="0.25">
      <c r="A742" s="9"/>
      <c r="B742" s="49" t="s">
        <v>90</v>
      </c>
      <c r="C742" s="50"/>
      <c r="D742" s="50"/>
      <c r="E742" s="50"/>
      <c r="F742" s="50"/>
      <c r="G742" s="51"/>
      <c r="H742" s="20"/>
      <c r="I742" s="9">
        <v>2</v>
      </c>
      <c r="J742" s="9"/>
      <c r="K742" s="9"/>
      <c r="L742" s="9"/>
      <c r="M742" s="9">
        <f t="shared" si="90"/>
        <v>12.8</v>
      </c>
      <c r="N742" s="9">
        <f t="shared" si="91"/>
        <v>4</v>
      </c>
      <c r="O742" s="9">
        <v>6.4</v>
      </c>
      <c r="P742" s="9">
        <v>2</v>
      </c>
      <c r="Q742" s="9" t="s">
        <v>3</v>
      </c>
      <c r="R742" s="1">
        <v>0</v>
      </c>
      <c r="S742" s="26"/>
    </row>
    <row r="743" spans="1:19" ht="16.5" customHeight="1" x14ac:dyDescent="0.25">
      <c r="A743" s="9"/>
      <c r="B743" s="49" t="s">
        <v>84</v>
      </c>
      <c r="C743" s="50"/>
      <c r="D743" s="50"/>
      <c r="E743" s="50"/>
      <c r="F743" s="50"/>
      <c r="G743" s="51"/>
      <c r="H743" s="20"/>
      <c r="I743" s="9">
        <v>3</v>
      </c>
      <c r="J743" s="9"/>
      <c r="K743" s="9"/>
      <c r="L743" s="9"/>
      <c r="M743" s="9">
        <f t="shared" si="90"/>
        <v>17.700000000000003</v>
      </c>
      <c r="N743" s="9">
        <f t="shared" si="91"/>
        <v>6</v>
      </c>
      <c r="O743" s="9">
        <v>5.9</v>
      </c>
      <c r="P743" s="9">
        <v>2</v>
      </c>
      <c r="Q743" s="9" t="s">
        <v>3</v>
      </c>
      <c r="R743" s="1">
        <v>0</v>
      </c>
      <c r="S743" s="26"/>
    </row>
    <row r="744" spans="1:19" ht="16.5" customHeight="1" x14ac:dyDescent="0.25">
      <c r="A744" s="9"/>
      <c r="B744" s="49" t="s">
        <v>92</v>
      </c>
      <c r="C744" s="50"/>
      <c r="D744" s="50"/>
      <c r="E744" s="50"/>
      <c r="F744" s="50"/>
      <c r="G744" s="51"/>
      <c r="H744" s="20"/>
      <c r="I744" s="9">
        <v>4</v>
      </c>
      <c r="J744" s="9"/>
      <c r="K744" s="9"/>
      <c r="L744" s="9"/>
      <c r="M744" s="9">
        <f t="shared" si="90"/>
        <v>21.6</v>
      </c>
      <c r="N744" s="9">
        <f t="shared" si="91"/>
        <v>6</v>
      </c>
      <c r="O744" s="9">
        <v>5.4</v>
      </c>
      <c r="P744" s="9">
        <v>1.5</v>
      </c>
      <c r="Q744" s="9" t="s">
        <v>4</v>
      </c>
      <c r="R744" s="1">
        <v>0</v>
      </c>
      <c r="S744" s="26"/>
    </row>
    <row r="745" spans="1:19" ht="16.5" hidden="1" customHeight="1" x14ac:dyDescent="0.25">
      <c r="A745" s="21"/>
      <c r="H745" s="21"/>
      <c r="I745" s="21"/>
      <c r="J745" s="21"/>
      <c r="K745" s="21"/>
      <c r="L745" s="21"/>
      <c r="M745" s="9">
        <f t="shared" si="90"/>
        <v>0</v>
      </c>
      <c r="N745" s="9">
        <f t="shared" si="91"/>
        <v>0</v>
      </c>
      <c r="O745" s="21"/>
      <c r="P745" s="21"/>
      <c r="Q745" s="21"/>
      <c r="S745" s="25"/>
    </row>
    <row r="746" spans="1:19" ht="16.5" customHeight="1" x14ac:dyDescent="0.25">
      <c r="A746" s="9"/>
      <c r="B746" s="38" t="s">
        <v>42</v>
      </c>
      <c r="C746" s="39"/>
      <c r="D746" s="39"/>
      <c r="E746" s="39"/>
      <c r="F746" s="39"/>
      <c r="G746" s="40"/>
      <c r="H746" s="23"/>
      <c r="I746" s="24">
        <f>SUM(I733:I745)</f>
        <v>23</v>
      </c>
      <c r="J746" s="9"/>
      <c r="K746" s="9"/>
      <c r="L746" s="9"/>
      <c r="M746" s="9">
        <f t="shared" si="90"/>
        <v>147.43</v>
      </c>
      <c r="N746" s="9">
        <f t="shared" si="91"/>
        <v>51.52</v>
      </c>
      <c r="O746" s="24">
        <f>ROUND(SUM(M733:M745)/I746,2)</f>
        <v>6.41</v>
      </c>
      <c r="P746" s="24">
        <f>ROUND(SUM(N733:N745)/I746,2)</f>
        <v>2.2400000000000002</v>
      </c>
      <c r="Q746" s="9"/>
      <c r="S746" s="25"/>
    </row>
    <row r="747" spans="1:19" ht="20.25" customHeight="1" x14ac:dyDescent="0.25">
      <c r="A747" s="27" t="s">
        <v>94</v>
      </c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</row>
    <row r="748" spans="1:19" ht="16.5" customHeight="1" x14ac:dyDescent="0.25">
      <c r="A748" s="9"/>
      <c r="B748" s="49" t="s">
        <v>86</v>
      </c>
      <c r="C748" s="50"/>
      <c r="D748" s="50"/>
      <c r="E748" s="50"/>
      <c r="F748" s="50"/>
      <c r="G748" s="51"/>
      <c r="H748" s="20"/>
      <c r="I748" s="9">
        <v>3</v>
      </c>
      <c r="J748" s="9"/>
      <c r="K748" s="9"/>
      <c r="L748" s="9"/>
      <c r="M748" s="9">
        <f>I748*O748</f>
        <v>17.100000000000001</v>
      </c>
      <c r="N748" s="9">
        <f>I748*P748</f>
        <v>6</v>
      </c>
      <c r="O748" s="9">
        <v>5.7</v>
      </c>
      <c r="P748" s="9">
        <v>2</v>
      </c>
      <c r="Q748" s="9" t="s">
        <v>3</v>
      </c>
      <c r="R748" s="1">
        <v>6</v>
      </c>
      <c r="S748" s="26" t="s">
        <v>64</v>
      </c>
    </row>
    <row r="749" spans="1:19" ht="16.5" hidden="1" customHeight="1" x14ac:dyDescent="0.25">
      <c r="A749" s="21"/>
      <c r="H749" s="21"/>
      <c r="I749" s="21"/>
      <c r="J749" s="21"/>
      <c r="K749" s="21"/>
      <c r="L749" s="21"/>
      <c r="M749" s="9">
        <f>I749*O749</f>
        <v>0</v>
      </c>
      <c r="N749" s="9">
        <f>I749*P749</f>
        <v>0</v>
      </c>
      <c r="O749" s="21"/>
      <c r="P749" s="21"/>
      <c r="Q749" s="21"/>
      <c r="S749" s="25"/>
    </row>
    <row r="750" spans="1:19" ht="16.5" customHeight="1" x14ac:dyDescent="0.25">
      <c r="A750" s="9"/>
      <c r="B750" s="38" t="s">
        <v>42</v>
      </c>
      <c r="C750" s="39"/>
      <c r="D750" s="39"/>
      <c r="E750" s="39"/>
      <c r="F750" s="39"/>
      <c r="G750" s="40"/>
      <c r="H750" s="23"/>
      <c r="I750" s="24">
        <f>SUM(I748:I749)</f>
        <v>3</v>
      </c>
      <c r="J750" s="9"/>
      <c r="K750" s="9"/>
      <c r="L750" s="9"/>
      <c r="M750" s="9">
        <f>I750*O750</f>
        <v>17.100000000000001</v>
      </c>
      <c r="N750" s="9">
        <f>I750*P750</f>
        <v>6</v>
      </c>
      <c r="O750" s="24">
        <f>ROUND(SUM(M748:M749)/I750,2)</f>
        <v>5.7</v>
      </c>
      <c r="P750" s="24">
        <f>ROUND(SUM(N748:N749)/I750,2)</f>
        <v>2</v>
      </c>
      <c r="Q750" s="9"/>
      <c r="S750" s="25"/>
    </row>
    <row r="751" spans="1:19" ht="20.25" customHeight="1" x14ac:dyDescent="0.25">
      <c r="A751" s="27" t="s">
        <v>96</v>
      </c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</row>
    <row r="752" spans="1:19" ht="16.5" customHeight="1" x14ac:dyDescent="0.25">
      <c r="A752" s="9"/>
      <c r="B752" s="49" t="s">
        <v>104</v>
      </c>
      <c r="C752" s="50"/>
      <c r="D752" s="50"/>
      <c r="E752" s="50"/>
      <c r="F752" s="50"/>
      <c r="G752" s="51"/>
      <c r="H752" s="20"/>
      <c r="I752" s="9">
        <v>3</v>
      </c>
      <c r="J752" s="9"/>
      <c r="K752" s="9"/>
      <c r="L752" s="9"/>
      <c r="M752" s="9">
        <f t="shared" ref="M752:M764" si="92">I752*O752</f>
        <v>21.9</v>
      </c>
      <c r="N752" s="9">
        <f t="shared" ref="N752:N764" si="93">I752*P752</f>
        <v>9</v>
      </c>
      <c r="O752" s="9">
        <v>7.3</v>
      </c>
      <c r="P752" s="9">
        <v>3</v>
      </c>
      <c r="Q752" s="9" t="s">
        <v>6</v>
      </c>
      <c r="R752" s="1">
        <v>0</v>
      </c>
      <c r="S752" s="26"/>
    </row>
    <row r="753" spans="1:19" ht="16.5" customHeight="1" x14ac:dyDescent="0.25">
      <c r="A753" s="9"/>
      <c r="B753" s="49" t="s">
        <v>98</v>
      </c>
      <c r="C753" s="50"/>
      <c r="D753" s="50"/>
      <c r="E753" s="50"/>
      <c r="F753" s="50"/>
      <c r="G753" s="51"/>
      <c r="H753" s="20"/>
      <c r="I753" s="9">
        <v>3</v>
      </c>
      <c r="J753" s="9"/>
      <c r="K753" s="9"/>
      <c r="L753" s="9"/>
      <c r="M753" s="9">
        <f t="shared" si="92"/>
        <v>20.100000000000001</v>
      </c>
      <c r="N753" s="9">
        <f t="shared" si="93"/>
        <v>7.5</v>
      </c>
      <c r="O753" s="9">
        <v>6.7</v>
      </c>
      <c r="P753" s="9">
        <v>2.5</v>
      </c>
      <c r="Q753" s="9" t="s">
        <v>5</v>
      </c>
      <c r="R753" s="1">
        <v>0</v>
      </c>
      <c r="S753" s="26"/>
    </row>
    <row r="754" spans="1:19" ht="16.5" customHeight="1" x14ac:dyDescent="0.25">
      <c r="A754" s="9"/>
      <c r="B754" s="49" t="s">
        <v>103</v>
      </c>
      <c r="C754" s="50"/>
      <c r="D754" s="50"/>
      <c r="E754" s="50"/>
      <c r="F754" s="50"/>
      <c r="G754" s="51"/>
      <c r="H754" s="20"/>
      <c r="I754" s="9">
        <v>2</v>
      </c>
      <c r="J754" s="9"/>
      <c r="K754" s="9"/>
      <c r="L754" s="9"/>
      <c r="M754" s="9">
        <f t="shared" si="92"/>
        <v>14.8</v>
      </c>
      <c r="N754" s="9">
        <f t="shared" si="93"/>
        <v>6</v>
      </c>
      <c r="O754" s="9">
        <v>7.4</v>
      </c>
      <c r="P754" s="9">
        <v>3</v>
      </c>
      <c r="Q754" s="9" t="s">
        <v>6</v>
      </c>
      <c r="R754" s="1">
        <v>0</v>
      </c>
      <c r="S754" s="26"/>
    </row>
    <row r="755" spans="1:19" ht="16.5" customHeight="1" x14ac:dyDescent="0.25">
      <c r="A755" s="9"/>
      <c r="B755" s="49" t="s">
        <v>97</v>
      </c>
      <c r="C755" s="50"/>
      <c r="D755" s="50"/>
      <c r="E755" s="50"/>
      <c r="F755" s="50"/>
      <c r="G755" s="51"/>
      <c r="H755" s="20"/>
      <c r="I755" s="9">
        <v>2</v>
      </c>
      <c r="J755" s="9"/>
      <c r="K755" s="9"/>
      <c r="L755" s="9"/>
      <c r="M755" s="9">
        <f t="shared" si="92"/>
        <v>15.8</v>
      </c>
      <c r="N755" s="9">
        <f t="shared" si="93"/>
        <v>6</v>
      </c>
      <c r="O755" s="9">
        <v>7.9</v>
      </c>
      <c r="P755" s="9">
        <v>3</v>
      </c>
      <c r="Q755" s="9" t="s">
        <v>6</v>
      </c>
      <c r="R755" s="1">
        <v>0</v>
      </c>
      <c r="S755" s="26"/>
    </row>
    <row r="756" spans="1:19" ht="16.5" customHeight="1" x14ac:dyDescent="0.25">
      <c r="A756" s="9"/>
      <c r="B756" s="49" t="s">
        <v>102</v>
      </c>
      <c r="C756" s="50"/>
      <c r="D756" s="50"/>
      <c r="E756" s="50"/>
      <c r="F756" s="50"/>
      <c r="G756" s="51"/>
      <c r="H756" s="20"/>
      <c r="I756" s="9">
        <v>2</v>
      </c>
      <c r="J756" s="9"/>
      <c r="K756" s="9"/>
      <c r="L756" s="9"/>
      <c r="M756" s="9">
        <f t="shared" si="92"/>
        <v>13.6</v>
      </c>
      <c r="N756" s="9">
        <f t="shared" si="93"/>
        <v>5</v>
      </c>
      <c r="O756" s="9">
        <v>6.8</v>
      </c>
      <c r="P756" s="9">
        <v>2.5</v>
      </c>
      <c r="Q756" s="9" t="s">
        <v>5</v>
      </c>
      <c r="R756" s="1">
        <v>0</v>
      </c>
      <c r="S756" s="26"/>
    </row>
    <row r="757" spans="1:19" ht="16.5" customHeight="1" x14ac:dyDescent="0.25">
      <c r="A757" s="9"/>
      <c r="B757" s="49" t="s">
        <v>101</v>
      </c>
      <c r="C757" s="50"/>
      <c r="D757" s="50"/>
      <c r="E757" s="50"/>
      <c r="F757" s="50"/>
      <c r="G757" s="51"/>
      <c r="H757" s="20"/>
      <c r="I757" s="9">
        <v>1</v>
      </c>
      <c r="J757" s="9"/>
      <c r="K757" s="9"/>
      <c r="L757" s="9"/>
      <c r="M757" s="9">
        <f t="shared" si="92"/>
        <v>8.6</v>
      </c>
      <c r="N757" s="9">
        <f t="shared" si="93"/>
        <v>3.7</v>
      </c>
      <c r="O757" s="9">
        <v>8.6</v>
      </c>
      <c r="P757" s="9">
        <v>3.7</v>
      </c>
      <c r="Q757" s="9" t="s">
        <v>10</v>
      </c>
      <c r="R757" s="1">
        <v>0</v>
      </c>
      <c r="S757" s="26"/>
    </row>
    <row r="758" spans="1:19" ht="16.5" customHeight="1" x14ac:dyDescent="0.25">
      <c r="A758" s="9"/>
      <c r="B758" s="49" t="s">
        <v>100</v>
      </c>
      <c r="C758" s="50"/>
      <c r="D758" s="50"/>
      <c r="E758" s="50"/>
      <c r="F758" s="50"/>
      <c r="G758" s="51"/>
      <c r="H758" s="20"/>
      <c r="I758" s="9">
        <v>1</v>
      </c>
      <c r="J758" s="9"/>
      <c r="K758" s="9"/>
      <c r="L758" s="9"/>
      <c r="M758" s="9">
        <f t="shared" si="92"/>
        <v>8.6999999999999993</v>
      </c>
      <c r="N758" s="9">
        <f t="shared" si="93"/>
        <v>3.7</v>
      </c>
      <c r="O758" s="9">
        <v>8.6999999999999993</v>
      </c>
      <c r="P758" s="9">
        <v>3.7</v>
      </c>
      <c r="Q758" s="9" t="s">
        <v>10</v>
      </c>
      <c r="R758" s="1">
        <v>0</v>
      </c>
      <c r="S758" s="26"/>
    </row>
    <row r="759" spans="1:19" ht="16.5" customHeight="1" x14ac:dyDescent="0.25">
      <c r="A759" s="9"/>
      <c r="B759" s="49" t="s">
        <v>69</v>
      </c>
      <c r="C759" s="50"/>
      <c r="D759" s="50"/>
      <c r="E759" s="50"/>
      <c r="F759" s="50"/>
      <c r="G759" s="51"/>
      <c r="H759" s="20"/>
      <c r="I759" s="9">
        <v>1</v>
      </c>
      <c r="J759" s="9"/>
      <c r="K759" s="9"/>
      <c r="L759" s="9"/>
      <c r="M759" s="9">
        <f t="shared" si="92"/>
        <v>7.6</v>
      </c>
      <c r="N759" s="9">
        <f t="shared" si="93"/>
        <v>3</v>
      </c>
      <c r="O759" s="9">
        <v>7.6</v>
      </c>
      <c r="P759" s="9">
        <v>3</v>
      </c>
      <c r="Q759" s="9" t="s">
        <v>6</v>
      </c>
      <c r="R759" s="1">
        <v>0</v>
      </c>
      <c r="S759" s="26"/>
    </row>
    <row r="760" spans="1:19" ht="16.5" customHeight="1" x14ac:dyDescent="0.25">
      <c r="A760" s="9"/>
      <c r="B760" s="49" t="s">
        <v>99</v>
      </c>
      <c r="C760" s="50"/>
      <c r="D760" s="50"/>
      <c r="E760" s="50"/>
      <c r="F760" s="50"/>
      <c r="G760" s="51"/>
      <c r="H760" s="20"/>
      <c r="I760" s="9">
        <v>2</v>
      </c>
      <c r="J760" s="9"/>
      <c r="K760" s="9"/>
      <c r="L760" s="9"/>
      <c r="M760" s="9">
        <f t="shared" si="92"/>
        <v>13.2</v>
      </c>
      <c r="N760" s="9">
        <f t="shared" si="93"/>
        <v>5</v>
      </c>
      <c r="O760" s="9">
        <v>6.6</v>
      </c>
      <c r="P760" s="9">
        <v>2.5</v>
      </c>
      <c r="Q760" s="9" t="s">
        <v>5</v>
      </c>
      <c r="R760" s="1">
        <v>0</v>
      </c>
      <c r="S760" s="26"/>
    </row>
    <row r="761" spans="1:19" ht="16.5" customHeight="1" x14ac:dyDescent="0.25">
      <c r="A761" s="9"/>
      <c r="B761" s="49" t="s">
        <v>79</v>
      </c>
      <c r="C761" s="50"/>
      <c r="D761" s="50"/>
      <c r="E761" s="50"/>
      <c r="F761" s="50"/>
      <c r="G761" s="51"/>
      <c r="H761" s="20"/>
      <c r="I761" s="9">
        <v>2</v>
      </c>
      <c r="J761" s="9"/>
      <c r="K761" s="9"/>
      <c r="L761" s="9"/>
      <c r="M761" s="9">
        <f t="shared" si="92"/>
        <v>14.6</v>
      </c>
      <c r="N761" s="9">
        <f t="shared" si="93"/>
        <v>6</v>
      </c>
      <c r="O761" s="9">
        <v>7.3</v>
      </c>
      <c r="P761" s="9">
        <v>3</v>
      </c>
      <c r="Q761" s="9" t="s">
        <v>6</v>
      </c>
      <c r="R761" s="1">
        <v>0</v>
      </c>
      <c r="S761" s="26"/>
    </row>
    <row r="762" spans="1:19" ht="16.5" customHeight="1" x14ac:dyDescent="0.25">
      <c r="A762" s="9"/>
      <c r="B762" s="49" t="s">
        <v>105</v>
      </c>
      <c r="C762" s="50"/>
      <c r="D762" s="50"/>
      <c r="E762" s="50"/>
      <c r="F762" s="50"/>
      <c r="G762" s="51"/>
      <c r="H762" s="20"/>
      <c r="I762" s="9">
        <v>4</v>
      </c>
      <c r="J762" s="9"/>
      <c r="K762" s="9"/>
      <c r="L762" s="9"/>
      <c r="M762" s="9">
        <f t="shared" si="92"/>
        <v>23.6</v>
      </c>
      <c r="N762" s="9">
        <f t="shared" si="93"/>
        <v>8</v>
      </c>
      <c r="O762" s="9">
        <v>5.9</v>
      </c>
      <c r="P762" s="9">
        <v>2</v>
      </c>
      <c r="Q762" s="9" t="s">
        <v>3</v>
      </c>
      <c r="R762" s="1">
        <v>0</v>
      </c>
      <c r="S762" s="26"/>
    </row>
    <row r="763" spans="1:19" ht="16.5" hidden="1" customHeight="1" x14ac:dyDescent="0.25">
      <c r="A763" s="21"/>
      <c r="H763" s="21"/>
      <c r="I763" s="21"/>
      <c r="J763" s="21"/>
      <c r="K763" s="21"/>
      <c r="L763" s="21"/>
      <c r="M763" s="9">
        <f t="shared" si="92"/>
        <v>0</v>
      </c>
      <c r="N763" s="9">
        <f t="shared" si="93"/>
        <v>0</v>
      </c>
      <c r="O763" s="21"/>
      <c r="P763" s="21"/>
      <c r="Q763" s="21"/>
      <c r="S763" s="25"/>
    </row>
    <row r="764" spans="1:19" ht="16.5" customHeight="1" x14ac:dyDescent="0.25">
      <c r="A764" s="9"/>
      <c r="B764" s="38" t="s">
        <v>42</v>
      </c>
      <c r="C764" s="39"/>
      <c r="D764" s="39"/>
      <c r="E764" s="39"/>
      <c r="F764" s="39"/>
      <c r="G764" s="40"/>
      <c r="H764" s="23"/>
      <c r="I764" s="24">
        <f>SUM(I752:I763)</f>
        <v>23</v>
      </c>
      <c r="J764" s="9"/>
      <c r="K764" s="9"/>
      <c r="L764" s="9"/>
      <c r="M764" s="9">
        <f t="shared" si="92"/>
        <v>162.61000000000001</v>
      </c>
      <c r="N764" s="9">
        <f t="shared" si="93"/>
        <v>62.79</v>
      </c>
      <c r="O764" s="24">
        <f>ROUND(SUM(M752:M763)/I764,2)</f>
        <v>7.07</v>
      </c>
      <c r="P764" s="24">
        <f>ROUND(SUM(N752:N763)/I764,2)</f>
        <v>2.73</v>
      </c>
      <c r="Q764" s="9"/>
      <c r="S764" s="25"/>
    </row>
    <row r="765" spans="1:19" ht="20.25" customHeight="1" x14ac:dyDescent="0.25">
      <c r="A765" s="27" t="s">
        <v>107</v>
      </c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</row>
    <row r="766" spans="1:19" ht="16.5" customHeight="1" x14ac:dyDescent="0.25">
      <c r="A766" s="9"/>
      <c r="B766" s="49" t="s">
        <v>110</v>
      </c>
      <c r="C766" s="50"/>
      <c r="D766" s="50"/>
      <c r="E766" s="50"/>
      <c r="F766" s="50"/>
      <c r="G766" s="51"/>
      <c r="H766" s="20"/>
      <c r="I766" s="9">
        <v>3</v>
      </c>
      <c r="J766" s="9"/>
      <c r="K766" s="9"/>
      <c r="L766" s="9"/>
      <c r="M766" s="9">
        <f t="shared" ref="M766:M778" si="94">I766*O766</f>
        <v>22.200000000000003</v>
      </c>
      <c r="N766" s="9">
        <f t="shared" ref="N766:N778" si="95">I766*P766</f>
        <v>9</v>
      </c>
      <c r="O766" s="9">
        <v>7.4</v>
      </c>
      <c r="P766" s="9">
        <v>3</v>
      </c>
      <c r="Q766" s="9" t="s">
        <v>6</v>
      </c>
      <c r="R766" s="1">
        <v>0</v>
      </c>
      <c r="S766" s="26"/>
    </row>
    <row r="767" spans="1:19" ht="16.5" customHeight="1" x14ac:dyDescent="0.25">
      <c r="A767" s="9"/>
      <c r="B767" s="49" t="s">
        <v>109</v>
      </c>
      <c r="C767" s="50"/>
      <c r="D767" s="50"/>
      <c r="E767" s="50"/>
      <c r="F767" s="50"/>
      <c r="G767" s="51"/>
      <c r="H767" s="20"/>
      <c r="I767" s="9">
        <v>2</v>
      </c>
      <c r="J767" s="9"/>
      <c r="K767" s="9"/>
      <c r="L767" s="9"/>
      <c r="M767" s="9">
        <f t="shared" si="94"/>
        <v>12.4</v>
      </c>
      <c r="N767" s="9">
        <f t="shared" si="95"/>
        <v>4</v>
      </c>
      <c r="O767" s="9">
        <v>6.2</v>
      </c>
      <c r="P767" s="9">
        <v>2</v>
      </c>
      <c r="Q767" s="9" t="s">
        <v>3</v>
      </c>
      <c r="R767" s="1">
        <v>0</v>
      </c>
      <c r="S767" s="26"/>
    </row>
    <row r="768" spans="1:19" ht="16.5" customHeight="1" x14ac:dyDescent="0.25">
      <c r="A768" s="9"/>
      <c r="B768" s="49" t="s">
        <v>108</v>
      </c>
      <c r="C768" s="50"/>
      <c r="D768" s="50"/>
      <c r="E768" s="50"/>
      <c r="F768" s="50"/>
      <c r="G768" s="51"/>
      <c r="H768" s="20"/>
      <c r="I768" s="9">
        <v>1</v>
      </c>
      <c r="J768" s="9"/>
      <c r="K768" s="9"/>
      <c r="L768" s="9"/>
      <c r="M768" s="9">
        <f t="shared" si="94"/>
        <v>7.7</v>
      </c>
      <c r="N768" s="9">
        <f t="shared" si="95"/>
        <v>3</v>
      </c>
      <c r="O768" s="9">
        <v>7.7</v>
      </c>
      <c r="P768" s="9">
        <v>3</v>
      </c>
      <c r="Q768" s="9" t="s">
        <v>6</v>
      </c>
      <c r="R768" s="1">
        <v>0</v>
      </c>
      <c r="S768" s="26"/>
    </row>
    <row r="769" spans="1:19" ht="16.5" customHeight="1" x14ac:dyDescent="0.25">
      <c r="A769" s="9"/>
      <c r="B769" s="49" t="s">
        <v>111</v>
      </c>
      <c r="C769" s="50"/>
      <c r="D769" s="50"/>
      <c r="E769" s="50"/>
      <c r="F769" s="50"/>
      <c r="G769" s="51"/>
      <c r="H769" s="20"/>
      <c r="I769" s="9">
        <v>3</v>
      </c>
      <c r="J769" s="9"/>
      <c r="K769" s="9"/>
      <c r="L769" s="9"/>
      <c r="M769" s="9">
        <f t="shared" si="94"/>
        <v>20.399999999999999</v>
      </c>
      <c r="N769" s="9">
        <f t="shared" si="95"/>
        <v>7.5</v>
      </c>
      <c r="O769" s="9">
        <v>6.8</v>
      </c>
      <c r="P769" s="9">
        <v>2.5</v>
      </c>
      <c r="Q769" s="9" t="s">
        <v>5</v>
      </c>
      <c r="R769" s="1">
        <v>0</v>
      </c>
      <c r="S769" s="26"/>
    </row>
    <row r="770" spans="1:19" ht="16.5" customHeight="1" x14ac:dyDescent="0.25">
      <c r="A770" s="9"/>
      <c r="B770" s="49" t="s">
        <v>114</v>
      </c>
      <c r="C770" s="50"/>
      <c r="D770" s="50"/>
      <c r="E770" s="50"/>
      <c r="F770" s="50"/>
      <c r="G770" s="51"/>
      <c r="H770" s="20"/>
      <c r="I770" s="9">
        <v>3</v>
      </c>
      <c r="J770" s="9"/>
      <c r="K770" s="9"/>
      <c r="L770" s="9"/>
      <c r="M770" s="9">
        <f t="shared" si="94"/>
        <v>9</v>
      </c>
      <c r="N770" s="9">
        <f t="shared" si="95"/>
        <v>0</v>
      </c>
      <c r="O770" s="9">
        <v>3</v>
      </c>
      <c r="P770" s="9">
        <v>0</v>
      </c>
      <c r="Q770" s="9" t="s">
        <v>7</v>
      </c>
      <c r="R770" s="1">
        <v>0</v>
      </c>
      <c r="S770" s="26"/>
    </row>
    <row r="771" spans="1:19" ht="16.5" customHeight="1" x14ac:dyDescent="0.25">
      <c r="A771" s="9"/>
      <c r="B771" s="49" t="s">
        <v>113</v>
      </c>
      <c r="C771" s="50"/>
      <c r="D771" s="50"/>
      <c r="E771" s="50"/>
      <c r="F771" s="50"/>
      <c r="G771" s="51"/>
      <c r="H771" s="20"/>
      <c r="I771" s="9">
        <v>4</v>
      </c>
      <c r="J771" s="9"/>
      <c r="K771" s="9"/>
      <c r="L771" s="9"/>
      <c r="M771" s="9">
        <f t="shared" si="94"/>
        <v>26</v>
      </c>
      <c r="N771" s="9">
        <f t="shared" si="95"/>
        <v>10</v>
      </c>
      <c r="O771" s="9">
        <v>6.5</v>
      </c>
      <c r="P771" s="9">
        <v>2.5</v>
      </c>
      <c r="Q771" s="9" t="s">
        <v>5</v>
      </c>
      <c r="R771" s="1">
        <v>0</v>
      </c>
      <c r="S771" s="26"/>
    </row>
    <row r="772" spans="1:19" ht="16.5" customHeight="1" x14ac:dyDescent="0.25">
      <c r="A772" s="9"/>
      <c r="B772" s="49" t="s">
        <v>112</v>
      </c>
      <c r="C772" s="50"/>
      <c r="D772" s="50"/>
      <c r="E772" s="50"/>
      <c r="F772" s="50"/>
      <c r="G772" s="51"/>
      <c r="H772" s="20"/>
      <c r="I772" s="9">
        <v>4</v>
      </c>
      <c r="J772" s="9"/>
      <c r="K772" s="9"/>
      <c r="L772" s="9"/>
      <c r="M772" s="9">
        <f t="shared" si="94"/>
        <v>30</v>
      </c>
      <c r="N772" s="9">
        <f t="shared" si="95"/>
        <v>12</v>
      </c>
      <c r="O772" s="9">
        <v>7.5</v>
      </c>
      <c r="P772" s="9">
        <v>3</v>
      </c>
      <c r="Q772" s="9" t="s">
        <v>6</v>
      </c>
      <c r="R772" s="1">
        <v>0</v>
      </c>
      <c r="S772" s="26"/>
    </row>
    <row r="773" spans="1:19" ht="16.5" customHeight="1" x14ac:dyDescent="0.25">
      <c r="A773" s="9"/>
      <c r="B773" s="49" t="s">
        <v>115</v>
      </c>
      <c r="C773" s="50"/>
      <c r="D773" s="50"/>
      <c r="E773" s="50"/>
      <c r="F773" s="50"/>
      <c r="G773" s="51"/>
      <c r="H773" s="20"/>
      <c r="I773" s="9">
        <v>2</v>
      </c>
      <c r="J773" s="9"/>
      <c r="K773" s="9"/>
      <c r="L773" s="9"/>
      <c r="M773" s="9">
        <f t="shared" si="94"/>
        <v>12.6</v>
      </c>
      <c r="N773" s="9">
        <f t="shared" si="95"/>
        <v>4</v>
      </c>
      <c r="O773" s="9">
        <v>6.3</v>
      </c>
      <c r="P773" s="9">
        <v>2</v>
      </c>
      <c r="Q773" s="9" t="s">
        <v>3</v>
      </c>
      <c r="R773" s="1">
        <v>0</v>
      </c>
      <c r="S773" s="26"/>
    </row>
    <row r="774" spans="1:19" ht="16.5" customHeight="1" x14ac:dyDescent="0.25">
      <c r="A774" s="9"/>
      <c r="B774" s="49" t="s">
        <v>116</v>
      </c>
      <c r="C774" s="50"/>
      <c r="D774" s="50"/>
      <c r="E774" s="50"/>
      <c r="F774" s="50"/>
      <c r="G774" s="51"/>
      <c r="H774" s="20"/>
      <c r="I774" s="9">
        <v>2</v>
      </c>
      <c r="J774" s="9"/>
      <c r="K774" s="9"/>
      <c r="L774" s="9"/>
      <c r="M774" s="9">
        <f t="shared" si="94"/>
        <v>14</v>
      </c>
      <c r="N774" s="9">
        <f t="shared" si="95"/>
        <v>6</v>
      </c>
      <c r="O774" s="9">
        <v>7</v>
      </c>
      <c r="P774" s="9">
        <v>3</v>
      </c>
      <c r="Q774" s="9" t="s">
        <v>6</v>
      </c>
      <c r="R774" s="1">
        <v>0</v>
      </c>
      <c r="S774" s="26"/>
    </row>
    <row r="775" spans="1:19" ht="16.5" customHeight="1" x14ac:dyDescent="0.25">
      <c r="A775" s="9"/>
      <c r="B775" s="49" t="s">
        <v>118</v>
      </c>
      <c r="C775" s="50"/>
      <c r="D775" s="50"/>
      <c r="E775" s="50"/>
      <c r="F775" s="50"/>
      <c r="G775" s="51"/>
      <c r="H775" s="20"/>
      <c r="I775" s="9">
        <v>2</v>
      </c>
      <c r="J775" s="9"/>
      <c r="K775" s="9"/>
      <c r="L775" s="9"/>
      <c r="M775" s="9">
        <f t="shared" si="94"/>
        <v>15.2</v>
      </c>
      <c r="N775" s="9">
        <f t="shared" si="95"/>
        <v>6</v>
      </c>
      <c r="O775" s="9">
        <v>7.6</v>
      </c>
      <c r="P775" s="9">
        <v>3</v>
      </c>
      <c r="Q775" s="9" t="s">
        <v>6</v>
      </c>
      <c r="R775" s="1">
        <v>0</v>
      </c>
      <c r="S775" s="26"/>
    </row>
    <row r="776" spans="1:19" ht="16.5" customHeight="1" x14ac:dyDescent="0.25">
      <c r="A776" s="9"/>
      <c r="B776" s="49" t="s">
        <v>117</v>
      </c>
      <c r="C776" s="50"/>
      <c r="D776" s="50"/>
      <c r="E776" s="50"/>
      <c r="F776" s="50"/>
      <c r="G776" s="51"/>
      <c r="H776" s="20"/>
      <c r="I776" s="9">
        <v>3</v>
      </c>
      <c r="J776" s="9"/>
      <c r="K776" s="9"/>
      <c r="L776" s="9"/>
      <c r="M776" s="9">
        <f t="shared" si="94"/>
        <v>19.5</v>
      </c>
      <c r="N776" s="9">
        <f t="shared" si="95"/>
        <v>7.5</v>
      </c>
      <c r="O776" s="9">
        <v>6.5</v>
      </c>
      <c r="P776" s="9">
        <v>2.5</v>
      </c>
      <c r="Q776" s="9" t="s">
        <v>5</v>
      </c>
      <c r="R776" s="1">
        <v>0</v>
      </c>
      <c r="S776" s="26"/>
    </row>
    <row r="777" spans="1:19" ht="16.5" hidden="1" customHeight="1" x14ac:dyDescent="0.25">
      <c r="A777" s="21"/>
      <c r="H777" s="21"/>
      <c r="I777" s="21"/>
      <c r="J777" s="21"/>
      <c r="K777" s="21"/>
      <c r="L777" s="21"/>
      <c r="M777" s="9">
        <f t="shared" si="94"/>
        <v>0</v>
      </c>
      <c r="N777" s="9">
        <f t="shared" si="95"/>
        <v>0</v>
      </c>
      <c r="O777" s="21"/>
      <c r="P777" s="21"/>
      <c r="Q777" s="21"/>
      <c r="S777" s="25"/>
    </row>
    <row r="778" spans="1:19" ht="16.5" customHeight="1" x14ac:dyDescent="0.25">
      <c r="A778" s="9"/>
      <c r="B778" s="38" t="s">
        <v>42</v>
      </c>
      <c r="C778" s="39"/>
      <c r="D778" s="39"/>
      <c r="E778" s="39"/>
      <c r="F778" s="39"/>
      <c r="G778" s="40"/>
      <c r="H778" s="23"/>
      <c r="I778" s="24">
        <f>SUM(I766:I777)</f>
        <v>29</v>
      </c>
      <c r="J778" s="9"/>
      <c r="K778" s="9"/>
      <c r="L778" s="9"/>
      <c r="M778" s="9">
        <f t="shared" si="94"/>
        <v>189.07999999999998</v>
      </c>
      <c r="N778" s="9">
        <f t="shared" si="95"/>
        <v>69.02</v>
      </c>
      <c r="O778" s="24">
        <f>ROUND(SUM(M766:M777)/I778,2)</f>
        <v>6.52</v>
      </c>
      <c r="P778" s="24">
        <f>ROUND(SUM(N766:N777)/I778,2)</f>
        <v>2.38</v>
      </c>
      <c r="Q778" s="9"/>
      <c r="S778" s="25"/>
    </row>
    <row r="779" spans="1:19" ht="20.25" customHeight="1" x14ac:dyDescent="0.25">
      <c r="A779" s="27" t="s">
        <v>119</v>
      </c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</row>
    <row r="780" spans="1:19" ht="16.5" customHeight="1" x14ac:dyDescent="0.25">
      <c r="A780" s="9"/>
      <c r="B780" s="49" t="s">
        <v>114</v>
      </c>
      <c r="C780" s="50"/>
      <c r="D780" s="50"/>
      <c r="E780" s="50"/>
      <c r="F780" s="50"/>
      <c r="G780" s="51"/>
      <c r="H780" s="20"/>
      <c r="I780" s="9">
        <v>3</v>
      </c>
      <c r="J780" s="9"/>
      <c r="K780" s="9"/>
      <c r="L780" s="9"/>
      <c r="M780" s="9">
        <f>I780*O780</f>
        <v>20.100000000000001</v>
      </c>
      <c r="N780" s="9">
        <f>I780*P780</f>
        <v>7.5</v>
      </c>
      <c r="O780" s="9">
        <v>6.7</v>
      </c>
      <c r="P780" s="9">
        <v>2.5</v>
      </c>
      <c r="Q780" s="9" t="s">
        <v>5</v>
      </c>
      <c r="R780" s="1">
        <v>6</v>
      </c>
      <c r="S780" s="26" t="s">
        <v>64</v>
      </c>
    </row>
    <row r="781" spans="1:19" ht="16.5" hidden="1" customHeight="1" x14ac:dyDescent="0.25">
      <c r="A781" s="21"/>
      <c r="H781" s="21"/>
      <c r="I781" s="21"/>
      <c r="J781" s="21"/>
      <c r="K781" s="21"/>
      <c r="L781" s="21"/>
      <c r="M781" s="9">
        <f>I781*O781</f>
        <v>0</v>
      </c>
      <c r="N781" s="9">
        <f>I781*P781</f>
        <v>0</v>
      </c>
      <c r="O781" s="21"/>
      <c r="P781" s="21"/>
      <c r="Q781" s="21"/>
      <c r="S781" s="25"/>
    </row>
    <row r="782" spans="1:19" ht="16.5" customHeight="1" x14ac:dyDescent="0.25">
      <c r="A782" s="9"/>
      <c r="B782" s="38" t="s">
        <v>42</v>
      </c>
      <c r="C782" s="39"/>
      <c r="D782" s="39"/>
      <c r="E782" s="39"/>
      <c r="F782" s="39"/>
      <c r="G782" s="40"/>
      <c r="H782" s="23"/>
      <c r="I782" s="24">
        <f>SUM(I780:I781)</f>
        <v>3</v>
      </c>
      <c r="J782" s="9"/>
      <c r="K782" s="9"/>
      <c r="L782" s="9"/>
      <c r="M782" s="9">
        <f>I782*O782</f>
        <v>20.100000000000001</v>
      </c>
      <c r="N782" s="9">
        <f>I782*P782</f>
        <v>7.5</v>
      </c>
      <c r="O782" s="24">
        <f>ROUND(SUM(M780:M781)/I782,2)</f>
        <v>6.7</v>
      </c>
      <c r="P782" s="24">
        <f>ROUND(SUM(N780:N781)/I782,2)</f>
        <v>2.5</v>
      </c>
      <c r="Q782" s="9"/>
      <c r="S782" s="25"/>
    </row>
    <row r="783" spans="1:19" ht="20.25" customHeight="1" x14ac:dyDescent="0.25">
      <c r="A783" s="27" t="s">
        <v>120</v>
      </c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</row>
    <row r="784" spans="1:19" ht="16.5" customHeight="1" x14ac:dyDescent="0.25">
      <c r="A784" s="9"/>
      <c r="B784" s="49" t="s">
        <v>122</v>
      </c>
      <c r="C784" s="50"/>
      <c r="D784" s="50"/>
      <c r="E784" s="50"/>
      <c r="F784" s="50"/>
      <c r="G784" s="51"/>
      <c r="H784" s="20"/>
      <c r="I784" s="9">
        <v>1</v>
      </c>
      <c r="J784" s="9"/>
      <c r="K784" s="9"/>
      <c r="L784" s="9"/>
      <c r="M784" s="9">
        <f t="shared" ref="M784:M793" si="96">I784*O784</f>
        <v>7.5</v>
      </c>
      <c r="N784" s="9">
        <f t="shared" ref="N784:N793" si="97">I784*P784</f>
        <v>3</v>
      </c>
      <c r="O784" s="9">
        <v>7.5</v>
      </c>
      <c r="P784" s="9">
        <v>3</v>
      </c>
      <c r="Q784" s="9" t="s">
        <v>6</v>
      </c>
      <c r="R784" s="1">
        <v>0</v>
      </c>
      <c r="S784" s="26"/>
    </row>
    <row r="785" spans="1:19" ht="16.5" customHeight="1" x14ac:dyDescent="0.25">
      <c r="A785" s="9"/>
      <c r="B785" s="49" t="s">
        <v>121</v>
      </c>
      <c r="C785" s="50"/>
      <c r="D785" s="50"/>
      <c r="E785" s="50"/>
      <c r="F785" s="50"/>
      <c r="G785" s="51"/>
      <c r="H785" s="20"/>
      <c r="I785" s="9">
        <v>3</v>
      </c>
      <c r="J785" s="9"/>
      <c r="K785" s="9"/>
      <c r="L785" s="9"/>
      <c r="M785" s="9">
        <f t="shared" si="96"/>
        <v>20.700000000000003</v>
      </c>
      <c r="N785" s="9">
        <f t="shared" si="97"/>
        <v>7.5</v>
      </c>
      <c r="O785" s="9">
        <v>6.9</v>
      </c>
      <c r="P785" s="9">
        <v>2.5</v>
      </c>
      <c r="Q785" s="9" t="s">
        <v>5</v>
      </c>
      <c r="R785" s="1">
        <v>0</v>
      </c>
      <c r="S785" s="26"/>
    </row>
    <row r="786" spans="1:19" ht="16.5" customHeight="1" x14ac:dyDescent="0.25">
      <c r="A786" s="9"/>
      <c r="B786" s="49" t="s">
        <v>124</v>
      </c>
      <c r="C786" s="50"/>
      <c r="D786" s="50"/>
      <c r="E786" s="50"/>
      <c r="F786" s="50"/>
      <c r="G786" s="51"/>
      <c r="H786" s="20"/>
      <c r="I786" s="9">
        <v>3</v>
      </c>
      <c r="J786" s="9"/>
      <c r="K786" s="9"/>
      <c r="L786" s="9"/>
      <c r="M786" s="9">
        <f t="shared" si="96"/>
        <v>18.899999999999999</v>
      </c>
      <c r="N786" s="9">
        <f t="shared" si="97"/>
        <v>6</v>
      </c>
      <c r="O786" s="9">
        <v>6.3</v>
      </c>
      <c r="P786" s="9">
        <v>2</v>
      </c>
      <c r="Q786" s="9" t="s">
        <v>3</v>
      </c>
      <c r="R786" s="1">
        <v>0</v>
      </c>
      <c r="S786" s="26"/>
    </row>
    <row r="787" spans="1:19" ht="16.5" customHeight="1" x14ac:dyDescent="0.25">
      <c r="A787" s="9"/>
      <c r="B787" s="49" t="s">
        <v>123</v>
      </c>
      <c r="C787" s="50"/>
      <c r="D787" s="50"/>
      <c r="E787" s="50"/>
      <c r="F787" s="50"/>
      <c r="G787" s="51"/>
      <c r="H787" s="20"/>
      <c r="I787" s="9">
        <v>3</v>
      </c>
      <c r="J787" s="9"/>
      <c r="K787" s="9"/>
      <c r="L787" s="9"/>
      <c r="M787" s="9">
        <f t="shared" si="96"/>
        <v>23.4</v>
      </c>
      <c r="N787" s="9">
        <f t="shared" si="97"/>
        <v>9</v>
      </c>
      <c r="O787" s="9">
        <v>7.8</v>
      </c>
      <c r="P787" s="9">
        <v>3</v>
      </c>
      <c r="Q787" s="9" t="s">
        <v>6</v>
      </c>
      <c r="R787" s="1">
        <v>0</v>
      </c>
      <c r="S787" s="26"/>
    </row>
    <row r="788" spans="1:19" ht="16.5" customHeight="1" x14ac:dyDescent="0.25">
      <c r="A788" s="9"/>
      <c r="B788" s="49" t="s">
        <v>128</v>
      </c>
      <c r="C788" s="50"/>
      <c r="D788" s="50"/>
      <c r="E788" s="50"/>
      <c r="F788" s="50"/>
      <c r="G788" s="51"/>
      <c r="H788" s="20"/>
      <c r="I788" s="9">
        <v>2</v>
      </c>
      <c r="J788" s="9"/>
      <c r="K788" s="9"/>
      <c r="L788" s="9"/>
      <c r="M788" s="9">
        <f t="shared" si="96"/>
        <v>15.4</v>
      </c>
      <c r="N788" s="9">
        <f t="shared" si="97"/>
        <v>6</v>
      </c>
      <c r="O788" s="9">
        <v>7.7</v>
      </c>
      <c r="P788" s="9">
        <v>3</v>
      </c>
      <c r="Q788" s="9" t="s">
        <v>6</v>
      </c>
      <c r="R788" s="1">
        <v>0</v>
      </c>
      <c r="S788" s="26"/>
    </row>
    <row r="789" spans="1:19" ht="16.5" customHeight="1" x14ac:dyDescent="0.25">
      <c r="A789" s="9"/>
      <c r="B789" s="49" t="s">
        <v>125</v>
      </c>
      <c r="C789" s="50"/>
      <c r="D789" s="50"/>
      <c r="E789" s="50"/>
      <c r="F789" s="50"/>
      <c r="G789" s="51"/>
      <c r="H789" s="20"/>
      <c r="I789" s="9">
        <v>3</v>
      </c>
      <c r="J789" s="9"/>
      <c r="K789" s="9"/>
      <c r="L789" s="9"/>
      <c r="M789" s="9">
        <f t="shared" si="96"/>
        <v>15.899999999999999</v>
      </c>
      <c r="N789" s="9">
        <f t="shared" si="97"/>
        <v>4.5</v>
      </c>
      <c r="O789" s="9">
        <v>5.3</v>
      </c>
      <c r="P789" s="9">
        <v>1.5</v>
      </c>
      <c r="Q789" s="9" t="s">
        <v>4</v>
      </c>
      <c r="R789" s="1">
        <v>0</v>
      </c>
      <c r="S789" s="26"/>
    </row>
    <row r="790" spans="1:19" ht="16.5" customHeight="1" x14ac:dyDescent="0.25">
      <c r="A790" s="9"/>
      <c r="B790" s="49" t="s">
        <v>126</v>
      </c>
      <c r="C790" s="50"/>
      <c r="D790" s="50"/>
      <c r="E790" s="50"/>
      <c r="F790" s="50"/>
      <c r="G790" s="51"/>
      <c r="H790" s="20"/>
      <c r="I790" s="9">
        <v>3</v>
      </c>
      <c r="J790" s="9"/>
      <c r="K790" s="9"/>
      <c r="L790" s="9"/>
      <c r="M790" s="9">
        <f t="shared" si="96"/>
        <v>22.5</v>
      </c>
      <c r="N790" s="9">
        <f t="shared" si="97"/>
        <v>9</v>
      </c>
      <c r="O790" s="9">
        <v>7.5</v>
      </c>
      <c r="P790" s="9">
        <v>3</v>
      </c>
      <c r="Q790" s="9" t="s">
        <v>6</v>
      </c>
      <c r="R790" s="1">
        <v>0</v>
      </c>
      <c r="S790" s="26"/>
    </row>
    <row r="791" spans="1:19" ht="16.5" customHeight="1" x14ac:dyDescent="0.25">
      <c r="A791" s="9"/>
      <c r="B791" s="49" t="s">
        <v>127</v>
      </c>
      <c r="C791" s="50"/>
      <c r="D791" s="50"/>
      <c r="E791" s="50"/>
      <c r="F791" s="50"/>
      <c r="G791" s="51"/>
      <c r="H791" s="20"/>
      <c r="I791" s="9">
        <v>2</v>
      </c>
      <c r="J791" s="9"/>
      <c r="K791" s="9"/>
      <c r="L791" s="9"/>
      <c r="M791" s="9">
        <f t="shared" si="96"/>
        <v>11</v>
      </c>
      <c r="N791" s="9">
        <f t="shared" si="97"/>
        <v>4</v>
      </c>
      <c r="O791" s="9">
        <v>5.5</v>
      </c>
      <c r="P791" s="9">
        <v>2</v>
      </c>
      <c r="Q791" s="9" t="s">
        <v>3</v>
      </c>
      <c r="R791" s="1">
        <v>0</v>
      </c>
      <c r="S791" s="26"/>
    </row>
    <row r="792" spans="1:19" ht="16.5" hidden="1" customHeight="1" x14ac:dyDescent="0.25">
      <c r="A792" s="21"/>
      <c r="H792" s="21"/>
      <c r="I792" s="21"/>
      <c r="J792" s="21"/>
      <c r="K792" s="21"/>
      <c r="L792" s="21"/>
      <c r="M792" s="9">
        <f t="shared" si="96"/>
        <v>0</v>
      </c>
      <c r="N792" s="9">
        <f t="shared" si="97"/>
        <v>0</v>
      </c>
      <c r="O792" s="21"/>
      <c r="P792" s="21"/>
      <c r="Q792" s="21"/>
      <c r="S792" s="25"/>
    </row>
    <row r="793" spans="1:19" ht="16.5" customHeight="1" x14ac:dyDescent="0.25">
      <c r="A793" s="9"/>
      <c r="B793" s="38" t="s">
        <v>42</v>
      </c>
      <c r="C793" s="39"/>
      <c r="D793" s="39"/>
      <c r="E793" s="39"/>
      <c r="F793" s="39"/>
      <c r="G793" s="40"/>
      <c r="H793" s="23"/>
      <c r="I793" s="24">
        <f>SUM(I784:I792)</f>
        <v>20</v>
      </c>
      <c r="J793" s="9"/>
      <c r="K793" s="9"/>
      <c r="L793" s="9"/>
      <c r="M793" s="9">
        <f t="shared" si="96"/>
        <v>135.39999999999998</v>
      </c>
      <c r="N793" s="9">
        <f t="shared" si="97"/>
        <v>49</v>
      </c>
      <c r="O793" s="24">
        <f>ROUND(SUM(M784:M792)/I793,2)</f>
        <v>6.77</v>
      </c>
      <c r="P793" s="24">
        <f>ROUND(SUM(N784:N792)/I793,2)</f>
        <v>2.4500000000000002</v>
      </c>
      <c r="Q793" s="9"/>
      <c r="S793" s="25"/>
    </row>
    <row r="794" spans="1:19" ht="16.5" customHeight="1" x14ac:dyDescent="0.25">
      <c r="A794" s="21"/>
      <c r="B794" s="22"/>
      <c r="C794" s="22"/>
      <c r="D794" s="22"/>
      <c r="E794" s="22"/>
      <c r="F794" s="22"/>
      <c r="G794" s="22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6" spans="1:19" ht="18" x14ac:dyDescent="0.25">
      <c r="A796" s="57" t="s">
        <v>162</v>
      </c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</row>
    <row r="797" spans="1:19" ht="18" x14ac:dyDescent="0.25">
      <c r="A797" s="57" t="s">
        <v>163</v>
      </c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</row>
    <row r="798" spans="1:19" ht="18" x14ac:dyDescent="0.25">
      <c r="A798" s="57" t="s">
        <v>164</v>
      </c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</row>
    <row r="799" spans="1:19" ht="18" x14ac:dyDescent="0.25">
      <c r="A799" s="58" t="s">
        <v>148</v>
      </c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</row>
    <row r="800" spans="1:19" ht="19.5" customHeight="1" x14ac:dyDescent="0.25">
      <c r="A800" s="17"/>
      <c r="B800" s="17"/>
      <c r="C800" s="8"/>
      <c r="D800" s="18"/>
      <c r="E800" s="10"/>
      <c r="F800" s="11"/>
      <c r="G800" s="44" t="s">
        <v>49</v>
      </c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</row>
    <row r="801" spans="1:20" ht="31.5" customHeight="1" x14ac:dyDescent="0.3">
      <c r="A801" s="8"/>
      <c r="B801" s="8"/>
      <c r="C801" s="8"/>
      <c r="D801" s="8"/>
      <c r="E801" s="8"/>
      <c r="F801" s="8"/>
      <c r="G801" s="8"/>
      <c r="H801" s="12"/>
      <c r="I801" s="41" t="s">
        <v>40</v>
      </c>
      <c r="J801" s="42"/>
      <c r="K801" s="42"/>
      <c r="L801" s="42"/>
      <c r="M801" s="42"/>
      <c r="N801" s="42"/>
      <c r="O801" s="42"/>
      <c r="P801" s="42"/>
      <c r="Q801" s="42"/>
      <c r="R801" s="42"/>
      <c r="S801" s="42"/>
    </row>
    <row r="802" spans="1:20" ht="16.8" x14ac:dyDescent="0.3">
      <c r="A802" s="8"/>
      <c r="B802" s="8"/>
      <c r="C802" s="8"/>
      <c r="D802" s="8"/>
      <c r="E802" s="8"/>
      <c r="F802" s="8"/>
      <c r="G802" s="8"/>
      <c r="H802" s="12"/>
      <c r="I802" s="12"/>
      <c r="J802" s="12"/>
      <c r="K802" s="12"/>
      <c r="L802" s="8"/>
      <c r="M802" s="8"/>
      <c r="N802" s="8"/>
      <c r="O802" s="8"/>
      <c r="P802" s="8"/>
      <c r="Q802" s="8"/>
    </row>
    <row r="803" spans="1:20" ht="33" customHeight="1" x14ac:dyDescent="0.3">
      <c r="A803" s="8"/>
      <c r="B803" s="8"/>
      <c r="C803" s="8"/>
      <c r="D803" s="8"/>
      <c r="E803" s="8"/>
      <c r="F803" s="8"/>
      <c r="G803" s="8"/>
      <c r="H803" s="12"/>
      <c r="I803" s="12"/>
      <c r="J803" s="12"/>
      <c r="K803" s="12"/>
      <c r="L803" s="8"/>
      <c r="M803" s="8"/>
      <c r="N803" s="8"/>
      <c r="O803" s="8"/>
      <c r="P803" s="8"/>
      <c r="Q803" s="8"/>
    </row>
    <row r="804" spans="1:20" ht="11.25" customHeight="1" x14ac:dyDescent="0.3">
      <c r="A804" s="8"/>
      <c r="B804" s="8"/>
      <c r="C804" s="8"/>
      <c r="D804" s="8"/>
      <c r="E804" s="8"/>
      <c r="F804" s="8"/>
      <c r="G804" s="8"/>
      <c r="H804" s="12"/>
      <c r="I804" s="12"/>
      <c r="J804" s="12"/>
      <c r="K804" s="12"/>
      <c r="L804" s="8"/>
      <c r="M804" s="8"/>
      <c r="N804" s="8"/>
      <c r="O804" s="8"/>
      <c r="P804" s="8"/>
      <c r="Q804" s="8"/>
    </row>
    <row r="805" spans="1:20" ht="17.399999999999999" x14ac:dyDescent="0.3">
      <c r="A805" s="8"/>
      <c r="B805" s="8"/>
      <c r="C805" s="8"/>
      <c r="D805" s="8"/>
      <c r="E805" s="8"/>
      <c r="F805" s="8"/>
      <c r="G805" s="45" t="s">
        <v>41</v>
      </c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</row>
    <row r="806" spans="1:20" ht="54" customHeight="1" x14ac:dyDescent="0.25">
      <c r="A806" s="46" t="s">
        <v>33</v>
      </c>
      <c r="B806" s="46"/>
      <c r="C806" s="46"/>
      <c r="D806" s="46"/>
      <c r="E806" s="46"/>
      <c r="F806" s="41" t="s">
        <v>24</v>
      </c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</row>
    <row r="807" spans="1:20" ht="17.399999999999999" x14ac:dyDescent="0.25">
      <c r="A807" s="47" t="s">
        <v>34</v>
      </c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</row>
    <row r="808" spans="1:20" ht="4.5" customHeight="1" x14ac:dyDescent="0.2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</row>
    <row r="809" spans="1:20" ht="5.25" customHeight="1" x14ac:dyDescent="0.2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</row>
    <row r="810" spans="1:20" ht="16.5" customHeight="1" x14ac:dyDescent="0.25">
      <c r="A810" s="52" t="s">
        <v>165</v>
      </c>
      <c r="B810" s="52"/>
      <c r="C810" s="52"/>
      <c r="D810" s="52"/>
      <c r="E810" s="52"/>
      <c r="F810" s="52"/>
      <c r="G810" s="56" t="s">
        <v>166</v>
      </c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</row>
    <row r="811" spans="1:20" ht="16.5" customHeight="1" x14ac:dyDescent="0.25">
      <c r="A811" s="52" t="s">
        <v>167</v>
      </c>
      <c r="B811" s="52"/>
      <c r="C811" s="52"/>
      <c r="D811" s="52"/>
      <c r="E811" s="52"/>
      <c r="F811" s="52"/>
      <c r="G811" s="8" t="s">
        <v>46</v>
      </c>
      <c r="H811" s="8"/>
      <c r="I811" s="8"/>
      <c r="J811" s="8"/>
      <c r="K811" s="8"/>
      <c r="L811" s="8"/>
      <c r="M811" s="8"/>
      <c r="N811" s="8"/>
      <c r="O811" s="8"/>
      <c r="P811" s="8"/>
      <c r="Q811" s="8"/>
      <c r="T811" s="2"/>
    </row>
    <row r="812" spans="1:20" ht="16.5" customHeight="1" x14ac:dyDescent="0.25">
      <c r="A812" s="52" t="s">
        <v>47</v>
      </c>
      <c r="B812" s="52"/>
      <c r="C812" s="52"/>
      <c r="D812" s="52"/>
      <c r="E812" s="52"/>
      <c r="F812" s="52"/>
      <c r="G812" s="56" t="s">
        <v>48</v>
      </c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</row>
    <row r="813" spans="1:20" ht="5.2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19"/>
      <c r="K813" s="19"/>
      <c r="L813" s="19"/>
      <c r="M813" s="19"/>
      <c r="N813" s="19"/>
      <c r="O813" s="19"/>
      <c r="P813" s="19"/>
      <c r="Q813" s="19"/>
    </row>
    <row r="814" spans="1:20" ht="15" customHeight="1" x14ac:dyDescent="0.25">
      <c r="A814" s="35" t="s">
        <v>0</v>
      </c>
      <c r="B814" s="29" t="s">
        <v>1</v>
      </c>
      <c r="C814" s="30"/>
      <c r="D814" s="30"/>
      <c r="E814" s="30"/>
      <c r="F814" s="30"/>
      <c r="G814" s="31"/>
      <c r="H814" s="35" t="s">
        <v>32</v>
      </c>
      <c r="I814" s="35" t="s">
        <v>39</v>
      </c>
      <c r="J814" s="53" t="s">
        <v>2</v>
      </c>
      <c r="K814" s="54"/>
      <c r="L814" s="54"/>
      <c r="M814" s="54"/>
      <c r="N814" s="54"/>
      <c r="O814" s="54"/>
      <c r="P814" s="54"/>
      <c r="Q814" s="55"/>
      <c r="S814" s="35" t="s">
        <v>38</v>
      </c>
    </row>
    <row r="815" spans="1:20" ht="24" customHeight="1" x14ac:dyDescent="0.25">
      <c r="A815" s="36"/>
      <c r="B815" s="32"/>
      <c r="C815" s="33"/>
      <c r="D815" s="33"/>
      <c r="E815" s="33"/>
      <c r="F815" s="33"/>
      <c r="G815" s="34"/>
      <c r="H815" s="36"/>
      <c r="I815" s="36"/>
      <c r="J815" s="7" t="s">
        <v>28</v>
      </c>
      <c r="K815" s="7" t="s">
        <v>29</v>
      </c>
      <c r="L815" s="7" t="s">
        <v>30</v>
      </c>
      <c r="M815" s="7"/>
      <c r="N815" s="7"/>
      <c r="O815" s="6" t="s">
        <v>35</v>
      </c>
      <c r="P815" s="6" t="s">
        <v>36</v>
      </c>
      <c r="Q815" s="6" t="s">
        <v>37</v>
      </c>
      <c r="S815" s="36"/>
    </row>
    <row r="816" spans="1:20" ht="20.25" customHeight="1" x14ac:dyDescent="0.25">
      <c r="A816" s="27" t="s">
        <v>50</v>
      </c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</row>
    <row r="817" spans="1:19" ht="16.5" customHeight="1" x14ac:dyDescent="0.25">
      <c r="A817" s="9"/>
      <c r="B817" s="49" t="s">
        <v>51</v>
      </c>
      <c r="C817" s="50"/>
      <c r="D817" s="50"/>
      <c r="E817" s="50"/>
      <c r="F817" s="50"/>
      <c r="G817" s="51"/>
      <c r="H817" s="20"/>
      <c r="I817" s="9">
        <v>1</v>
      </c>
      <c r="J817" s="9"/>
      <c r="K817" s="9"/>
      <c r="L817" s="9"/>
      <c r="M817" s="9">
        <f t="shared" ref="M817:M825" si="98">I817*O817</f>
        <v>7.2</v>
      </c>
      <c r="N817" s="9">
        <f t="shared" ref="N817:N825" si="99">I817*P817</f>
        <v>3</v>
      </c>
      <c r="O817" s="9">
        <v>7.2</v>
      </c>
      <c r="P817" s="9">
        <v>3</v>
      </c>
      <c r="Q817" s="9" t="s">
        <v>6</v>
      </c>
      <c r="R817" s="1">
        <v>0</v>
      </c>
      <c r="S817" s="26"/>
    </row>
    <row r="818" spans="1:19" ht="16.5" customHeight="1" x14ac:dyDescent="0.25">
      <c r="A818" s="9"/>
      <c r="B818" s="49" t="s">
        <v>78</v>
      </c>
      <c r="C818" s="50"/>
      <c r="D818" s="50"/>
      <c r="E818" s="50"/>
      <c r="F818" s="50"/>
      <c r="G818" s="51"/>
      <c r="H818" s="20"/>
      <c r="I818" s="9">
        <v>3</v>
      </c>
      <c r="J818" s="9"/>
      <c r="K818" s="9"/>
      <c r="L818" s="9"/>
      <c r="M818" s="9">
        <f t="shared" si="98"/>
        <v>19.200000000000003</v>
      </c>
      <c r="N818" s="9">
        <f t="shared" si="99"/>
        <v>6</v>
      </c>
      <c r="O818" s="9">
        <v>6.4</v>
      </c>
      <c r="P818" s="9">
        <v>2</v>
      </c>
      <c r="Q818" s="9" t="s">
        <v>3</v>
      </c>
      <c r="R818" s="1">
        <v>0</v>
      </c>
      <c r="S818" s="26"/>
    </row>
    <row r="819" spans="1:19" ht="31.2" customHeight="1" x14ac:dyDescent="0.25">
      <c r="A819" s="9"/>
      <c r="B819" s="49" t="s">
        <v>53</v>
      </c>
      <c r="C819" s="50"/>
      <c r="D819" s="50"/>
      <c r="E819" s="50"/>
      <c r="F819" s="50"/>
      <c r="G819" s="51"/>
      <c r="H819" s="20"/>
      <c r="I819" s="9">
        <v>3</v>
      </c>
      <c r="J819" s="9"/>
      <c r="K819" s="9"/>
      <c r="L819" s="9"/>
      <c r="M819" s="9">
        <f t="shared" si="98"/>
        <v>24</v>
      </c>
      <c r="N819" s="9">
        <f t="shared" si="99"/>
        <v>10.5</v>
      </c>
      <c r="O819" s="9">
        <v>8</v>
      </c>
      <c r="P819" s="9">
        <v>3.5</v>
      </c>
      <c r="Q819" s="9" t="s">
        <v>9</v>
      </c>
      <c r="R819" s="1">
        <v>0</v>
      </c>
      <c r="S819" s="26"/>
    </row>
    <row r="820" spans="1:19" ht="16.5" customHeight="1" x14ac:dyDescent="0.25">
      <c r="A820" s="9"/>
      <c r="B820" s="49" t="s">
        <v>52</v>
      </c>
      <c r="C820" s="50"/>
      <c r="D820" s="50"/>
      <c r="E820" s="50"/>
      <c r="F820" s="50"/>
      <c r="G820" s="51"/>
      <c r="H820" s="20"/>
      <c r="I820" s="9">
        <v>1</v>
      </c>
      <c r="J820" s="9"/>
      <c r="K820" s="9"/>
      <c r="L820" s="9"/>
      <c r="M820" s="9">
        <f t="shared" si="98"/>
        <v>8</v>
      </c>
      <c r="N820" s="9">
        <f t="shared" si="99"/>
        <v>3.5</v>
      </c>
      <c r="O820" s="9">
        <v>8</v>
      </c>
      <c r="P820" s="9">
        <v>3.5</v>
      </c>
      <c r="Q820" s="9" t="s">
        <v>9</v>
      </c>
      <c r="R820" s="1">
        <v>0</v>
      </c>
      <c r="S820" s="26"/>
    </row>
    <row r="821" spans="1:19" ht="16.5" customHeight="1" x14ac:dyDescent="0.25">
      <c r="A821" s="9"/>
      <c r="B821" s="49" t="s">
        <v>55</v>
      </c>
      <c r="C821" s="50"/>
      <c r="D821" s="50"/>
      <c r="E821" s="50"/>
      <c r="F821" s="50"/>
      <c r="G821" s="51"/>
      <c r="H821" s="20"/>
      <c r="I821" s="9">
        <v>1</v>
      </c>
      <c r="J821" s="9"/>
      <c r="K821" s="9"/>
      <c r="L821" s="9"/>
      <c r="M821" s="9">
        <f t="shared" si="98"/>
        <v>6.5</v>
      </c>
      <c r="N821" s="9">
        <f t="shared" si="99"/>
        <v>2.5</v>
      </c>
      <c r="O821" s="9">
        <v>6.5</v>
      </c>
      <c r="P821" s="9">
        <v>2.5</v>
      </c>
      <c r="Q821" s="9" t="s">
        <v>5</v>
      </c>
      <c r="R821" s="1">
        <v>0</v>
      </c>
      <c r="S821" s="26"/>
    </row>
    <row r="822" spans="1:19" ht="16.5" customHeight="1" x14ac:dyDescent="0.25">
      <c r="A822" s="9"/>
      <c r="B822" s="49" t="s">
        <v>54</v>
      </c>
      <c r="C822" s="50"/>
      <c r="D822" s="50"/>
      <c r="E822" s="50"/>
      <c r="F822" s="50"/>
      <c r="G822" s="51"/>
      <c r="H822" s="20"/>
      <c r="I822" s="9">
        <v>3</v>
      </c>
      <c r="J822" s="9"/>
      <c r="K822" s="9"/>
      <c r="L822" s="9"/>
      <c r="M822" s="9">
        <f t="shared" si="98"/>
        <v>24.900000000000002</v>
      </c>
      <c r="N822" s="9">
        <f t="shared" si="99"/>
        <v>10.5</v>
      </c>
      <c r="O822" s="9">
        <v>8.3000000000000007</v>
      </c>
      <c r="P822" s="9">
        <v>3.5</v>
      </c>
      <c r="Q822" s="9" t="s">
        <v>9</v>
      </c>
      <c r="R822" s="1">
        <v>0</v>
      </c>
      <c r="S822" s="26"/>
    </row>
    <row r="823" spans="1:19" ht="16.5" customHeight="1" x14ac:dyDescent="0.25">
      <c r="A823" s="9"/>
      <c r="B823" s="49" t="s">
        <v>56</v>
      </c>
      <c r="C823" s="50"/>
      <c r="D823" s="50"/>
      <c r="E823" s="50"/>
      <c r="F823" s="50"/>
      <c r="G823" s="51"/>
      <c r="H823" s="20"/>
      <c r="I823" s="9">
        <v>2</v>
      </c>
      <c r="J823" s="9"/>
      <c r="K823" s="9"/>
      <c r="L823" s="9"/>
      <c r="M823" s="9">
        <f t="shared" si="98"/>
        <v>15.4</v>
      </c>
      <c r="N823" s="9">
        <f t="shared" si="99"/>
        <v>6</v>
      </c>
      <c r="O823" s="9">
        <v>7.7</v>
      </c>
      <c r="P823" s="9">
        <v>3</v>
      </c>
      <c r="Q823" s="9" t="s">
        <v>6</v>
      </c>
      <c r="R823" s="1">
        <v>0</v>
      </c>
      <c r="S823" s="26"/>
    </row>
    <row r="824" spans="1:19" ht="16.5" hidden="1" customHeight="1" x14ac:dyDescent="0.25">
      <c r="A824" s="21"/>
      <c r="H824" s="21"/>
      <c r="I824" s="21"/>
      <c r="J824" s="21"/>
      <c r="K824" s="21"/>
      <c r="L824" s="21"/>
      <c r="M824" s="9">
        <f t="shared" si="98"/>
        <v>0</v>
      </c>
      <c r="N824" s="9">
        <f t="shared" si="99"/>
        <v>0</v>
      </c>
      <c r="O824" s="21"/>
      <c r="P824" s="21"/>
      <c r="Q824" s="21"/>
      <c r="S824" s="25"/>
    </row>
    <row r="825" spans="1:19" ht="16.5" customHeight="1" x14ac:dyDescent="0.25">
      <c r="A825" s="9"/>
      <c r="B825" s="38" t="s">
        <v>42</v>
      </c>
      <c r="C825" s="39"/>
      <c r="D825" s="39"/>
      <c r="E825" s="39"/>
      <c r="F825" s="39"/>
      <c r="G825" s="40"/>
      <c r="H825" s="23"/>
      <c r="I825" s="24">
        <f>SUM(I817:I824)</f>
        <v>14</v>
      </c>
      <c r="J825" s="9"/>
      <c r="K825" s="9"/>
      <c r="L825" s="9"/>
      <c r="M825" s="9">
        <f t="shared" si="98"/>
        <v>105.14</v>
      </c>
      <c r="N825" s="9">
        <f t="shared" si="99"/>
        <v>42</v>
      </c>
      <c r="O825" s="24">
        <f>ROUND(SUM(M817:M824)/I825,2)</f>
        <v>7.51</v>
      </c>
      <c r="P825" s="24">
        <f>ROUND(SUM(N817:N824)/I825,2)</f>
        <v>3</v>
      </c>
      <c r="Q825" s="9"/>
      <c r="S825" s="25"/>
    </row>
    <row r="826" spans="1:19" ht="20.25" customHeight="1" x14ac:dyDescent="0.25">
      <c r="A826" s="27" t="s">
        <v>57</v>
      </c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</row>
    <row r="827" spans="1:19" ht="16.5" customHeight="1" x14ac:dyDescent="0.25">
      <c r="A827" s="9"/>
      <c r="B827" s="49" t="s">
        <v>136</v>
      </c>
      <c r="C827" s="50"/>
      <c r="D827" s="50"/>
      <c r="E827" s="50"/>
      <c r="F827" s="50"/>
      <c r="G827" s="51"/>
      <c r="H827" s="20"/>
      <c r="I827" s="9">
        <v>4</v>
      </c>
      <c r="J827" s="9"/>
      <c r="K827" s="9"/>
      <c r="L827" s="9"/>
      <c r="M827" s="9">
        <f t="shared" ref="M827:M835" si="100">I827*O827</f>
        <v>29.2</v>
      </c>
      <c r="N827" s="9">
        <f t="shared" ref="N827:N835" si="101">I827*P827</f>
        <v>12</v>
      </c>
      <c r="O827" s="9">
        <v>7.3</v>
      </c>
      <c r="P827" s="9">
        <v>3</v>
      </c>
      <c r="Q827" s="9" t="s">
        <v>6</v>
      </c>
      <c r="R827" s="1">
        <v>0</v>
      </c>
      <c r="S827" s="26"/>
    </row>
    <row r="828" spans="1:19" ht="16.5" customHeight="1" x14ac:dyDescent="0.25">
      <c r="A828" s="9"/>
      <c r="B828" s="49" t="s">
        <v>91</v>
      </c>
      <c r="C828" s="50"/>
      <c r="D828" s="50"/>
      <c r="E828" s="50"/>
      <c r="F828" s="50"/>
      <c r="G828" s="51"/>
      <c r="H828" s="20"/>
      <c r="I828" s="9">
        <v>4</v>
      </c>
      <c r="J828" s="9"/>
      <c r="K828" s="9"/>
      <c r="L828" s="9"/>
      <c r="M828" s="9">
        <f t="shared" si="100"/>
        <v>24.8</v>
      </c>
      <c r="N828" s="9">
        <f t="shared" si="101"/>
        <v>8</v>
      </c>
      <c r="O828" s="9">
        <v>6.2</v>
      </c>
      <c r="P828" s="9">
        <v>2</v>
      </c>
      <c r="Q828" s="9" t="s">
        <v>3</v>
      </c>
      <c r="R828" s="1">
        <v>0</v>
      </c>
      <c r="S828" s="26"/>
    </row>
    <row r="829" spans="1:19" ht="16.5" customHeight="1" x14ac:dyDescent="0.25">
      <c r="A829" s="9"/>
      <c r="B829" s="49" t="s">
        <v>60</v>
      </c>
      <c r="C829" s="50"/>
      <c r="D829" s="50"/>
      <c r="E829" s="50"/>
      <c r="F829" s="50"/>
      <c r="G829" s="51"/>
      <c r="H829" s="20"/>
      <c r="I829" s="9">
        <v>4</v>
      </c>
      <c r="J829" s="9"/>
      <c r="K829" s="9"/>
      <c r="L829" s="9"/>
      <c r="M829" s="9">
        <f t="shared" si="100"/>
        <v>31.2</v>
      </c>
      <c r="N829" s="9">
        <f t="shared" si="101"/>
        <v>12</v>
      </c>
      <c r="O829" s="9">
        <v>7.8</v>
      </c>
      <c r="P829" s="9">
        <v>3</v>
      </c>
      <c r="Q829" s="9" t="s">
        <v>6</v>
      </c>
      <c r="R829" s="1">
        <v>0</v>
      </c>
      <c r="S829" s="26"/>
    </row>
    <row r="830" spans="1:19" ht="16.5" customHeight="1" x14ac:dyDescent="0.25">
      <c r="A830" s="9"/>
      <c r="B830" s="49" t="s">
        <v>59</v>
      </c>
      <c r="C830" s="50"/>
      <c r="D830" s="50"/>
      <c r="E830" s="50"/>
      <c r="F830" s="50"/>
      <c r="G830" s="51"/>
      <c r="H830" s="20"/>
      <c r="I830" s="9">
        <v>1</v>
      </c>
      <c r="J830" s="9"/>
      <c r="K830" s="9"/>
      <c r="L830" s="9"/>
      <c r="M830" s="9">
        <f t="shared" si="100"/>
        <v>8.1999999999999993</v>
      </c>
      <c r="N830" s="9">
        <f t="shared" si="101"/>
        <v>3.5</v>
      </c>
      <c r="O830" s="9">
        <v>8.1999999999999993</v>
      </c>
      <c r="P830" s="9">
        <v>3.5</v>
      </c>
      <c r="Q830" s="9" t="s">
        <v>9</v>
      </c>
      <c r="R830" s="1">
        <v>0</v>
      </c>
      <c r="S830" s="26"/>
    </row>
    <row r="831" spans="1:19" ht="16.5" customHeight="1" x14ac:dyDescent="0.25">
      <c r="A831" s="9"/>
      <c r="B831" s="49" t="s">
        <v>58</v>
      </c>
      <c r="C831" s="50"/>
      <c r="D831" s="50"/>
      <c r="E831" s="50"/>
      <c r="F831" s="50"/>
      <c r="G831" s="51"/>
      <c r="H831" s="20"/>
      <c r="I831" s="9">
        <v>1</v>
      </c>
      <c r="J831" s="9"/>
      <c r="K831" s="9"/>
      <c r="L831" s="9"/>
      <c r="M831" s="9">
        <f t="shared" si="100"/>
        <v>8.1999999999999993</v>
      </c>
      <c r="N831" s="9">
        <f t="shared" si="101"/>
        <v>3.5</v>
      </c>
      <c r="O831" s="9">
        <v>8.1999999999999993</v>
      </c>
      <c r="P831" s="9">
        <v>3.5</v>
      </c>
      <c r="Q831" s="9" t="s">
        <v>9</v>
      </c>
      <c r="R831" s="1">
        <v>0</v>
      </c>
      <c r="S831" s="26"/>
    </row>
    <row r="832" spans="1:19" ht="16.5" customHeight="1" x14ac:dyDescent="0.25">
      <c r="A832" s="9"/>
      <c r="B832" s="49" t="s">
        <v>62</v>
      </c>
      <c r="C832" s="50"/>
      <c r="D832" s="50"/>
      <c r="E832" s="50"/>
      <c r="F832" s="50"/>
      <c r="G832" s="51"/>
      <c r="H832" s="20"/>
      <c r="I832" s="9">
        <v>1</v>
      </c>
      <c r="J832" s="9"/>
      <c r="K832" s="9"/>
      <c r="L832" s="9"/>
      <c r="M832" s="9">
        <f t="shared" si="100"/>
        <v>8</v>
      </c>
      <c r="N832" s="9">
        <f t="shared" si="101"/>
        <v>3.5</v>
      </c>
      <c r="O832" s="9">
        <v>8</v>
      </c>
      <c r="P832" s="9">
        <v>3.5</v>
      </c>
      <c r="Q832" s="9" t="s">
        <v>9</v>
      </c>
      <c r="R832" s="1">
        <v>0</v>
      </c>
      <c r="S832" s="26"/>
    </row>
    <row r="833" spans="1:19" ht="16.5" customHeight="1" x14ac:dyDescent="0.25">
      <c r="A833" s="9"/>
      <c r="B833" s="49" t="s">
        <v>61</v>
      </c>
      <c r="C833" s="50"/>
      <c r="D833" s="50"/>
      <c r="E833" s="50"/>
      <c r="F833" s="50"/>
      <c r="G833" s="51"/>
      <c r="H833" s="20"/>
      <c r="I833" s="9">
        <v>1</v>
      </c>
      <c r="J833" s="9"/>
      <c r="K833" s="9"/>
      <c r="L833" s="9"/>
      <c r="M833" s="9">
        <f t="shared" si="100"/>
        <v>8.1</v>
      </c>
      <c r="N833" s="9">
        <f t="shared" si="101"/>
        <v>3.5</v>
      </c>
      <c r="O833" s="9">
        <v>8.1</v>
      </c>
      <c r="P833" s="9">
        <v>3.5</v>
      </c>
      <c r="Q833" s="9" t="s">
        <v>9</v>
      </c>
      <c r="R833" s="1">
        <v>0</v>
      </c>
      <c r="S833" s="26"/>
    </row>
    <row r="834" spans="1:19" ht="16.5" hidden="1" customHeight="1" x14ac:dyDescent="0.25">
      <c r="A834" s="21"/>
      <c r="H834" s="21"/>
      <c r="I834" s="21"/>
      <c r="J834" s="21"/>
      <c r="K834" s="21"/>
      <c r="L834" s="21"/>
      <c r="M834" s="9">
        <f t="shared" si="100"/>
        <v>0</v>
      </c>
      <c r="N834" s="9">
        <f t="shared" si="101"/>
        <v>0</v>
      </c>
      <c r="O834" s="21"/>
      <c r="P834" s="21"/>
      <c r="Q834" s="21"/>
      <c r="S834" s="25"/>
    </row>
    <row r="835" spans="1:19" ht="16.5" customHeight="1" x14ac:dyDescent="0.25">
      <c r="A835" s="9"/>
      <c r="B835" s="38" t="s">
        <v>42</v>
      </c>
      <c r="C835" s="39"/>
      <c r="D835" s="39"/>
      <c r="E835" s="39"/>
      <c r="F835" s="39"/>
      <c r="G835" s="40"/>
      <c r="H835" s="23"/>
      <c r="I835" s="24">
        <f>SUM(I827:I834)</f>
        <v>16</v>
      </c>
      <c r="J835" s="9"/>
      <c r="K835" s="9"/>
      <c r="L835" s="9"/>
      <c r="M835" s="9">
        <f t="shared" si="100"/>
        <v>117.76</v>
      </c>
      <c r="N835" s="9">
        <f t="shared" si="101"/>
        <v>46.08</v>
      </c>
      <c r="O835" s="24">
        <f>ROUND(SUM(M827:M834)/I835,2)</f>
        <v>7.36</v>
      </c>
      <c r="P835" s="24">
        <f>ROUND(SUM(N827:N834)/I835,2)</f>
        <v>2.88</v>
      </c>
      <c r="Q835" s="9"/>
      <c r="S835" s="25"/>
    </row>
    <row r="836" spans="1:19" ht="20.25" customHeight="1" x14ac:dyDescent="0.25">
      <c r="A836" s="27" t="s">
        <v>67</v>
      </c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</row>
    <row r="837" spans="1:19" ht="16.5" customHeight="1" x14ac:dyDescent="0.25">
      <c r="A837" s="9"/>
      <c r="B837" s="49" t="s">
        <v>73</v>
      </c>
      <c r="C837" s="50"/>
      <c r="D837" s="50"/>
      <c r="E837" s="50"/>
      <c r="F837" s="50"/>
      <c r="G837" s="51"/>
      <c r="H837" s="20"/>
      <c r="I837" s="9">
        <v>4</v>
      </c>
      <c r="J837" s="9"/>
      <c r="K837" s="9"/>
      <c r="L837" s="9"/>
      <c r="M837" s="9">
        <f t="shared" ref="M837:M847" si="102">I837*O837</f>
        <v>31.2</v>
      </c>
      <c r="N837" s="9">
        <f t="shared" ref="N837:N847" si="103">I837*P837</f>
        <v>12</v>
      </c>
      <c r="O837" s="9">
        <v>7.8</v>
      </c>
      <c r="P837" s="9">
        <v>3</v>
      </c>
      <c r="Q837" s="9" t="s">
        <v>6</v>
      </c>
      <c r="R837" s="1">
        <v>0</v>
      </c>
      <c r="S837" s="26"/>
    </row>
    <row r="838" spans="1:19" ht="16.5" customHeight="1" x14ac:dyDescent="0.25">
      <c r="A838" s="9"/>
      <c r="B838" s="49" t="s">
        <v>68</v>
      </c>
      <c r="C838" s="50"/>
      <c r="D838" s="50"/>
      <c r="E838" s="50"/>
      <c r="F838" s="50"/>
      <c r="G838" s="51"/>
      <c r="H838" s="20"/>
      <c r="I838" s="9">
        <v>3</v>
      </c>
      <c r="J838" s="9"/>
      <c r="K838" s="9"/>
      <c r="L838" s="9"/>
      <c r="M838" s="9">
        <f t="shared" si="102"/>
        <v>24</v>
      </c>
      <c r="N838" s="9">
        <f t="shared" si="103"/>
        <v>10.5</v>
      </c>
      <c r="O838" s="9">
        <v>8</v>
      </c>
      <c r="P838" s="9">
        <v>3.5</v>
      </c>
      <c r="Q838" s="9" t="s">
        <v>9</v>
      </c>
      <c r="R838" s="1">
        <v>0</v>
      </c>
      <c r="S838" s="26"/>
    </row>
    <row r="839" spans="1:19" ht="16.5" customHeight="1" x14ac:dyDescent="0.25">
      <c r="A839" s="9"/>
      <c r="B839" s="49" t="s">
        <v>71</v>
      </c>
      <c r="C839" s="50"/>
      <c r="D839" s="50"/>
      <c r="E839" s="50"/>
      <c r="F839" s="50"/>
      <c r="G839" s="51"/>
      <c r="H839" s="20"/>
      <c r="I839" s="9">
        <v>1</v>
      </c>
      <c r="J839" s="9"/>
      <c r="K839" s="9"/>
      <c r="L839" s="9"/>
      <c r="M839" s="9">
        <f t="shared" si="102"/>
        <v>7.3</v>
      </c>
      <c r="N839" s="9">
        <f t="shared" si="103"/>
        <v>3</v>
      </c>
      <c r="O839" s="9">
        <v>7.3</v>
      </c>
      <c r="P839" s="9">
        <v>3</v>
      </c>
      <c r="Q839" s="9" t="s">
        <v>6</v>
      </c>
      <c r="R839" s="1">
        <v>0</v>
      </c>
      <c r="S839" s="26"/>
    </row>
    <row r="840" spans="1:19" ht="16.5" customHeight="1" x14ac:dyDescent="0.25">
      <c r="A840" s="9"/>
      <c r="B840" s="49" t="s">
        <v>70</v>
      </c>
      <c r="C840" s="50"/>
      <c r="D840" s="50"/>
      <c r="E840" s="50"/>
      <c r="F840" s="50"/>
      <c r="G840" s="51"/>
      <c r="H840" s="20"/>
      <c r="I840" s="9">
        <v>2</v>
      </c>
      <c r="J840" s="9"/>
      <c r="K840" s="9"/>
      <c r="L840" s="9"/>
      <c r="M840" s="9">
        <f t="shared" si="102"/>
        <v>15</v>
      </c>
      <c r="N840" s="9">
        <f t="shared" si="103"/>
        <v>6</v>
      </c>
      <c r="O840" s="9">
        <v>7.5</v>
      </c>
      <c r="P840" s="9">
        <v>3</v>
      </c>
      <c r="Q840" s="9" t="s">
        <v>6</v>
      </c>
      <c r="R840" s="1">
        <v>0</v>
      </c>
      <c r="S840" s="26"/>
    </row>
    <row r="841" spans="1:19" ht="16.5" customHeight="1" x14ac:dyDescent="0.25">
      <c r="A841" s="9"/>
      <c r="B841" s="49" t="s">
        <v>77</v>
      </c>
      <c r="C841" s="50"/>
      <c r="D841" s="50"/>
      <c r="E841" s="50"/>
      <c r="F841" s="50"/>
      <c r="G841" s="51"/>
      <c r="H841" s="20"/>
      <c r="I841" s="9">
        <v>1</v>
      </c>
      <c r="J841" s="9"/>
      <c r="K841" s="9"/>
      <c r="L841" s="9"/>
      <c r="M841" s="9">
        <f t="shared" si="102"/>
        <v>0</v>
      </c>
      <c r="N841" s="9">
        <f t="shared" si="103"/>
        <v>0</v>
      </c>
      <c r="O841" s="9"/>
      <c r="P841" s="9"/>
      <c r="Q841" s="9"/>
      <c r="R841" s="1">
        <v>0</v>
      </c>
      <c r="S841" s="26"/>
    </row>
    <row r="842" spans="1:19" ht="16.5" customHeight="1" x14ac:dyDescent="0.25">
      <c r="A842" s="9"/>
      <c r="B842" s="49" t="s">
        <v>72</v>
      </c>
      <c r="C842" s="50"/>
      <c r="D842" s="50"/>
      <c r="E842" s="50"/>
      <c r="F842" s="50"/>
      <c r="G842" s="51"/>
      <c r="H842" s="20"/>
      <c r="I842" s="9">
        <v>4</v>
      </c>
      <c r="J842" s="9"/>
      <c r="K842" s="9"/>
      <c r="L842" s="9"/>
      <c r="M842" s="9">
        <f t="shared" si="102"/>
        <v>30</v>
      </c>
      <c r="N842" s="9">
        <f t="shared" si="103"/>
        <v>12</v>
      </c>
      <c r="O842" s="9">
        <v>7.5</v>
      </c>
      <c r="P842" s="9">
        <v>3</v>
      </c>
      <c r="Q842" s="9" t="s">
        <v>6</v>
      </c>
      <c r="R842" s="1">
        <v>0</v>
      </c>
      <c r="S842" s="26"/>
    </row>
    <row r="843" spans="1:19" ht="16.5" customHeight="1" x14ac:dyDescent="0.25">
      <c r="A843" s="9"/>
      <c r="B843" s="49" t="s">
        <v>74</v>
      </c>
      <c r="C843" s="50"/>
      <c r="D843" s="50"/>
      <c r="E843" s="50"/>
      <c r="F843" s="50"/>
      <c r="G843" s="51"/>
      <c r="H843" s="20"/>
      <c r="I843" s="9">
        <v>3</v>
      </c>
      <c r="J843" s="9"/>
      <c r="K843" s="9"/>
      <c r="L843" s="9"/>
      <c r="M843" s="9">
        <f t="shared" si="102"/>
        <v>21.9</v>
      </c>
      <c r="N843" s="9">
        <f t="shared" si="103"/>
        <v>9</v>
      </c>
      <c r="O843" s="9">
        <v>7.3</v>
      </c>
      <c r="P843" s="9">
        <v>3</v>
      </c>
      <c r="Q843" s="9" t="s">
        <v>6</v>
      </c>
      <c r="R843" s="1">
        <v>0</v>
      </c>
      <c r="S843" s="26"/>
    </row>
    <row r="844" spans="1:19" ht="16.5" customHeight="1" x14ac:dyDescent="0.25">
      <c r="A844" s="9"/>
      <c r="B844" s="49" t="s">
        <v>76</v>
      </c>
      <c r="C844" s="50"/>
      <c r="D844" s="50"/>
      <c r="E844" s="50"/>
      <c r="F844" s="50"/>
      <c r="G844" s="51"/>
      <c r="H844" s="20"/>
      <c r="I844" s="9">
        <v>4</v>
      </c>
      <c r="J844" s="9"/>
      <c r="K844" s="9"/>
      <c r="L844" s="9"/>
      <c r="M844" s="9">
        <f t="shared" si="102"/>
        <v>32</v>
      </c>
      <c r="N844" s="9">
        <f t="shared" si="103"/>
        <v>14</v>
      </c>
      <c r="O844" s="9">
        <v>8</v>
      </c>
      <c r="P844" s="9">
        <v>3.5</v>
      </c>
      <c r="Q844" s="9" t="s">
        <v>9</v>
      </c>
      <c r="R844" s="1">
        <v>0</v>
      </c>
      <c r="S844" s="26"/>
    </row>
    <row r="845" spans="1:19" ht="16.5" customHeight="1" x14ac:dyDescent="0.25">
      <c r="A845" s="9"/>
      <c r="B845" s="49" t="s">
        <v>80</v>
      </c>
      <c r="C845" s="50"/>
      <c r="D845" s="50"/>
      <c r="E845" s="50"/>
      <c r="F845" s="50"/>
      <c r="G845" s="51"/>
      <c r="H845" s="20"/>
      <c r="I845" s="9">
        <v>4</v>
      </c>
      <c r="J845" s="9"/>
      <c r="K845" s="9"/>
      <c r="L845" s="9"/>
      <c r="M845" s="9">
        <f t="shared" si="102"/>
        <v>10</v>
      </c>
      <c r="N845" s="9">
        <f t="shared" si="103"/>
        <v>0</v>
      </c>
      <c r="O845" s="9">
        <v>2.5</v>
      </c>
      <c r="P845" s="9">
        <v>0</v>
      </c>
      <c r="Q845" s="9" t="s">
        <v>7</v>
      </c>
      <c r="R845" s="1">
        <v>0</v>
      </c>
      <c r="S845" s="26"/>
    </row>
    <row r="846" spans="1:19" ht="16.5" hidden="1" customHeight="1" x14ac:dyDescent="0.25">
      <c r="A846" s="21"/>
      <c r="H846" s="21"/>
      <c r="I846" s="21"/>
      <c r="J846" s="21"/>
      <c r="K846" s="21"/>
      <c r="L846" s="21"/>
      <c r="M846" s="9">
        <f t="shared" si="102"/>
        <v>0</v>
      </c>
      <c r="N846" s="9">
        <f t="shared" si="103"/>
        <v>0</v>
      </c>
      <c r="O846" s="21"/>
      <c r="P846" s="21"/>
      <c r="Q846" s="21"/>
      <c r="S846" s="25"/>
    </row>
    <row r="847" spans="1:19" ht="16.5" customHeight="1" x14ac:dyDescent="0.25">
      <c r="A847" s="9"/>
      <c r="B847" s="38" t="s">
        <v>42</v>
      </c>
      <c r="C847" s="39"/>
      <c r="D847" s="39"/>
      <c r="E847" s="39"/>
      <c r="F847" s="39"/>
      <c r="G847" s="40"/>
      <c r="H847" s="23"/>
      <c r="I847" s="24">
        <f>SUM(I837:I846)</f>
        <v>26</v>
      </c>
      <c r="J847" s="9"/>
      <c r="K847" s="9"/>
      <c r="L847" s="9"/>
      <c r="M847" s="9">
        <f t="shared" si="102"/>
        <v>171.34</v>
      </c>
      <c r="N847" s="9">
        <f t="shared" si="103"/>
        <v>66.56</v>
      </c>
      <c r="O847" s="24">
        <f>ROUND(SUM(M837:M846)/I847,2)</f>
        <v>6.59</v>
      </c>
      <c r="P847" s="24">
        <f>ROUND(SUM(N837:N846)/I847,2)</f>
        <v>2.56</v>
      </c>
      <c r="Q847" s="9"/>
      <c r="S847" s="25"/>
    </row>
    <row r="848" spans="1:19" ht="20.25" customHeight="1" x14ac:dyDescent="0.25">
      <c r="A848" s="27" t="s">
        <v>81</v>
      </c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</row>
    <row r="849" spans="1:19" ht="16.5" customHeight="1" x14ac:dyDescent="0.25">
      <c r="A849" s="9"/>
      <c r="B849" s="49" t="s">
        <v>77</v>
      </c>
      <c r="C849" s="50"/>
      <c r="D849" s="50"/>
      <c r="E849" s="50"/>
      <c r="F849" s="50"/>
      <c r="G849" s="51"/>
      <c r="H849" s="20"/>
      <c r="I849" s="9">
        <v>1</v>
      </c>
      <c r="J849" s="9"/>
      <c r="K849" s="9"/>
      <c r="L849" s="9"/>
      <c r="M849" s="9">
        <f>I849*O849</f>
        <v>6.7</v>
      </c>
      <c r="N849" s="9">
        <f>I849*P849</f>
        <v>2.5</v>
      </c>
      <c r="O849" s="9">
        <v>6.7</v>
      </c>
      <c r="P849" s="9">
        <v>2.5</v>
      </c>
      <c r="Q849" s="9" t="s">
        <v>5</v>
      </c>
      <c r="R849" s="1">
        <v>0</v>
      </c>
      <c r="S849" s="26"/>
    </row>
    <row r="850" spans="1:19" ht="16.5" customHeight="1" x14ac:dyDescent="0.25">
      <c r="A850" s="9"/>
      <c r="B850" s="49" t="s">
        <v>80</v>
      </c>
      <c r="C850" s="50"/>
      <c r="D850" s="50"/>
      <c r="E850" s="50"/>
      <c r="F850" s="50"/>
      <c r="G850" s="51"/>
      <c r="H850" s="20"/>
      <c r="I850" s="9">
        <v>4</v>
      </c>
      <c r="J850" s="9"/>
      <c r="K850" s="9"/>
      <c r="L850" s="9"/>
      <c r="M850" s="9">
        <f>I850*O850</f>
        <v>22.8</v>
      </c>
      <c r="N850" s="9">
        <f>I850*P850</f>
        <v>8</v>
      </c>
      <c r="O850" s="9">
        <v>5.7</v>
      </c>
      <c r="P850" s="9">
        <v>2</v>
      </c>
      <c r="Q850" s="9" t="s">
        <v>3</v>
      </c>
      <c r="S850" s="26" t="s">
        <v>85</v>
      </c>
    </row>
    <row r="851" spans="1:19" ht="16.5" hidden="1" customHeight="1" x14ac:dyDescent="0.25">
      <c r="A851" s="21"/>
      <c r="H851" s="21"/>
      <c r="I851" s="21"/>
      <c r="J851" s="21"/>
      <c r="K851" s="21"/>
      <c r="L851" s="21"/>
      <c r="M851" s="9">
        <f>I851*O851</f>
        <v>0</v>
      </c>
      <c r="N851" s="9">
        <f>I851*P851</f>
        <v>0</v>
      </c>
      <c r="O851" s="21"/>
      <c r="P851" s="21"/>
      <c r="Q851" s="21"/>
      <c r="S851" s="25"/>
    </row>
    <row r="852" spans="1:19" ht="16.5" customHeight="1" x14ac:dyDescent="0.25">
      <c r="A852" s="9"/>
      <c r="B852" s="38" t="s">
        <v>42</v>
      </c>
      <c r="C852" s="39"/>
      <c r="D852" s="39"/>
      <c r="E852" s="39"/>
      <c r="F852" s="39"/>
      <c r="G852" s="40"/>
      <c r="H852" s="23"/>
      <c r="I852" s="24">
        <f>SUM(I849:I851)</f>
        <v>5</v>
      </c>
      <c r="J852" s="9"/>
      <c r="K852" s="9"/>
      <c r="L852" s="9"/>
      <c r="M852" s="9">
        <f>I852*O852</f>
        <v>29.5</v>
      </c>
      <c r="N852" s="9">
        <f>I852*P852</f>
        <v>10.5</v>
      </c>
      <c r="O852" s="24">
        <f>ROUND(SUM(M849:M851)/I852,2)</f>
        <v>5.9</v>
      </c>
      <c r="P852" s="24">
        <f>ROUND(SUM(N849:N851)/I852,2)</f>
        <v>2.1</v>
      </c>
      <c r="Q852" s="9"/>
      <c r="S852" s="25"/>
    </row>
    <row r="853" spans="1:19" ht="20.25" customHeight="1" x14ac:dyDescent="0.25">
      <c r="A853" s="27" t="s">
        <v>82</v>
      </c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</row>
    <row r="854" spans="1:19" ht="15" customHeight="1" x14ac:dyDescent="0.25">
      <c r="A854" s="35" t="s">
        <v>0</v>
      </c>
      <c r="B854" s="29" t="s">
        <v>1</v>
      </c>
      <c r="C854" s="30"/>
      <c r="D854" s="30"/>
      <c r="E854" s="30"/>
      <c r="F854" s="30"/>
      <c r="G854" s="31"/>
      <c r="H854" s="35" t="s">
        <v>32</v>
      </c>
      <c r="I854" s="35" t="s">
        <v>39</v>
      </c>
      <c r="J854" s="53" t="s">
        <v>2</v>
      </c>
      <c r="K854" s="54"/>
      <c r="L854" s="54"/>
      <c r="M854" s="54"/>
      <c r="N854" s="54"/>
      <c r="O854" s="54"/>
      <c r="P854" s="54"/>
      <c r="Q854" s="55"/>
      <c r="S854" s="35" t="s">
        <v>38</v>
      </c>
    </row>
    <row r="855" spans="1:19" ht="24" customHeight="1" x14ac:dyDescent="0.25">
      <c r="A855" s="36"/>
      <c r="B855" s="32"/>
      <c r="C855" s="33"/>
      <c r="D855" s="33"/>
      <c r="E855" s="33"/>
      <c r="F855" s="33"/>
      <c r="G855" s="34"/>
      <c r="H855" s="36"/>
      <c r="I855" s="36"/>
      <c r="J855" s="7" t="s">
        <v>28</v>
      </c>
      <c r="K855" s="7" t="s">
        <v>29</v>
      </c>
      <c r="L855" s="7" t="s">
        <v>30</v>
      </c>
      <c r="M855" s="7"/>
      <c r="N855" s="7"/>
      <c r="O855" s="6" t="s">
        <v>35</v>
      </c>
      <c r="P855" s="6" t="s">
        <v>36</v>
      </c>
      <c r="Q855" s="6" t="s">
        <v>37</v>
      </c>
      <c r="S855" s="36"/>
    </row>
    <row r="856" spans="1:19" ht="16.5" customHeight="1" x14ac:dyDescent="0.25">
      <c r="A856" s="9"/>
      <c r="B856" s="49" t="s">
        <v>86</v>
      </c>
      <c r="C856" s="50"/>
      <c r="D856" s="50"/>
      <c r="E856" s="50"/>
      <c r="F856" s="50"/>
      <c r="G856" s="51"/>
      <c r="H856" s="20"/>
      <c r="I856" s="9">
        <v>3</v>
      </c>
      <c r="J856" s="9"/>
      <c r="K856" s="9"/>
      <c r="L856" s="9"/>
      <c r="M856" s="9">
        <f t="shared" ref="M856:M867" si="104">I856*O856</f>
        <v>21.299999999999997</v>
      </c>
      <c r="N856" s="9">
        <f t="shared" ref="N856:N867" si="105">I856*P856</f>
        <v>9</v>
      </c>
      <c r="O856" s="9">
        <v>7.1</v>
      </c>
      <c r="P856" s="9">
        <v>3</v>
      </c>
      <c r="Q856" s="9" t="s">
        <v>6</v>
      </c>
      <c r="S856" s="26" t="s">
        <v>85</v>
      </c>
    </row>
    <row r="857" spans="1:19" ht="16.5" customHeight="1" x14ac:dyDescent="0.25">
      <c r="A857" s="9"/>
      <c r="B857" s="49" t="s">
        <v>83</v>
      </c>
      <c r="C857" s="50"/>
      <c r="D857" s="50"/>
      <c r="E857" s="50"/>
      <c r="F857" s="50"/>
      <c r="G857" s="51"/>
      <c r="H857" s="20"/>
      <c r="I857" s="9">
        <v>1</v>
      </c>
      <c r="J857" s="9"/>
      <c r="K857" s="9"/>
      <c r="L857" s="9"/>
      <c r="M857" s="9">
        <f t="shared" si="104"/>
        <v>9.9</v>
      </c>
      <c r="N857" s="9">
        <f t="shared" si="105"/>
        <v>4</v>
      </c>
      <c r="O857" s="9">
        <v>9.9</v>
      </c>
      <c r="P857" s="9">
        <v>4</v>
      </c>
      <c r="Q857" s="9" t="s">
        <v>12</v>
      </c>
      <c r="S857" s="26" t="s">
        <v>85</v>
      </c>
    </row>
    <row r="858" spans="1:19" ht="16.5" customHeight="1" x14ac:dyDescent="0.25">
      <c r="A858" s="9"/>
      <c r="B858" s="49" t="s">
        <v>75</v>
      </c>
      <c r="C858" s="50"/>
      <c r="D858" s="50"/>
      <c r="E858" s="50"/>
      <c r="F858" s="50"/>
      <c r="G858" s="51"/>
      <c r="H858" s="20"/>
      <c r="I858" s="9">
        <v>3</v>
      </c>
      <c r="J858" s="9"/>
      <c r="K858" s="9"/>
      <c r="L858" s="9"/>
      <c r="M858" s="9">
        <f t="shared" si="104"/>
        <v>22.799999999999997</v>
      </c>
      <c r="N858" s="9">
        <f t="shared" si="105"/>
        <v>9</v>
      </c>
      <c r="O858" s="9">
        <v>7.6</v>
      </c>
      <c r="P858" s="9">
        <v>3</v>
      </c>
      <c r="Q858" s="9" t="s">
        <v>6</v>
      </c>
      <c r="S858" s="26" t="s">
        <v>85</v>
      </c>
    </row>
    <row r="859" spans="1:19" ht="16.5" customHeight="1" x14ac:dyDescent="0.25">
      <c r="A859" s="9"/>
      <c r="B859" s="49" t="s">
        <v>93</v>
      </c>
      <c r="C859" s="50"/>
      <c r="D859" s="50"/>
      <c r="E859" s="50"/>
      <c r="F859" s="50"/>
      <c r="G859" s="51"/>
      <c r="H859" s="20"/>
      <c r="I859" s="9">
        <v>2</v>
      </c>
      <c r="J859" s="9"/>
      <c r="K859" s="9"/>
      <c r="L859" s="9"/>
      <c r="M859" s="9">
        <f t="shared" si="104"/>
        <v>15.8</v>
      </c>
      <c r="N859" s="9">
        <f t="shared" si="105"/>
        <v>6</v>
      </c>
      <c r="O859" s="9">
        <v>7.9</v>
      </c>
      <c r="P859" s="9">
        <v>3</v>
      </c>
      <c r="Q859" s="9" t="s">
        <v>6</v>
      </c>
      <c r="S859" s="26" t="s">
        <v>85</v>
      </c>
    </row>
    <row r="860" spans="1:19" ht="16.5" customHeight="1" x14ac:dyDescent="0.25">
      <c r="A860" s="9"/>
      <c r="B860" s="49" t="s">
        <v>90</v>
      </c>
      <c r="C860" s="50"/>
      <c r="D860" s="50"/>
      <c r="E860" s="50"/>
      <c r="F860" s="50"/>
      <c r="G860" s="51"/>
      <c r="H860" s="20"/>
      <c r="I860" s="9">
        <v>2</v>
      </c>
      <c r="J860" s="9"/>
      <c r="K860" s="9"/>
      <c r="L860" s="9"/>
      <c r="M860" s="9">
        <f t="shared" si="104"/>
        <v>16.2</v>
      </c>
      <c r="N860" s="9">
        <f t="shared" si="105"/>
        <v>7</v>
      </c>
      <c r="O860" s="9">
        <v>8.1</v>
      </c>
      <c r="P860" s="9">
        <v>3.5</v>
      </c>
      <c r="Q860" s="9" t="s">
        <v>9</v>
      </c>
      <c r="S860" s="26" t="s">
        <v>85</v>
      </c>
    </row>
    <row r="861" spans="1:19" ht="16.5" customHeight="1" x14ac:dyDescent="0.25">
      <c r="A861" s="9"/>
      <c r="B861" s="49" t="s">
        <v>95</v>
      </c>
      <c r="C861" s="50"/>
      <c r="D861" s="50"/>
      <c r="E861" s="50"/>
      <c r="F861" s="50"/>
      <c r="G861" s="51"/>
      <c r="H861" s="20"/>
      <c r="I861" s="9">
        <v>1</v>
      </c>
      <c r="J861" s="9"/>
      <c r="K861" s="9"/>
      <c r="L861" s="9"/>
      <c r="M861" s="9">
        <f t="shared" si="104"/>
        <v>7.5</v>
      </c>
      <c r="N861" s="9">
        <f t="shared" si="105"/>
        <v>3</v>
      </c>
      <c r="O861" s="9">
        <v>7.5</v>
      </c>
      <c r="P861" s="9">
        <v>3</v>
      </c>
      <c r="Q861" s="9" t="s">
        <v>6</v>
      </c>
      <c r="S861" s="26" t="s">
        <v>85</v>
      </c>
    </row>
    <row r="862" spans="1:19" ht="16.5" customHeight="1" x14ac:dyDescent="0.25">
      <c r="A862" s="9"/>
      <c r="B862" s="49" t="s">
        <v>88</v>
      </c>
      <c r="C862" s="50"/>
      <c r="D862" s="50"/>
      <c r="E862" s="50"/>
      <c r="F862" s="50"/>
      <c r="G862" s="51"/>
      <c r="H862" s="20"/>
      <c r="I862" s="9">
        <v>2</v>
      </c>
      <c r="J862" s="9"/>
      <c r="K862" s="9"/>
      <c r="L862" s="9"/>
      <c r="M862" s="9">
        <f t="shared" si="104"/>
        <v>16</v>
      </c>
      <c r="N862" s="9">
        <f t="shared" si="105"/>
        <v>7</v>
      </c>
      <c r="O862" s="9">
        <v>8</v>
      </c>
      <c r="P862" s="9">
        <v>3.5</v>
      </c>
      <c r="Q862" s="9" t="s">
        <v>9</v>
      </c>
      <c r="S862" s="26" t="s">
        <v>85</v>
      </c>
    </row>
    <row r="863" spans="1:19" ht="16.5" customHeight="1" x14ac:dyDescent="0.25">
      <c r="A863" s="9"/>
      <c r="B863" s="49" t="s">
        <v>89</v>
      </c>
      <c r="C863" s="50"/>
      <c r="D863" s="50"/>
      <c r="E863" s="50"/>
      <c r="F863" s="50"/>
      <c r="G863" s="51"/>
      <c r="H863" s="20"/>
      <c r="I863" s="9">
        <v>2</v>
      </c>
      <c r="J863" s="9"/>
      <c r="K863" s="9"/>
      <c r="L863" s="9"/>
      <c r="M863" s="9">
        <f t="shared" si="104"/>
        <v>17</v>
      </c>
      <c r="N863" s="9">
        <f t="shared" si="105"/>
        <v>7.4</v>
      </c>
      <c r="O863" s="9">
        <v>8.5</v>
      </c>
      <c r="P863" s="9">
        <v>3.7</v>
      </c>
      <c r="Q863" s="9" t="s">
        <v>10</v>
      </c>
      <c r="S863" s="26" t="s">
        <v>85</v>
      </c>
    </row>
    <row r="864" spans="1:19" ht="16.5" customHeight="1" x14ac:dyDescent="0.25">
      <c r="A864" s="9"/>
      <c r="B864" s="49" t="s">
        <v>92</v>
      </c>
      <c r="C864" s="50"/>
      <c r="D864" s="50"/>
      <c r="E864" s="50"/>
      <c r="F864" s="50"/>
      <c r="G864" s="51"/>
      <c r="H864" s="20"/>
      <c r="I864" s="9">
        <v>4</v>
      </c>
      <c r="J864" s="9"/>
      <c r="K864" s="9"/>
      <c r="L864" s="9"/>
      <c r="M864" s="9">
        <f t="shared" si="104"/>
        <v>32.4</v>
      </c>
      <c r="N864" s="9">
        <f t="shared" si="105"/>
        <v>14</v>
      </c>
      <c r="O864" s="9">
        <v>8.1</v>
      </c>
      <c r="P864" s="9">
        <v>3.5</v>
      </c>
      <c r="Q864" s="9" t="s">
        <v>9</v>
      </c>
      <c r="S864" s="26" t="s">
        <v>85</v>
      </c>
    </row>
    <row r="865" spans="1:19" ht="16.5" customHeight="1" x14ac:dyDescent="0.25">
      <c r="A865" s="9"/>
      <c r="B865" s="49" t="s">
        <v>84</v>
      </c>
      <c r="C865" s="50"/>
      <c r="D865" s="50"/>
      <c r="E865" s="50"/>
      <c r="F865" s="50"/>
      <c r="G865" s="51"/>
      <c r="H865" s="20"/>
      <c r="I865" s="9">
        <v>3</v>
      </c>
      <c r="J865" s="9"/>
      <c r="K865" s="9"/>
      <c r="L865" s="9"/>
      <c r="M865" s="9">
        <f t="shared" si="104"/>
        <v>25.200000000000003</v>
      </c>
      <c r="N865" s="9">
        <f t="shared" si="105"/>
        <v>10.5</v>
      </c>
      <c r="O865" s="9">
        <v>8.4</v>
      </c>
      <c r="P865" s="9">
        <v>3.5</v>
      </c>
      <c r="Q865" s="9" t="s">
        <v>9</v>
      </c>
      <c r="S865" s="26" t="s">
        <v>85</v>
      </c>
    </row>
    <row r="866" spans="1:19" ht="16.5" hidden="1" customHeight="1" x14ac:dyDescent="0.25">
      <c r="A866" s="21"/>
      <c r="H866" s="21"/>
      <c r="I866" s="21"/>
      <c r="J866" s="21"/>
      <c r="K866" s="21"/>
      <c r="L866" s="21"/>
      <c r="M866" s="9">
        <f t="shared" si="104"/>
        <v>0</v>
      </c>
      <c r="N866" s="9">
        <f t="shared" si="105"/>
        <v>0</v>
      </c>
      <c r="O866" s="21"/>
      <c r="P866" s="21"/>
      <c r="Q866" s="21"/>
      <c r="S866" s="25"/>
    </row>
    <row r="867" spans="1:19" ht="16.5" customHeight="1" x14ac:dyDescent="0.25">
      <c r="A867" s="9"/>
      <c r="B867" s="38" t="s">
        <v>42</v>
      </c>
      <c r="C867" s="39"/>
      <c r="D867" s="39"/>
      <c r="E867" s="39"/>
      <c r="F867" s="39"/>
      <c r="G867" s="40"/>
      <c r="H867" s="23"/>
      <c r="I867" s="24">
        <f>SUM(I856:I866)</f>
        <v>23</v>
      </c>
      <c r="J867" s="9"/>
      <c r="K867" s="9"/>
      <c r="L867" s="9"/>
      <c r="M867" s="9">
        <f t="shared" si="104"/>
        <v>184</v>
      </c>
      <c r="N867" s="9">
        <f t="shared" si="105"/>
        <v>76.819999999999993</v>
      </c>
      <c r="O867" s="24">
        <f>ROUND(SUM(M856:M866)/I867,2)</f>
        <v>8</v>
      </c>
      <c r="P867" s="24">
        <f>ROUND(SUM(N856:N866)/I867,2)</f>
        <v>3.34</v>
      </c>
      <c r="Q867" s="9"/>
      <c r="S867" s="25"/>
    </row>
    <row r="868" spans="1:19" ht="20.25" customHeight="1" x14ac:dyDescent="0.25">
      <c r="A868" s="27" t="s">
        <v>96</v>
      </c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</row>
    <row r="869" spans="1:19" ht="16.5" customHeight="1" x14ac:dyDescent="0.25">
      <c r="A869" s="9"/>
      <c r="B869" s="49" t="s">
        <v>97</v>
      </c>
      <c r="C869" s="50"/>
      <c r="D869" s="50"/>
      <c r="E869" s="50"/>
      <c r="F869" s="50"/>
      <c r="G869" s="51"/>
      <c r="H869" s="20"/>
      <c r="I869" s="9">
        <v>2</v>
      </c>
      <c r="J869" s="9"/>
      <c r="K869" s="9"/>
      <c r="L869" s="9"/>
      <c r="M869" s="9">
        <f t="shared" ref="M869:M881" si="106">I869*O869</f>
        <v>16.2</v>
      </c>
      <c r="N869" s="9">
        <f t="shared" ref="N869:N881" si="107">I869*P869</f>
        <v>7</v>
      </c>
      <c r="O869" s="9">
        <v>8.1</v>
      </c>
      <c r="P869" s="9">
        <v>3.5</v>
      </c>
      <c r="Q869" s="9" t="s">
        <v>9</v>
      </c>
      <c r="S869" s="26" t="s">
        <v>85</v>
      </c>
    </row>
    <row r="870" spans="1:19" ht="16.5" customHeight="1" x14ac:dyDescent="0.25">
      <c r="A870" s="9"/>
      <c r="B870" s="49" t="s">
        <v>99</v>
      </c>
      <c r="C870" s="50"/>
      <c r="D870" s="50"/>
      <c r="E870" s="50"/>
      <c r="F870" s="50"/>
      <c r="G870" s="51"/>
      <c r="H870" s="20"/>
      <c r="I870" s="9">
        <v>2</v>
      </c>
      <c r="J870" s="9"/>
      <c r="K870" s="9"/>
      <c r="L870" s="9"/>
      <c r="M870" s="9">
        <f t="shared" si="106"/>
        <v>13</v>
      </c>
      <c r="N870" s="9">
        <f t="shared" si="107"/>
        <v>5</v>
      </c>
      <c r="O870" s="9">
        <v>6.5</v>
      </c>
      <c r="P870" s="9">
        <v>2.5</v>
      </c>
      <c r="Q870" s="9" t="s">
        <v>5</v>
      </c>
      <c r="S870" s="26" t="s">
        <v>85</v>
      </c>
    </row>
    <row r="871" spans="1:19" ht="16.5" customHeight="1" x14ac:dyDescent="0.25">
      <c r="A871" s="9"/>
      <c r="B871" s="49" t="s">
        <v>98</v>
      </c>
      <c r="C871" s="50"/>
      <c r="D871" s="50"/>
      <c r="E871" s="50"/>
      <c r="F871" s="50"/>
      <c r="G871" s="51"/>
      <c r="H871" s="20"/>
      <c r="I871" s="9">
        <v>3</v>
      </c>
      <c r="J871" s="9"/>
      <c r="K871" s="9"/>
      <c r="L871" s="9"/>
      <c r="M871" s="9">
        <f t="shared" si="106"/>
        <v>21.9</v>
      </c>
      <c r="N871" s="9">
        <f t="shared" si="107"/>
        <v>9</v>
      </c>
      <c r="O871" s="9">
        <v>7.3</v>
      </c>
      <c r="P871" s="9">
        <v>3</v>
      </c>
      <c r="Q871" s="9" t="s">
        <v>6</v>
      </c>
      <c r="S871" s="26" t="s">
        <v>85</v>
      </c>
    </row>
    <row r="872" spans="1:19" ht="16.5" customHeight="1" x14ac:dyDescent="0.25">
      <c r="A872" s="9"/>
      <c r="B872" s="49" t="s">
        <v>79</v>
      </c>
      <c r="C872" s="50"/>
      <c r="D872" s="50"/>
      <c r="E872" s="50"/>
      <c r="F872" s="50"/>
      <c r="G872" s="51"/>
      <c r="H872" s="20"/>
      <c r="I872" s="9">
        <v>2</v>
      </c>
      <c r="J872" s="9"/>
      <c r="K872" s="9"/>
      <c r="L872" s="9"/>
      <c r="M872" s="9">
        <f t="shared" si="106"/>
        <v>16</v>
      </c>
      <c r="N872" s="9">
        <f t="shared" si="107"/>
        <v>7</v>
      </c>
      <c r="O872" s="9">
        <v>8</v>
      </c>
      <c r="P872" s="9">
        <v>3.5</v>
      </c>
      <c r="Q872" s="9" t="s">
        <v>9</v>
      </c>
      <c r="S872" s="26" t="s">
        <v>85</v>
      </c>
    </row>
    <row r="873" spans="1:19" ht="16.5" customHeight="1" x14ac:dyDescent="0.25">
      <c r="A873" s="9"/>
      <c r="B873" s="49" t="s">
        <v>69</v>
      </c>
      <c r="C873" s="50"/>
      <c r="D873" s="50"/>
      <c r="E873" s="50"/>
      <c r="F873" s="50"/>
      <c r="G873" s="51"/>
      <c r="H873" s="20"/>
      <c r="I873" s="9">
        <v>1</v>
      </c>
      <c r="J873" s="9"/>
      <c r="K873" s="9"/>
      <c r="L873" s="9"/>
      <c r="M873" s="9">
        <f t="shared" si="106"/>
        <v>8</v>
      </c>
      <c r="N873" s="9">
        <f t="shared" si="107"/>
        <v>3.5</v>
      </c>
      <c r="O873" s="9">
        <v>8</v>
      </c>
      <c r="P873" s="9">
        <v>3.5</v>
      </c>
      <c r="Q873" s="9" t="s">
        <v>9</v>
      </c>
      <c r="S873" s="26" t="s">
        <v>85</v>
      </c>
    </row>
    <row r="874" spans="1:19" ht="16.5" customHeight="1" x14ac:dyDescent="0.25">
      <c r="A874" s="9"/>
      <c r="B874" s="49" t="s">
        <v>105</v>
      </c>
      <c r="C874" s="50"/>
      <c r="D874" s="50"/>
      <c r="E874" s="50"/>
      <c r="F874" s="50"/>
      <c r="G874" s="51"/>
      <c r="H874" s="20"/>
      <c r="I874" s="9">
        <v>4</v>
      </c>
      <c r="J874" s="9"/>
      <c r="K874" s="9"/>
      <c r="L874" s="9"/>
      <c r="M874" s="9">
        <f t="shared" si="106"/>
        <v>31.2</v>
      </c>
      <c r="N874" s="9">
        <f t="shared" si="107"/>
        <v>12</v>
      </c>
      <c r="O874" s="9">
        <v>7.8</v>
      </c>
      <c r="P874" s="9">
        <v>3</v>
      </c>
      <c r="Q874" s="9" t="s">
        <v>6</v>
      </c>
      <c r="S874" s="26" t="s">
        <v>85</v>
      </c>
    </row>
    <row r="875" spans="1:19" ht="16.5" customHeight="1" x14ac:dyDescent="0.25">
      <c r="A875" s="9"/>
      <c r="B875" s="49" t="s">
        <v>101</v>
      </c>
      <c r="C875" s="50"/>
      <c r="D875" s="50"/>
      <c r="E875" s="50"/>
      <c r="F875" s="50"/>
      <c r="G875" s="51"/>
      <c r="H875" s="20"/>
      <c r="I875" s="9">
        <v>1</v>
      </c>
      <c r="J875" s="9"/>
      <c r="K875" s="9"/>
      <c r="L875" s="9"/>
      <c r="M875" s="9">
        <f t="shared" si="106"/>
        <v>7.8</v>
      </c>
      <c r="N875" s="9">
        <f t="shared" si="107"/>
        <v>3</v>
      </c>
      <c r="O875" s="9">
        <v>7.8</v>
      </c>
      <c r="P875" s="9">
        <v>3</v>
      </c>
      <c r="Q875" s="9" t="s">
        <v>6</v>
      </c>
      <c r="S875" s="26" t="s">
        <v>85</v>
      </c>
    </row>
    <row r="876" spans="1:19" ht="16.5" customHeight="1" x14ac:dyDescent="0.25">
      <c r="A876" s="9"/>
      <c r="B876" s="49" t="s">
        <v>100</v>
      </c>
      <c r="C876" s="50"/>
      <c r="D876" s="50"/>
      <c r="E876" s="50"/>
      <c r="F876" s="50"/>
      <c r="G876" s="51"/>
      <c r="H876" s="20"/>
      <c r="I876" s="9">
        <v>1</v>
      </c>
      <c r="J876" s="9"/>
      <c r="K876" s="9"/>
      <c r="L876" s="9"/>
      <c r="M876" s="9">
        <f t="shared" si="106"/>
        <v>8.6999999999999993</v>
      </c>
      <c r="N876" s="9">
        <f t="shared" si="107"/>
        <v>3.7</v>
      </c>
      <c r="O876" s="9">
        <v>8.6999999999999993</v>
      </c>
      <c r="P876" s="9">
        <v>3.7</v>
      </c>
      <c r="Q876" s="9" t="s">
        <v>10</v>
      </c>
      <c r="S876" s="26" t="s">
        <v>85</v>
      </c>
    </row>
    <row r="877" spans="1:19" ht="16.5" customHeight="1" x14ac:dyDescent="0.25">
      <c r="A877" s="9"/>
      <c r="B877" s="49" t="s">
        <v>104</v>
      </c>
      <c r="C877" s="50"/>
      <c r="D877" s="50"/>
      <c r="E877" s="50"/>
      <c r="F877" s="50"/>
      <c r="G877" s="51"/>
      <c r="H877" s="20"/>
      <c r="I877" s="9">
        <v>3</v>
      </c>
      <c r="J877" s="9"/>
      <c r="K877" s="9"/>
      <c r="L877" s="9"/>
      <c r="M877" s="9">
        <f t="shared" si="106"/>
        <v>24.900000000000002</v>
      </c>
      <c r="N877" s="9">
        <f t="shared" si="107"/>
        <v>10.5</v>
      </c>
      <c r="O877" s="9">
        <v>8.3000000000000007</v>
      </c>
      <c r="P877" s="9">
        <v>3.5</v>
      </c>
      <c r="Q877" s="9" t="s">
        <v>9</v>
      </c>
      <c r="S877" s="26" t="s">
        <v>85</v>
      </c>
    </row>
    <row r="878" spans="1:19" ht="16.5" customHeight="1" x14ac:dyDescent="0.25">
      <c r="A878" s="9"/>
      <c r="B878" s="49" t="s">
        <v>103</v>
      </c>
      <c r="C878" s="50"/>
      <c r="D878" s="50"/>
      <c r="E878" s="50"/>
      <c r="F878" s="50"/>
      <c r="G878" s="51"/>
      <c r="H878" s="20"/>
      <c r="I878" s="9">
        <v>2</v>
      </c>
      <c r="J878" s="9"/>
      <c r="K878" s="9"/>
      <c r="L878" s="9"/>
      <c r="M878" s="9">
        <f t="shared" si="106"/>
        <v>16</v>
      </c>
      <c r="N878" s="9">
        <f t="shared" si="107"/>
        <v>7</v>
      </c>
      <c r="O878" s="9">
        <v>8</v>
      </c>
      <c r="P878" s="9">
        <v>3.5</v>
      </c>
      <c r="Q878" s="9" t="s">
        <v>9</v>
      </c>
      <c r="S878" s="26" t="s">
        <v>85</v>
      </c>
    </row>
    <row r="879" spans="1:19" ht="16.5" customHeight="1" x14ac:dyDescent="0.25">
      <c r="A879" s="9"/>
      <c r="B879" s="49" t="s">
        <v>102</v>
      </c>
      <c r="C879" s="50"/>
      <c r="D879" s="50"/>
      <c r="E879" s="50"/>
      <c r="F879" s="50"/>
      <c r="G879" s="51"/>
      <c r="H879" s="20"/>
      <c r="I879" s="9">
        <v>2</v>
      </c>
      <c r="J879" s="9"/>
      <c r="K879" s="9"/>
      <c r="L879" s="9"/>
      <c r="M879" s="9">
        <f t="shared" si="106"/>
        <v>14</v>
      </c>
      <c r="N879" s="9">
        <f t="shared" si="107"/>
        <v>6</v>
      </c>
      <c r="O879" s="9">
        <v>7</v>
      </c>
      <c r="P879" s="9">
        <v>3</v>
      </c>
      <c r="Q879" s="9" t="s">
        <v>6</v>
      </c>
      <c r="S879" s="26" t="s">
        <v>85</v>
      </c>
    </row>
    <row r="880" spans="1:19" ht="16.5" hidden="1" customHeight="1" x14ac:dyDescent="0.25">
      <c r="A880" s="21"/>
      <c r="H880" s="21"/>
      <c r="I880" s="21"/>
      <c r="J880" s="21"/>
      <c r="K880" s="21"/>
      <c r="L880" s="21"/>
      <c r="M880" s="9">
        <f t="shared" si="106"/>
        <v>0</v>
      </c>
      <c r="N880" s="9">
        <f t="shared" si="107"/>
        <v>0</v>
      </c>
      <c r="O880" s="21"/>
      <c r="P880" s="21"/>
      <c r="Q880" s="21"/>
      <c r="S880" s="25"/>
    </row>
    <row r="881" spans="1:19" ht="16.5" customHeight="1" x14ac:dyDescent="0.25">
      <c r="A881" s="9"/>
      <c r="B881" s="38" t="s">
        <v>42</v>
      </c>
      <c r="C881" s="39"/>
      <c r="D881" s="39"/>
      <c r="E881" s="39"/>
      <c r="F881" s="39"/>
      <c r="G881" s="40"/>
      <c r="H881" s="23"/>
      <c r="I881" s="24">
        <f>SUM(I869:I880)</f>
        <v>23</v>
      </c>
      <c r="J881" s="9"/>
      <c r="K881" s="9"/>
      <c r="L881" s="9"/>
      <c r="M881" s="9">
        <f t="shared" si="106"/>
        <v>177.79000000000002</v>
      </c>
      <c r="N881" s="9">
        <f t="shared" si="107"/>
        <v>73.600000000000009</v>
      </c>
      <c r="O881" s="24">
        <f>ROUND(SUM(M869:M880)/I881,2)</f>
        <v>7.73</v>
      </c>
      <c r="P881" s="24">
        <f>ROUND(SUM(N869:N880)/I881,2)</f>
        <v>3.2</v>
      </c>
      <c r="Q881" s="9"/>
      <c r="S881" s="25"/>
    </row>
    <row r="882" spans="1:19" ht="20.25" customHeight="1" x14ac:dyDescent="0.25">
      <c r="A882" s="27" t="s">
        <v>107</v>
      </c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</row>
    <row r="883" spans="1:19" ht="16.5" customHeight="1" x14ac:dyDescent="0.25">
      <c r="A883" s="9"/>
      <c r="B883" s="49" t="s">
        <v>108</v>
      </c>
      <c r="C883" s="50"/>
      <c r="D883" s="50"/>
      <c r="E883" s="50"/>
      <c r="F883" s="50"/>
      <c r="G883" s="51"/>
      <c r="H883" s="20"/>
      <c r="I883" s="9">
        <v>1</v>
      </c>
      <c r="J883" s="9"/>
      <c r="K883" s="9"/>
      <c r="L883" s="9"/>
      <c r="M883" s="9">
        <f t="shared" ref="M883:M895" si="108">I883*O883</f>
        <v>7.3</v>
      </c>
      <c r="N883" s="9">
        <f t="shared" ref="N883:N895" si="109">I883*P883</f>
        <v>3</v>
      </c>
      <c r="O883" s="9">
        <v>7.3</v>
      </c>
      <c r="P883" s="9">
        <v>3</v>
      </c>
      <c r="Q883" s="9" t="s">
        <v>6</v>
      </c>
      <c r="S883" s="26" t="s">
        <v>85</v>
      </c>
    </row>
    <row r="884" spans="1:19" ht="16.5" customHeight="1" x14ac:dyDescent="0.25">
      <c r="A884" s="9"/>
      <c r="B884" s="49" t="s">
        <v>109</v>
      </c>
      <c r="C884" s="50"/>
      <c r="D884" s="50"/>
      <c r="E884" s="50"/>
      <c r="F884" s="50"/>
      <c r="G884" s="51"/>
      <c r="H884" s="20"/>
      <c r="I884" s="9">
        <v>2</v>
      </c>
      <c r="J884" s="9"/>
      <c r="K884" s="9"/>
      <c r="L884" s="9"/>
      <c r="M884" s="9">
        <f t="shared" si="108"/>
        <v>15.2</v>
      </c>
      <c r="N884" s="9">
        <f t="shared" si="109"/>
        <v>6</v>
      </c>
      <c r="O884" s="9">
        <v>7.6</v>
      </c>
      <c r="P884" s="9">
        <v>3</v>
      </c>
      <c r="Q884" s="9" t="s">
        <v>6</v>
      </c>
      <c r="S884" s="26" t="s">
        <v>85</v>
      </c>
    </row>
    <row r="885" spans="1:19" ht="16.5" customHeight="1" x14ac:dyDescent="0.25">
      <c r="A885" s="9"/>
      <c r="B885" s="49" t="s">
        <v>110</v>
      </c>
      <c r="C885" s="50"/>
      <c r="D885" s="50"/>
      <c r="E885" s="50"/>
      <c r="F885" s="50"/>
      <c r="G885" s="51"/>
      <c r="H885" s="20"/>
      <c r="I885" s="9">
        <v>3</v>
      </c>
      <c r="J885" s="9"/>
      <c r="K885" s="9"/>
      <c r="L885" s="9"/>
      <c r="M885" s="9">
        <f t="shared" si="108"/>
        <v>23.1</v>
      </c>
      <c r="N885" s="9">
        <f t="shared" si="109"/>
        <v>9</v>
      </c>
      <c r="O885" s="9">
        <v>7.7</v>
      </c>
      <c r="P885" s="9">
        <v>3</v>
      </c>
      <c r="Q885" s="9" t="s">
        <v>6</v>
      </c>
      <c r="S885" s="26" t="s">
        <v>85</v>
      </c>
    </row>
    <row r="886" spans="1:19" ht="16.5" customHeight="1" x14ac:dyDescent="0.25">
      <c r="A886" s="9"/>
      <c r="B886" s="49" t="s">
        <v>111</v>
      </c>
      <c r="C886" s="50"/>
      <c r="D886" s="50"/>
      <c r="E886" s="50"/>
      <c r="F886" s="50"/>
      <c r="G886" s="51"/>
      <c r="H886" s="20"/>
      <c r="I886" s="9">
        <v>3</v>
      </c>
      <c r="J886" s="9"/>
      <c r="K886" s="9"/>
      <c r="L886" s="9"/>
      <c r="M886" s="9">
        <f t="shared" si="108"/>
        <v>19.200000000000003</v>
      </c>
      <c r="N886" s="9">
        <f t="shared" si="109"/>
        <v>6</v>
      </c>
      <c r="O886" s="9">
        <v>6.4</v>
      </c>
      <c r="P886" s="9">
        <v>2</v>
      </c>
      <c r="Q886" s="9" t="s">
        <v>3</v>
      </c>
      <c r="S886" s="26" t="s">
        <v>85</v>
      </c>
    </row>
    <row r="887" spans="1:19" ht="16.5" customHeight="1" x14ac:dyDescent="0.25">
      <c r="A887" s="9"/>
      <c r="B887" s="49" t="s">
        <v>112</v>
      </c>
      <c r="C887" s="50"/>
      <c r="D887" s="50"/>
      <c r="E887" s="50"/>
      <c r="F887" s="50"/>
      <c r="G887" s="51"/>
      <c r="H887" s="20"/>
      <c r="I887" s="9">
        <v>4</v>
      </c>
      <c r="J887" s="9"/>
      <c r="K887" s="9"/>
      <c r="L887" s="9"/>
      <c r="M887" s="9">
        <f t="shared" si="108"/>
        <v>32.4</v>
      </c>
      <c r="N887" s="9">
        <f t="shared" si="109"/>
        <v>14</v>
      </c>
      <c r="O887" s="9">
        <v>8.1</v>
      </c>
      <c r="P887" s="9">
        <v>3.5</v>
      </c>
      <c r="Q887" s="9" t="s">
        <v>9</v>
      </c>
      <c r="S887" s="26" t="s">
        <v>85</v>
      </c>
    </row>
    <row r="888" spans="1:19" ht="16.5" customHeight="1" x14ac:dyDescent="0.25">
      <c r="A888" s="9"/>
      <c r="B888" s="49" t="s">
        <v>113</v>
      </c>
      <c r="C888" s="50"/>
      <c r="D888" s="50"/>
      <c r="E888" s="50"/>
      <c r="F888" s="50"/>
      <c r="G888" s="51"/>
      <c r="H888" s="20"/>
      <c r="I888" s="9">
        <v>4</v>
      </c>
      <c r="J888" s="9"/>
      <c r="K888" s="9"/>
      <c r="L888" s="9"/>
      <c r="M888" s="9">
        <f t="shared" si="108"/>
        <v>24.8</v>
      </c>
      <c r="N888" s="9">
        <f t="shared" si="109"/>
        <v>8</v>
      </c>
      <c r="O888" s="9">
        <v>6.2</v>
      </c>
      <c r="P888" s="9">
        <v>2</v>
      </c>
      <c r="Q888" s="9" t="s">
        <v>3</v>
      </c>
      <c r="S888" s="26" t="s">
        <v>85</v>
      </c>
    </row>
    <row r="889" spans="1:19" ht="16.5" customHeight="1" x14ac:dyDescent="0.25">
      <c r="A889" s="9"/>
      <c r="B889" s="49" t="s">
        <v>114</v>
      </c>
      <c r="C889" s="50"/>
      <c r="D889" s="50"/>
      <c r="E889" s="50"/>
      <c r="F889" s="50"/>
      <c r="G889" s="51"/>
      <c r="H889" s="20"/>
      <c r="I889" s="9">
        <v>3</v>
      </c>
      <c r="J889" s="9"/>
      <c r="K889" s="9"/>
      <c r="L889" s="9"/>
      <c r="M889" s="9">
        <f t="shared" si="108"/>
        <v>19.799999999999997</v>
      </c>
      <c r="N889" s="9">
        <f t="shared" si="109"/>
        <v>7.5</v>
      </c>
      <c r="O889" s="9">
        <v>6.6</v>
      </c>
      <c r="P889" s="9">
        <v>2.5</v>
      </c>
      <c r="Q889" s="9" t="s">
        <v>5</v>
      </c>
      <c r="S889" s="26" t="s">
        <v>85</v>
      </c>
    </row>
    <row r="890" spans="1:19" ht="16.5" customHeight="1" x14ac:dyDescent="0.25">
      <c r="A890" s="9"/>
      <c r="B890" s="49" t="s">
        <v>115</v>
      </c>
      <c r="C890" s="50"/>
      <c r="D890" s="50"/>
      <c r="E890" s="50"/>
      <c r="F890" s="50"/>
      <c r="G890" s="51"/>
      <c r="H890" s="20"/>
      <c r="I890" s="9">
        <v>2</v>
      </c>
      <c r="J890" s="9"/>
      <c r="K890" s="9"/>
      <c r="L890" s="9"/>
      <c r="M890" s="9">
        <f t="shared" si="108"/>
        <v>13.8</v>
      </c>
      <c r="N890" s="9">
        <f t="shared" si="109"/>
        <v>5</v>
      </c>
      <c r="O890" s="9">
        <v>6.9</v>
      </c>
      <c r="P890" s="9">
        <v>2.5</v>
      </c>
      <c r="Q890" s="9" t="s">
        <v>5</v>
      </c>
      <c r="S890" s="26" t="s">
        <v>85</v>
      </c>
    </row>
    <row r="891" spans="1:19" ht="16.5" customHeight="1" x14ac:dyDescent="0.25">
      <c r="A891" s="9"/>
      <c r="B891" s="49" t="s">
        <v>116</v>
      </c>
      <c r="C891" s="50"/>
      <c r="D891" s="50"/>
      <c r="E891" s="50"/>
      <c r="F891" s="50"/>
      <c r="G891" s="51"/>
      <c r="H891" s="20"/>
      <c r="I891" s="9">
        <v>2</v>
      </c>
      <c r="J891" s="9"/>
      <c r="K891" s="9"/>
      <c r="L891" s="9"/>
      <c r="M891" s="9">
        <f t="shared" si="108"/>
        <v>4</v>
      </c>
      <c r="N891" s="9">
        <f t="shared" si="109"/>
        <v>0</v>
      </c>
      <c r="O891" s="9">
        <v>2</v>
      </c>
      <c r="P891" s="9">
        <v>0</v>
      </c>
      <c r="Q891" s="9" t="s">
        <v>7</v>
      </c>
      <c r="S891" s="26" t="s">
        <v>85</v>
      </c>
    </row>
    <row r="892" spans="1:19" ht="16.5" customHeight="1" x14ac:dyDescent="0.25">
      <c r="A892" s="9"/>
      <c r="B892" s="49" t="s">
        <v>117</v>
      </c>
      <c r="C892" s="50"/>
      <c r="D892" s="50"/>
      <c r="E892" s="50"/>
      <c r="F892" s="50"/>
      <c r="G892" s="51"/>
      <c r="H892" s="20"/>
      <c r="I892" s="9">
        <v>3</v>
      </c>
      <c r="J892" s="9"/>
      <c r="K892" s="9"/>
      <c r="L892" s="9"/>
      <c r="M892" s="9">
        <f t="shared" si="108"/>
        <v>21.9</v>
      </c>
      <c r="N892" s="9">
        <f t="shared" si="109"/>
        <v>9</v>
      </c>
      <c r="O892" s="9">
        <v>7.3</v>
      </c>
      <c r="P892" s="9">
        <v>3</v>
      </c>
      <c r="Q892" s="9" t="s">
        <v>6</v>
      </c>
      <c r="S892" s="26" t="s">
        <v>85</v>
      </c>
    </row>
    <row r="893" spans="1:19" ht="16.5" customHeight="1" x14ac:dyDescent="0.25">
      <c r="A893" s="9"/>
      <c r="B893" s="49" t="s">
        <v>118</v>
      </c>
      <c r="C893" s="50"/>
      <c r="D893" s="50"/>
      <c r="E893" s="50"/>
      <c r="F893" s="50"/>
      <c r="G893" s="51"/>
      <c r="H893" s="20"/>
      <c r="I893" s="9">
        <v>2</v>
      </c>
      <c r="J893" s="9"/>
      <c r="K893" s="9"/>
      <c r="L893" s="9"/>
      <c r="M893" s="9">
        <f t="shared" si="108"/>
        <v>15.2</v>
      </c>
      <c r="N893" s="9">
        <f t="shared" si="109"/>
        <v>6</v>
      </c>
      <c r="O893" s="9">
        <v>7.6</v>
      </c>
      <c r="P893" s="9">
        <v>3</v>
      </c>
      <c r="Q893" s="9" t="s">
        <v>6</v>
      </c>
      <c r="S893" s="26" t="s">
        <v>85</v>
      </c>
    </row>
    <row r="894" spans="1:19" ht="16.5" hidden="1" customHeight="1" x14ac:dyDescent="0.25">
      <c r="A894" s="21"/>
      <c r="H894" s="21"/>
      <c r="I894" s="21"/>
      <c r="J894" s="21"/>
      <c r="K894" s="21"/>
      <c r="L894" s="21"/>
      <c r="M894" s="9">
        <f t="shared" si="108"/>
        <v>0</v>
      </c>
      <c r="N894" s="9">
        <f t="shared" si="109"/>
        <v>0</v>
      </c>
      <c r="O894" s="21"/>
      <c r="P894" s="21"/>
      <c r="Q894" s="21"/>
      <c r="S894" s="25"/>
    </row>
    <row r="895" spans="1:19" ht="16.5" customHeight="1" x14ac:dyDescent="0.25">
      <c r="A895" s="9"/>
      <c r="B895" s="38" t="s">
        <v>42</v>
      </c>
      <c r="C895" s="39"/>
      <c r="D895" s="39"/>
      <c r="E895" s="39"/>
      <c r="F895" s="39"/>
      <c r="G895" s="40"/>
      <c r="H895" s="23"/>
      <c r="I895" s="24">
        <f>SUM(I883:I894)</f>
        <v>29</v>
      </c>
      <c r="J895" s="9"/>
      <c r="K895" s="9"/>
      <c r="L895" s="9"/>
      <c r="M895" s="9">
        <f t="shared" si="108"/>
        <v>196.62</v>
      </c>
      <c r="N895" s="9">
        <f t="shared" si="109"/>
        <v>73.36999999999999</v>
      </c>
      <c r="O895" s="24">
        <f>ROUND(SUM(M883:M894)/I895,2)</f>
        <v>6.78</v>
      </c>
      <c r="P895" s="24">
        <f>ROUND(SUM(N883:N894)/I895,2)</f>
        <v>2.5299999999999998</v>
      </c>
      <c r="Q895" s="9"/>
      <c r="S895" s="25"/>
    </row>
    <row r="896" spans="1:19" ht="20.25" customHeight="1" x14ac:dyDescent="0.25">
      <c r="A896" s="27" t="s">
        <v>119</v>
      </c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</row>
    <row r="897" spans="1:19" ht="16.5" customHeight="1" x14ac:dyDescent="0.25">
      <c r="A897" s="9"/>
      <c r="B897" s="49" t="s">
        <v>116</v>
      </c>
      <c r="C897" s="50"/>
      <c r="D897" s="50"/>
      <c r="E897" s="50"/>
      <c r="F897" s="50"/>
      <c r="G897" s="51"/>
      <c r="H897" s="20"/>
      <c r="I897" s="9">
        <v>2</v>
      </c>
      <c r="J897" s="9"/>
      <c r="K897" s="9"/>
      <c r="L897" s="9"/>
      <c r="M897" s="9">
        <f>I897*O897</f>
        <v>13.8</v>
      </c>
      <c r="N897" s="9">
        <f>I897*P897</f>
        <v>5</v>
      </c>
      <c r="O897" s="9">
        <v>6.9</v>
      </c>
      <c r="P897" s="9">
        <v>2.5</v>
      </c>
      <c r="Q897" s="9" t="s">
        <v>5</v>
      </c>
      <c r="S897" s="26" t="s">
        <v>85</v>
      </c>
    </row>
    <row r="898" spans="1:19" ht="16.5" hidden="1" customHeight="1" x14ac:dyDescent="0.25">
      <c r="A898" s="21"/>
      <c r="H898" s="21"/>
      <c r="I898" s="21"/>
      <c r="J898" s="21"/>
      <c r="K898" s="21"/>
      <c r="L898" s="21"/>
      <c r="M898" s="9">
        <f>I898*O898</f>
        <v>0</v>
      </c>
      <c r="N898" s="9">
        <f>I898*P898</f>
        <v>0</v>
      </c>
      <c r="O898" s="21"/>
      <c r="P898" s="21"/>
      <c r="Q898" s="21"/>
      <c r="S898" s="25"/>
    </row>
    <row r="899" spans="1:19" ht="16.5" customHeight="1" x14ac:dyDescent="0.25">
      <c r="A899" s="9"/>
      <c r="B899" s="38" t="s">
        <v>42</v>
      </c>
      <c r="C899" s="39"/>
      <c r="D899" s="39"/>
      <c r="E899" s="39"/>
      <c r="F899" s="39"/>
      <c r="G899" s="40"/>
      <c r="H899" s="23"/>
      <c r="I899" s="24">
        <f>SUM(I897:I898)</f>
        <v>2</v>
      </c>
      <c r="J899" s="9"/>
      <c r="K899" s="9"/>
      <c r="L899" s="9"/>
      <c r="M899" s="9">
        <f>I899*O899</f>
        <v>13.8</v>
      </c>
      <c r="N899" s="9">
        <f>I899*P899</f>
        <v>5</v>
      </c>
      <c r="O899" s="24">
        <f>ROUND(SUM(M897:M898)/I899,2)</f>
        <v>6.9</v>
      </c>
      <c r="P899" s="24">
        <f>ROUND(SUM(N897:N898)/I899,2)</f>
        <v>2.5</v>
      </c>
      <c r="Q899" s="9"/>
      <c r="S899" s="25"/>
    </row>
    <row r="900" spans="1:19" ht="20.25" customHeight="1" x14ac:dyDescent="0.25">
      <c r="A900" s="27" t="s">
        <v>120</v>
      </c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</row>
    <row r="901" spans="1:19" ht="16.5" customHeight="1" x14ac:dyDescent="0.25">
      <c r="A901" s="9"/>
      <c r="B901" s="49" t="s">
        <v>128</v>
      </c>
      <c r="C901" s="50"/>
      <c r="D901" s="50"/>
      <c r="E901" s="50"/>
      <c r="F901" s="50"/>
      <c r="G901" s="51"/>
      <c r="H901" s="20"/>
      <c r="I901" s="9">
        <v>2</v>
      </c>
      <c r="J901" s="9"/>
      <c r="K901" s="9"/>
      <c r="L901" s="9"/>
      <c r="M901" s="9">
        <f t="shared" ref="M901:M910" si="110">I901*O901</f>
        <v>16.2</v>
      </c>
      <c r="N901" s="9">
        <f t="shared" ref="N901:N910" si="111">I901*P901</f>
        <v>7</v>
      </c>
      <c r="O901" s="9">
        <v>8.1</v>
      </c>
      <c r="P901" s="9">
        <v>3.5</v>
      </c>
      <c r="Q901" s="9" t="s">
        <v>9</v>
      </c>
      <c r="S901" s="26" t="s">
        <v>85</v>
      </c>
    </row>
    <row r="902" spans="1:19" ht="16.5" customHeight="1" x14ac:dyDescent="0.25">
      <c r="A902" s="9"/>
      <c r="B902" s="49" t="s">
        <v>121</v>
      </c>
      <c r="C902" s="50"/>
      <c r="D902" s="50"/>
      <c r="E902" s="50"/>
      <c r="F902" s="50"/>
      <c r="G902" s="51"/>
      <c r="H902" s="20"/>
      <c r="I902" s="9">
        <v>3</v>
      </c>
      <c r="J902" s="9"/>
      <c r="K902" s="9"/>
      <c r="L902" s="9"/>
      <c r="M902" s="9">
        <f t="shared" si="110"/>
        <v>24.599999999999998</v>
      </c>
      <c r="N902" s="9">
        <f t="shared" si="111"/>
        <v>10.5</v>
      </c>
      <c r="O902" s="9">
        <v>8.1999999999999993</v>
      </c>
      <c r="P902" s="9">
        <v>3.5</v>
      </c>
      <c r="Q902" s="9" t="s">
        <v>9</v>
      </c>
      <c r="S902" s="26" t="s">
        <v>85</v>
      </c>
    </row>
    <row r="903" spans="1:19" ht="16.5" customHeight="1" x14ac:dyDescent="0.25">
      <c r="A903" s="9"/>
      <c r="B903" s="49" t="s">
        <v>124</v>
      </c>
      <c r="C903" s="50"/>
      <c r="D903" s="50"/>
      <c r="E903" s="50"/>
      <c r="F903" s="50"/>
      <c r="G903" s="51"/>
      <c r="H903" s="20"/>
      <c r="I903" s="9">
        <v>3</v>
      </c>
      <c r="J903" s="9"/>
      <c r="K903" s="9"/>
      <c r="L903" s="9"/>
      <c r="M903" s="9">
        <f t="shared" si="110"/>
        <v>24</v>
      </c>
      <c r="N903" s="9">
        <f t="shared" si="111"/>
        <v>10.5</v>
      </c>
      <c r="O903" s="9">
        <v>8</v>
      </c>
      <c r="P903" s="9">
        <v>3.5</v>
      </c>
      <c r="Q903" s="9" t="s">
        <v>9</v>
      </c>
      <c r="S903" s="26" t="s">
        <v>85</v>
      </c>
    </row>
    <row r="904" spans="1:19" ht="16.5" customHeight="1" x14ac:dyDescent="0.25">
      <c r="A904" s="9"/>
      <c r="B904" s="49" t="s">
        <v>123</v>
      </c>
      <c r="C904" s="50"/>
      <c r="D904" s="50"/>
      <c r="E904" s="50"/>
      <c r="F904" s="50"/>
      <c r="G904" s="51"/>
      <c r="H904" s="20"/>
      <c r="I904" s="9">
        <v>3</v>
      </c>
      <c r="J904" s="9"/>
      <c r="K904" s="9"/>
      <c r="L904" s="9"/>
      <c r="M904" s="9">
        <f t="shared" si="110"/>
        <v>22.200000000000003</v>
      </c>
      <c r="N904" s="9">
        <f t="shared" si="111"/>
        <v>9</v>
      </c>
      <c r="O904" s="9">
        <v>7.4</v>
      </c>
      <c r="P904" s="9">
        <v>3</v>
      </c>
      <c r="Q904" s="9" t="s">
        <v>6</v>
      </c>
      <c r="S904" s="26" t="s">
        <v>85</v>
      </c>
    </row>
    <row r="905" spans="1:19" ht="16.5" customHeight="1" x14ac:dyDescent="0.25">
      <c r="A905" s="9"/>
      <c r="B905" s="49" t="s">
        <v>126</v>
      </c>
      <c r="C905" s="50"/>
      <c r="D905" s="50"/>
      <c r="E905" s="50"/>
      <c r="F905" s="50"/>
      <c r="G905" s="51"/>
      <c r="H905" s="20"/>
      <c r="I905" s="9">
        <v>3</v>
      </c>
      <c r="J905" s="9"/>
      <c r="K905" s="9"/>
      <c r="L905" s="9"/>
      <c r="M905" s="9">
        <f t="shared" si="110"/>
        <v>21</v>
      </c>
      <c r="N905" s="9">
        <f t="shared" si="111"/>
        <v>9</v>
      </c>
      <c r="O905" s="9">
        <v>7</v>
      </c>
      <c r="P905" s="9">
        <v>3</v>
      </c>
      <c r="Q905" s="9" t="s">
        <v>6</v>
      </c>
      <c r="S905" s="26" t="s">
        <v>85</v>
      </c>
    </row>
    <row r="906" spans="1:19" ht="16.5" customHeight="1" x14ac:dyDescent="0.25">
      <c r="A906" s="9"/>
      <c r="B906" s="49" t="s">
        <v>125</v>
      </c>
      <c r="C906" s="50"/>
      <c r="D906" s="50"/>
      <c r="E906" s="50"/>
      <c r="F906" s="50"/>
      <c r="G906" s="51"/>
      <c r="H906" s="20"/>
      <c r="I906" s="9">
        <v>3</v>
      </c>
      <c r="J906" s="9"/>
      <c r="K906" s="9"/>
      <c r="L906" s="9"/>
      <c r="M906" s="9">
        <f t="shared" si="110"/>
        <v>20.100000000000001</v>
      </c>
      <c r="N906" s="9">
        <f t="shared" si="111"/>
        <v>7.5</v>
      </c>
      <c r="O906" s="9">
        <v>6.7</v>
      </c>
      <c r="P906" s="9">
        <v>2.5</v>
      </c>
      <c r="Q906" s="9" t="s">
        <v>5</v>
      </c>
      <c r="S906" s="26" t="s">
        <v>85</v>
      </c>
    </row>
    <row r="907" spans="1:19" ht="16.5" customHeight="1" x14ac:dyDescent="0.25">
      <c r="A907" s="9"/>
      <c r="B907" s="49" t="s">
        <v>127</v>
      </c>
      <c r="C907" s="50"/>
      <c r="D907" s="50"/>
      <c r="E907" s="50"/>
      <c r="F907" s="50"/>
      <c r="G907" s="51"/>
      <c r="H907" s="20"/>
      <c r="I907" s="9">
        <v>2</v>
      </c>
      <c r="J907" s="9"/>
      <c r="K907" s="9"/>
      <c r="L907" s="9"/>
      <c r="M907" s="9">
        <f t="shared" si="110"/>
        <v>10</v>
      </c>
      <c r="N907" s="9">
        <f t="shared" si="111"/>
        <v>3</v>
      </c>
      <c r="O907" s="9">
        <v>5</v>
      </c>
      <c r="P907" s="9">
        <v>1.5</v>
      </c>
      <c r="Q907" s="9" t="s">
        <v>4</v>
      </c>
      <c r="S907" s="26" t="s">
        <v>85</v>
      </c>
    </row>
    <row r="908" spans="1:19" ht="16.5" customHeight="1" x14ac:dyDescent="0.25">
      <c r="A908" s="9"/>
      <c r="B908" s="49" t="s">
        <v>122</v>
      </c>
      <c r="C908" s="50"/>
      <c r="D908" s="50"/>
      <c r="E908" s="50"/>
      <c r="F908" s="50"/>
      <c r="G908" s="51"/>
      <c r="H908" s="20"/>
      <c r="I908" s="9">
        <v>1</v>
      </c>
      <c r="J908" s="9"/>
      <c r="K908" s="9"/>
      <c r="L908" s="9"/>
      <c r="M908" s="9">
        <f t="shared" si="110"/>
        <v>7.5</v>
      </c>
      <c r="N908" s="9">
        <f t="shared" si="111"/>
        <v>3</v>
      </c>
      <c r="O908" s="9">
        <v>7.5</v>
      </c>
      <c r="P908" s="9">
        <v>3</v>
      </c>
      <c r="Q908" s="9" t="s">
        <v>6</v>
      </c>
      <c r="S908" s="26" t="s">
        <v>85</v>
      </c>
    </row>
    <row r="909" spans="1:19" ht="16.5" hidden="1" customHeight="1" x14ac:dyDescent="0.25">
      <c r="A909" s="21"/>
      <c r="H909" s="21"/>
      <c r="I909" s="21"/>
      <c r="J909" s="21"/>
      <c r="K909" s="21"/>
      <c r="L909" s="21"/>
      <c r="M909" s="9">
        <f t="shared" si="110"/>
        <v>0</v>
      </c>
      <c r="N909" s="9">
        <f t="shared" si="111"/>
        <v>0</v>
      </c>
      <c r="O909" s="21"/>
      <c r="P909" s="21"/>
      <c r="Q909" s="21"/>
      <c r="S909" s="25"/>
    </row>
    <row r="910" spans="1:19" ht="16.5" customHeight="1" x14ac:dyDescent="0.25">
      <c r="A910" s="9"/>
      <c r="B910" s="38" t="s">
        <v>42</v>
      </c>
      <c r="C910" s="39"/>
      <c r="D910" s="39"/>
      <c r="E910" s="39"/>
      <c r="F910" s="39"/>
      <c r="G910" s="40"/>
      <c r="H910" s="23"/>
      <c r="I910" s="24">
        <f>SUM(I901:I909)</f>
        <v>20</v>
      </c>
      <c r="J910" s="9"/>
      <c r="K910" s="9"/>
      <c r="L910" s="9"/>
      <c r="M910" s="9">
        <f t="shared" si="110"/>
        <v>145.6</v>
      </c>
      <c r="N910" s="9">
        <f t="shared" si="111"/>
        <v>59.6</v>
      </c>
      <c r="O910" s="24">
        <f>ROUND(SUM(M901:M909)/I910,2)</f>
        <v>7.28</v>
      </c>
      <c r="P910" s="24">
        <f>ROUND(SUM(N901:N909)/I910,2)</f>
        <v>2.98</v>
      </c>
      <c r="Q910" s="9"/>
      <c r="S910" s="25"/>
    </row>
    <row r="911" spans="1:19" ht="16.5" customHeight="1" x14ac:dyDescent="0.25">
      <c r="A911" s="21"/>
      <c r="B911" s="22"/>
      <c r="C911" s="22"/>
      <c r="D911" s="22"/>
      <c r="E911" s="22"/>
      <c r="F911" s="22"/>
      <c r="G911" s="22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3" spans="1:20" ht="19.5" customHeight="1" x14ac:dyDescent="0.25">
      <c r="A913" s="17"/>
      <c r="B913" s="17"/>
      <c r="C913" s="8"/>
      <c r="D913" s="18"/>
      <c r="E913" s="10"/>
      <c r="F913" s="11"/>
      <c r="G913" s="44" t="s">
        <v>49</v>
      </c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</row>
    <row r="914" spans="1:20" ht="31.5" customHeight="1" x14ac:dyDescent="0.3">
      <c r="A914" s="8"/>
      <c r="B914" s="8"/>
      <c r="C914" s="8"/>
      <c r="D914" s="8"/>
      <c r="E914" s="8"/>
      <c r="F914" s="8"/>
      <c r="G914" s="8"/>
      <c r="H914" s="12"/>
      <c r="I914" s="41" t="s">
        <v>40</v>
      </c>
      <c r="J914" s="42"/>
      <c r="K914" s="42"/>
      <c r="L914" s="42"/>
      <c r="M914" s="42"/>
      <c r="N914" s="42"/>
      <c r="O914" s="42"/>
      <c r="P914" s="42"/>
      <c r="Q914" s="42"/>
      <c r="R914" s="42"/>
      <c r="S914" s="42"/>
    </row>
    <row r="915" spans="1:20" ht="16.8" x14ac:dyDescent="0.3">
      <c r="A915" s="8"/>
      <c r="B915" s="8"/>
      <c r="C915" s="8"/>
      <c r="D915" s="8"/>
      <c r="E915" s="8"/>
      <c r="F915" s="8"/>
      <c r="G915" s="8"/>
      <c r="H915" s="12"/>
      <c r="I915" s="12"/>
      <c r="J915" s="12"/>
      <c r="K915" s="12"/>
      <c r="L915" s="8"/>
      <c r="M915" s="8"/>
      <c r="N915" s="8"/>
      <c r="O915" s="8"/>
      <c r="P915" s="8"/>
      <c r="Q915" s="8"/>
    </row>
    <row r="916" spans="1:20" ht="33" customHeight="1" x14ac:dyDescent="0.3">
      <c r="A916" s="8"/>
      <c r="B916" s="8"/>
      <c r="C916" s="8"/>
      <c r="D916" s="8"/>
      <c r="E916" s="8"/>
      <c r="F916" s="8"/>
      <c r="G916" s="8"/>
      <c r="H916" s="12"/>
      <c r="I916" s="12"/>
      <c r="J916" s="12"/>
      <c r="K916" s="12"/>
      <c r="L916" s="8"/>
      <c r="M916" s="8"/>
      <c r="N916" s="8"/>
      <c r="O916" s="8"/>
      <c r="P916" s="8"/>
      <c r="Q916" s="8"/>
    </row>
    <row r="917" spans="1:20" ht="11.25" customHeight="1" x14ac:dyDescent="0.3">
      <c r="A917" s="8"/>
      <c r="B917" s="8"/>
      <c r="C917" s="8"/>
      <c r="D917" s="8"/>
      <c r="E917" s="8"/>
      <c r="F917" s="8"/>
      <c r="G917" s="8"/>
      <c r="H917" s="12"/>
      <c r="I917" s="12"/>
      <c r="J917" s="12"/>
      <c r="K917" s="12"/>
      <c r="L917" s="8"/>
      <c r="M917" s="8"/>
      <c r="N917" s="8"/>
      <c r="O917" s="8"/>
      <c r="P917" s="8"/>
      <c r="Q917" s="8"/>
    </row>
    <row r="918" spans="1:20" ht="17.399999999999999" x14ac:dyDescent="0.3">
      <c r="A918" s="8"/>
      <c r="B918" s="8"/>
      <c r="C918" s="8"/>
      <c r="D918" s="8"/>
      <c r="E918" s="8"/>
      <c r="F918" s="8"/>
      <c r="G918" s="45" t="s">
        <v>41</v>
      </c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</row>
    <row r="919" spans="1:20" ht="54" customHeight="1" x14ac:dyDescent="0.25">
      <c r="A919" s="46" t="s">
        <v>33</v>
      </c>
      <c r="B919" s="46"/>
      <c r="C919" s="46"/>
      <c r="D919" s="46"/>
      <c r="E919" s="46"/>
      <c r="F919" s="41" t="s">
        <v>24</v>
      </c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</row>
    <row r="920" spans="1:20" ht="17.399999999999999" x14ac:dyDescent="0.25">
      <c r="A920" s="47" t="s">
        <v>34</v>
      </c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</row>
    <row r="921" spans="1:20" ht="4.5" customHeight="1" x14ac:dyDescent="0.2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</row>
    <row r="922" spans="1:20" ht="5.25" customHeight="1" x14ac:dyDescent="0.2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</row>
    <row r="923" spans="1:20" ht="16.5" customHeight="1" x14ac:dyDescent="0.25">
      <c r="A923" s="52" t="s">
        <v>168</v>
      </c>
      <c r="B923" s="52"/>
      <c r="C923" s="52"/>
      <c r="D923" s="52"/>
      <c r="E923" s="52"/>
      <c r="F923" s="52"/>
      <c r="G923" s="56" t="s">
        <v>169</v>
      </c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</row>
    <row r="924" spans="1:20" ht="16.5" customHeight="1" x14ac:dyDescent="0.25">
      <c r="A924" s="52" t="s">
        <v>170</v>
      </c>
      <c r="B924" s="52"/>
      <c r="C924" s="52"/>
      <c r="D924" s="52"/>
      <c r="E924" s="52"/>
      <c r="F924" s="52"/>
      <c r="G924" s="8" t="s">
        <v>46</v>
      </c>
      <c r="H924" s="8"/>
      <c r="I924" s="8"/>
      <c r="J924" s="8"/>
      <c r="K924" s="8"/>
      <c r="L924" s="8"/>
      <c r="M924" s="8"/>
      <c r="N924" s="8"/>
      <c r="O924" s="8"/>
      <c r="P924" s="8"/>
      <c r="Q924" s="8"/>
      <c r="T924" s="2"/>
    </row>
    <row r="925" spans="1:20" ht="16.5" customHeight="1" x14ac:dyDescent="0.25">
      <c r="A925" s="52" t="s">
        <v>47</v>
      </c>
      <c r="B925" s="52"/>
      <c r="C925" s="52"/>
      <c r="D925" s="52"/>
      <c r="E925" s="52"/>
      <c r="F925" s="52"/>
      <c r="G925" s="56" t="s">
        <v>48</v>
      </c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</row>
    <row r="926" spans="1:20" ht="5.2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19"/>
      <c r="K926" s="19"/>
      <c r="L926" s="19"/>
      <c r="M926" s="19"/>
      <c r="N926" s="19"/>
      <c r="O926" s="19"/>
      <c r="P926" s="19"/>
      <c r="Q926" s="19"/>
    </row>
    <row r="927" spans="1:20" ht="15" customHeight="1" x14ac:dyDescent="0.25">
      <c r="A927" s="35" t="s">
        <v>0</v>
      </c>
      <c r="B927" s="29" t="s">
        <v>1</v>
      </c>
      <c r="C927" s="30"/>
      <c r="D927" s="30"/>
      <c r="E927" s="30"/>
      <c r="F927" s="30"/>
      <c r="G927" s="31"/>
      <c r="H927" s="35" t="s">
        <v>32</v>
      </c>
      <c r="I927" s="35" t="s">
        <v>39</v>
      </c>
      <c r="J927" s="53" t="s">
        <v>2</v>
      </c>
      <c r="K927" s="54"/>
      <c r="L927" s="54"/>
      <c r="M927" s="54"/>
      <c r="N927" s="54"/>
      <c r="O927" s="54"/>
      <c r="P927" s="54"/>
      <c r="Q927" s="55"/>
      <c r="S927" s="35" t="s">
        <v>38</v>
      </c>
    </row>
    <row r="928" spans="1:20" ht="24" customHeight="1" x14ac:dyDescent="0.25">
      <c r="A928" s="36"/>
      <c r="B928" s="32"/>
      <c r="C928" s="33"/>
      <c r="D928" s="33"/>
      <c r="E928" s="33"/>
      <c r="F928" s="33"/>
      <c r="G928" s="34"/>
      <c r="H928" s="36"/>
      <c r="I928" s="36"/>
      <c r="J928" s="7" t="s">
        <v>28</v>
      </c>
      <c r="K928" s="7" t="s">
        <v>29</v>
      </c>
      <c r="L928" s="7" t="s">
        <v>30</v>
      </c>
      <c r="M928" s="7"/>
      <c r="N928" s="7"/>
      <c r="O928" s="6" t="s">
        <v>35</v>
      </c>
      <c r="P928" s="6" t="s">
        <v>36</v>
      </c>
      <c r="Q928" s="6" t="s">
        <v>37</v>
      </c>
      <c r="S928" s="36"/>
    </row>
    <row r="929" spans="1:19" ht="20.25" customHeight="1" x14ac:dyDescent="0.25">
      <c r="A929" s="27" t="s">
        <v>50</v>
      </c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</row>
    <row r="930" spans="1:19" ht="16.5" customHeight="1" x14ac:dyDescent="0.25">
      <c r="A930" s="9"/>
      <c r="B930" s="49" t="s">
        <v>56</v>
      </c>
      <c r="C930" s="50"/>
      <c r="D930" s="50"/>
      <c r="E930" s="50"/>
      <c r="F930" s="50"/>
      <c r="G930" s="51"/>
      <c r="H930" s="20"/>
      <c r="I930" s="9">
        <v>2</v>
      </c>
      <c r="J930" s="9"/>
      <c r="K930" s="9"/>
      <c r="L930" s="9"/>
      <c r="M930" s="9">
        <f t="shared" ref="M930:M938" si="112">I930*O930</f>
        <v>14.2</v>
      </c>
      <c r="N930" s="9">
        <f t="shared" ref="N930:N938" si="113">I930*P930</f>
        <v>6</v>
      </c>
      <c r="O930" s="9">
        <v>7.1</v>
      </c>
      <c r="P930" s="9">
        <v>3</v>
      </c>
      <c r="Q930" s="9" t="s">
        <v>6</v>
      </c>
      <c r="R930" s="1">
        <v>0</v>
      </c>
      <c r="S930" s="26"/>
    </row>
    <row r="931" spans="1:19" ht="16.5" customHeight="1" x14ac:dyDescent="0.25">
      <c r="A931" s="9"/>
      <c r="B931" s="49" t="s">
        <v>78</v>
      </c>
      <c r="C931" s="50"/>
      <c r="D931" s="50"/>
      <c r="E931" s="50"/>
      <c r="F931" s="50"/>
      <c r="G931" s="51"/>
      <c r="H931" s="20"/>
      <c r="I931" s="9">
        <v>3</v>
      </c>
      <c r="J931" s="9"/>
      <c r="K931" s="9"/>
      <c r="L931" s="9"/>
      <c r="M931" s="9">
        <f t="shared" si="112"/>
        <v>17.100000000000001</v>
      </c>
      <c r="N931" s="9">
        <f t="shared" si="113"/>
        <v>6</v>
      </c>
      <c r="O931" s="9">
        <v>5.7</v>
      </c>
      <c r="P931" s="9">
        <v>2</v>
      </c>
      <c r="Q931" s="9" t="s">
        <v>3</v>
      </c>
      <c r="R931" s="1">
        <v>0</v>
      </c>
      <c r="S931" s="26"/>
    </row>
    <row r="932" spans="1:19" ht="31.2" customHeight="1" x14ac:dyDescent="0.25">
      <c r="A932" s="9"/>
      <c r="B932" s="49" t="s">
        <v>53</v>
      </c>
      <c r="C932" s="50"/>
      <c r="D932" s="50"/>
      <c r="E932" s="50"/>
      <c r="F932" s="50"/>
      <c r="G932" s="51"/>
      <c r="H932" s="20"/>
      <c r="I932" s="9">
        <v>3</v>
      </c>
      <c r="J932" s="9"/>
      <c r="K932" s="9"/>
      <c r="L932" s="9"/>
      <c r="M932" s="9">
        <f t="shared" si="112"/>
        <v>22.200000000000003</v>
      </c>
      <c r="N932" s="9">
        <f t="shared" si="113"/>
        <v>9</v>
      </c>
      <c r="O932" s="9">
        <v>7.4</v>
      </c>
      <c r="P932" s="9">
        <v>3</v>
      </c>
      <c r="Q932" s="9" t="s">
        <v>6</v>
      </c>
      <c r="R932" s="1">
        <v>0</v>
      </c>
      <c r="S932" s="26"/>
    </row>
    <row r="933" spans="1:19" ht="16.5" customHeight="1" x14ac:dyDescent="0.25">
      <c r="A933" s="9"/>
      <c r="B933" s="49" t="s">
        <v>52</v>
      </c>
      <c r="C933" s="50"/>
      <c r="D933" s="50"/>
      <c r="E933" s="50"/>
      <c r="F933" s="50"/>
      <c r="G933" s="51"/>
      <c r="H933" s="20"/>
      <c r="I933" s="9">
        <v>1</v>
      </c>
      <c r="J933" s="9"/>
      <c r="K933" s="9"/>
      <c r="L933" s="9"/>
      <c r="M933" s="9">
        <f t="shared" si="112"/>
        <v>7.3</v>
      </c>
      <c r="N933" s="9">
        <f t="shared" si="113"/>
        <v>3</v>
      </c>
      <c r="O933" s="9">
        <v>7.3</v>
      </c>
      <c r="P933" s="9">
        <v>3</v>
      </c>
      <c r="Q933" s="9" t="s">
        <v>6</v>
      </c>
      <c r="R933" s="1">
        <v>0</v>
      </c>
      <c r="S933" s="26"/>
    </row>
    <row r="934" spans="1:19" ht="16.5" customHeight="1" x14ac:dyDescent="0.25">
      <c r="A934" s="9"/>
      <c r="B934" s="49" t="s">
        <v>55</v>
      </c>
      <c r="C934" s="50"/>
      <c r="D934" s="50"/>
      <c r="E934" s="50"/>
      <c r="F934" s="50"/>
      <c r="G934" s="51"/>
      <c r="H934" s="20"/>
      <c r="I934" s="9">
        <v>1</v>
      </c>
      <c r="J934" s="9"/>
      <c r="K934" s="9"/>
      <c r="L934" s="9"/>
      <c r="M934" s="9">
        <f t="shared" si="112"/>
        <v>6.1</v>
      </c>
      <c r="N934" s="9">
        <f t="shared" si="113"/>
        <v>2</v>
      </c>
      <c r="O934" s="9">
        <v>6.1</v>
      </c>
      <c r="P934" s="9">
        <v>2</v>
      </c>
      <c r="Q934" s="9" t="s">
        <v>3</v>
      </c>
      <c r="R934" s="1">
        <v>0</v>
      </c>
      <c r="S934" s="26"/>
    </row>
    <row r="935" spans="1:19" ht="16.5" customHeight="1" x14ac:dyDescent="0.25">
      <c r="A935" s="9"/>
      <c r="B935" s="49" t="s">
        <v>54</v>
      </c>
      <c r="C935" s="50"/>
      <c r="D935" s="50"/>
      <c r="E935" s="50"/>
      <c r="F935" s="50"/>
      <c r="G935" s="51"/>
      <c r="H935" s="20"/>
      <c r="I935" s="9">
        <v>3</v>
      </c>
      <c r="J935" s="9"/>
      <c r="K935" s="9"/>
      <c r="L935" s="9"/>
      <c r="M935" s="9">
        <f t="shared" si="112"/>
        <v>22.799999999999997</v>
      </c>
      <c r="N935" s="9">
        <f t="shared" si="113"/>
        <v>9</v>
      </c>
      <c r="O935" s="9">
        <v>7.6</v>
      </c>
      <c r="P935" s="9">
        <v>3</v>
      </c>
      <c r="Q935" s="9" t="s">
        <v>6</v>
      </c>
      <c r="R935" s="1">
        <v>0</v>
      </c>
      <c r="S935" s="26"/>
    </row>
    <row r="936" spans="1:19" ht="16.5" customHeight="1" x14ac:dyDescent="0.25">
      <c r="A936" s="9"/>
      <c r="B936" s="49" t="s">
        <v>51</v>
      </c>
      <c r="C936" s="50"/>
      <c r="D936" s="50"/>
      <c r="E936" s="50"/>
      <c r="F936" s="50"/>
      <c r="G936" s="51"/>
      <c r="H936" s="20"/>
      <c r="I936" s="9">
        <v>1</v>
      </c>
      <c r="J936" s="9"/>
      <c r="K936" s="9"/>
      <c r="L936" s="9"/>
      <c r="M936" s="9">
        <f t="shared" si="112"/>
        <v>2</v>
      </c>
      <c r="N936" s="9">
        <f t="shared" si="113"/>
        <v>0</v>
      </c>
      <c r="O936" s="9">
        <v>2</v>
      </c>
      <c r="P936" s="9">
        <v>0</v>
      </c>
      <c r="Q936" s="9" t="s">
        <v>7</v>
      </c>
      <c r="R936" s="1">
        <v>0</v>
      </c>
      <c r="S936" s="26"/>
    </row>
    <row r="937" spans="1:19" ht="16.5" hidden="1" customHeight="1" x14ac:dyDescent="0.25">
      <c r="A937" s="21"/>
      <c r="H937" s="21"/>
      <c r="I937" s="21"/>
      <c r="J937" s="21"/>
      <c r="K937" s="21"/>
      <c r="L937" s="21"/>
      <c r="M937" s="9">
        <f t="shared" si="112"/>
        <v>0</v>
      </c>
      <c r="N937" s="9">
        <f t="shared" si="113"/>
        <v>0</v>
      </c>
      <c r="O937" s="21"/>
      <c r="P937" s="21"/>
      <c r="Q937" s="21"/>
      <c r="S937" s="25"/>
    </row>
    <row r="938" spans="1:19" ht="16.5" customHeight="1" x14ac:dyDescent="0.25">
      <c r="A938" s="9"/>
      <c r="B938" s="38" t="s">
        <v>42</v>
      </c>
      <c r="C938" s="39"/>
      <c r="D938" s="39"/>
      <c r="E938" s="39"/>
      <c r="F938" s="39"/>
      <c r="G938" s="40"/>
      <c r="H938" s="23"/>
      <c r="I938" s="24">
        <f>SUM(I930:I937)</f>
        <v>14</v>
      </c>
      <c r="J938" s="9"/>
      <c r="K938" s="9"/>
      <c r="L938" s="9"/>
      <c r="M938" s="9">
        <f t="shared" si="112"/>
        <v>91.7</v>
      </c>
      <c r="N938" s="9">
        <f t="shared" si="113"/>
        <v>35</v>
      </c>
      <c r="O938" s="24">
        <f>ROUND(SUM(M930:M937)/I938,2)</f>
        <v>6.55</v>
      </c>
      <c r="P938" s="24">
        <f>ROUND(SUM(N930:N937)/I938,2)</f>
        <v>2.5</v>
      </c>
      <c r="Q938" s="9"/>
      <c r="S938" s="25"/>
    </row>
    <row r="939" spans="1:19" ht="20.25" customHeight="1" x14ac:dyDescent="0.25">
      <c r="A939" s="27" t="s">
        <v>57</v>
      </c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</row>
    <row r="940" spans="1:19" ht="16.5" customHeight="1" x14ac:dyDescent="0.25">
      <c r="A940" s="9"/>
      <c r="B940" s="49" t="s">
        <v>136</v>
      </c>
      <c r="C940" s="50"/>
      <c r="D940" s="50"/>
      <c r="E940" s="50"/>
      <c r="F940" s="50"/>
      <c r="G940" s="51"/>
      <c r="H940" s="20"/>
      <c r="I940" s="9">
        <v>4</v>
      </c>
      <c r="J940" s="9"/>
      <c r="K940" s="9"/>
      <c r="L940" s="9"/>
      <c r="M940" s="9">
        <f t="shared" ref="M940:M948" si="114">I940*O940</f>
        <v>27.2</v>
      </c>
      <c r="N940" s="9">
        <f t="shared" ref="N940:N948" si="115">I940*P940</f>
        <v>10</v>
      </c>
      <c r="O940" s="9">
        <v>6.8</v>
      </c>
      <c r="P940" s="9">
        <v>2.5</v>
      </c>
      <c r="Q940" s="9" t="s">
        <v>5</v>
      </c>
      <c r="R940" s="1">
        <v>0</v>
      </c>
      <c r="S940" s="26"/>
    </row>
    <row r="941" spans="1:19" ht="16.5" customHeight="1" x14ac:dyDescent="0.25">
      <c r="A941" s="9"/>
      <c r="B941" s="49" t="s">
        <v>91</v>
      </c>
      <c r="C941" s="50"/>
      <c r="D941" s="50"/>
      <c r="E941" s="50"/>
      <c r="F941" s="50"/>
      <c r="G941" s="51"/>
      <c r="H941" s="20"/>
      <c r="I941" s="9">
        <v>4</v>
      </c>
      <c r="J941" s="9"/>
      <c r="K941" s="9"/>
      <c r="L941" s="9"/>
      <c r="M941" s="9">
        <f t="shared" si="114"/>
        <v>18.8</v>
      </c>
      <c r="N941" s="9">
        <f t="shared" si="115"/>
        <v>4</v>
      </c>
      <c r="O941" s="9">
        <v>4.7</v>
      </c>
      <c r="P941" s="9">
        <v>1</v>
      </c>
      <c r="Q941" s="9" t="s">
        <v>8</v>
      </c>
      <c r="R941" s="1">
        <v>0</v>
      </c>
      <c r="S941" s="26"/>
    </row>
    <row r="942" spans="1:19" ht="16.5" customHeight="1" x14ac:dyDescent="0.25">
      <c r="A942" s="9"/>
      <c r="B942" s="49" t="s">
        <v>60</v>
      </c>
      <c r="C942" s="50"/>
      <c r="D942" s="50"/>
      <c r="E942" s="50"/>
      <c r="F942" s="50"/>
      <c r="G942" s="51"/>
      <c r="H942" s="20"/>
      <c r="I942" s="9">
        <v>4</v>
      </c>
      <c r="J942" s="9"/>
      <c r="K942" s="9"/>
      <c r="L942" s="9"/>
      <c r="M942" s="9">
        <f t="shared" si="114"/>
        <v>30.4</v>
      </c>
      <c r="N942" s="9">
        <f t="shared" si="115"/>
        <v>12</v>
      </c>
      <c r="O942" s="9">
        <v>7.6</v>
      </c>
      <c r="P942" s="9">
        <v>3</v>
      </c>
      <c r="Q942" s="9" t="s">
        <v>6</v>
      </c>
      <c r="R942" s="1">
        <v>0</v>
      </c>
      <c r="S942" s="26"/>
    </row>
    <row r="943" spans="1:19" ht="16.5" customHeight="1" x14ac:dyDescent="0.25">
      <c r="A943" s="9"/>
      <c r="B943" s="49" t="s">
        <v>59</v>
      </c>
      <c r="C943" s="50"/>
      <c r="D943" s="50"/>
      <c r="E943" s="50"/>
      <c r="F943" s="50"/>
      <c r="G943" s="51"/>
      <c r="H943" s="20"/>
      <c r="I943" s="9">
        <v>1</v>
      </c>
      <c r="J943" s="9"/>
      <c r="K943" s="9"/>
      <c r="L943" s="9"/>
      <c r="M943" s="9">
        <f t="shared" si="114"/>
        <v>7.7</v>
      </c>
      <c r="N943" s="9">
        <f t="shared" si="115"/>
        <v>3</v>
      </c>
      <c r="O943" s="9">
        <v>7.7</v>
      </c>
      <c r="P943" s="9">
        <v>3</v>
      </c>
      <c r="Q943" s="9" t="s">
        <v>6</v>
      </c>
      <c r="R943" s="1">
        <v>0</v>
      </c>
      <c r="S943" s="26"/>
    </row>
    <row r="944" spans="1:19" ht="16.5" customHeight="1" x14ac:dyDescent="0.25">
      <c r="A944" s="9"/>
      <c r="B944" s="49" t="s">
        <v>58</v>
      </c>
      <c r="C944" s="50"/>
      <c r="D944" s="50"/>
      <c r="E944" s="50"/>
      <c r="F944" s="50"/>
      <c r="G944" s="51"/>
      <c r="H944" s="20"/>
      <c r="I944" s="9">
        <v>1</v>
      </c>
      <c r="J944" s="9"/>
      <c r="K944" s="9"/>
      <c r="L944" s="9"/>
      <c r="M944" s="9">
        <f t="shared" si="114"/>
        <v>8</v>
      </c>
      <c r="N944" s="9">
        <f t="shared" si="115"/>
        <v>3.5</v>
      </c>
      <c r="O944" s="9">
        <v>8</v>
      </c>
      <c r="P944" s="9">
        <v>3.5</v>
      </c>
      <c r="Q944" s="9" t="s">
        <v>9</v>
      </c>
      <c r="R944" s="1">
        <v>0</v>
      </c>
      <c r="S944" s="26"/>
    </row>
    <row r="945" spans="1:19" ht="16.5" customHeight="1" x14ac:dyDescent="0.25">
      <c r="A945" s="9"/>
      <c r="B945" s="49" t="s">
        <v>61</v>
      </c>
      <c r="C945" s="50"/>
      <c r="D945" s="50"/>
      <c r="E945" s="50"/>
      <c r="F945" s="50"/>
      <c r="G945" s="51"/>
      <c r="H945" s="20"/>
      <c r="I945" s="9">
        <v>1</v>
      </c>
      <c r="J945" s="9"/>
      <c r="K945" s="9"/>
      <c r="L945" s="9"/>
      <c r="M945" s="9">
        <f t="shared" si="114"/>
        <v>7.6</v>
      </c>
      <c r="N945" s="9">
        <f t="shared" si="115"/>
        <v>3</v>
      </c>
      <c r="O945" s="9">
        <v>7.6</v>
      </c>
      <c r="P945" s="9">
        <v>3</v>
      </c>
      <c r="Q945" s="9" t="s">
        <v>6</v>
      </c>
      <c r="R945" s="1">
        <v>0</v>
      </c>
      <c r="S945" s="26"/>
    </row>
    <row r="946" spans="1:19" ht="16.5" customHeight="1" x14ac:dyDescent="0.25">
      <c r="A946" s="9"/>
      <c r="B946" s="49" t="s">
        <v>62</v>
      </c>
      <c r="C946" s="50"/>
      <c r="D946" s="50"/>
      <c r="E946" s="50"/>
      <c r="F946" s="50"/>
      <c r="G946" s="51"/>
      <c r="H946" s="20"/>
      <c r="I946" s="9">
        <v>1</v>
      </c>
      <c r="J946" s="9"/>
      <c r="K946" s="9"/>
      <c r="L946" s="9"/>
      <c r="M946" s="9">
        <f t="shared" si="114"/>
        <v>7.7</v>
      </c>
      <c r="N946" s="9">
        <f t="shared" si="115"/>
        <v>3</v>
      </c>
      <c r="O946" s="9">
        <v>7.7</v>
      </c>
      <c r="P946" s="9">
        <v>3</v>
      </c>
      <c r="Q946" s="9" t="s">
        <v>6</v>
      </c>
      <c r="R946" s="1">
        <v>0</v>
      </c>
      <c r="S946" s="26"/>
    </row>
    <row r="947" spans="1:19" ht="16.5" hidden="1" customHeight="1" x14ac:dyDescent="0.25">
      <c r="A947" s="21"/>
      <c r="H947" s="21"/>
      <c r="I947" s="21"/>
      <c r="J947" s="21"/>
      <c r="K947" s="21"/>
      <c r="L947" s="21"/>
      <c r="M947" s="9">
        <f t="shared" si="114"/>
        <v>0</v>
      </c>
      <c r="N947" s="9">
        <f t="shared" si="115"/>
        <v>0</v>
      </c>
      <c r="O947" s="21"/>
      <c r="P947" s="21"/>
      <c r="Q947" s="21"/>
      <c r="S947" s="25"/>
    </row>
    <row r="948" spans="1:19" ht="16.5" customHeight="1" x14ac:dyDescent="0.25">
      <c r="A948" s="9"/>
      <c r="B948" s="38" t="s">
        <v>42</v>
      </c>
      <c r="C948" s="39"/>
      <c r="D948" s="39"/>
      <c r="E948" s="39"/>
      <c r="F948" s="39"/>
      <c r="G948" s="40"/>
      <c r="H948" s="23"/>
      <c r="I948" s="24">
        <f>SUM(I940:I947)</f>
        <v>16</v>
      </c>
      <c r="J948" s="9"/>
      <c r="K948" s="9"/>
      <c r="L948" s="9"/>
      <c r="M948" s="9">
        <f t="shared" si="114"/>
        <v>107.36</v>
      </c>
      <c r="N948" s="9">
        <f t="shared" si="115"/>
        <v>38.56</v>
      </c>
      <c r="O948" s="24">
        <f>ROUND(SUM(M940:M947)/I948,2)</f>
        <v>6.71</v>
      </c>
      <c r="P948" s="24">
        <f>ROUND(SUM(N940:N947)/I948,2)</f>
        <v>2.41</v>
      </c>
      <c r="Q948" s="9"/>
      <c r="S948" s="25"/>
    </row>
    <row r="949" spans="1:19" ht="20.25" customHeight="1" x14ac:dyDescent="0.25">
      <c r="A949" s="27" t="s">
        <v>65</v>
      </c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</row>
    <row r="950" spans="1:19" ht="16.5" customHeight="1" x14ac:dyDescent="0.25">
      <c r="A950" s="9"/>
      <c r="B950" s="49" t="s">
        <v>51</v>
      </c>
      <c r="C950" s="50"/>
      <c r="D950" s="50"/>
      <c r="E950" s="50"/>
      <c r="F950" s="50"/>
      <c r="G950" s="51"/>
      <c r="H950" s="20"/>
      <c r="I950" s="9">
        <v>1</v>
      </c>
      <c r="J950" s="9"/>
      <c r="K950" s="9"/>
      <c r="L950" s="9"/>
      <c r="M950" s="9">
        <f>I950*O950</f>
        <v>4.8</v>
      </c>
      <c r="N950" s="9">
        <f>I950*P950</f>
        <v>1</v>
      </c>
      <c r="O950" s="9">
        <v>4.8</v>
      </c>
      <c r="P950" s="9">
        <v>1</v>
      </c>
      <c r="Q950" s="9" t="s">
        <v>8</v>
      </c>
      <c r="R950" s="1">
        <v>6</v>
      </c>
      <c r="S950" s="26" t="s">
        <v>64</v>
      </c>
    </row>
    <row r="951" spans="1:19" ht="16.5" hidden="1" customHeight="1" x14ac:dyDescent="0.25">
      <c r="A951" s="21"/>
      <c r="H951" s="21"/>
      <c r="I951" s="21"/>
      <c r="J951" s="21"/>
      <c r="K951" s="21"/>
      <c r="L951" s="21"/>
      <c r="M951" s="9">
        <f>I951*O951</f>
        <v>0</v>
      </c>
      <c r="N951" s="9">
        <f>I951*P951</f>
        <v>0</v>
      </c>
      <c r="O951" s="21"/>
      <c r="P951" s="21"/>
      <c r="Q951" s="21"/>
      <c r="S951" s="25"/>
    </row>
    <row r="952" spans="1:19" ht="16.5" customHeight="1" x14ac:dyDescent="0.25">
      <c r="A952" s="9"/>
      <c r="B952" s="38" t="s">
        <v>42</v>
      </c>
      <c r="C952" s="39"/>
      <c r="D952" s="39"/>
      <c r="E952" s="39"/>
      <c r="F952" s="39"/>
      <c r="G952" s="40"/>
      <c r="H952" s="23"/>
      <c r="I952" s="24">
        <f>SUM(I950:I951)</f>
        <v>1</v>
      </c>
      <c r="J952" s="9"/>
      <c r="K952" s="9"/>
      <c r="L952" s="9"/>
      <c r="M952" s="9">
        <f>I952*O952</f>
        <v>4.8</v>
      </c>
      <c r="N952" s="9">
        <f>I952*P952</f>
        <v>1</v>
      </c>
      <c r="O952" s="24">
        <f>ROUND(SUM(M950:M951)/I952,2)</f>
        <v>4.8</v>
      </c>
      <c r="P952" s="24">
        <f>ROUND(SUM(N950:N951)/I952,2)</f>
        <v>1</v>
      </c>
      <c r="Q952" s="9"/>
      <c r="S952" s="25"/>
    </row>
    <row r="953" spans="1:19" ht="20.25" customHeight="1" x14ac:dyDescent="0.25">
      <c r="A953" s="27" t="s">
        <v>67</v>
      </c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</row>
    <row r="954" spans="1:19" ht="16.5" customHeight="1" x14ac:dyDescent="0.25">
      <c r="A954" s="9"/>
      <c r="B954" s="49" t="s">
        <v>68</v>
      </c>
      <c r="C954" s="50"/>
      <c r="D954" s="50"/>
      <c r="E954" s="50"/>
      <c r="F954" s="50"/>
      <c r="G954" s="51"/>
      <c r="H954" s="20"/>
      <c r="I954" s="9">
        <v>3</v>
      </c>
      <c r="J954" s="9"/>
      <c r="K954" s="9"/>
      <c r="L954" s="9"/>
      <c r="M954" s="9">
        <f t="shared" ref="M954:M964" si="116">I954*O954</f>
        <v>22.200000000000003</v>
      </c>
      <c r="N954" s="9">
        <f t="shared" ref="N954:N964" si="117">I954*P954</f>
        <v>9</v>
      </c>
      <c r="O954" s="9">
        <v>7.4</v>
      </c>
      <c r="P954" s="9">
        <v>3</v>
      </c>
      <c r="Q954" s="9" t="s">
        <v>6</v>
      </c>
      <c r="R954" s="1">
        <v>0</v>
      </c>
      <c r="S954" s="26"/>
    </row>
    <row r="955" spans="1:19" ht="16.5" customHeight="1" x14ac:dyDescent="0.25">
      <c r="A955" s="9"/>
      <c r="B955" s="49" t="s">
        <v>73</v>
      </c>
      <c r="C955" s="50"/>
      <c r="D955" s="50"/>
      <c r="E955" s="50"/>
      <c r="F955" s="50"/>
      <c r="G955" s="51"/>
      <c r="H955" s="20"/>
      <c r="I955" s="9">
        <v>4</v>
      </c>
      <c r="J955" s="9"/>
      <c r="K955" s="9"/>
      <c r="L955" s="9"/>
      <c r="M955" s="9">
        <f t="shared" si="116"/>
        <v>24.4</v>
      </c>
      <c r="N955" s="9">
        <f t="shared" si="117"/>
        <v>8</v>
      </c>
      <c r="O955" s="9">
        <v>6.1</v>
      </c>
      <c r="P955" s="9">
        <v>2</v>
      </c>
      <c r="Q955" s="9" t="s">
        <v>3</v>
      </c>
      <c r="R955" s="1">
        <v>0</v>
      </c>
      <c r="S955" s="26"/>
    </row>
    <row r="956" spans="1:19" ht="16.5" customHeight="1" x14ac:dyDescent="0.25">
      <c r="A956" s="9"/>
      <c r="B956" s="49" t="s">
        <v>70</v>
      </c>
      <c r="C956" s="50"/>
      <c r="D956" s="50"/>
      <c r="E956" s="50"/>
      <c r="F956" s="50"/>
      <c r="G956" s="51"/>
      <c r="H956" s="20"/>
      <c r="I956" s="9">
        <v>2</v>
      </c>
      <c r="J956" s="9"/>
      <c r="K956" s="9"/>
      <c r="L956" s="9"/>
      <c r="M956" s="9">
        <f t="shared" si="116"/>
        <v>17.600000000000001</v>
      </c>
      <c r="N956" s="9">
        <f t="shared" si="117"/>
        <v>7.4</v>
      </c>
      <c r="O956" s="9">
        <v>8.8000000000000007</v>
      </c>
      <c r="P956" s="9">
        <v>3.7</v>
      </c>
      <c r="Q956" s="9" t="s">
        <v>10</v>
      </c>
      <c r="R956" s="1">
        <v>0</v>
      </c>
      <c r="S956" s="26"/>
    </row>
    <row r="957" spans="1:19" ht="16.5" customHeight="1" x14ac:dyDescent="0.25">
      <c r="A957" s="9"/>
      <c r="B957" s="49" t="s">
        <v>71</v>
      </c>
      <c r="C957" s="50"/>
      <c r="D957" s="50"/>
      <c r="E957" s="50"/>
      <c r="F957" s="50"/>
      <c r="G957" s="51"/>
      <c r="H957" s="20"/>
      <c r="I957" s="9">
        <v>1</v>
      </c>
      <c r="J957" s="9"/>
      <c r="K957" s="9"/>
      <c r="L957" s="9"/>
      <c r="M957" s="9">
        <f t="shared" si="116"/>
        <v>6.8</v>
      </c>
      <c r="N957" s="9">
        <f t="shared" si="117"/>
        <v>2.5</v>
      </c>
      <c r="O957" s="9">
        <v>6.8</v>
      </c>
      <c r="P957" s="9">
        <v>2.5</v>
      </c>
      <c r="Q957" s="9" t="s">
        <v>5</v>
      </c>
      <c r="R957" s="1">
        <v>0</v>
      </c>
      <c r="S957" s="26"/>
    </row>
    <row r="958" spans="1:19" ht="16.5" customHeight="1" x14ac:dyDescent="0.25">
      <c r="A958" s="9"/>
      <c r="B958" s="49" t="s">
        <v>72</v>
      </c>
      <c r="C958" s="50"/>
      <c r="D958" s="50"/>
      <c r="E958" s="50"/>
      <c r="F958" s="50"/>
      <c r="G958" s="51"/>
      <c r="H958" s="20"/>
      <c r="I958" s="9">
        <v>4</v>
      </c>
      <c r="J958" s="9"/>
      <c r="K958" s="9"/>
      <c r="L958" s="9"/>
      <c r="M958" s="9">
        <f t="shared" si="116"/>
        <v>27.2</v>
      </c>
      <c r="N958" s="9">
        <f t="shared" si="117"/>
        <v>10</v>
      </c>
      <c r="O958" s="9">
        <v>6.8</v>
      </c>
      <c r="P958" s="9">
        <v>2.5</v>
      </c>
      <c r="Q958" s="9" t="s">
        <v>5</v>
      </c>
      <c r="R958" s="1">
        <v>0</v>
      </c>
      <c r="S958" s="26"/>
    </row>
    <row r="959" spans="1:19" ht="16.5" customHeight="1" x14ac:dyDescent="0.25">
      <c r="A959" s="9"/>
      <c r="B959" s="49" t="s">
        <v>77</v>
      </c>
      <c r="C959" s="50"/>
      <c r="D959" s="50"/>
      <c r="E959" s="50"/>
      <c r="F959" s="50"/>
      <c r="G959" s="51"/>
      <c r="H959" s="20"/>
      <c r="I959" s="9">
        <v>1</v>
      </c>
      <c r="J959" s="9"/>
      <c r="K959" s="9"/>
      <c r="L959" s="9"/>
      <c r="M959" s="9">
        <f t="shared" si="116"/>
        <v>4.5999999999999996</v>
      </c>
      <c r="N959" s="9">
        <f t="shared" si="117"/>
        <v>1</v>
      </c>
      <c r="O959" s="9">
        <v>4.5999999999999996</v>
      </c>
      <c r="P959" s="9">
        <v>1</v>
      </c>
      <c r="Q959" s="9" t="s">
        <v>8</v>
      </c>
      <c r="R959" s="1">
        <v>0</v>
      </c>
      <c r="S959" s="26"/>
    </row>
    <row r="960" spans="1:19" ht="16.5" customHeight="1" x14ac:dyDescent="0.25">
      <c r="A960" s="9"/>
      <c r="B960" s="49" t="s">
        <v>74</v>
      </c>
      <c r="C960" s="50"/>
      <c r="D960" s="50"/>
      <c r="E960" s="50"/>
      <c r="F960" s="50"/>
      <c r="G960" s="51"/>
      <c r="H960" s="20"/>
      <c r="I960" s="9">
        <v>3</v>
      </c>
      <c r="J960" s="9"/>
      <c r="K960" s="9"/>
      <c r="L960" s="9"/>
      <c r="M960" s="9">
        <f t="shared" si="116"/>
        <v>19.799999999999997</v>
      </c>
      <c r="N960" s="9">
        <f t="shared" si="117"/>
        <v>7.5</v>
      </c>
      <c r="O960" s="9">
        <v>6.6</v>
      </c>
      <c r="P960" s="9">
        <v>2.5</v>
      </c>
      <c r="Q960" s="9" t="s">
        <v>5</v>
      </c>
      <c r="R960" s="1">
        <v>0</v>
      </c>
      <c r="S960" s="26"/>
    </row>
    <row r="961" spans="1:19" ht="16.5" customHeight="1" x14ac:dyDescent="0.25">
      <c r="A961" s="9"/>
      <c r="B961" s="49" t="s">
        <v>76</v>
      </c>
      <c r="C961" s="50"/>
      <c r="D961" s="50"/>
      <c r="E961" s="50"/>
      <c r="F961" s="50"/>
      <c r="G961" s="51"/>
      <c r="H961" s="20"/>
      <c r="I961" s="9">
        <v>4</v>
      </c>
      <c r="J961" s="9"/>
      <c r="K961" s="9"/>
      <c r="L961" s="9"/>
      <c r="M961" s="9">
        <f t="shared" si="116"/>
        <v>29.2</v>
      </c>
      <c r="N961" s="9">
        <f t="shared" si="117"/>
        <v>12</v>
      </c>
      <c r="O961" s="9">
        <v>7.3</v>
      </c>
      <c r="P961" s="9">
        <v>3</v>
      </c>
      <c r="Q961" s="9" t="s">
        <v>6</v>
      </c>
      <c r="R961" s="1">
        <v>0</v>
      </c>
      <c r="S961" s="26"/>
    </row>
    <row r="962" spans="1:19" ht="16.5" customHeight="1" x14ac:dyDescent="0.25">
      <c r="A962" s="9"/>
      <c r="B962" s="49" t="s">
        <v>80</v>
      </c>
      <c r="C962" s="50"/>
      <c r="D962" s="50"/>
      <c r="E962" s="50"/>
      <c r="F962" s="50"/>
      <c r="G962" s="51"/>
      <c r="H962" s="20"/>
      <c r="I962" s="9">
        <v>4</v>
      </c>
      <c r="J962" s="9"/>
      <c r="K962" s="9"/>
      <c r="L962" s="9"/>
      <c r="M962" s="9">
        <f t="shared" si="116"/>
        <v>32.4</v>
      </c>
      <c r="N962" s="9">
        <f t="shared" si="117"/>
        <v>14</v>
      </c>
      <c r="O962" s="9">
        <v>8.1</v>
      </c>
      <c r="P962" s="9">
        <v>3.5</v>
      </c>
      <c r="Q962" s="9" t="s">
        <v>9</v>
      </c>
      <c r="R962" s="1">
        <v>0</v>
      </c>
      <c r="S962" s="26"/>
    </row>
    <row r="963" spans="1:19" ht="16.5" hidden="1" customHeight="1" x14ac:dyDescent="0.25">
      <c r="A963" s="21"/>
      <c r="H963" s="21"/>
      <c r="I963" s="21"/>
      <c r="J963" s="21"/>
      <c r="K963" s="21"/>
      <c r="L963" s="21"/>
      <c r="M963" s="9">
        <f t="shared" si="116"/>
        <v>0</v>
      </c>
      <c r="N963" s="9">
        <f t="shared" si="117"/>
        <v>0</v>
      </c>
      <c r="O963" s="21"/>
      <c r="P963" s="21"/>
      <c r="Q963" s="21"/>
      <c r="S963" s="25"/>
    </row>
    <row r="964" spans="1:19" ht="16.5" customHeight="1" x14ac:dyDescent="0.25">
      <c r="A964" s="9"/>
      <c r="B964" s="38" t="s">
        <v>42</v>
      </c>
      <c r="C964" s="39"/>
      <c r="D964" s="39"/>
      <c r="E964" s="39"/>
      <c r="F964" s="39"/>
      <c r="G964" s="40"/>
      <c r="H964" s="23"/>
      <c r="I964" s="24">
        <f>SUM(I954:I963)</f>
        <v>26</v>
      </c>
      <c r="J964" s="9"/>
      <c r="K964" s="9"/>
      <c r="L964" s="9"/>
      <c r="M964" s="9">
        <f t="shared" si="116"/>
        <v>184.08</v>
      </c>
      <c r="N964" s="9">
        <f t="shared" si="117"/>
        <v>71.5</v>
      </c>
      <c r="O964" s="24">
        <f>ROUND(SUM(M954:M963)/I964,2)</f>
        <v>7.08</v>
      </c>
      <c r="P964" s="24">
        <f>ROUND(SUM(N954:N963)/I964,2)</f>
        <v>2.75</v>
      </c>
      <c r="Q964" s="9"/>
      <c r="S964" s="25"/>
    </row>
    <row r="965" spans="1:19" ht="20.25" customHeight="1" x14ac:dyDescent="0.25">
      <c r="A965" s="27" t="s">
        <v>82</v>
      </c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</row>
    <row r="966" spans="1:19" ht="16.5" customHeight="1" x14ac:dyDescent="0.25">
      <c r="A966" s="9"/>
      <c r="B966" s="49" t="s">
        <v>86</v>
      </c>
      <c r="C966" s="50"/>
      <c r="D966" s="50"/>
      <c r="E966" s="50"/>
      <c r="F966" s="50"/>
      <c r="G966" s="51"/>
      <c r="H966" s="20"/>
      <c r="I966" s="9">
        <v>3</v>
      </c>
      <c r="J966" s="9"/>
      <c r="K966" s="9"/>
      <c r="L966" s="9"/>
      <c r="M966" s="9">
        <f>I966*O966</f>
        <v>16.799999999999997</v>
      </c>
      <c r="N966" s="9">
        <f>I966*P966</f>
        <v>6</v>
      </c>
      <c r="O966" s="9">
        <v>5.6</v>
      </c>
      <c r="P966" s="9">
        <v>2</v>
      </c>
      <c r="Q966" s="9" t="s">
        <v>3</v>
      </c>
      <c r="R966" s="1">
        <v>0</v>
      </c>
      <c r="S966" s="26"/>
    </row>
    <row r="967" spans="1:19" ht="15" customHeight="1" x14ac:dyDescent="0.25">
      <c r="A967" s="35" t="s">
        <v>0</v>
      </c>
      <c r="B967" s="29" t="s">
        <v>1</v>
      </c>
      <c r="C967" s="30"/>
      <c r="D967" s="30"/>
      <c r="E967" s="30"/>
      <c r="F967" s="30"/>
      <c r="G967" s="31"/>
      <c r="H967" s="35" t="s">
        <v>32</v>
      </c>
      <c r="I967" s="35" t="s">
        <v>39</v>
      </c>
      <c r="J967" s="53" t="s">
        <v>2</v>
      </c>
      <c r="K967" s="54"/>
      <c r="L967" s="54"/>
      <c r="M967" s="54"/>
      <c r="N967" s="54"/>
      <c r="O967" s="54"/>
      <c r="P967" s="54"/>
      <c r="Q967" s="55"/>
      <c r="S967" s="35" t="s">
        <v>38</v>
      </c>
    </row>
    <row r="968" spans="1:19" ht="24" customHeight="1" x14ac:dyDescent="0.25">
      <c r="A968" s="36"/>
      <c r="B968" s="32"/>
      <c r="C968" s="33"/>
      <c r="D968" s="33"/>
      <c r="E968" s="33"/>
      <c r="F968" s="33"/>
      <c r="G968" s="34"/>
      <c r="H968" s="36"/>
      <c r="I968" s="36"/>
      <c r="J968" s="7" t="s">
        <v>28</v>
      </c>
      <c r="K968" s="7" t="s">
        <v>29</v>
      </c>
      <c r="L968" s="7" t="s">
        <v>30</v>
      </c>
      <c r="M968" s="7"/>
      <c r="N968" s="7"/>
      <c r="O968" s="6" t="s">
        <v>35</v>
      </c>
      <c r="P968" s="6" t="s">
        <v>36</v>
      </c>
      <c r="Q968" s="6" t="s">
        <v>37</v>
      </c>
      <c r="S968" s="36"/>
    </row>
    <row r="969" spans="1:19" ht="16.5" customHeight="1" x14ac:dyDescent="0.25">
      <c r="A969" s="9"/>
      <c r="B969" s="49" t="s">
        <v>83</v>
      </c>
      <c r="C969" s="50"/>
      <c r="D969" s="50"/>
      <c r="E969" s="50"/>
      <c r="F969" s="50"/>
      <c r="G969" s="51"/>
      <c r="H969" s="20"/>
      <c r="I969" s="9">
        <v>1</v>
      </c>
      <c r="J969" s="9"/>
      <c r="K969" s="9"/>
      <c r="L969" s="9"/>
      <c r="M969" s="9">
        <f t="shared" ref="M969:M979" si="118">I969*O969</f>
        <v>7.5</v>
      </c>
      <c r="N969" s="9">
        <f t="shared" ref="N969:N979" si="119">I969*P969</f>
        <v>3</v>
      </c>
      <c r="O969" s="9">
        <v>7.5</v>
      </c>
      <c r="P969" s="9">
        <v>3</v>
      </c>
      <c r="Q969" s="9" t="s">
        <v>6</v>
      </c>
      <c r="R969" s="1">
        <v>0</v>
      </c>
      <c r="S969" s="26"/>
    </row>
    <row r="970" spans="1:19" ht="16.5" customHeight="1" x14ac:dyDescent="0.25">
      <c r="A970" s="9"/>
      <c r="B970" s="49" t="s">
        <v>75</v>
      </c>
      <c r="C970" s="50"/>
      <c r="D970" s="50"/>
      <c r="E970" s="50"/>
      <c r="F970" s="50"/>
      <c r="G970" s="51"/>
      <c r="H970" s="20"/>
      <c r="I970" s="9">
        <v>3</v>
      </c>
      <c r="J970" s="9"/>
      <c r="K970" s="9"/>
      <c r="L970" s="9"/>
      <c r="M970" s="9">
        <f t="shared" si="118"/>
        <v>21.299999999999997</v>
      </c>
      <c r="N970" s="9">
        <f t="shared" si="119"/>
        <v>9</v>
      </c>
      <c r="O970" s="9">
        <v>7.1</v>
      </c>
      <c r="P970" s="9">
        <v>3</v>
      </c>
      <c r="Q970" s="9" t="s">
        <v>6</v>
      </c>
      <c r="R970" s="1">
        <v>0</v>
      </c>
      <c r="S970" s="26"/>
    </row>
    <row r="971" spans="1:19" ht="16.5" customHeight="1" x14ac:dyDescent="0.25">
      <c r="A971" s="9"/>
      <c r="B971" s="49" t="s">
        <v>93</v>
      </c>
      <c r="C971" s="50"/>
      <c r="D971" s="50"/>
      <c r="E971" s="50"/>
      <c r="F971" s="50"/>
      <c r="G971" s="51"/>
      <c r="H971" s="20"/>
      <c r="I971" s="9">
        <v>2</v>
      </c>
      <c r="J971" s="9"/>
      <c r="K971" s="9"/>
      <c r="L971" s="9"/>
      <c r="M971" s="9">
        <f t="shared" si="118"/>
        <v>15.2</v>
      </c>
      <c r="N971" s="9">
        <f t="shared" si="119"/>
        <v>6</v>
      </c>
      <c r="O971" s="9">
        <v>7.6</v>
      </c>
      <c r="P971" s="9">
        <v>3</v>
      </c>
      <c r="Q971" s="9" t="s">
        <v>6</v>
      </c>
      <c r="R971" s="1">
        <v>0</v>
      </c>
      <c r="S971" s="26"/>
    </row>
    <row r="972" spans="1:19" ht="16.5" customHeight="1" x14ac:dyDescent="0.25">
      <c r="A972" s="9"/>
      <c r="B972" s="49" t="s">
        <v>90</v>
      </c>
      <c r="C972" s="50"/>
      <c r="D972" s="50"/>
      <c r="E972" s="50"/>
      <c r="F972" s="50"/>
      <c r="G972" s="51"/>
      <c r="H972" s="20"/>
      <c r="I972" s="9">
        <v>2</v>
      </c>
      <c r="J972" s="9"/>
      <c r="K972" s="9"/>
      <c r="L972" s="9"/>
      <c r="M972" s="9">
        <f t="shared" si="118"/>
        <v>14</v>
      </c>
      <c r="N972" s="9">
        <f t="shared" si="119"/>
        <v>6</v>
      </c>
      <c r="O972" s="9">
        <v>7</v>
      </c>
      <c r="P972" s="9">
        <v>3</v>
      </c>
      <c r="Q972" s="9" t="s">
        <v>6</v>
      </c>
      <c r="R972" s="1">
        <v>0</v>
      </c>
      <c r="S972" s="26"/>
    </row>
    <row r="973" spans="1:19" ht="16.5" customHeight="1" x14ac:dyDescent="0.25">
      <c r="A973" s="9"/>
      <c r="B973" s="49" t="s">
        <v>95</v>
      </c>
      <c r="C973" s="50"/>
      <c r="D973" s="50"/>
      <c r="E973" s="50"/>
      <c r="F973" s="50"/>
      <c r="G973" s="51"/>
      <c r="H973" s="20"/>
      <c r="I973" s="9">
        <v>1</v>
      </c>
      <c r="J973" s="9"/>
      <c r="K973" s="9"/>
      <c r="L973" s="9"/>
      <c r="M973" s="9">
        <f t="shared" si="118"/>
        <v>7.5</v>
      </c>
      <c r="N973" s="9">
        <f t="shared" si="119"/>
        <v>3</v>
      </c>
      <c r="O973" s="9">
        <v>7.5</v>
      </c>
      <c r="P973" s="9">
        <v>3</v>
      </c>
      <c r="Q973" s="9" t="s">
        <v>6</v>
      </c>
      <c r="R973" s="1">
        <v>0</v>
      </c>
      <c r="S973" s="26"/>
    </row>
    <row r="974" spans="1:19" ht="16.5" customHeight="1" x14ac:dyDescent="0.25">
      <c r="A974" s="9"/>
      <c r="B974" s="49" t="s">
        <v>88</v>
      </c>
      <c r="C974" s="50"/>
      <c r="D974" s="50"/>
      <c r="E974" s="50"/>
      <c r="F974" s="50"/>
      <c r="G974" s="51"/>
      <c r="H974" s="20"/>
      <c r="I974" s="9">
        <v>2</v>
      </c>
      <c r="J974" s="9"/>
      <c r="K974" s="9"/>
      <c r="L974" s="9"/>
      <c r="M974" s="9">
        <f t="shared" si="118"/>
        <v>15.6</v>
      </c>
      <c r="N974" s="9">
        <f t="shared" si="119"/>
        <v>6</v>
      </c>
      <c r="O974" s="9">
        <v>7.8</v>
      </c>
      <c r="P974" s="9">
        <v>3</v>
      </c>
      <c r="Q974" s="9" t="s">
        <v>6</v>
      </c>
      <c r="R974" s="1">
        <v>0</v>
      </c>
      <c r="S974" s="26"/>
    </row>
    <row r="975" spans="1:19" ht="16.5" customHeight="1" x14ac:dyDescent="0.25">
      <c r="A975" s="9"/>
      <c r="B975" s="49" t="s">
        <v>89</v>
      </c>
      <c r="C975" s="50"/>
      <c r="D975" s="50"/>
      <c r="E975" s="50"/>
      <c r="F975" s="50"/>
      <c r="G975" s="51"/>
      <c r="H975" s="20"/>
      <c r="I975" s="9">
        <v>2</v>
      </c>
      <c r="J975" s="9"/>
      <c r="K975" s="9"/>
      <c r="L975" s="9"/>
      <c r="M975" s="9">
        <f t="shared" si="118"/>
        <v>14.6</v>
      </c>
      <c r="N975" s="9">
        <f t="shared" si="119"/>
        <v>6</v>
      </c>
      <c r="O975" s="9">
        <v>7.3</v>
      </c>
      <c r="P975" s="9">
        <v>3</v>
      </c>
      <c r="Q975" s="9" t="s">
        <v>6</v>
      </c>
      <c r="R975" s="1">
        <v>0</v>
      </c>
      <c r="S975" s="26"/>
    </row>
    <row r="976" spans="1:19" ht="16.5" customHeight="1" x14ac:dyDescent="0.25">
      <c r="A976" s="9"/>
      <c r="B976" s="49" t="s">
        <v>92</v>
      </c>
      <c r="C976" s="50"/>
      <c r="D976" s="50"/>
      <c r="E976" s="50"/>
      <c r="F976" s="50"/>
      <c r="G976" s="51"/>
      <c r="H976" s="20"/>
      <c r="I976" s="9">
        <v>4</v>
      </c>
      <c r="J976" s="9"/>
      <c r="K976" s="9"/>
      <c r="L976" s="9"/>
      <c r="M976" s="9">
        <f t="shared" si="118"/>
        <v>19.2</v>
      </c>
      <c r="N976" s="9">
        <f t="shared" si="119"/>
        <v>4</v>
      </c>
      <c r="O976" s="9">
        <v>4.8</v>
      </c>
      <c r="P976" s="9">
        <v>1</v>
      </c>
      <c r="Q976" s="9" t="s">
        <v>8</v>
      </c>
      <c r="R976" s="1">
        <v>0</v>
      </c>
      <c r="S976" s="26"/>
    </row>
    <row r="977" spans="1:19" ht="16.5" customHeight="1" x14ac:dyDescent="0.25">
      <c r="A977" s="9"/>
      <c r="B977" s="49" t="s">
        <v>84</v>
      </c>
      <c r="C977" s="50"/>
      <c r="D977" s="50"/>
      <c r="E977" s="50"/>
      <c r="F977" s="50"/>
      <c r="G977" s="51"/>
      <c r="H977" s="20"/>
      <c r="I977" s="9">
        <v>3</v>
      </c>
      <c r="J977" s="9"/>
      <c r="K977" s="9"/>
      <c r="L977" s="9"/>
      <c r="M977" s="9">
        <f t="shared" si="118"/>
        <v>20.700000000000003</v>
      </c>
      <c r="N977" s="9">
        <f t="shared" si="119"/>
        <v>7.5</v>
      </c>
      <c r="O977" s="9">
        <v>6.9</v>
      </c>
      <c r="P977" s="9">
        <v>2.5</v>
      </c>
      <c r="Q977" s="9" t="s">
        <v>5</v>
      </c>
      <c r="R977" s="1">
        <v>0</v>
      </c>
      <c r="S977" s="26"/>
    </row>
    <row r="978" spans="1:19" ht="16.5" hidden="1" customHeight="1" x14ac:dyDescent="0.25">
      <c r="A978" s="21"/>
      <c r="H978" s="21"/>
      <c r="I978" s="21"/>
      <c r="J978" s="21"/>
      <c r="K978" s="21"/>
      <c r="L978" s="21"/>
      <c r="M978" s="9">
        <f t="shared" si="118"/>
        <v>0</v>
      </c>
      <c r="N978" s="9">
        <f t="shared" si="119"/>
        <v>0</v>
      </c>
      <c r="O978" s="21"/>
      <c r="P978" s="21"/>
      <c r="Q978" s="21"/>
      <c r="S978" s="25"/>
    </row>
    <row r="979" spans="1:19" ht="16.5" customHeight="1" x14ac:dyDescent="0.25">
      <c r="A979" s="9"/>
      <c r="B979" s="38" t="s">
        <v>42</v>
      </c>
      <c r="C979" s="39"/>
      <c r="D979" s="39"/>
      <c r="E979" s="39"/>
      <c r="F979" s="39"/>
      <c r="G979" s="40"/>
      <c r="H979" s="23"/>
      <c r="I979" s="24">
        <f>SUM(I966:I978)</f>
        <v>23</v>
      </c>
      <c r="J979" s="9"/>
      <c r="K979" s="9"/>
      <c r="L979" s="9"/>
      <c r="M979" s="9">
        <f t="shared" si="118"/>
        <v>152.49</v>
      </c>
      <c r="N979" s="9">
        <f t="shared" si="119"/>
        <v>56.58</v>
      </c>
      <c r="O979" s="24">
        <f>ROUND(SUM(M966:M978)/I979,2)</f>
        <v>6.63</v>
      </c>
      <c r="P979" s="24">
        <f>ROUND(SUM(N966:N978)/I979,2)</f>
        <v>2.46</v>
      </c>
      <c r="Q979" s="9"/>
      <c r="S979" s="25"/>
    </row>
    <row r="980" spans="1:19" ht="20.25" customHeight="1" x14ac:dyDescent="0.25">
      <c r="A980" s="27" t="s">
        <v>96</v>
      </c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</row>
    <row r="981" spans="1:19" ht="16.5" customHeight="1" x14ac:dyDescent="0.25">
      <c r="A981" s="9"/>
      <c r="B981" s="49" t="s">
        <v>97</v>
      </c>
      <c r="C981" s="50"/>
      <c r="D981" s="50"/>
      <c r="E981" s="50"/>
      <c r="F981" s="50"/>
      <c r="G981" s="51"/>
      <c r="H981" s="20"/>
      <c r="I981" s="9">
        <v>2</v>
      </c>
      <c r="J981" s="9"/>
      <c r="K981" s="9"/>
      <c r="L981" s="9"/>
      <c r="M981" s="9">
        <f t="shared" ref="M981:M993" si="120">I981*O981</f>
        <v>15.8</v>
      </c>
      <c r="N981" s="9">
        <f t="shared" ref="N981:N993" si="121">I981*P981</f>
        <v>6</v>
      </c>
      <c r="O981" s="9">
        <v>7.9</v>
      </c>
      <c r="P981" s="9">
        <v>3</v>
      </c>
      <c r="Q981" s="9" t="s">
        <v>6</v>
      </c>
      <c r="R981" s="1">
        <v>0</v>
      </c>
      <c r="S981" s="26"/>
    </row>
    <row r="982" spans="1:19" ht="16.5" customHeight="1" x14ac:dyDescent="0.25">
      <c r="A982" s="9"/>
      <c r="B982" s="49" t="s">
        <v>99</v>
      </c>
      <c r="C982" s="50"/>
      <c r="D982" s="50"/>
      <c r="E982" s="50"/>
      <c r="F982" s="50"/>
      <c r="G982" s="51"/>
      <c r="H982" s="20"/>
      <c r="I982" s="9">
        <v>2</v>
      </c>
      <c r="J982" s="9"/>
      <c r="K982" s="9"/>
      <c r="L982" s="9"/>
      <c r="M982" s="9">
        <f t="shared" si="120"/>
        <v>16</v>
      </c>
      <c r="N982" s="9">
        <f t="shared" si="121"/>
        <v>7</v>
      </c>
      <c r="O982" s="9">
        <v>8</v>
      </c>
      <c r="P982" s="9">
        <v>3.5</v>
      </c>
      <c r="Q982" s="9" t="s">
        <v>9</v>
      </c>
      <c r="R982" s="1">
        <v>0</v>
      </c>
      <c r="S982" s="26"/>
    </row>
    <row r="983" spans="1:19" ht="16.5" customHeight="1" x14ac:dyDescent="0.25">
      <c r="A983" s="9"/>
      <c r="B983" s="49" t="s">
        <v>98</v>
      </c>
      <c r="C983" s="50"/>
      <c r="D983" s="50"/>
      <c r="E983" s="50"/>
      <c r="F983" s="50"/>
      <c r="G983" s="51"/>
      <c r="H983" s="20"/>
      <c r="I983" s="9">
        <v>3</v>
      </c>
      <c r="J983" s="9"/>
      <c r="K983" s="9"/>
      <c r="L983" s="9"/>
      <c r="M983" s="9">
        <f t="shared" si="120"/>
        <v>20.100000000000001</v>
      </c>
      <c r="N983" s="9">
        <f t="shared" si="121"/>
        <v>7.5</v>
      </c>
      <c r="O983" s="9">
        <v>6.7</v>
      </c>
      <c r="P983" s="9">
        <v>2.5</v>
      </c>
      <c r="Q983" s="9" t="s">
        <v>5</v>
      </c>
      <c r="R983" s="1">
        <v>0</v>
      </c>
      <c r="S983" s="26"/>
    </row>
    <row r="984" spans="1:19" ht="16.5" customHeight="1" x14ac:dyDescent="0.25">
      <c r="A984" s="9"/>
      <c r="B984" s="49" t="s">
        <v>79</v>
      </c>
      <c r="C984" s="50"/>
      <c r="D984" s="50"/>
      <c r="E984" s="50"/>
      <c r="F984" s="50"/>
      <c r="G984" s="51"/>
      <c r="H984" s="20"/>
      <c r="I984" s="9">
        <v>2</v>
      </c>
      <c r="J984" s="9"/>
      <c r="K984" s="9"/>
      <c r="L984" s="9"/>
      <c r="M984" s="9">
        <f t="shared" si="120"/>
        <v>14.8</v>
      </c>
      <c r="N984" s="9">
        <f t="shared" si="121"/>
        <v>6</v>
      </c>
      <c r="O984" s="9">
        <v>7.4</v>
      </c>
      <c r="P984" s="9">
        <v>3</v>
      </c>
      <c r="Q984" s="9" t="s">
        <v>6</v>
      </c>
      <c r="R984" s="1">
        <v>0</v>
      </c>
      <c r="S984" s="26"/>
    </row>
    <row r="985" spans="1:19" ht="16.5" customHeight="1" x14ac:dyDescent="0.25">
      <c r="A985" s="9"/>
      <c r="B985" s="49" t="s">
        <v>69</v>
      </c>
      <c r="C985" s="50"/>
      <c r="D985" s="50"/>
      <c r="E985" s="50"/>
      <c r="F985" s="50"/>
      <c r="G985" s="51"/>
      <c r="H985" s="20"/>
      <c r="I985" s="9">
        <v>1</v>
      </c>
      <c r="J985" s="9"/>
      <c r="K985" s="9"/>
      <c r="L985" s="9"/>
      <c r="M985" s="9">
        <f t="shared" si="120"/>
        <v>7</v>
      </c>
      <c r="N985" s="9">
        <f t="shared" si="121"/>
        <v>3</v>
      </c>
      <c r="O985" s="9">
        <v>7</v>
      </c>
      <c r="P985" s="9">
        <v>3</v>
      </c>
      <c r="Q985" s="9" t="s">
        <v>6</v>
      </c>
      <c r="R985" s="1">
        <v>0</v>
      </c>
      <c r="S985" s="26"/>
    </row>
    <row r="986" spans="1:19" ht="16.5" customHeight="1" x14ac:dyDescent="0.25">
      <c r="A986" s="9"/>
      <c r="B986" s="49" t="s">
        <v>105</v>
      </c>
      <c r="C986" s="50"/>
      <c r="D986" s="50"/>
      <c r="E986" s="50"/>
      <c r="F986" s="50"/>
      <c r="G986" s="51"/>
      <c r="H986" s="20"/>
      <c r="I986" s="9">
        <v>4</v>
      </c>
      <c r="J986" s="9"/>
      <c r="K986" s="9"/>
      <c r="L986" s="9"/>
      <c r="M986" s="9">
        <f t="shared" si="120"/>
        <v>29.2</v>
      </c>
      <c r="N986" s="9">
        <f t="shared" si="121"/>
        <v>12</v>
      </c>
      <c r="O986" s="9">
        <v>7.3</v>
      </c>
      <c r="P986" s="9">
        <v>3</v>
      </c>
      <c r="Q986" s="9" t="s">
        <v>6</v>
      </c>
      <c r="R986" s="1">
        <v>0</v>
      </c>
      <c r="S986" s="26"/>
    </row>
    <row r="987" spans="1:19" ht="16.5" customHeight="1" x14ac:dyDescent="0.25">
      <c r="A987" s="9"/>
      <c r="B987" s="49" t="s">
        <v>101</v>
      </c>
      <c r="C987" s="50"/>
      <c r="D987" s="50"/>
      <c r="E987" s="50"/>
      <c r="F987" s="50"/>
      <c r="G987" s="51"/>
      <c r="H987" s="20"/>
      <c r="I987" s="9">
        <v>1</v>
      </c>
      <c r="J987" s="9"/>
      <c r="K987" s="9"/>
      <c r="L987" s="9"/>
      <c r="M987" s="9">
        <f t="shared" si="120"/>
        <v>7.8</v>
      </c>
      <c r="N987" s="9">
        <f t="shared" si="121"/>
        <v>3</v>
      </c>
      <c r="O987" s="9">
        <v>7.8</v>
      </c>
      <c r="P987" s="9">
        <v>3</v>
      </c>
      <c r="Q987" s="9" t="s">
        <v>6</v>
      </c>
      <c r="R987" s="1">
        <v>0</v>
      </c>
      <c r="S987" s="26"/>
    </row>
    <row r="988" spans="1:19" ht="16.5" customHeight="1" x14ac:dyDescent="0.25">
      <c r="A988" s="9"/>
      <c r="B988" s="49" t="s">
        <v>100</v>
      </c>
      <c r="C988" s="50"/>
      <c r="D988" s="50"/>
      <c r="E988" s="50"/>
      <c r="F988" s="50"/>
      <c r="G988" s="51"/>
      <c r="H988" s="20"/>
      <c r="I988" s="9">
        <v>1</v>
      </c>
      <c r="J988" s="9"/>
      <c r="K988" s="9"/>
      <c r="L988" s="9"/>
      <c r="M988" s="9">
        <f t="shared" si="120"/>
        <v>7.6</v>
      </c>
      <c r="N988" s="9">
        <f t="shared" si="121"/>
        <v>3</v>
      </c>
      <c r="O988" s="9">
        <v>7.6</v>
      </c>
      <c r="P988" s="9">
        <v>3</v>
      </c>
      <c r="Q988" s="9" t="s">
        <v>6</v>
      </c>
      <c r="R988" s="1">
        <v>0</v>
      </c>
      <c r="S988" s="26"/>
    </row>
    <row r="989" spans="1:19" ht="16.5" customHeight="1" x14ac:dyDescent="0.25">
      <c r="A989" s="9"/>
      <c r="B989" s="49" t="s">
        <v>104</v>
      </c>
      <c r="C989" s="50"/>
      <c r="D989" s="50"/>
      <c r="E989" s="50"/>
      <c r="F989" s="50"/>
      <c r="G989" s="51"/>
      <c r="H989" s="20"/>
      <c r="I989" s="9">
        <v>3</v>
      </c>
      <c r="J989" s="9"/>
      <c r="K989" s="9"/>
      <c r="L989" s="9"/>
      <c r="M989" s="9">
        <f t="shared" si="120"/>
        <v>20.399999999999999</v>
      </c>
      <c r="N989" s="9">
        <f t="shared" si="121"/>
        <v>7.5</v>
      </c>
      <c r="O989" s="9">
        <v>6.8</v>
      </c>
      <c r="P989" s="9">
        <v>2.5</v>
      </c>
      <c r="Q989" s="9" t="s">
        <v>5</v>
      </c>
      <c r="R989" s="1">
        <v>0</v>
      </c>
      <c r="S989" s="26"/>
    </row>
    <row r="990" spans="1:19" ht="16.5" customHeight="1" x14ac:dyDescent="0.25">
      <c r="A990" s="9"/>
      <c r="B990" s="49" t="s">
        <v>103</v>
      </c>
      <c r="C990" s="50"/>
      <c r="D990" s="50"/>
      <c r="E990" s="50"/>
      <c r="F990" s="50"/>
      <c r="G990" s="51"/>
      <c r="H990" s="20"/>
      <c r="I990" s="9">
        <v>2</v>
      </c>
      <c r="J990" s="9"/>
      <c r="K990" s="9"/>
      <c r="L990" s="9"/>
      <c r="M990" s="9">
        <f t="shared" si="120"/>
        <v>15.6</v>
      </c>
      <c r="N990" s="9">
        <f t="shared" si="121"/>
        <v>6</v>
      </c>
      <c r="O990" s="9">
        <v>7.8</v>
      </c>
      <c r="P990" s="9">
        <v>3</v>
      </c>
      <c r="Q990" s="9" t="s">
        <v>6</v>
      </c>
      <c r="R990" s="1">
        <v>0</v>
      </c>
      <c r="S990" s="26"/>
    </row>
    <row r="991" spans="1:19" ht="16.5" customHeight="1" x14ac:dyDescent="0.25">
      <c r="A991" s="9"/>
      <c r="B991" s="49" t="s">
        <v>102</v>
      </c>
      <c r="C991" s="50"/>
      <c r="D991" s="50"/>
      <c r="E991" s="50"/>
      <c r="F991" s="50"/>
      <c r="G991" s="51"/>
      <c r="H991" s="20"/>
      <c r="I991" s="9">
        <v>2</v>
      </c>
      <c r="J991" s="9"/>
      <c r="K991" s="9"/>
      <c r="L991" s="9"/>
      <c r="M991" s="9">
        <f t="shared" si="120"/>
        <v>13.8</v>
      </c>
      <c r="N991" s="9">
        <f t="shared" si="121"/>
        <v>5</v>
      </c>
      <c r="O991" s="9">
        <v>6.9</v>
      </c>
      <c r="P991" s="9">
        <v>2.5</v>
      </c>
      <c r="Q991" s="9" t="s">
        <v>5</v>
      </c>
      <c r="R991" s="1">
        <v>0</v>
      </c>
      <c r="S991" s="26"/>
    </row>
    <row r="992" spans="1:19" ht="16.5" hidden="1" customHeight="1" x14ac:dyDescent="0.25">
      <c r="A992" s="21"/>
      <c r="H992" s="21"/>
      <c r="I992" s="21"/>
      <c r="J992" s="21"/>
      <c r="K992" s="21"/>
      <c r="L992" s="21"/>
      <c r="M992" s="9">
        <f t="shared" si="120"/>
        <v>0</v>
      </c>
      <c r="N992" s="9">
        <f t="shared" si="121"/>
        <v>0</v>
      </c>
      <c r="O992" s="21"/>
      <c r="P992" s="21"/>
      <c r="Q992" s="21"/>
      <c r="S992" s="25"/>
    </row>
    <row r="993" spans="1:19" ht="16.5" customHeight="1" x14ac:dyDescent="0.25">
      <c r="A993" s="9"/>
      <c r="B993" s="38" t="s">
        <v>42</v>
      </c>
      <c r="C993" s="39"/>
      <c r="D993" s="39"/>
      <c r="E993" s="39"/>
      <c r="F993" s="39"/>
      <c r="G993" s="40"/>
      <c r="H993" s="23"/>
      <c r="I993" s="24">
        <f>SUM(I981:I992)</f>
        <v>23</v>
      </c>
      <c r="J993" s="9"/>
      <c r="K993" s="9"/>
      <c r="L993" s="9"/>
      <c r="M993" s="9">
        <f t="shared" si="120"/>
        <v>168.13</v>
      </c>
      <c r="N993" s="9">
        <f t="shared" si="121"/>
        <v>66.010000000000005</v>
      </c>
      <c r="O993" s="24">
        <f>ROUND(SUM(M981:M992)/I993,2)</f>
        <v>7.31</v>
      </c>
      <c r="P993" s="24">
        <f>ROUND(SUM(N981:N992)/I993,2)</f>
        <v>2.87</v>
      </c>
      <c r="Q993" s="9"/>
      <c r="S993" s="25"/>
    </row>
    <row r="994" spans="1:19" ht="20.25" customHeight="1" x14ac:dyDescent="0.25">
      <c r="A994" s="27" t="s">
        <v>106</v>
      </c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</row>
    <row r="995" spans="1:19" ht="16.5" customHeight="1" x14ac:dyDescent="0.25">
      <c r="A995" s="9"/>
      <c r="B995" s="49" t="s">
        <v>98</v>
      </c>
      <c r="C995" s="50"/>
      <c r="D995" s="50"/>
      <c r="E995" s="50"/>
      <c r="F995" s="50"/>
      <c r="G995" s="51"/>
      <c r="H995" s="20"/>
      <c r="I995" s="9">
        <v>3</v>
      </c>
      <c r="J995" s="9"/>
      <c r="K995" s="9"/>
      <c r="L995" s="9"/>
      <c r="M995" s="9">
        <f>I995*O995</f>
        <v>0</v>
      </c>
      <c r="N995" s="9">
        <f>I995*P995</f>
        <v>0</v>
      </c>
      <c r="O995" s="9"/>
      <c r="P995" s="9"/>
      <c r="Q995" s="9"/>
      <c r="R995" s="1">
        <v>6</v>
      </c>
      <c r="S995" s="26" t="s">
        <v>64</v>
      </c>
    </row>
    <row r="996" spans="1:19" ht="16.5" hidden="1" customHeight="1" x14ac:dyDescent="0.25">
      <c r="A996" s="21"/>
      <c r="H996" s="21"/>
      <c r="I996" s="21"/>
      <c r="J996" s="21"/>
      <c r="K996" s="21"/>
      <c r="L996" s="21"/>
      <c r="M996" s="9">
        <f>I996*O996</f>
        <v>0</v>
      </c>
      <c r="N996" s="9">
        <f>I996*P996</f>
        <v>0</v>
      </c>
      <c r="O996" s="21"/>
      <c r="P996" s="21"/>
      <c r="Q996" s="21"/>
      <c r="S996" s="25"/>
    </row>
    <row r="997" spans="1:19" ht="16.5" customHeight="1" x14ac:dyDescent="0.25">
      <c r="A997" s="9"/>
      <c r="B997" s="38" t="s">
        <v>42</v>
      </c>
      <c r="C997" s="39"/>
      <c r="D997" s="39"/>
      <c r="E997" s="39"/>
      <c r="F997" s="39"/>
      <c r="G997" s="40"/>
      <c r="H997" s="23"/>
      <c r="I997" s="24">
        <f>SUM(I995:I996)</f>
        <v>3</v>
      </c>
      <c r="J997" s="9"/>
      <c r="K997" s="9"/>
      <c r="L997" s="9"/>
      <c r="M997" s="9">
        <f>I997*O997</f>
        <v>0</v>
      </c>
      <c r="N997" s="9">
        <f>I997*P997</f>
        <v>0</v>
      </c>
      <c r="O997" s="24">
        <f>ROUND(SUM(M995:M996)/I997,2)</f>
        <v>0</v>
      </c>
      <c r="P997" s="24">
        <f>ROUND(SUM(N995:N996)/I997,2)</f>
        <v>0</v>
      </c>
      <c r="Q997" s="9"/>
      <c r="S997" s="25"/>
    </row>
    <row r="998" spans="1:19" ht="20.25" customHeight="1" x14ac:dyDescent="0.25">
      <c r="A998" s="27" t="s">
        <v>107</v>
      </c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</row>
    <row r="999" spans="1:19" ht="16.5" customHeight="1" x14ac:dyDescent="0.25">
      <c r="A999" s="9"/>
      <c r="B999" s="49" t="s">
        <v>109</v>
      </c>
      <c r="C999" s="50"/>
      <c r="D999" s="50"/>
      <c r="E999" s="50"/>
      <c r="F999" s="50"/>
      <c r="G999" s="51"/>
      <c r="H999" s="20"/>
      <c r="I999" s="9">
        <v>2</v>
      </c>
      <c r="J999" s="9"/>
      <c r="K999" s="9"/>
      <c r="L999" s="9"/>
      <c r="M999" s="9">
        <f t="shared" ref="M999:M1011" si="122">I999*O999</f>
        <v>12</v>
      </c>
      <c r="N999" s="9">
        <f t="shared" ref="N999:N1011" si="123">I999*P999</f>
        <v>4</v>
      </c>
      <c r="O999" s="9">
        <v>6</v>
      </c>
      <c r="P999" s="9">
        <v>2</v>
      </c>
      <c r="Q999" s="9" t="s">
        <v>3</v>
      </c>
      <c r="R999" s="1">
        <v>0</v>
      </c>
      <c r="S999" s="26"/>
    </row>
    <row r="1000" spans="1:19" ht="16.5" customHeight="1" x14ac:dyDescent="0.25">
      <c r="A1000" s="9"/>
      <c r="B1000" s="49" t="s">
        <v>108</v>
      </c>
      <c r="C1000" s="50"/>
      <c r="D1000" s="50"/>
      <c r="E1000" s="50"/>
      <c r="F1000" s="50"/>
      <c r="G1000" s="51"/>
      <c r="H1000" s="20"/>
      <c r="I1000" s="9">
        <v>1</v>
      </c>
      <c r="J1000" s="9"/>
      <c r="K1000" s="9"/>
      <c r="L1000" s="9"/>
      <c r="M1000" s="9">
        <f t="shared" si="122"/>
        <v>7.6</v>
      </c>
      <c r="N1000" s="9">
        <f t="shared" si="123"/>
        <v>3</v>
      </c>
      <c r="O1000" s="9">
        <v>7.6</v>
      </c>
      <c r="P1000" s="9">
        <v>3</v>
      </c>
      <c r="Q1000" s="9" t="s">
        <v>6</v>
      </c>
      <c r="R1000" s="1">
        <v>0</v>
      </c>
      <c r="S1000" s="26"/>
    </row>
    <row r="1001" spans="1:19" ht="16.5" customHeight="1" x14ac:dyDescent="0.25">
      <c r="A1001" s="9"/>
      <c r="B1001" s="49" t="s">
        <v>111</v>
      </c>
      <c r="C1001" s="50"/>
      <c r="D1001" s="50"/>
      <c r="E1001" s="50"/>
      <c r="F1001" s="50"/>
      <c r="G1001" s="51"/>
      <c r="H1001" s="20"/>
      <c r="I1001" s="9">
        <v>3</v>
      </c>
      <c r="J1001" s="9"/>
      <c r="K1001" s="9"/>
      <c r="L1001" s="9"/>
      <c r="M1001" s="9">
        <f t="shared" si="122"/>
        <v>22.799999999999997</v>
      </c>
      <c r="N1001" s="9">
        <f t="shared" si="123"/>
        <v>9</v>
      </c>
      <c r="O1001" s="9">
        <v>7.6</v>
      </c>
      <c r="P1001" s="9">
        <v>3</v>
      </c>
      <c r="Q1001" s="9" t="s">
        <v>6</v>
      </c>
      <c r="R1001" s="1">
        <v>0</v>
      </c>
      <c r="S1001" s="26"/>
    </row>
    <row r="1002" spans="1:19" ht="16.5" customHeight="1" x14ac:dyDescent="0.25">
      <c r="A1002" s="9"/>
      <c r="B1002" s="49" t="s">
        <v>110</v>
      </c>
      <c r="C1002" s="50"/>
      <c r="D1002" s="50"/>
      <c r="E1002" s="50"/>
      <c r="F1002" s="50"/>
      <c r="G1002" s="51"/>
      <c r="H1002" s="20"/>
      <c r="I1002" s="9">
        <v>3</v>
      </c>
      <c r="J1002" s="9"/>
      <c r="K1002" s="9"/>
      <c r="L1002" s="9"/>
      <c r="M1002" s="9">
        <f t="shared" si="122"/>
        <v>24.900000000000002</v>
      </c>
      <c r="N1002" s="9">
        <f t="shared" si="123"/>
        <v>10.5</v>
      </c>
      <c r="O1002" s="9">
        <v>8.3000000000000007</v>
      </c>
      <c r="P1002" s="9">
        <v>3.5</v>
      </c>
      <c r="Q1002" s="9" t="s">
        <v>9</v>
      </c>
      <c r="R1002" s="1">
        <v>0</v>
      </c>
      <c r="S1002" s="26"/>
    </row>
    <row r="1003" spans="1:19" ht="16.5" customHeight="1" x14ac:dyDescent="0.25">
      <c r="A1003" s="9"/>
      <c r="B1003" s="49" t="s">
        <v>113</v>
      </c>
      <c r="C1003" s="50"/>
      <c r="D1003" s="50"/>
      <c r="E1003" s="50"/>
      <c r="F1003" s="50"/>
      <c r="G1003" s="51"/>
      <c r="H1003" s="20"/>
      <c r="I1003" s="9">
        <v>4</v>
      </c>
      <c r="J1003" s="9"/>
      <c r="K1003" s="9"/>
      <c r="L1003" s="9"/>
      <c r="M1003" s="9">
        <f t="shared" si="122"/>
        <v>28.4</v>
      </c>
      <c r="N1003" s="9">
        <f t="shared" si="123"/>
        <v>12</v>
      </c>
      <c r="O1003" s="9">
        <v>7.1</v>
      </c>
      <c r="P1003" s="9">
        <v>3</v>
      </c>
      <c r="Q1003" s="9" t="s">
        <v>6</v>
      </c>
      <c r="R1003" s="1">
        <v>0</v>
      </c>
      <c r="S1003" s="26"/>
    </row>
    <row r="1004" spans="1:19" ht="16.5" customHeight="1" x14ac:dyDescent="0.25">
      <c r="A1004" s="9"/>
      <c r="B1004" s="49" t="s">
        <v>112</v>
      </c>
      <c r="C1004" s="50"/>
      <c r="D1004" s="50"/>
      <c r="E1004" s="50"/>
      <c r="F1004" s="50"/>
      <c r="G1004" s="51"/>
      <c r="H1004" s="20"/>
      <c r="I1004" s="9">
        <v>4</v>
      </c>
      <c r="J1004" s="9"/>
      <c r="K1004" s="9"/>
      <c r="L1004" s="9"/>
      <c r="M1004" s="9">
        <f t="shared" si="122"/>
        <v>31.2</v>
      </c>
      <c r="N1004" s="9">
        <f t="shared" si="123"/>
        <v>12</v>
      </c>
      <c r="O1004" s="9">
        <v>7.8</v>
      </c>
      <c r="P1004" s="9">
        <v>3</v>
      </c>
      <c r="Q1004" s="9" t="s">
        <v>6</v>
      </c>
      <c r="R1004" s="1">
        <v>0</v>
      </c>
      <c r="S1004" s="26"/>
    </row>
    <row r="1005" spans="1:19" ht="16.5" customHeight="1" x14ac:dyDescent="0.25">
      <c r="A1005" s="9"/>
      <c r="B1005" s="49" t="s">
        <v>115</v>
      </c>
      <c r="C1005" s="50"/>
      <c r="D1005" s="50"/>
      <c r="E1005" s="50"/>
      <c r="F1005" s="50"/>
      <c r="G1005" s="51"/>
      <c r="H1005" s="20"/>
      <c r="I1005" s="9">
        <v>2</v>
      </c>
      <c r="J1005" s="9"/>
      <c r="K1005" s="9"/>
      <c r="L1005" s="9"/>
      <c r="M1005" s="9">
        <f t="shared" si="122"/>
        <v>13.2</v>
      </c>
      <c r="N1005" s="9">
        <f t="shared" si="123"/>
        <v>5</v>
      </c>
      <c r="O1005" s="9">
        <v>6.6</v>
      </c>
      <c r="P1005" s="9">
        <v>2.5</v>
      </c>
      <c r="Q1005" s="9" t="s">
        <v>5</v>
      </c>
      <c r="R1005" s="1">
        <v>0</v>
      </c>
      <c r="S1005" s="26"/>
    </row>
    <row r="1006" spans="1:19" ht="16.5" customHeight="1" x14ac:dyDescent="0.25">
      <c r="A1006" s="9"/>
      <c r="B1006" s="49" t="s">
        <v>114</v>
      </c>
      <c r="C1006" s="50"/>
      <c r="D1006" s="50"/>
      <c r="E1006" s="50"/>
      <c r="F1006" s="50"/>
      <c r="G1006" s="51"/>
      <c r="H1006" s="20"/>
      <c r="I1006" s="9">
        <v>3</v>
      </c>
      <c r="J1006" s="9"/>
      <c r="K1006" s="9"/>
      <c r="L1006" s="9"/>
      <c r="M1006" s="9">
        <f t="shared" si="122"/>
        <v>20.100000000000001</v>
      </c>
      <c r="N1006" s="9">
        <f t="shared" si="123"/>
        <v>7.5</v>
      </c>
      <c r="O1006" s="9">
        <v>6.7</v>
      </c>
      <c r="P1006" s="9">
        <v>2.5</v>
      </c>
      <c r="Q1006" s="9" t="s">
        <v>5</v>
      </c>
      <c r="R1006" s="1">
        <v>0</v>
      </c>
      <c r="S1006" s="26"/>
    </row>
    <row r="1007" spans="1:19" ht="16.5" customHeight="1" x14ac:dyDescent="0.25">
      <c r="A1007" s="9"/>
      <c r="B1007" s="49" t="s">
        <v>118</v>
      </c>
      <c r="C1007" s="50"/>
      <c r="D1007" s="50"/>
      <c r="E1007" s="50"/>
      <c r="F1007" s="50"/>
      <c r="G1007" s="51"/>
      <c r="H1007" s="20"/>
      <c r="I1007" s="9">
        <v>2</v>
      </c>
      <c r="J1007" s="9"/>
      <c r="K1007" s="9"/>
      <c r="L1007" s="9"/>
      <c r="M1007" s="9">
        <f t="shared" si="122"/>
        <v>15.2</v>
      </c>
      <c r="N1007" s="9">
        <f t="shared" si="123"/>
        <v>6</v>
      </c>
      <c r="O1007" s="9">
        <v>7.6</v>
      </c>
      <c r="P1007" s="9">
        <v>3</v>
      </c>
      <c r="Q1007" s="9" t="s">
        <v>6</v>
      </c>
      <c r="R1007" s="1">
        <v>0</v>
      </c>
      <c r="S1007" s="26"/>
    </row>
    <row r="1008" spans="1:19" ht="16.5" customHeight="1" x14ac:dyDescent="0.25">
      <c r="A1008" s="9"/>
      <c r="B1008" s="49" t="s">
        <v>116</v>
      </c>
      <c r="C1008" s="50"/>
      <c r="D1008" s="50"/>
      <c r="E1008" s="50"/>
      <c r="F1008" s="50"/>
      <c r="G1008" s="51"/>
      <c r="H1008" s="20"/>
      <c r="I1008" s="9">
        <v>2</v>
      </c>
      <c r="J1008" s="9"/>
      <c r="K1008" s="9"/>
      <c r="L1008" s="9"/>
      <c r="M1008" s="9">
        <f t="shared" si="122"/>
        <v>12.8</v>
      </c>
      <c r="N1008" s="9">
        <f t="shared" si="123"/>
        <v>4</v>
      </c>
      <c r="O1008" s="9">
        <v>6.4</v>
      </c>
      <c r="P1008" s="9">
        <v>2</v>
      </c>
      <c r="Q1008" s="9" t="s">
        <v>3</v>
      </c>
      <c r="R1008" s="1">
        <v>0</v>
      </c>
      <c r="S1008" s="26"/>
    </row>
    <row r="1009" spans="1:19" ht="16.5" customHeight="1" x14ac:dyDescent="0.25">
      <c r="A1009" s="9"/>
      <c r="B1009" s="49" t="s">
        <v>117</v>
      </c>
      <c r="C1009" s="50"/>
      <c r="D1009" s="50"/>
      <c r="E1009" s="50"/>
      <c r="F1009" s="50"/>
      <c r="G1009" s="51"/>
      <c r="H1009" s="20"/>
      <c r="I1009" s="9">
        <v>3</v>
      </c>
      <c r="J1009" s="9"/>
      <c r="K1009" s="9"/>
      <c r="L1009" s="9"/>
      <c r="M1009" s="9">
        <f t="shared" si="122"/>
        <v>24</v>
      </c>
      <c r="N1009" s="9">
        <f t="shared" si="123"/>
        <v>10.5</v>
      </c>
      <c r="O1009" s="9">
        <v>8</v>
      </c>
      <c r="P1009" s="9">
        <v>3.5</v>
      </c>
      <c r="Q1009" s="9" t="s">
        <v>9</v>
      </c>
      <c r="R1009" s="1">
        <v>0</v>
      </c>
      <c r="S1009" s="26"/>
    </row>
    <row r="1010" spans="1:19" ht="16.5" hidden="1" customHeight="1" x14ac:dyDescent="0.25">
      <c r="A1010" s="21"/>
      <c r="H1010" s="21"/>
      <c r="I1010" s="21"/>
      <c r="J1010" s="21"/>
      <c r="K1010" s="21"/>
      <c r="L1010" s="21"/>
      <c r="M1010" s="9">
        <f t="shared" si="122"/>
        <v>0</v>
      </c>
      <c r="N1010" s="9">
        <f t="shared" si="123"/>
        <v>0</v>
      </c>
      <c r="O1010" s="21"/>
      <c r="P1010" s="21"/>
      <c r="Q1010" s="21"/>
      <c r="S1010" s="25"/>
    </row>
    <row r="1011" spans="1:19" ht="16.5" customHeight="1" x14ac:dyDescent="0.25">
      <c r="A1011" s="9"/>
      <c r="B1011" s="38" t="s">
        <v>42</v>
      </c>
      <c r="C1011" s="39"/>
      <c r="D1011" s="39"/>
      <c r="E1011" s="39"/>
      <c r="F1011" s="39"/>
      <c r="G1011" s="40"/>
      <c r="H1011" s="23"/>
      <c r="I1011" s="24">
        <f>SUM(I999:I1010)</f>
        <v>29</v>
      </c>
      <c r="J1011" s="9"/>
      <c r="K1011" s="9"/>
      <c r="L1011" s="9"/>
      <c r="M1011" s="9">
        <f t="shared" si="122"/>
        <v>212.28</v>
      </c>
      <c r="N1011" s="9">
        <f t="shared" si="123"/>
        <v>83.52</v>
      </c>
      <c r="O1011" s="24">
        <f>ROUND(SUM(M999:M1010)/I1011,2)</f>
        <v>7.32</v>
      </c>
      <c r="P1011" s="24">
        <f>ROUND(SUM(N999:N1010)/I1011,2)</f>
        <v>2.88</v>
      </c>
      <c r="Q1011" s="9"/>
      <c r="S1011" s="25"/>
    </row>
    <row r="1012" spans="1:19" ht="20.25" customHeight="1" x14ac:dyDescent="0.25">
      <c r="A1012" s="27" t="s">
        <v>120</v>
      </c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</row>
    <row r="1013" spans="1:19" ht="16.5" customHeight="1" x14ac:dyDescent="0.25">
      <c r="A1013" s="9"/>
      <c r="B1013" s="49" t="s">
        <v>121</v>
      </c>
      <c r="C1013" s="50"/>
      <c r="D1013" s="50"/>
      <c r="E1013" s="50"/>
      <c r="F1013" s="50"/>
      <c r="G1013" s="51"/>
      <c r="H1013" s="20"/>
      <c r="I1013" s="9">
        <v>3</v>
      </c>
      <c r="J1013" s="9"/>
      <c r="K1013" s="9"/>
      <c r="L1013" s="9"/>
      <c r="M1013" s="9">
        <f t="shared" ref="M1013:M1022" si="124">I1013*O1013</f>
        <v>20.399999999999999</v>
      </c>
      <c r="N1013" s="9">
        <f t="shared" ref="N1013:N1022" si="125">I1013*P1013</f>
        <v>7.5</v>
      </c>
      <c r="O1013" s="9">
        <v>6.8</v>
      </c>
      <c r="P1013" s="9">
        <v>2.5</v>
      </c>
      <c r="Q1013" s="9" t="s">
        <v>5</v>
      </c>
      <c r="R1013" s="1">
        <v>0</v>
      </c>
      <c r="S1013" s="26"/>
    </row>
    <row r="1014" spans="1:19" ht="16.5" customHeight="1" x14ac:dyDescent="0.25">
      <c r="A1014" s="9"/>
      <c r="B1014" s="49" t="s">
        <v>122</v>
      </c>
      <c r="C1014" s="50"/>
      <c r="D1014" s="50"/>
      <c r="E1014" s="50"/>
      <c r="F1014" s="50"/>
      <c r="G1014" s="51"/>
      <c r="H1014" s="20"/>
      <c r="I1014" s="9">
        <v>1</v>
      </c>
      <c r="J1014" s="9"/>
      <c r="K1014" s="9"/>
      <c r="L1014" s="9"/>
      <c r="M1014" s="9">
        <f t="shared" si="124"/>
        <v>7.8</v>
      </c>
      <c r="N1014" s="9">
        <f t="shared" si="125"/>
        <v>3</v>
      </c>
      <c r="O1014" s="9">
        <v>7.8</v>
      </c>
      <c r="P1014" s="9">
        <v>3</v>
      </c>
      <c r="Q1014" s="9" t="s">
        <v>6</v>
      </c>
      <c r="R1014" s="1">
        <v>0</v>
      </c>
      <c r="S1014" s="26"/>
    </row>
    <row r="1015" spans="1:19" ht="16.5" customHeight="1" x14ac:dyDescent="0.25">
      <c r="A1015" s="9"/>
      <c r="B1015" s="49" t="s">
        <v>123</v>
      </c>
      <c r="C1015" s="50"/>
      <c r="D1015" s="50"/>
      <c r="E1015" s="50"/>
      <c r="F1015" s="50"/>
      <c r="G1015" s="51"/>
      <c r="H1015" s="20"/>
      <c r="I1015" s="9">
        <v>3</v>
      </c>
      <c r="J1015" s="9"/>
      <c r="K1015" s="9"/>
      <c r="L1015" s="9"/>
      <c r="M1015" s="9">
        <f t="shared" si="124"/>
        <v>18.600000000000001</v>
      </c>
      <c r="N1015" s="9">
        <f t="shared" si="125"/>
        <v>6</v>
      </c>
      <c r="O1015" s="9">
        <v>6.2</v>
      </c>
      <c r="P1015" s="9">
        <v>2</v>
      </c>
      <c r="Q1015" s="9" t="s">
        <v>3</v>
      </c>
      <c r="R1015" s="1">
        <v>0</v>
      </c>
      <c r="S1015" s="26"/>
    </row>
    <row r="1016" spans="1:19" ht="16.5" customHeight="1" x14ac:dyDescent="0.25">
      <c r="A1016" s="9"/>
      <c r="B1016" s="49" t="s">
        <v>124</v>
      </c>
      <c r="C1016" s="50"/>
      <c r="D1016" s="50"/>
      <c r="E1016" s="50"/>
      <c r="F1016" s="50"/>
      <c r="G1016" s="51"/>
      <c r="H1016" s="20"/>
      <c r="I1016" s="9">
        <v>3</v>
      </c>
      <c r="J1016" s="9"/>
      <c r="K1016" s="9"/>
      <c r="L1016" s="9"/>
      <c r="M1016" s="9">
        <f t="shared" si="124"/>
        <v>19.799999999999997</v>
      </c>
      <c r="N1016" s="9">
        <f t="shared" si="125"/>
        <v>7.5</v>
      </c>
      <c r="O1016" s="9">
        <v>6.6</v>
      </c>
      <c r="P1016" s="9">
        <v>2.5</v>
      </c>
      <c r="Q1016" s="9" t="s">
        <v>5</v>
      </c>
      <c r="R1016" s="1">
        <v>0</v>
      </c>
      <c r="S1016" s="26"/>
    </row>
    <row r="1017" spans="1:19" ht="16.5" customHeight="1" x14ac:dyDescent="0.25">
      <c r="A1017" s="9"/>
      <c r="B1017" s="49" t="s">
        <v>125</v>
      </c>
      <c r="C1017" s="50"/>
      <c r="D1017" s="50"/>
      <c r="E1017" s="50"/>
      <c r="F1017" s="50"/>
      <c r="G1017" s="51"/>
      <c r="H1017" s="20"/>
      <c r="I1017" s="9">
        <v>3</v>
      </c>
      <c r="J1017" s="9"/>
      <c r="K1017" s="9"/>
      <c r="L1017" s="9"/>
      <c r="M1017" s="9">
        <f t="shared" si="124"/>
        <v>24.299999999999997</v>
      </c>
      <c r="N1017" s="9">
        <f t="shared" si="125"/>
        <v>10.5</v>
      </c>
      <c r="O1017" s="9">
        <v>8.1</v>
      </c>
      <c r="P1017" s="9">
        <v>3.5</v>
      </c>
      <c r="Q1017" s="9" t="s">
        <v>9</v>
      </c>
      <c r="R1017" s="1">
        <v>0</v>
      </c>
      <c r="S1017" s="26"/>
    </row>
    <row r="1018" spans="1:19" ht="16.5" customHeight="1" x14ac:dyDescent="0.25">
      <c r="A1018" s="9"/>
      <c r="B1018" s="49" t="s">
        <v>126</v>
      </c>
      <c r="C1018" s="50"/>
      <c r="D1018" s="50"/>
      <c r="E1018" s="50"/>
      <c r="F1018" s="50"/>
      <c r="G1018" s="51"/>
      <c r="H1018" s="20"/>
      <c r="I1018" s="9">
        <v>3</v>
      </c>
      <c r="J1018" s="9"/>
      <c r="K1018" s="9"/>
      <c r="L1018" s="9"/>
      <c r="M1018" s="9">
        <f t="shared" si="124"/>
        <v>26.700000000000003</v>
      </c>
      <c r="N1018" s="9">
        <f t="shared" si="125"/>
        <v>11.100000000000001</v>
      </c>
      <c r="O1018" s="9">
        <v>8.9</v>
      </c>
      <c r="P1018" s="9">
        <v>3.7</v>
      </c>
      <c r="Q1018" s="9" t="s">
        <v>10</v>
      </c>
      <c r="R1018" s="1">
        <v>0</v>
      </c>
      <c r="S1018" s="26"/>
    </row>
    <row r="1019" spans="1:19" ht="16.5" customHeight="1" x14ac:dyDescent="0.25">
      <c r="A1019" s="9"/>
      <c r="B1019" s="49" t="s">
        <v>128</v>
      </c>
      <c r="C1019" s="50"/>
      <c r="D1019" s="50"/>
      <c r="E1019" s="50"/>
      <c r="F1019" s="50"/>
      <c r="G1019" s="51"/>
      <c r="H1019" s="20"/>
      <c r="I1019" s="9">
        <v>2</v>
      </c>
      <c r="J1019" s="9"/>
      <c r="K1019" s="9"/>
      <c r="L1019" s="9"/>
      <c r="M1019" s="9">
        <f t="shared" si="124"/>
        <v>15.6</v>
      </c>
      <c r="N1019" s="9">
        <f t="shared" si="125"/>
        <v>6</v>
      </c>
      <c r="O1019" s="9">
        <v>7.8</v>
      </c>
      <c r="P1019" s="9">
        <v>3</v>
      </c>
      <c r="Q1019" s="9" t="s">
        <v>6</v>
      </c>
      <c r="R1019" s="1">
        <v>0</v>
      </c>
      <c r="S1019" s="26"/>
    </row>
    <row r="1020" spans="1:19" ht="16.5" customHeight="1" x14ac:dyDescent="0.25">
      <c r="A1020" s="9"/>
      <c r="B1020" s="49" t="s">
        <v>127</v>
      </c>
      <c r="C1020" s="50"/>
      <c r="D1020" s="50"/>
      <c r="E1020" s="50"/>
      <c r="F1020" s="50"/>
      <c r="G1020" s="51"/>
      <c r="H1020" s="20"/>
      <c r="I1020" s="9">
        <v>2</v>
      </c>
      <c r="J1020" s="9"/>
      <c r="K1020" s="9"/>
      <c r="L1020" s="9"/>
      <c r="M1020" s="9">
        <f t="shared" si="124"/>
        <v>10</v>
      </c>
      <c r="N1020" s="9">
        <f t="shared" si="125"/>
        <v>3</v>
      </c>
      <c r="O1020" s="9">
        <v>5</v>
      </c>
      <c r="P1020" s="9">
        <v>1.5</v>
      </c>
      <c r="Q1020" s="9" t="s">
        <v>4</v>
      </c>
      <c r="R1020" s="1">
        <v>0</v>
      </c>
      <c r="S1020" s="26"/>
    </row>
    <row r="1021" spans="1:19" ht="16.5" hidden="1" customHeight="1" x14ac:dyDescent="0.25">
      <c r="A1021" s="21"/>
      <c r="H1021" s="21"/>
      <c r="I1021" s="21"/>
      <c r="J1021" s="21"/>
      <c r="K1021" s="21"/>
      <c r="L1021" s="21"/>
      <c r="M1021" s="9">
        <f t="shared" si="124"/>
        <v>0</v>
      </c>
      <c r="N1021" s="9">
        <f t="shared" si="125"/>
        <v>0</v>
      </c>
      <c r="O1021" s="21"/>
      <c r="P1021" s="21"/>
      <c r="Q1021" s="21"/>
      <c r="S1021" s="25"/>
    </row>
    <row r="1022" spans="1:19" ht="16.5" customHeight="1" x14ac:dyDescent="0.25">
      <c r="A1022" s="9"/>
      <c r="B1022" s="38" t="s">
        <v>42</v>
      </c>
      <c r="C1022" s="39"/>
      <c r="D1022" s="39"/>
      <c r="E1022" s="39"/>
      <c r="F1022" s="39"/>
      <c r="G1022" s="40"/>
      <c r="H1022" s="23"/>
      <c r="I1022" s="24">
        <f>SUM(I1013:I1021)</f>
        <v>20</v>
      </c>
      <c r="J1022" s="9"/>
      <c r="K1022" s="9"/>
      <c r="L1022" s="9"/>
      <c r="M1022" s="9">
        <f t="shared" si="124"/>
        <v>143.19999999999999</v>
      </c>
      <c r="N1022" s="9">
        <f t="shared" si="125"/>
        <v>54.6</v>
      </c>
      <c r="O1022" s="24">
        <f>ROUND(SUM(M1013:M1021)/I1022,2)</f>
        <v>7.16</v>
      </c>
      <c r="P1022" s="24">
        <f>ROUND(SUM(N1013:N1021)/I1022,2)</f>
        <v>2.73</v>
      </c>
      <c r="Q1022" s="9"/>
      <c r="S1022" s="25"/>
    </row>
    <row r="1023" spans="1:19" ht="16.5" customHeight="1" x14ac:dyDescent="0.25">
      <c r="A1023" s="21"/>
      <c r="B1023" s="22"/>
      <c r="C1023" s="22"/>
      <c r="D1023" s="22"/>
      <c r="E1023" s="22"/>
      <c r="F1023" s="22"/>
      <c r="G1023" s="22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</row>
    <row r="1025" spans="1:20" ht="18" x14ac:dyDescent="0.25">
      <c r="A1025" s="57" t="s">
        <v>145</v>
      </c>
      <c r="B1025" s="57"/>
      <c r="C1025" s="57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</row>
    <row r="1026" spans="1:20" ht="18" x14ac:dyDescent="0.25">
      <c r="A1026" s="57" t="s">
        <v>171</v>
      </c>
      <c r="B1026" s="57"/>
      <c r="C1026" s="57"/>
      <c r="D1026" s="57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</row>
    <row r="1027" spans="1:20" ht="18" x14ac:dyDescent="0.25">
      <c r="A1027" s="57" t="s">
        <v>172</v>
      </c>
      <c r="B1027" s="57"/>
      <c r="C1027" s="57"/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</row>
    <row r="1028" spans="1:20" ht="18" x14ac:dyDescent="0.25">
      <c r="A1028" s="58" t="s">
        <v>148</v>
      </c>
      <c r="B1028" s="58"/>
      <c r="C1028" s="58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</row>
    <row r="1029" spans="1:20" ht="19.5" customHeight="1" x14ac:dyDescent="0.25">
      <c r="A1029" s="17"/>
      <c r="B1029" s="17"/>
      <c r="C1029" s="8"/>
      <c r="D1029" s="18"/>
      <c r="E1029" s="10"/>
      <c r="F1029" s="11"/>
      <c r="G1029" s="44" t="s">
        <v>49</v>
      </c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</row>
    <row r="1030" spans="1:20" ht="31.5" customHeight="1" x14ac:dyDescent="0.3">
      <c r="A1030" s="8"/>
      <c r="B1030" s="8"/>
      <c r="C1030" s="8"/>
      <c r="D1030" s="8"/>
      <c r="E1030" s="8"/>
      <c r="F1030" s="8"/>
      <c r="G1030" s="8"/>
      <c r="H1030" s="12"/>
      <c r="I1030" s="41" t="s">
        <v>40</v>
      </c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</row>
    <row r="1031" spans="1:20" ht="16.8" x14ac:dyDescent="0.3">
      <c r="A1031" s="8"/>
      <c r="B1031" s="8"/>
      <c r="C1031" s="8"/>
      <c r="D1031" s="8"/>
      <c r="E1031" s="8"/>
      <c r="F1031" s="8"/>
      <c r="G1031" s="8"/>
      <c r="H1031" s="12"/>
      <c r="I1031" s="12"/>
      <c r="J1031" s="12"/>
      <c r="K1031" s="12"/>
      <c r="L1031" s="8"/>
      <c r="M1031" s="8"/>
      <c r="N1031" s="8"/>
      <c r="O1031" s="8"/>
      <c r="P1031" s="8"/>
      <c r="Q1031" s="8"/>
    </row>
    <row r="1032" spans="1:20" ht="33" customHeight="1" x14ac:dyDescent="0.3">
      <c r="A1032" s="8"/>
      <c r="B1032" s="8"/>
      <c r="C1032" s="8"/>
      <c r="D1032" s="8"/>
      <c r="E1032" s="8"/>
      <c r="F1032" s="8"/>
      <c r="G1032" s="8"/>
      <c r="H1032" s="12"/>
      <c r="I1032" s="12"/>
      <c r="J1032" s="12"/>
      <c r="K1032" s="12"/>
      <c r="L1032" s="8"/>
      <c r="M1032" s="8"/>
      <c r="N1032" s="8"/>
      <c r="O1032" s="8"/>
      <c r="P1032" s="8"/>
      <c r="Q1032" s="8"/>
    </row>
    <row r="1033" spans="1:20" ht="11.25" customHeight="1" x14ac:dyDescent="0.3">
      <c r="A1033" s="8"/>
      <c r="B1033" s="8"/>
      <c r="C1033" s="8"/>
      <c r="D1033" s="8"/>
      <c r="E1033" s="8"/>
      <c r="F1033" s="8"/>
      <c r="G1033" s="8"/>
      <c r="H1033" s="12"/>
      <c r="I1033" s="12"/>
      <c r="J1033" s="12"/>
      <c r="K1033" s="12"/>
      <c r="L1033" s="8"/>
      <c r="M1033" s="8"/>
      <c r="N1033" s="8"/>
      <c r="O1033" s="8"/>
      <c r="P1033" s="8"/>
      <c r="Q1033" s="8"/>
    </row>
    <row r="1034" spans="1:20" ht="17.399999999999999" x14ac:dyDescent="0.3">
      <c r="A1034" s="8"/>
      <c r="B1034" s="8"/>
      <c r="C1034" s="8"/>
      <c r="D1034" s="8"/>
      <c r="E1034" s="8"/>
      <c r="F1034" s="8"/>
      <c r="G1034" s="45" t="s">
        <v>41</v>
      </c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</row>
    <row r="1035" spans="1:20" ht="54" customHeight="1" x14ac:dyDescent="0.25">
      <c r="A1035" s="46" t="s">
        <v>33</v>
      </c>
      <c r="B1035" s="46"/>
      <c r="C1035" s="46"/>
      <c r="D1035" s="46"/>
      <c r="E1035" s="46"/>
      <c r="F1035" s="41" t="s">
        <v>24</v>
      </c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</row>
    <row r="1036" spans="1:20" ht="17.399999999999999" x14ac:dyDescent="0.25">
      <c r="A1036" s="47" t="s">
        <v>34</v>
      </c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</row>
    <row r="1037" spans="1:20" ht="4.5" customHeight="1" x14ac:dyDescent="0.25">
      <c r="A1037" s="48"/>
      <c r="B1037" s="48"/>
      <c r="C1037" s="48"/>
      <c r="D1037" s="48"/>
      <c r="E1037" s="48"/>
      <c r="F1037" s="48"/>
      <c r="G1037" s="48"/>
      <c r="H1037" s="48"/>
      <c r="I1037" s="48"/>
      <c r="J1037" s="48"/>
      <c r="K1037" s="48"/>
      <c r="L1037" s="48"/>
      <c r="M1037" s="48"/>
      <c r="N1037" s="48"/>
      <c r="O1037" s="48"/>
      <c r="P1037" s="48"/>
      <c r="Q1037" s="48"/>
    </row>
    <row r="1038" spans="1:20" ht="5.25" customHeight="1" x14ac:dyDescent="0.25">
      <c r="A1038" s="48"/>
      <c r="B1038" s="48"/>
      <c r="C1038" s="48"/>
      <c r="D1038" s="48"/>
      <c r="E1038" s="48"/>
      <c r="F1038" s="48"/>
      <c r="G1038" s="48"/>
      <c r="H1038" s="48"/>
      <c r="I1038" s="48"/>
      <c r="J1038" s="48"/>
      <c r="K1038" s="48"/>
      <c r="L1038" s="48"/>
      <c r="M1038" s="48"/>
      <c r="N1038" s="48"/>
      <c r="O1038" s="48"/>
      <c r="P1038" s="48"/>
      <c r="Q1038" s="48"/>
    </row>
    <row r="1039" spans="1:20" ht="16.5" customHeight="1" x14ac:dyDescent="0.25">
      <c r="A1039" s="52" t="s">
        <v>173</v>
      </c>
      <c r="B1039" s="52"/>
      <c r="C1039" s="52"/>
      <c r="D1039" s="52"/>
      <c r="E1039" s="52"/>
      <c r="F1039" s="52"/>
      <c r="G1039" s="56" t="s">
        <v>174</v>
      </c>
      <c r="H1039" s="56"/>
      <c r="I1039" s="56"/>
      <c r="J1039" s="56"/>
      <c r="K1039" s="56"/>
      <c r="L1039" s="56"/>
      <c r="M1039" s="56"/>
      <c r="N1039" s="56"/>
      <c r="O1039" s="56"/>
      <c r="P1039" s="56"/>
      <c r="Q1039" s="56"/>
      <c r="R1039" s="56"/>
      <c r="S1039" s="56"/>
    </row>
    <row r="1040" spans="1:20" ht="16.5" customHeight="1" x14ac:dyDescent="0.25">
      <c r="A1040" s="52" t="s">
        <v>175</v>
      </c>
      <c r="B1040" s="52"/>
      <c r="C1040" s="52"/>
      <c r="D1040" s="52"/>
      <c r="E1040" s="52"/>
      <c r="F1040" s="52"/>
      <c r="G1040" s="8" t="s">
        <v>46</v>
      </c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T1040" s="2"/>
    </row>
    <row r="1041" spans="1:19" ht="16.5" customHeight="1" x14ac:dyDescent="0.25">
      <c r="A1041" s="52" t="s">
        <v>47</v>
      </c>
      <c r="B1041" s="52"/>
      <c r="C1041" s="52"/>
      <c r="D1041" s="52"/>
      <c r="E1041" s="52"/>
      <c r="F1041" s="52"/>
      <c r="G1041" s="56" t="s">
        <v>48</v>
      </c>
      <c r="H1041" s="56"/>
      <c r="I1041" s="56"/>
      <c r="J1041" s="56"/>
      <c r="K1041" s="56"/>
      <c r="L1041" s="56"/>
      <c r="M1041" s="56"/>
      <c r="N1041" s="56"/>
      <c r="O1041" s="56"/>
      <c r="P1041" s="56"/>
      <c r="Q1041" s="56"/>
      <c r="R1041" s="56"/>
      <c r="S1041" s="56"/>
    </row>
    <row r="1042" spans="1:19" ht="5.25" customHeight="1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19"/>
      <c r="K1042" s="19"/>
      <c r="L1042" s="19"/>
      <c r="M1042" s="19"/>
      <c r="N1042" s="19"/>
      <c r="O1042" s="19"/>
      <c r="P1042" s="19"/>
      <c r="Q1042" s="19"/>
    </row>
    <row r="1043" spans="1:19" ht="15" customHeight="1" x14ac:dyDescent="0.25">
      <c r="A1043" s="35" t="s">
        <v>0</v>
      </c>
      <c r="B1043" s="29" t="s">
        <v>1</v>
      </c>
      <c r="C1043" s="30"/>
      <c r="D1043" s="30"/>
      <c r="E1043" s="30"/>
      <c r="F1043" s="30"/>
      <c r="G1043" s="31"/>
      <c r="H1043" s="35" t="s">
        <v>32</v>
      </c>
      <c r="I1043" s="35" t="s">
        <v>39</v>
      </c>
      <c r="J1043" s="53" t="s">
        <v>2</v>
      </c>
      <c r="K1043" s="54"/>
      <c r="L1043" s="54"/>
      <c r="M1043" s="54"/>
      <c r="N1043" s="54"/>
      <c r="O1043" s="54"/>
      <c r="P1043" s="54"/>
      <c r="Q1043" s="55"/>
      <c r="S1043" s="35" t="s">
        <v>38</v>
      </c>
    </row>
    <row r="1044" spans="1:19" ht="24" customHeight="1" x14ac:dyDescent="0.25">
      <c r="A1044" s="36"/>
      <c r="B1044" s="32"/>
      <c r="C1044" s="33"/>
      <c r="D1044" s="33"/>
      <c r="E1044" s="33"/>
      <c r="F1044" s="33"/>
      <c r="G1044" s="34"/>
      <c r="H1044" s="36"/>
      <c r="I1044" s="36"/>
      <c r="J1044" s="7" t="s">
        <v>28</v>
      </c>
      <c r="K1044" s="7" t="s">
        <v>29</v>
      </c>
      <c r="L1044" s="7" t="s">
        <v>30</v>
      </c>
      <c r="M1044" s="7"/>
      <c r="N1044" s="7"/>
      <c r="O1044" s="6" t="s">
        <v>35</v>
      </c>
      <c r="P1044" s="6" t="s">
        <v>36</v>
      </c>
      <c r="Q1044" s="6" t="s">
        <v>37</v>
      </c>
      <c r="S1044" s="36"/>
    </row>
    <row r="1045" spans="1:19" ht="20.25" customHeight="1" x14ac:dyDescent="0.25">
      <c r="A1045" s="27" t="s">
        <v>50</v>
      </c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</row>
    <row r="1046" spans="1:19" ht="16.5" customHeight="1" x14ac:dyDescent="0.25">
      <c r="A1046" s="9"/>
      <c r="B1046" s="49" t="s">
        <v>51</v>
      </c>
      <c r="C1046" s="50"/>
      <c r="D1046" s="50"/>
      <c r="E1046" s="50"/>
      <c r="F1046" s="50"/>
      <c r="G1046" s="51"/>
      <c r="H1046" s="20"/>
      <c r="I1046" s="9">
        <v>1</v>
      </c>
      <c r="J1046" s="9"/>
      <c r="K1046" s="9"/>
      <c r="L1046" s="9"/>
      <c r="M1046" s="9">
        <f t="shared" ref="M1046:M1054" si="126">I1046*O1046</f>
        <v>6.3</v>
      </c>
      <c r="N1046" s="9">
        <f t="shared" ref="N1046:N1054" si="127">I1046*P1046</f>
        <v>2</v>
      </c>
      <c r="O1046" s="9">
        <v>6.3</v>
      </c>
      <c r="P1046" s="9">
        <v>2</v>
      </c>
      <c r="Q1046" s="9" t="s">
        <v>3</v>
      </c>
      <c r="R1046" s="1">
        <v>0</v>
      </c>
      <c r="S1046" s="26"/>
    </row>
    <row r="1047" spans="1:19" ht="16.5" customHeight="1" x14ac:dyDescent="0.25">
      <c r="A1047" s="9"/>
      <c r="B1047" s="49" t="s">
        <v>78</v>
      </c>
      <c r="C1047" s="50"/>
      <c r="D1047" s="50"/>
      <c r="E1047" s="50"/>
      <c r="F1047" s="50"/>
      <c r="G1047" s="51"/>
      <c r="H1047" s="20"/>
      <c r="I1047" s="9">
        <v>3</v>
      </c>
      <c r="J1047" s="9"/>
      <c r="K1047" s="9"/>
      <c r="L1047" s="9"/>
      <c r="M1047" s="9">
        <f t="shared" si="126"/>
        <v>22.799999999999997</v>
      </c>
      <c r="N1047" s="9">
        <f t="shared" si="127"/>
        <v>9</v>
      </c>
      <c r="O1047" s="9">
        <v>7.6</v>
      </c>
      <c r="P1047" s="9">
        <v>3</v>
      </c>
      <c r="Q1047" s="9" t="s">
        <v>6</v>
      </c>
      <c r="R1047" s="1">
        <v>0</v>
      </c>
      <c r="S1047" s="26"/>
    </row>
    <row r="1048" spans="1:19" ht="31.2" customHeight="1" x14ac:dyDescent="0.25">
      <c r="A1048" s="9"/>
      <c r="B1048" s="49" t="s">
        <v>53</v>
      </c>
      <c r="C1048" s="50"/>
      <c r="D1048" s="50"/>
      <c r="E1048" s="50"/>
      <c r="F1048" s="50"/>
      <c r="G1048" s="51"/>
      <c r="H1048" s="20"/>
      <c r="I1048" s="9">
        <v>3</v>
      </c>
      <c r="J1048" s="9"/>
      <c r="K1048" s="9"/>
      <c r="L1048" s="9"/>
      <c r="M1048" s="9">
        <f t="shared" si="126"/>
        <v>23.1</v>
      </c>
      <c r="N1048" s="9">
        <f t="shared" si="127"/>
        <v>9</v>
      </c>
      <c r="O1048" s="9">
        <v>7.7</v>
      </c>
      <c r="P1048" s="9">
        <v>3</v>
      </c>
      <c r="Q1048" s="9" t="s">
        <v>6</v>
      </c>
      <c r="R1048" s="1">
        <v>0</v>
      </c>
      <c r="S1048" s="26"/>
    </row>
    <row r="1049" spans="1:19" ht="16.5" customHeight="1" x14ac:dyDescent="0.25">
      <c r="A1049" s="9"/>
      <c r="B1049" s="49" t="s">
        <v>52</v>
      </c>
      <c r="C1049" s="50"/>
      <c r="D1049" s="50"/>
      <c r="E1049" s="50"/>
      <c r="F1049" s="50"/>
      <c r="G1049" s="51"/>
      <c r="H1049" s="20"/>
      <c r="I1049" s="9">
        <v>1</v>
      </c>
      <c r="J1049" s="9"/>
      <c r="K1049" s="9"/>
      <c r="L1049" s="9"/>
      <c r="M1049" s="9">
        <f t="shared" si="126"/>
        <v>7.9</v>
      </c>
      <c r="N1049" s="9">
        <f t="shared" si="127"/>
        <v>3</v>
      </c>
      <c r="O1049" s="9">
        <v>7.9</v>
      </c>
      <c r="P1049" s="9">
        <v>3</v>
      </c>
      <c r="Q1049" s="9" t="s">
        <v>6</v>
      </c>
      <c r="R1049" s="1">
        <v>0</v>
      </c>
      <c r="S1049" s="26"/>
    </row>
    <row r="1050" spans="1:19" ht="16.5" customHeight="1" x14ac:dyDescent="0.25">
      <c r="A1050" s="9"/>
      <c r="B1050" s="49" t="s">
        <v>55</v>
      </c>
      <c r="C1050" s="50"/>
      <c r="D1050" s="50"/>
      <c r="E1050" s="50"/>
      <c r="F1050" s="50"/>
      <c r="G1050" s="51"/>
      <c r="H1050" s="20"/>
      <c r="I1050" s="9">
        <v>1</v>
      </c>
      <c r="J1050" s="9"/>
      <c r="K1050" s="9"/>
      <c r="L1050" s="9"/>
      <c r="M1050" s="9">
        <f t="shared" si="126"/>
        <v>6.2</v>
      </c>
      <c r="N1050" s="9">
        <f t="shared" si="127"/>
        <v>2</v>
      </c>
      <c r="O1050" s="9">
        <v>6.2</v>
      </c>
      <c r="P1050" s="9">
        <v>2</v>
      </c>
      <c r="Q1050" s="9" t="s">
        <v>3</v>
      </c>
      <c r="R1050" s="1">
        <v>0</v>
      </c>
      <c r="S1050" s="26"/>
    </row>
    <row r="1051" spans="1:19" ht="16.5" customHeight="1" x14ac:dyDescent="0.25">
      <c r="A1051" s="9"/>
      <c r="B1051" s="49" t="s">
        <v>54</v>
      </c>
      <c r="C1051" s="50"/>
      <c r="D1051" s="50"/>
      <c r="E1051" s="50"/>
      <c r="F1051" s="50"/>
      <c r="G1051" s="51"/>
      <c r="H1051" s="20"/>
      <c r="I1051" s="9">
        <v>3</v>
      </c>
      <c r="J1051" s="9"/>
      <c r="K1051" s="9"/>
      <c r="L1051" s="9"/>
      <c r="M1051" s="9">
        <f t="shared" si="126"/>
        <v>22.799999999999997</v>
      </c>
      <c r="N1051" s="9">
        <f t="shared" si="127"/>
        <v>9</v>
      </c>
      <c r="O1051" s="9">
        <v>7.6</v>
      </c>
      <c r="P1051" s="9">
        <v>3</v>
      </c>
      <c r="Q1051" s="9" t="s">
        <v>6</v>
      </c>
      <c r="R1051" s="1">
        <v>0</v>
      </c>
      <c r="S1051" s="26"/>
    </row>
    <row r="1052" spans="1:19" ht="16.5" customHeight="1" x14ac:dyDescent="0.25">
      <c r="A1052" s="9"/>
      <c r="B1052" s="49" t="s">
        <v>56</v>
      </c>
      <c r="C1052" s="50"/>
      <c r="D1052" s="50"/>
      <c r="E1052" s="50"/>
      <c r="F1052" s="50"/>
      <c r="G1052" s="51"/>
      <c r="H1052" s="20"/>
      <c r="I1052" s="9">
        <v>2</v>
      </c>
      <c r="J1052" s="9"/>
      <c r="K1052" s="9"/>
      <c r="L1052" s="9"/>
      <c r="M1052" s="9">
        <f t="shared" si="126"/>
        <v>13</v>
      </c>
      <c r="N1052" s="9">
        <f t="shared" si="127"/>
        <v>5</v>
      </c>
      <c r="O1052" s="9">
        <v>6.5</v>
      </c>
      <c r="P1052" s="9">
        <v>2.5</v>
      </c>
      <c r="Q1052" s="9" t="s">
        <v>5</v>
      </c>
      <c r="R1052" s="1">
        <v>0</v>
      </c>
      <c r="S1052" s="26"/>
    </row>
    <row r="1053" spans="1:19" ht="16.5" hidden="1" customHeight="1" x14ac:dyDescent="0.25">
      <c r="A1053" s="21"/>
      <c r="H1053" s="21"/>
      <c r="I1053" s="21"/>
      <c r="J1053" s="21"/>
      <c r="K1053" s="21"/>
      <c r="L1053" s="21"/>
      <c r="M1053" s="9">
        <f t="shared" si="126"/>
        <v>0</v>
      </c>
      <c r="N1053" s="9">
        <f t="shared" si="127"/>
        <v>0</v>
      </c>
      <c r="O1053" s="21"/>
      <c r="P1053" s="21"/>
      <c r="Q1053" s="21"/>
      <c r="S1053" s="25"/>
    </row>
    <row r="1054" spans="1:19" ht="16.5" customHeight="1" x14ac:dyDescent="0.25">
      <c r="A1054" s="9"/>
      <c r="B1054" s="38" t="s">
        <v>42</v>
      </c>
      <c r="C1054" s="39"/>
      <c r="D1054" s="39"/>
      <c r="E1054" s="39"/>
      <c r="F1054" s="39"/>
      <c r="G1054" s="40"/>
      <c r="H1054" s="23"/>
      <c r="I1054" s="24">
        <f>SUM(I1046:I1053)</f>
        <v>14</v>
      </c>
      <c r="J1054" s="9"/>
      <c r="K1054" s="9"/>
      <c r="L1054" s="9"/>
      <c r="M1054" s="9">
        <f t="shared" si="126"/>
        <v>102.06</v>
      </c>
      <c r="N1054" s="9">
        <f t="shared" si="127"/>
        <v>39.06</v>
      </c>
      <c r="O1054" s="24">
        <f>ROUND(SUM(M1046:M1053)/I1054,2)</f>
        <v>7.29</v>
      </c>
      <c r="P1054" s="24">
        <f>ROUND(SUM(N1046:N1053)/I1054,2)</f>
        <v>2.79</v>
      </c>
      <c r="Q1054" s="9"/>
      <c r="S1054" s="25"/>
    </row>
    <row r="1055" spans="1:19" ht="20.25" customHeight="1" x14ac:dyDescent="0.25">
      <c r="A1055" s="27" t="s">
        <v>57</v>
      </c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</row>
    <row r="1056" spans="1:19" ht="16.5" customHeight="1" x14ac:dyDescent="0.25">
      <c r="A1056" s="9"/>
      <c r="B1056" s="49" t="s">
        <v>136</v>
      </c>
      <c r="C1056" s="50"/>
      <c r="D1056" s="50"/>
      <c r="E1056" s="50"/>
      <c r="F1056" s="50"/>
      <c r="G1056" s="51"/>
      <c r="H1056" s="20"/>
      <c r="I1056" s="9">
        <v>4</v>
      </c>
      <c r="J1056" s="9"/>
      <c r="K1056" s="9"/>
      <c r="L1056" s="9"/>
      <c r="M1056" s="9">
        <f t="shared" ref="M1056:M1064" si="128">I1056*O1056</f>
        <v>24.8</v>
      </c>
      <c r="N1056" s="9">
        <f t="shared" ref="N1056:N1064" si="129">I1056*P1056</f>
        <v>8</v>
      </c>
      <c r="O1056" s="9">
        <v>6.2</v>
      </c>
      <c r="P1056" s="9">
        <v>2</v>
      </c>
      <c r="Q1056" s="9" t="s">
        <v>3</v>
      </c>
      <c r="R1056" s="1">
        <v>0</v>
      </c>
      <c r="S1056" s="26"/>
    </row>
    <row r="1057" spans="1:19" ht="16.5" customHeight="1" x14ac:dyDescent="0.25">
      <c r="A1057" s="9"/>
      <c r="B1057" s="49" t="s">
        <v>91</v>
      </c>
      <c r="C1057" s="50"/>
      <c r="D1057" s="50"/>
      <c r="E1057" s="50"/>
      <c r="F1057" s="50"/>
      <c r="G1057" s="51"/>
      <c r="H1057" s="20"/>
      <c r="I1057" s="9">
        <v>4</v>
      </c>
      <c r="J1057" s="9"/>
      <c r="K1057" s="9"/>
      <c r="L1057" s="9"/>
      <c r="M1057" s="9">
        <f t="shared" si="128"/>
        <v>26.4</v>
      </c>
      <c r="N1057" s="9">
        <f t="shared" si="129"/>
        <v>10</v>
      </c>
      <c r="O1057" s="9">
        <v>6.6</v>
      </c>
      <c r="P1057" s="9">
        <v>2.5</v>
      </c>
      <c r="Q1057" s="9" t="s">
        <v>5</v>
      </c>
      <c r="R1057" s="1">
        <v>0</v>
      </c>
      <c r="S1057" s="26"/>
    </row>
    <row r="1058" spans="1:19" ht="16.5" customHeight="1" x14ac:dyDescent="0.25">
      <c r="A1058" s="9"/>
      <c r="B1058" s="49" t="s">
        <v>60</v>
      </c>
      <c r="C1058" s="50"/>
      <c r="D1058" s="50"/>
      <c r="E1058" s="50"/>
      <c r="F1058" s="50"/>
      <c r="G1058" s="51"/>
      <c r="H1058" s="20"/>
      <c r="I1058" s="9">
        <v>4</v>
      </c>
      <c r="J1058" s="9"/>
      <c r="K1058" s="9"/>
      <c r="L1058" s="9"/>
      <c r="M1058" s="9">
        <f t="shared" si="128"/>
        <v>30</v>
      </c>
      <c r="N1058" s="9">
        <f t="shared" si="129"/>
        <v>12</v>
      </c>
      <c r="O1058" s="9">
        <v>7.5</v>
      </c>
      <c r="P1058" s="9">
        <v>3</v>
      </c>
      <c r="Q1058" s="9" t="s">
        <v>6</v>
      </c>
      <c r="R1058" s="1">
        <v>0</v>
      </c>
      <c r="S1058" s="26"/>
    </row>
    <row r="1059" spans="1:19" ht="16.5" customHeight="1" x14ac:dyDescent="0.25">
      <c r="A1059" s="9"/>
      <c r="B1059" s="49" t="s">
        <v>59</v>
      </c>
      <c r="C1059" s="50"/>
      <c r="D1059" s="50"/>
      <c r="E1059" s="50"/>
      <c r="F1059" s="50"/>
      <c r="G1059" s="51"/>
      <c r="H1059" s="20"/>
      <c r="I1059" s="9">
        <v>1</v>
      </c>
      <c r="J1059" s="9"/>
      <c r="K1059" s="9"/>
      <c r="L1059" s="9"/>
      <c r="M1059" s="9">
        <f t="shared" si="128"/>
        <v>8.1999999999999993</v>
      </c>
      <c r="N1059" s="9">
        <f t="shared" si="129"/>
        <v>3.5</v>
      </c>
      <c r="O1059" s="9">
        <v>8.1999999999999993</v>
      </c>
      <c r="P1059" s="9">
        <v>3.5</v>
      </c>
      <c r="Q1059" s="9" t="s">
        <v>9</v>
      </c>
      <c r="R1059" s="1">
        <v>0</v>
      </c>
      <c r="S1059" s="26"/>
    </row>
    <row r="1060" spans="1:19" ht="16.5" customHeight="1" x14ac:dyDescent="0.25">
      <c r="A1060" s="9"/>
      <c r="B1060" s="49" t="s">
        <v>58</v>
      </c>
      <c r="C1060" s="50"/>
      <c r="D1060" s="50"/>
      <c r="E1060" s="50"/>
      <c r="F1060" s="50"/>
      <c r="G1060" s="51"/>
      <c r="H1060" s="20"/>
      <c r="I1060" s="9">
        <v>1</v>
      </c>
      <c r="J1060" s="9"/>
      <c r="K1060" s="9"/>
      <c r="L1060" s="9"/>
      <c r="M1060" s="9">
        <f t="shared" si="128"/>
        <v>8</v>
      </c>
      <c r="N1060" s="9">
        <f t="shared" si="129"/>
        <v>3.5</v>
      </c>
      <c r="O1060" s="9">
        <v>8</v>
      </c>
      <c r="P1060" s="9">
        <v>3.5</v>
      </c>
      <c r="Q1060" s="9" t="s">
        <v>9</v>
      </c>
      <c r="R1060" s="1">
        <v>0</v>
      </c>
      <c r="S1060" s="26"/>
    </row>
    <row r="1061" spans="1:19" ht="16.5" customHeight="1" x14ac:dyDescent="0.25">
      <c r="A1061" s="9"/>
      <c r="B1061" s="49" t="s">
        <v>61</v>
      </c>
      <c r="C1061" s="50"/>
      <c r="D1061" s="50"/>
      <c r="E1061" s="50"/>
      <c r="F1061" s="50"/>
      <c r="G1061" s="51"/>
      <c r="H1061" s="20"/>
      <c r="I1061" s="9">
        <v>1</v>
      </c>
      <c r="J1061" s="9"/>
      <c r="K1061" s="9"/>
      <c r="L1061" s="9"/>
      <c r="M1061" s="9">
        <f t="shared" si="128"/>
        <v>8</v>
      </c>
      <c r="N1061" s="9">
        <f t="shared" si="129"/>
        <v>3.5</v>
      </c>
      <c r="O1061" s="9">
        <v>8</v>
      </c>
      <c r="P1061" s="9">
        <v>3.5</v>
      </c>
      <c r="Q1061" s="9" t="s">
        <v>9</v>
      </c>
      <c r="R1061" s="1">
        <v>0</v>
      </c>
      <c r="S1061" s="26"/>
    </row>
    <row r="1062" spans="1:19" ht="16.5" customHeight="1" x14ac:dyDescent="0.25">
      <c r="A1062" s="9"/>
      <c r="B1062" s="49" t="s">
        <v>62</v>
      </c>
      <c r="C1062" s="50"/>
      <c r="D1062" s="50"/>
      <c r="E1062" s="50"/>
      <c r="F1062" s="50"/>
      <c r="G1062" s="51"/>
      <c r="H1062" s="20"/>
      <c r="I1062" s="9">
        <v>1</v>
      </c>
      <c r="J1062" s="9"/>
      <c r="K1062" s="9"/>
      <c r="L1062" s="9"/>
      <c r="M1062" s="9">
        <f t="shared" si="128"/>
        <v>7</v>
      </c>
      <c r="N1062" s="9">
        <f t="shared" si="129"/>
        <v>3</v>
      </c>
      <c r="O1062" s="9">
        <v>7</v>
      </c>
      <c r="P1062" s="9">
        <v>3</v>
      </c>
      <c r="Q1062" s="9" t="s">
        <v>6</v>
      </c>
      <c r="R1062" s="1">
        <v>0</v>
      </c>
      <c r="S1062" s="26"/>
    </row>
    <row r="1063" spans="1:19" ht="16.5" hidden="1" customHeight="1" x14ac:dyDescent="0.25">
      <c r="A1063" s="21"/>
      <c r="H1063" s="21"/>
      <c r="I1063" s="21"/>
      <c r="J1063" s="21"/>
      <c r="K1063" s="21"/>
      <c r="L1063" s="21"/>
      <c r="M1063" s="9">
        <f t="shared" si="128"/>
        <v>0</v>
      </c>
      <c r="N1063" s="9">
        <f t="shared" si="129"/>
        <v>0</v>
      </c>
      <c r="O1063" s="21"/>
      <c r="P1063" s="21"/>
      <c r="Q1063" s="21"/>
      <c r="S1063" s="25"/>
    </row>
    <row r="1064" spans="1:19" ht="16.5" customHeight="1" x14ac:dyDescent="0.25">
      <c r="A1064" s="9"/>
      <c r="B1064" s="38" t="s">
        <v>42</v>
      </c>
      <c r="C1064" s="39"/>
      <c r="D1064" s="39"/>
      <c r="E1064" s="39"/>
      <c r="F1064" s="39"/>
      <c r="G1064" s="40"/>
      <c r="H1064" s="23"/>
      <c r="I1064" s="24">
        <f>SUM(I1056:I1063)</f>
        <v>16</v>
      </c>
      <c r="J1064" s="9"/>
      <c r="K1064" s="9"/>
      <c r="L1064" s="9"/>
      <c r="M1064" s="9">
        <f t="shared" si="128"/>
        <v>112.48</v>
      </c>
      <c r="N1064" s="9">
        <f t="shared" si="129"/>
        <v>43.52</v>
      </c>
      <c r="O1064" s="24">
        <f>ROUND(SUM(M1056:M1063)/I1064,2)</f>
        <v>7.03</v>
      </c>
      <c r="P1064" s="24">
        <f>ROUND(SUM(N1056:N1063)/I1064,2)</f>
        <v>2.72</v>
      </c>
      <c r="Q1064" s="9"/>
      <c r="S1064" s="25"/>
    </row>
    <row r="1065" spans="1:19" ht="20.25" customHeight="1" x14ac:dyDescent="0.25">
      <c r="A1065" s="27" t="s">
        <v>67</v>
      </c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</row>
    <row r="1066" spans="1:19" ht="16.5" customHeight="1" x14ac:dyDescent="0.25">
      <c r="A1066" s="9"/>
      <c r="B1066" s="49" t="s">
        <v>73</v>
      </c>
      <c r="C1066" s="50"/>
      <c r="D1066" s="50"/>
      <c r="E1066" s="50"/>
      <c r="F1066" s="50"/>
      <c r="G1066" s="51"/>
      <c r="H1066" s="20"/>
      <c r="I1066" s="9">
        <v>4</v>
      </c>
      <c r="J1066" s="9"/>
      <c r="K1066" s="9"/>
      <c r="L1066" s="9"/>
      <c r="M1066" s="9">
        <f t="shared" ref="M1066:M1076" si="130">I1066*O1066</f>
        <v>28.8</v>
      </c>
      <c r="N1066" s="9">
        <f t="shared" ref="N1066:N1076" si="131">I1066*P1066</f>
        <v>12</v>
      </c>
      <c r="O1066" s="9">
        <v>7.2</v>
      </c>
      <c r="P1066" s="9">
        <v>3</v>
      </c>
      <c r="Q1066" s="9" t="s">
        <v>6</v>
      </c>
      <c r="R1066" s="1">
        <v>0</v>
      </c>
      <c r="S1066" s="26"/>
    </row>
    <row r="1067" spans="1:19" ht="16.5" customHeight="1" x14ac:dyDescent="0.25">
      <c r="A1067" s="9"/>
      <c r="B1067" s="49" t="s">
        <v>68</v>
      </c>
      <c r="C1067" s="50"/>
      <c r="D1067" s="50"/>
      <c r="E1067" s="50"/>
      <c r="F1067" s="50"/>
      <c r="G1067" s="51"/>
      <c r="H1067" s="20"/>
      <c r="I1067" s="9">
        <v>3</v>
      </c>
      <c r="J1067" s="9"/>
      <c r="K1067" s="9"/>
      <c r="L1067" s="9"/>
      <c r="M1067" s="9">
        <f t="shared" si="130"/>
        <v>23.700000000000003</v>
      </c>
      <c r="N1067" s="9">
        <f t="shared" si="131"/>
        <v>9</v>
      </c>
      <c r="O1067" s="9">
        <v>7.9</v>
      </c>
      <c r="P1067" s="9">
        <v>3</v>
      </c>
      <c r="Q1067" s="9" t="s">
        <v>6</v>
      </c>
      <c r="R1067" s="1">
        <v>0</v>
      </c>
      <c r="S1067" s="26"/>
    </row>
    <row r="1068" spans="1:19" ht="16.5" customHeight="1" x14ac:dyDescent="0.25">
      <c r="A1068" s="9"/>
      <c r="B1068" s="49" t="s">
        <v>71</v>
      </c>
      <c r="C1068" s="50"/>
      <c r="D1068" s="50"/>
      <c r="E1068" s="50"/>
      <c r="F1068" s="50"/>
      <c r="G1068" s="51"/>
      <c r="H1068" s="20"/>
      <c r="I1068" s="9">
        <v>1</v>
      </c>
      <c r="J1068" s="9"/>
      <c r="K1068" s="9"/>
      <c r="L1068" s="9"/>
      <c r="M1068" s="9">
        <f t="shared" si="130"/>
        <v>7.6</v>
      </c>
      <c r="N1068" s="9">
        <f t="shared" si="131"/>
        <v>3</v>
      </c>
      <c r="O1068" s="9">
        <v>7.6</v>
      </c>
      <c r="P1068" s="9">
        <v>3</v>
      </c>
      <c r="Q1068" s="9" t="s">
        <v>6</v>
      </c>
      <c r="R1068" s="1">
        <v>0</v>
      </c>
      <c r="S1068" s="26"/>
    </row>
    <row r="1069" spans="1:19" ht="16.5" customHeight="1" x14ac:dyDescent="0.25">
      <c r="A1069" s="9"/>
      <c r="B1069" s="49" t="s">
        <v>70</v>
      </c>
      <c r="C1069" s="50"/>
      <c r="D1069" s="50"/>
      <c r="E1069" s="50"/>
      <c r="F1069" s="50"/>
      <c r="G1069" s="51"/>
      <c r="H1069" s="20"/>
      <c r="I1069" s="9">
        <v>2</v>
      </c>
      <c r="J1069" s="9"/>
      <c r="K1069" s="9"/>
      <c r="L1069" s="9"/>
      <c r="M1069" s="9">
        <f t="shared" si="130"/>
        <v>15.2</v>
      </c>
      <c r="N1069" s="9">
        <f t="shared" si="131"/>
        <v>6</v>
      </c>
      <c r="O1069" s="9">
        <v>7.6</v>
      </c>
      <c r="P1069" s="9">
        <v>3</v>
      </c>
      <c r="Q1069" s="9" t="s">
        <v>6</v>
      </c>
      <c r="R1069" s="1">
        <v>0</v>
      </c>
      <c r="S1069" s="26"/>
    </row>
    <row r="1070" spans="1:19" ht="16.5" customHeight="1" x14ac:dyDescent="0.25">
      <c r="A1070" s="9"/>
      <c r="B1070" s="49" t="s">
        <v>77</v>
      </c>
      <c r="C1070" s="50"/>
      <c r="D1070" s="50"/>
      <c r="E1070" s="50"/>
      <c r="F1070" s="50"/>
      <c r="G1070" s="51"/>
      <c r="H1070" s="20"/>
      <c r="I1070" s="9">
        <v>1</v>
      </c>
      <c r="J1070" s="9"/>
      <c r="K1070" s="9"/>
      <c r="L1070" s="9"/>
      <c r="M1070" s="9">
        <f t="shared" si="130"/>
        <v>5.5</v>
      </c>
      <c r="N1070" s="9">
        <f t="shared" si="131"/>
        <v>2</v>
      </c>
      <c r="O1070" s="9">
        <v>5.5</v>
      </c>
      <c r="P1070" s="9">
        <v>2</v>
      </c>
      <c r="Q1070" s="9" t="s">
        <v>3</v>
      </c>
      <c r="R1070" s="1">
        <v>0</v>
      </c>
      <c r="S1070" s="26"/>
    </row>
    <row r="1071" spans="1:19" ht="16.5" customHeight="1" x14ac:dyDescent="0.25">
      <c r="A1071" s="9"/>
      <c r="B1071" s="49" t="s">
        <v>72</v>
      </c>
      <c r="C1071" s="50"/>
      <c r="D1071" s="50"/>
      <c r="E1071" s="50"/>
      <c r="F1071" s="50"/>
      <c r="G1071" s="51"/>
      <c r="H1071" s="20"/>
      <c r="I1071" s="9">
        <v>4</v>
      </c>
      <c r="J1071" s="9"/>
      <c r="K1071" s="9"/>
      <c r="L1071" s="9"/>
      <c r="M1071" s="9">
        <f t="shared" si="130"/>
        <v>24</v>
      </c>
      <c r="N1071" s="9">
        <f t="shared" si="131"/>
        <v>8</v>
      </c>
      <c r="O1071" s="9">
        <v>6</v>
      </c>
      <c r="P1071" s="9">
        <v>2</v>
      </c>
      <c r="Q1071" s="9" t="s">
        <v>3</v>
      </c>
      <c r="R1071" s="1">
        <v>0</v>
      </c>
      <c r="S1071" s="26"/>
    </row>
    <row r="1072" spans="1:19" ht="16.5" customHeight="1" x14ac:dyDescent="0.25">
      <c r="A1072" s="9"/>
      <c r="B1072" s="49" t="s">
        <v>74</v>
      </c>
      <c r="C1072" s="50"/>
      <c r="D1072" s="50"/>
      <c r="E1072" s="50"/>
      <c r="F1072" s="50"/>
      <c r="G1072" s="51"/>
      <c r="H1072" s="20"/>
      <c r="I1072" s="9">
        <v>3</v>
      </c>
      <c r="J1072" s="9"/>
      <c r="K1072" s="9"/>
      <c r="L1072" s="9"/>
      <c r="M1072" s="9">
        <f t="shared" si="130"/>
        <v>18.600000000000001</v>
      </c>
      <c r="N1072" s="9">
        <f t="shared" si="131"/>
        <v>6</v>
      </c>
      <c r="O1072" s="9">
        <v>6.2</v>
      </c>
      <c r="P1072" s="9">
        <v>2</v>
      </c>
      <c r="Q1072" s="9" t="s">
        <v>3</v>
      </c>
      <c r="R1072" s="1">
        <v>0</v>
      </c>
      <c r="S1072" s="26"/>
    </row>
    <row r="1073" spans="1:19" ht="16.5" customHeight="1" x14ac:dyDescent="0.25">
      <c r="A1073" s="9"/>
      <c r="B1073" s="49" t="s">
        <v>76</v>
      </c>
      <c r="C1073" s="50"/>
      <c r="D1073" s="50"/>
      <c r="E1073" s="50"/>
      <c r="F1073" s="50"/>
      <c r="G1073" s="51"/>
      <c r="H1073" s="20"/>
      <c r="I1073" s="9">
        <v>4</v>
      </c>
      <c r="J1073" s="9"/>
      <c r="K1073" s="9"/>
      <c r="L1073" s="9"/>
      <c r="M1073" s="9">
        <f t="shared" si="130"/>
        <v>30.8</v>
      </c>
      <c r="N1073" s="9">
        <f t="shared" si="131"/>
        <v>12</v>
      </c>
      <c r="O1073" s="9">
        <v>7.7</v>
      </c>
      <c r="P1073" s="9">
        <v>3</v>
      </c>
      <c r="Q1073" s="9" t="s">
        <v>6</v>
      </c>
      <c r="R1073" s="1">
        <v>0</v>
      </c>
      <c r="S1073" s="26"/>
    </row>
    <row r="1074" spans="1:19" ht="16.5" customHeight="1" x14ac:dyDescent="0.25">
      <c r="A1074" s="9"/>
      <c r="B1074" s="49" t="s">
        <v>80</v>
      </c>
      <c r="C1074" s="50"/>
      <c r="D1074" s="50"/>
      <c r="E1074" s="50"/>
      <c r="F1074" s="50"/>
      <c r="G1074" s="51"/>
      <c r="H1074" s="20"/>
      <c r="I1074" s="9">
        <v>4</v>
      </c>
      <c r="J1074" s="9"/>
      <c r="K1074" s="9"/>
      <c r="L1074" s="9"/>
      <c r="M1074" s="9">
        <f t="shared" si="130"/>
        <v>32.4</v>
      </c>
      <c r="N1074" s="9">
        <f t="shared" si="131"/>
        <v>14</v>
      </c>
      <c r="O1074" s="9">
        <v>8.1</v>
      </c>
      <c r="P1074" s="9">
        <v>3.5</v>
      </c>
      <c r="Q1074" s="9" t="s">
        <v>9</v>
      </c>
      <c r="R1074" s="1">
        <v>0</v>
      </c>
      <c r="S1074" s="26"/>
    </row>
    <row r="1075" spans="1:19" ht="16.5" hidden="1" customHeight="1" x14ac:dyDescent="0.25">
      <c r="A1075" s="21"/>
      <c r="H1075" s="21"/>
      <c r="I1075" s="21"/>
      <c r="J1075" s="21"/>
      <c r="K1075" s="21"/>
      <c r="L1075" s="21"/>
      <c r="M1075" s="9">
        <f t="shared" si="130"/>
        <v>0</v>
      </c>
      <c r="N1075" s="9">
        <f t="shared" si="131"/>
        <v>0</v>
      </c>
      <c r="O1075" s="21"/>
      <c r="P1075" s="21"/>
      <c r="Q1075" s="21"/>
      <c r="S1075" s="25"/>
    </row>
    <row r="1076" spans="1:19" ht="16.5" customHeight="1" x14ac:dyDescent="0.25">
      <c r="A1076" s="9"/>
      <c r="B1076" s="38" t="s">
        <v>42</v>
      </c>
      <c r="C1076" s="39"/>
      <c r="D1076" s="39"/>
      <c r="E1076" s="39"/>
      <c r="F1076" s="39"/>
      <c r="G1076" s="40"/>
      <c r="H1076" s="23"/>
      <c r="I1076" s="24">
        <f>SUM(I1066:I1075)</f>
        <v>26</v>
      </c>
      <c r="J1076" s="9"/>
      <c r="K1076" s="9"/>
      <c r="L1076" s="9"/>
      <c r="M1076" s="9">
        <f t="shared" si="130"/>
        <v>186.68</v>
      </c>
      <c r="N1076" s="9">
        <f t="shared" si="131"/>
        <v>72.02</v>
      </c>
      <c r="O1076" s="24">
        <f>ROUND(SUM(M1066:M1075)/I1076,2)</f>
        <v>7.18</v>
      </c>
      <c r="P1076" s="24">
        <f>ROUND(SUM(N1066:N1075)/I1076,2)</f>
        <v>2.77</v>
      </c>
      <c r="Q1076" s="9"/>
      <c r="S1076" s="25"/>
    </row>
    <row r="1077" spans="1:19" ht="20.25" customHeight="1" x14ac:dyDescent="0.25">
      <c r="A1077" s="27" t="s">
        <v>82</v>
      </c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</row>
    <row r="1078" spans="1:19" ht="16.5" customHeight="1" x14ac:dyDescent="0.25">
      <c r="A1078" s="9"/>
      <c r="B1078" s="49" t="s">
        <v>86</v>
      </c>
      <c r="C1078" s="50"/>
      <c r="D1078" s="50"/>
      <c r="E1078" s="50"/>
      <c r="F1078" s="50"/>
      <c r="G1078" s="51"/>
      <c r="H1078" s="20"/>
      <c r="I1078" s="9">
        <v>3</v>
      </c>
      <c r="J1078" s="9"/>
      <c r="K1078" s="9"/>
      <c r="L1078" s="9"/>
      <c r="M1078" s="9">
        <f>I1078*O1078</f>
        <v>16.5</v>
      </c>
      <c r="N1078" s="9">
        <f>I1078*P1078</f>
        <v>6</v>
      </c>
      <c r="O1078" s="9">
        <v>5.5</v>
      </c>
      <c r="P1078" s="9">
        <v>2</v>
      </c>
      <c r="Q1078" s="9" t="s">
        <v>3</v>
      </c>
      <c r="R1078" s="1">
        <v>0</v>
      </c>
      <c r="S1078" s="26"/>
    </row>
    <row r="1079" spans="1:19" ht="16.5" customHeight="1" x14ac:dyDescent="0.25">
      <c r="A1079" s="9"/>
      <c r="B1079" s="49" t="s">
        <v>83</v>
      </c>
      <c r="C1079" s="50"/>
      <c r="D1079" s="50"/>
      <c r="E1079" s="50"/>
      <c r="F1079" s="50"/>
      <c r="G1079" s="51"/>
      <c r="H1079" s="20"/>
      <c r="I1079" s="9">
        <v>1</v>
      </c>
      <c r="J1079" s="9"/>
      <c r="K1079" s="9"/>
      <c r="L1079" s="9"/>
      <c r="M1079" s="9">
        <f>I1079*O1079</f>
        <v>8.1999999999999993</v>
      </c>
      <c r="N1079" s="9">
        <f>I1079*P1079</f>
        <v>3.5</v>
      </c>
      <c r="O1079" s="9">
        <v>8.1999999999999993</v>
      </c>
      <c r="P1079" s="9">
        <v>3.5</v>
      </c>
      <c r="Q1079" s="9" t="s">
        <v>9</v>
      </c>
      <c r="R1079" s="1">
        <v>0</v>
      </c>
      <c r="S1079" s="26"/>
    </row>
    <row r="1080" spans="1:19" ht="16.5" customHeight="1" x14ac:dyDescent="0.25">
      <c r="A1080" s="9"/>
      <c r="B1080" s="49" t="s">
        <v>75</v>
      </c>
      <c r="C1080" s="50"/>
      <c r="D1080" s="50"/>
      <c r="E1080" s="50"/>
      <c r="F1080" s="50"/>
      <c r="G1080" s="51"/>
      <c r="H1080" s="20"/>
      <c r="I1080" s="9">
        <v>3</v>
      </c>
      <c r="J1080" s="9"/>
      <c r="K1080" s="9"/>
      <c r="L1080" s="9"/>
      <c r="M1080" s="9">
        <f>I1080*O1080</f>
        <v>22.200000000000003</v>
      </c>
      <c r="N1080" s="9">
        <f>I1080*P1080</f>
        <v>9</v>
      </c>
      <c r="O1080" s="9">
        <v>7.4</v>
      </c>
      <c r="P1080" s="9">
        <v>3</v>
      </c>
      <c r="Q1080" s="9" t="s">
        <v>6</v>
      </c>
      <c r="R1080" s="1">
        <v>0</v>
      </c>
      <c r="S1080" s="26"/>
    </row>
    <row r="1081" spans="1:19" ht="16.5" customHeight="1" x14ac:dyDescent="0.25">
      <c r="A1081" s="9"/>
      <c r="B1081" s="49" t="s">
        <v>93</v>
      </c>
      <c r="C1081" s="50"/>
      <c r="D1081" s="50"/>
      <c r="E1081" s="50"/>
      <c r="F1081" s="50"/>
      <c r="G1081" s="51"/>
      <c r="H1081" s="20"/>
      <c r="I1081" s="9">
        <v>2</v>
      </c>
      <c r="J1081" s="9"/>
      <c r="K1081" s="9"/>
      <c r="L1081" s="9"/>
      <c r="M1081" s="9">
        <f>I1081*O1081</f>
        <v>16.600000000000001</v>
      </c>
      <c r="N1081" s="9">
        <f>I1081*P1081</f>
        <v>7</v>
      </c>
      <c r="O1081" s="9">
        <v>8.3000000000000007</v>
      </c>
      <c r="P1081" s="9">
        <v>3.5</v>
      </c>
      <c r="Q1081" s="9" t="s">
        <v>9</v>
      </c>
      <c r="R1081" s="1">
        <v>0</v>
      </c>
      <c r="S1081" s="26"/>
    </row>
    <row r="1082" spans="1:19" ht="16.5" customHeight="1" x14ac:dyDescent="0.25">
      <c r="A1082" s="9"/>
      <c r="B1082" s="49" t="s">
        <v>90</v>
      </c>
      <c r="C1082" s="50"/>
      <c r="D1082" s="50"/>
      <c r="E1082" s="50"/>
      <c r="F1082" s="50"/>
      <c r="G1082" s="51"/>
      <c r="H1082" s="20"/>
      <c r="I1082" s="9">
        <v>2</v>
      </c>
      <c r="J1082" s="9"/>
      <c r="K1082" s="9"/>
      <c r="L1082" s="9"/>
      <c r="M1082" s="9">
        <f>I1082*O1082</f>
        <v>14.6</v>
      </c>
      <c r="N1082" s="9">
        <f>I1082*P1082</f>
        <v>6</v>
      </c>
      <c r="O1082" s="9">
        <v>7.3</v>
      </c>
      <c r="P1082" s="9">
        <v>3</v>
      </c>
      <c r="Q1082" s="9" t="s">
        <v>6</v>
      </c>
      <c r="R1082" s="1">
        <v>0</v>
      </c>
      <c r="S1082" s="26"/>
    </row>
    <row r="1083" spans="1:19" ht="15" customHeight="1" x14ac:dyDescent="0.25">
      <c r="A1083" s="35" t="s">
        <v>0</v>
      </c>
      <c r="B1083" s="29" t="s">
        <v>1</v>
      </c>
      <c r="C1083" s="30"/>
      <c r="D1083" s="30"/>
      <c r="E1083" s="30"/>
      <c r="F1083" s="30"/>
      <c r="G1083" s="31"/>
      <c r="H1083" s="35" t="s">
        <v>32</v>
      </c>
      <c r="I1083" s="35" t="s">
        <v>39</v>
      </c>
      <c r="J1083" s="53" t="s">
        <v>2</v>
      </c>
      <c r="K1083" s="54"/>
      <c r="L1083" s="54"/>
      <c r="M1083" s="54"/>
      <c r="N1083" s="54"/>
      <c r="O1083" s="54"/>
      <c r="P1083" s="54"/>
      <c r="Q1083" s="55"/>
      <c r="S1083" s="35" t="s">
        <v>38</v>
      </c>
    </row>
    <row r="1084" spans="1:19" ht="24" customHeight="1" x14ac:dyDescent="0.25">
      <c r="A1084" s="36"/>
      <c r="B1084" s="32"/>
      <c r="C1084" s="33"/>
      <c r="D1084" s="33"/>
      <c r="E1084" s="33"/>
      <c r="F1084" s="33"/>
      <c r="G1084" s="34"/>
      <c r="H1084" s="36"/>
      <c r="I1084" s="36"/>
      <c r="J1084" s="7" t="s">
        <v>28</v>
      </c>
      <c r="K1084" s="7" t="s">
        <v>29</v>
      </c>
      <c r="L1084" s="7" t="s">
        <v>30</v>
      </c>
      <c r="M1084" s="7"/>
      <c r="N1084" s="7"/>
      <c r="O1084" s="6" t="s">
        <v>35</v>
      </c>
      <c r="P1084" s="6" t="s">
        <v>36</v>
      </c>
      <c r="Q1084" s="6" t="s">
        <v>37</v>
      </c>
      <c r="S1084" s="36"/>
    </row>
    <row r="1085" spans="1:19" ht="16.5" customHeight="1" x14ac:dyDescent="0.25">
      <c r="A1085" s="9"/>
      <c r="B1085" s="49" t="s">
        <v>95</v>
      </c>
      <c r="C1085" s="50"/>
      <c r="D1085" s="50"/>
      <c r="E1085" s="50"/>
      <c r="F1085" s="50"/>
      <c r="G1085" s="51"/>
      <c r="H1085" s="20"/>
      <c r="I1085" s="9">
        <v>1</v>
      </c>
      <c r="J1085" s="9"/>
      <c r="K1085" s="9"/>
      <c r="L1085" s="9"/>
      <c r="M1085" s="9">
        <f t="shared" ref="M1085:M1091" si="132">I1085*O1085</f>
        <v>8</v>
      </c>
      <c r="N1085" s="9">
        <f t="shared" ref="N1085:N1091" si="133">I1085*P1085</f>
        <v>3.5</v>
      </c>
      <c r="O1085" s="9">
        <v>8</v>
      </c>
      <c r="P1085" s="9">
        <v>3.5</v>
      </c>
      <c r="Q1085" s="9" t="s">
        <v>9</v>
      </c>
      <c r="R1085" s="1">
        <v>0</v>
      </c>
      <c r="S1085" s="26"/>
    </row>
    <row r="1086" spans="1:19" ht="16.5" customHeight="1" x14ac:dyDescent="0.25">
      <c r="A1086" s="9"/>
      <c r="B1086" s="49" t="s">
        <v>88</v>
      </c>
      <c r="C1086" s="50"/>
      <c r="D1086" s="50"/>
      <c r="E1086" s="50"/>
      <c r="F1086" s="50"/>
      <c r="G1086" s="51"/>
      <c r="H1086" s="20"/>
      <c r="I1086" s="9">
        <v>2</v>
      </c>
      <c r="J1086" s="9"/>
      <c r="K1086" s="9"/>
      <c r="L1086" s="9"/>
      <c r="M1086" s="9">
        <f t="shared" si="132"/>
        <v>13.8</v>
      </c>
      <c r="N1086" s="9">
        <f t="shared" si="133"/>
        <v>5</v>
      </c>
      <c r="O1086" s="9">
        <v>6.9</v>
      </c>
      <c r="P1086" s="9">
        <v>2.5</v>
      </c>
      <c r="Q1086" s="9" t="s">
        <v>5</v>
      </c>
      <c r="R1086" s="1">
        <v>0</v>
      </c>
      <c r="S1086" s="26"/>
    </row>
    <row r="1087" spans="1:19" ht="16.5" customHeight="1" x14ac:dyDescent="0.25">
      <c r="A1087" s="9"/>
      <c r="B1087" s="49" t="s">
        <v>89</v>
      </c>
      <c r="C1087" s="50"/>
      <c r="D1087" s="50"/>
      <c r="E1087" s="50"/>
      <c r="F1087" s="50"/>
      <c r="G1087" s="51"/>
      <c r="H1087" s="20"/>
      <c r="I1087" s="9">
        <v>2</v>
      </c>
      <c r="J1087" s="9"/>
      <c r="K1087" s="9"/>
      <c r="L1087" s="9"/>
      <c r="M1087" s="9">
        <f t="shared" si="132"/>
        <v>15.8</v>
      </c>
      <c r="N1087" s="9">
        <f t="shared" si="133"/>
        <v>6</v>
      </c>
      <c r="O1087" s="9">
        <v>7.9</v>
      </c>
      <c r="P1087" s="9">
        <v>3</v>
      </c>
      <c r="Q1087" s="9" t="s">
        <v>6</v>
      </c>
      <c r="R1087" s="1">
        <v>0</v>
      </c>
      <c r="S1087" s="26"/>
    </row>
    <row r="1088" spans="1:19" ht="16.5" customHeight="1" x14ac:dyDescent="0.25">
      <c r="A1088" s="9"/>
      <c r="B1088" s="49" t="s">
        <v>92</v>
      </c>
      <c r="C1088" s="50"/>
      <c r="D1088" s="50"/>
      <c r="E1088" s="50"/>
      <c r="F1088" s="50"/>
      <c r="G1088" s="51"/>
      <c r="H1088" s="20"/>
      <c r="I1088" s="9">
        <v>4</v>
      </c>
      <c r="J1088" s="9"/>
      <c r="K1088" s="9"/>
      <c r="L1088" s="9"/>
      <c r="M1088" s="9">
        <f t="shared" si="132"/>
        <v>24</v>
      </c>
      <c r="N1088" s="9">
        <f t="shared" si="133"/>
        <v>8</v>
      </c>
      <c r="O1088" s="9">
        <v>6</v>
      </c>
      <c r="P1088" s="9">
        <v>2</v>
      </c>
      <c r="Q1088" s="9" t="s">
        <v>3</v>
      </c>
      <c r="R1088" s="1">
        <v>0</v>
      </c>
      <c r="S1088" s="26"/>
    </row>
    <row r="1089" spans="1:19" ht="16.5" customHeight="1" x14ac:dyDescent="0.25">
      <c r="A1089" s="9"/>
      <c r="B1089" s="49" t="s">
        <v>84</v>
      </c>
      <c r="C1089" s="50"/>
      <c r="D1089" s="50"/>
      <c r="E1089" s="50"/>
      <c r="F1089" s="50"/>
      <c r="G1089" s="51"/>
      <c r="H1089" s="20"/>
      <c r="I1089" s="9">
        <v>3</v>
      </c>
      <c r="J1089" s="9"/>
      <c r="K1089" s="9"/>
      <c r="L1089" s="9"/>
      <c r="M1089" s="9">
        <f t="shared" si="132"/>
        <v>25.5</v>
      </c>
      <c r="N1089" s="9">
        <f t="shared" si="133"/>
        <v>11.100000000000001</v>
      </c>
      <c r="O1089" s="9">
        <v>8.5</v>
      </c>
      <c r="P1089" s="9">
        <v>3.7</v>
      </c>
      <c r="Q1089" s="9" t="s">
        <v>10</v>
      </c>
      <c r="R1089" s="1">
        <v>0</v>
      </c>
      <c r="S1089" s="26"/>
    </row>
    <row r="1090" spans="1:19" ht="16.5" hidden="1" customHeight="1" x14ac:dyDescent="0.25">
      <c r="A1090" s="21"/>
      <c r="H1090" s="21"/>
      <c r="I1090" s="21"/>
      <c r="J1090" s="21"/>
      <c r="K1090" s="21"/>
      <c r="L1090" s="21"/>
      <c r="M1090" s="9">
        <f t="shared" si="132"/>
        <v>0</v>
      </c>
      <c r="N1090" s="9">
        <f t="shared" si="133"/>
        <v>0</v>
      </c>
      <c r="O1090" s="21"/>
      <c r="P1090" s="21"/>
      <c r="Q1090" s="21"/>
      <c r="S1090" s="25"/>
    </row>
    <row r="1091" spans="1:19" ht="16.5" customHeight="1" x14ac:dyDescent="0.25">
      <c r="A1091" s="9"/>
      <c r="B1091" s="38" t="s">
        <v>42</v>
      </c>
      <c r="C1091" s="39"/>
      <c r="D1091" s="39"/>
      <c r="E1091" s="39"/>
      <c r="F1091" s="39"/>
      <c r="G1091" s="40"/>
      <c r="H1091" s="23"/>
      <c r="I1091" s="24">
        <f>SUM(I1078:I1090)</f>
        <v>23</v>
      </c>
      <c r="J1091" s="9"/>
      <c r="K1091" s="9"/>
      <c r="L1091" s="9"/>
      <c r="M1091" s="9">
        <f t="shared" si="132"/>
        <v>165.14</v>
      </c>
      <c r="N1091" s="9">
        <f t="shared" si="133"/>
        <v>65.09</v>
      </c>
      <c r="O1091" s="24">
        <f>ROUND(SUM(M1078:M1090)/I1091,2)</f>
        <v>7.18</v>
      </c>
      <c r="P1091" s="24">
        <f>ROUND(SUM(N1078:N1090)/I1091,2)</f>
        <v>2.83</v>
      </c>
      <c r="Q1091" s="9"/>
      <c r="S1091" s="25"/>
    </row>
    <row r="1092" spans="1:19" ht="20.25" customHeight="1" x14ac:dyDescent="0.25">
      <c r="A1092" s="27" t="s">
        <v>96</v>
      </c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</row>
    <row r="1093" spans="1:19" ht="16.5" customHeight="1" x14ac:dyDescent="0.25">
      <c r="A1093" s="9"/>
      <c r="B1093" s="49" t="s">
        <v>97</v>
      </c>
      <c r="C1093" s="50"/>
      <c r="D1093" s="50"/>
      <c r="E1093" s="50"/>
      <c r="F1093" s="50"/>
      <c r="G1093" s="51"/>
      <c r="H1093" s="20"/>
      <c r="I1093" s="9">
        <v>2</v>
      </c>
      <c r="J1093" s="9"/>
      <c r="K1093" s="9"/>
      <c r="L1093" s="9"/>
      <c r="M1093" s="9">
        <f t="shared" ref="M1093:M1105" si="134">I1093*O1093</f>
        <v>15.8</v>
      </c>
      <c r="N1093" s="9">
        <f t="shared" ref="N1093:N1105" si="135">I1093*P1093</f>
        <v>6</v>
      </c>
      <c r="O1093" s="9">
        <v>7.9</v>
      </c>
      <c r="P1093" s="9">
        <v>3</v>
      </c>
      <c r="Q1093" s="9" t="s">
        <v>6</v>
      </c>
      <c r="R1093" s="1">
        <v>0</v>
      </c>
      <c r="S1093" s="26"/>
    </row>
    <row r="1094" spans="1:19" ht="16.5" customHeight="1" x14ac:dyDescent="0.25">
      <c r="A1094" s="9"/>
      <c r="B1094" s="49" t="s">
        <v>99</v>
      </c>
      <c r="C1094" s="50"/>
      <c r="D1094" s="50"/>
      <c r="E1094" s="50"/>
      <c r="F1094" s="50"/>
      <c r="G1094" s="51"/>
      <c r="H1094" s="20"/>
      <c r="I1094" s="9">
        <v>2</v>
      </c>
      <c r="J1094" s="9"/>
      <c r="K1094" s="9"/>
      <c r="L1094" s="9"/>
      <c r="M1094" s="9">
        <f t="shared" si="134"/>
        <v>13.2</v>
      </c>
      <c r="N1094" s="9">
        <f t="shared" si="135"/>
        <v>5</v>
      </c>
      <c r="O1094" s="9">
        <v>6.6</v>
      </c>
      <c r="P1094" s="9">
        <v>2.5</v>
      </c>
      <c r="Q1094" s="9" t="s">
        <v>5</v>
      </c>
      <c r="R1094" s="1">
        <v>0</v>
      </c>
      <c r="S1094" s="26"/>
    </row>
    <row r="1095" spans="1:19" ht="16.5" customHeight="1" x14ac:dyDescent="0.25">
      <c r="A1095" s="9"/>
      <c r="B1095" s="49" t="s">
        <v>98</v>
      </c>
      <c r="C1095" s="50"/>
      <c r="D1095" s="50"/>
      <c r="E1095" s="50"/>
      <c r="F1095" s="50"/>
      <c r="G1095" s="51"/>
      <c r="H1095" s="20"/>
      <c r="I1095" s="9">
        <v>3</v>
      </c>
      <c r="J1095" s="9"/>
      <c r="K1095" s="9"/>
      <c r="L1095" s="9"/>
      <c r="M1095" s="9">
        <f t="shared" si="134"/>
        <v>23.1</v>
      </c>
      <c r="N1095" s="9">
        <f t="shared" si="135"/>
        <v>9</v>
      </c>
      <c r="O1095" s="9">
        <v>7.7</v>
      </c>
      <c r="P1095" s="9">
        <v>3</v>
      </c>
      <c r="Q1095" s="9" t="s">
        <v>6</v>
      </c>
      <c r="R1095" s="1">
        <v>0</v>
      </c>
      <c r="S1095" s="26"/>
    </row>
    <row r="1096" spans="1:19" ht="16.5" customHeight="1" x14ac:dyDescent="0.25">
      <c r="A1096" s="9"/>
      <c r="B1096" s="49" t="s">
        <v>103</v>
      </c>
      <c r="C1096" s="50"/>
      <c r="D1096" s="50"/>
      <c r="E1096" s="50"/>
      <c r="F1096" s="50"/>
      <c r="G1096" s="51"/>
      <c r="H1096" s="20"/>
      <c r="I1096" s="9">
        <v>2</v>
      </c>
      <c r="J1096" s="9"/>
      <c r="K1096" s="9"/>
      <c r="L1096" s="9"/>
      <c r="M1096" s="9">
        <f t="shared" si="134"/>
        <v>14.4</v>
      </c>
      <c r="N1096" s="9">
        <f t="shared" si="135"/>
        <v>6</v>
      </c>
      <c r="O1096" s="9">
        <v>7.2</v>
      </c>
      <c r="P1096" s="9">
        <v>3</v>
      </c>
      <c r="Q1096" s="9" t="s">
        <v>6</v>
      </c>
      <c r="R1096" s="1">
        <v>0</v>
      </c>
      <c r="S1096" s="26"/>
    </row>
    <row r="1097" spans="1:19" ht="16.5" customHeight="1" x14ac:dyDescent="0.25">
      <c r="A1097" s="9"/>
      <c r="B1097" s="49" t="s">
        <v>69</v>
      </c>
      <c r="C1097" s="50"/>
      <c r="D1097" s="50"/>
      <c r="E1097" s="50"/>
      <c r="F1097" s="50"/>
      <c r="G1097" s="51"/>
      <c r="H1097" s="20"/>
      <c r="I1097" s="9">
        <v>1</v>
      </c>
      <c r="J1097" s="9"/>
      <c r="K1097" s="9"/>
      <c r="L1097" s="9"/>
      <c r="M1097" s="9">
        <f t="shared" si="134"/>
        <v>7.5</v>
      </c>
      <c r="N1097" s="9">
        <f t="shared" si="135"/>
        <v>3</v>
      </c>
      <c r="O1097" s="9">
        <v>7.5</v>
      </c>
      <c r="P1097" s="9">
        <v>3</v>
      </c>
      <c r="Q1097" s="9" t="s">
        <v>6</v>
      </c>
      <c r="R1097" s="1">
        <v>0</v>
      </c>
      <c r="S1097" s="26"/>
    </row>
    <row r="1098" spans="1:19" ht="16.5" customHeight="1" x14ac:dyDescent="0.25">
      <c r="A1098" s="9"/>
      <c r="B1098" s="49" t="s">
        <v>102</v>
      </c>
      <c r="C1098" s="50"/>
      <c r="D1098" s="50"/>
      <c r="E1098" s="50"/>
      <c r="F1098" s="50"/>
      <c r="G1098" s="51"/>
      <c r="H1098" s="20"/>
      <c r="I1098" s="9">
        <v>2</v>
      </c>
      <c r="J1098" s="9"/>
      <c r="K1098" s="9"/>
      <c r="L1098" s="9"/>
      <c r="M1098" s="9">
        <f t="shared" si="134"/>
        <v>13.2</v>
      </c>
      <c r="N1098" s="9">
        <f t="shared" si="135"/>
        <v>5</v>
      </c>
      <c r="O1098" s="9">
        <v>6.6</v>
      </c>
      <c r="P1098" s="9">
        <v>2.5</v>
      </c>
      <c r="Q1098" s="9" t="s">
        <v>5</v>
      </c>
      <c r="R1098" s="1">
        <v>0</v>
      </c>
      <c r="S1098" s="26"/>
    </row>
    <row r="1099" spans="1:19" ht="16.5" customHeight="1" x14ac:dyDescent="0.25">
      <c r="A1099" s="9"/>
      <c r="B1099" s="49" t="s">
        <v>101</v>
      </c>
      <c r="C1099" s="50"/>
      <c r="D1099" s="50"/>
      <c r="E1099" s="50"/>
      <c r="F1099" s="50"/>
      <c r="G1099" s="51"/>
      <c r="H1099" s="20"/>
      <c r="I1099" s="9">
        <v>1</v>
      </c>
      <c r="J1099" s="9"/>
      <c r="K1099" s="9"/>
      <c r="L1099" s="9"/>
      <c r="M1099" s="9">
        <f t="shared" si="134"/>
        <v>7.8</v>
      </c>
      <c r="N1099" s="9">
        <f t="shared" si="135"/>
        <v>3</v>
      </c>
      <c r="O1099" s="9">
        <v>7.8</v>
      </c>
      <c r="P1099" s="9">
        <v>3</v>
      </c>
      <c r="Q1099" s="9" t="s">
        <v>6</v>
      </c>
      <c r="R1099" s="1">
        <v>0</v>
      </c>
      <c r="S1099" s="26"/>
    </row>
    <row r="1100" spans="1:19" ht="16.5" customHeight="1" x14ac:dyDescent="0.25">
      <c r="A1100" s="9"/>
      <c r="B1100" s="49" t="s">
        <v>100</v>
      </c>
      <c r="C1100" s="50"/>
      <c r="D1100" s="50"/>
      <c r="E1100" s="50"/>
      <c r="F1100" s="50"/>
      <c r="G1100" s="51"/>
      <c r="H1100" s="20"/>
      <c r="I1100" s="9">
        <v>1</v>
      </c>
      <c r="J1100" s="9"/>
      <c r="K1100" s="9"/>
      <c r="L1100" s="9"/>
      <c r="M1100" s="9">
        <f t="shared" si="134"/>
        <v>7.6</v>
      </c>
      <c r="N1100" s="9">
        <f t="shared" si="135"/>
        <v>3</v>
      </c>
      <c r="O1100" s="9">
        <v>7.6</v>
      </c>
      <c r="P1100" s="9">
        <v>3</v>
      </c>
      <c r="Q1100" s="9" t="s">
        <v>6</v>
      </c>
      <c r="R1100" s="1">
        <v>0</v>
      </c>
      <c r="S1100" s="26"/>
    </row>
    <row r="1101" spans="1:19" ht="16.5" customHeight="1" x14ac:dyDescent="0.25">
      <c r="A1101" s="9"/>
      <c r="B1101" s="49" t="s">
        <v>104</v>
      </c>
      <c r="C1101" s="50"/>
      <c r="D1101" s="50"/>
      <c r="E1101" s="50"/>
      <c r="F1101" s="50"/>
      <c r="G1101" s="51"/>
      <c r="H1101" s="20"/>
      <c r="I1101" s="9">
        <v>3</v>
      </c>
      <c r="J1101" s="9"/>
      <c r="K1101" s="9"/>
      <c r="L1101" s="9"/>
      <c r="M1101" s="9">
        <f t="shared" si="134"/>
        <v>22.5</v>
      </c>
      <c r="N1101" s="9">
        <f t="shared" si="135"/>
        <v>9</v>
      </c>
      <c r="O1101" s="9">
        <v>7.5</v>
      </c>
      <c r="P1101" s="9">
        <v>3</v>
      </c>
      <c r="Q1101" s="9" t="s">
        <v>6</v>
      </c>
      <c r="R1101" s="1">
        <v>0</v>
      </c>
      <c r="S1101" s="26"/>
    </row>
    <row r="1102" spans="1:19" ht="16.5" customHeight="1" x14ac:dyDescent="0.25">
      <c r="A1102" s="9"/>
      <c r="B1102" s="49" t="s">
        <v>79</v>
      </c>
      <c r="C1102" s="50"/>
      <c r="D1102" s="50"/>
      <c r="E1102" s="50"/>
      <c r="F1102" s="50"/>
      <c r="G1102" s="51"/>
      <c r="H1102" s="20"/>
      <c r="I1102" s="9">
        <v>2</v>
      </c>
      <c r="J1102" s="9"/>
      <c r="K1102" s="9"/>
      <c r="L1102" s="9"/>
      <c r="M1102" s="9">
        <f t="shared" si="134"/>
        <v>15.2</v>
      </c>
      <c r="N1102" s="9">
        <f t="shared" si="135"/>
        <v>6</v>
      </c>
      <c r="O1102" s="9">
        <v>7.6</v>
      </c>
      <c r="P1102" s="9">
        <v>3</v>
      </c>
      <c r="Q1102" s="9" t="s">
        <v>6</v>
      </c>
      <c r="R1102" s="1">
        <v>0</v>
      </c>
      <c r="S1102" s="26"/>
    </row>
    <row r="1103" spans="1:19" ht="16.5" customHeight="1" x14ac:dyDescent="0.25">
      <c r="A1103" s="9"/>
      <c r="B1103" s="49" t="s">
        <v>105</v>
      </c>
      <c r="C1103" s="50"/>
      <c r="D1103" s="50"/>
      <c r="E1103" s="50"/>
      <c r="F1103" s="50"/>
      <c r="G1103" s="51"/>
      <c r="H1103" s="20"/>
      <c r="I1103" s="9">
        <v>4</v>
      </c>
      <c r="J1103" s="9"/>
      <c r="K1103" s="9"/>
      <c r="L1103" s="9"/>
      <c r="M1103" s="9">
        <f t="shared" si="134"/>
        <v>31.2</v>
      </c>
      <c r="N1103" s="9">
        <f t="shared" si="135"/>
        <v>12</v>
      </c>
      <c r="O1103" s="9">
        <v>7.8</v>
      </c>
      <c r="P1103" s="9">
        <v>3</v>
      </c>
      <c r="Q1103" s="9" t="s">
        <v>6</v>
      </c>
      <c r="R1103" s="1">
        <v>0</v>
      </c>
      <c r="S1103" s="26"/>
    </row>
    <row r="1104" spans="1:19" ht="16.5" hidden="1" customHeight="1" x14ac:dyDescent="0.25">
      <c r="A1104" s="21"/>
      <c r="H1104" s="21"/>
      <c r="I1104" s="21"/>
      <c r="J1104" s="21"/>
      <c r="K1104" s="21"/>
      <c r="L1104" s="21"/>
      <c r="M1104" s="9">
        <f t="shared" si="134"/>
        <v>0</v>
      </c>
      <c r="N1104" s="9">
        <f t="shared" si="135"/>
        <v>0</v>
      </c>
      <c r="O1104" s="21"/>
      <c r="P1104" s="21"/>
      <c r="Q1104" s="21"/>
      <c r="S1104" s="25"/>
    </row>
    <row r="1105" spans="1:19" ht="16.5" customHeight="1" x14ac:dyDescent="0.25">
      <c r="A1105" s="9"/>
      <c r="B1105" s="38" t="s">
        <v>42</v>
      </c>
      <c r="C1105" s="39"/>
      <c r="D1105" s="39"/>
      <c r="E1105" s="39"/>
      <c r="F1105" s="39"/>
      <c r="G1105" s="40"/>
      <c r="H1105" s="23"/>
      <c r="I1105" s="24">
        <f>SUM(I1093:I1104)</f>
        <v>23</v>
      </c>
      <c r="J1105" s="9"/>
      <c r="K1105" s="9"/>
      <c r="L1105" s="9"/>
      <c r="M1105" s="9">
        <f t="shared" si="134"/>
        <v>171.58</v>
      </c>
      <c r="N1105" s="9">
        <f t="shared" si="135"/>
        <v>66.930000000000007</v>
      </c>
      <c r="O1105" s="24">
        <f>ROUND(SUM(M1093:M1104)/I1105,2)</f>
        <v>7.46</v>
      </c>
      <c r="P1105" s="24">
        <f>ROUND(SUM(N1093:N1104)/I1105,2)</f>
        <v>2.91</v>
      </c>
      <c r="Q1105" s="9"/>
      <c r="S1105" s="25"/>
    </row>
    <row r="1106" spans="1:19" ht="20.25" customHeight="1" x14ac:dyDescent="0.25">
      <c r="A1106" s="27" t="s">
        <v>107</v>
      </c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</row>
    <row r="1107" spans="1:19" ht="16.5" customHeight="1" x14ac:dyDescent="0.25">
      <c r="A1107" s="9"/>
      <c r="B1107" s="49" t="s">
        <v>108</v>
      </c>
      <c r="C1107" s="50"/>
      <c r="D1107" s="50"/>
      <c r="E1107" s="50"/>
      <c r="F1107" s="50"/>
      <c r="G1107" s="51"/>
      <c r="H1107" s="20"/>
      <c r="I1107" s="9">
        <v>1</v>
      </c>
      <c r="J1107" s="9"/>
      <c r="K1107" s="9"/>
      <c r="L1107" s="9"/>
      <c r="M1107" s="9">
        <f t="shared" ref="M1107:M1119" si="136">I1107*O1107</f>
        <v>7.6</v>
      </c>
      <c r="N1107" s="9">
        <f t="shared" ref="N1107:N1119" si="137">I1107*P1107</f>
        <v>3</v>
      </c>
      <c r="O1107" s="9">
        <v>7.6</v>
      </c>
      <c r="P1107" s="9">
        <v>3</v>
      </c>
      <c r="Q1107" s="9" t="s">
        <v>6</v>
      </c>
      <c r="R1107" s="1">
        <v>0</v>
      </c>
      <c r="S1107" s="26"/>
    </row>
    <row r="1108" spans="1:19" ht="16.5" customHeight="1" x14ac:dyDescent="0.25">
      <c r="A1108" s="9"/>
      <c r="B1108" s="49" t="s">
        <v>109</v>
      </c>
      <c r="C1108" s="50"/>
      <c r="D1108" s="50"/>
      <c r="E1108" s="50"/>
      <c r="F1108" s="50"/>
      <c r="G1108" s="51"/>
      <c r="H1108" s="20"/>
      <c r="I1108" s="9">
        <v>2</v>
      </c>
      <c r="J1108" s="9"/>
      <c r="K1108" s="9"/>
      <c r="L1108" s="9"/>
      <c r="M1108" s="9">
        <f t="shared" si="136"/>
        <v>13</v>
      </c>
      <c r="N1108" s="9">
        <f t="shared" si="137"/>
        <v>5</v>
      </c>
      <c r="O1108" s="9">
        <v>6.5</v>
      </c>
      <c r="P1108" s="9">
        <v>2.5</v>
      </c>
      <c r="Q1108" s="9" t="s">
        <v>5</v>
      </c>
      <c r="R1108" s="1">
        <v>0</v>
      </c>
      <c r="S1108" s="26"/>
    </row>
    <row r="1109" spans="1:19" ht="16.5" customHeight="1" x14ac:dyDescent="0.25">
      <c r="A1109" s="9"/>
      <c r="B1109" s="49" t="s">
        <v>110</v>
      </c>
      <c r="C1109" s="50"/>
      <c r="D1109" s="50"/>
      <c r="E1109" s="50"/>
      <c r="F1109" s="50"/>
      <c r="G1109" s="51"/>
      <c r="H1109" s="20"/>
      <c r="I1109" s="9">
        <v>3</v>
      </c>
      <c r="J1109" s="9"/>
      <c r="K1109" s="9"/>
      <c r="L1109" s="9"/>
      <c r="M1109" s="9">
        <f t="shared" si="136"/>
        <v>24</v>
      </c>
      <c r="N1109" s="9">
        <f t="shared" si="137"/>
        <v>10.5</v>
      </c>
      <c r="O1109" s="9">
        <v>8</v>
      </c>
      <c r="P1109" s="9">
        <v>3.5</v>
      </c>
      <c r="Q1109" s="9" t="s">
        <v>9</v>
      </c>
      <c r="R1109" s="1">
        <v>0</v>
      </c>
      <c r="S1109" s="26"/>
    </row>
    <row r="1110" spans="1:19" ht="16.5" customHeight="1" x14ac:dyDescent="0.25">
      <c r="A1110" s="9"/>
      <c r="B1110" s="49" t="s">
        <v>111</v>
      </c>
      <c r="C1110" s="50"/>
      <c r="D1110" s="50"/>
      <c r="E1110" s="50"/>
      <c r="F1110" s="50"/>
      <c r="G1110" s="51"/>
      <c r="H1110" s="20"/>
      <c r="I1110" s="9">
        <v>3</v>
      </c>
      <c r="J1110" s="9"/>
      <c r="K1110" s="9"/>
      <c r="L1110" s="9"/>
      <c r="M1110" s="9">
        <f t="shared" si="136"/>
        <v>20.100000000000001</v>
      </c>
      <c r="N1110" s="9">
        <f t="shared" si="137"/>
        <v>7.5</v>
      </c>
      <c r="O1110" s="9">
        <v>6.7</v>
      </c>
      <c r="P1110" s="9">
        <v>2.5</v>
      </c>
      <c r="Q1110" s="9" t="s">
        <v>5</v>
      </c>
      <c r="R1110" s="1">
        <v>0</v>
      </c>
      <c r="S1110" s="26"/>
    </row>
    <row r="1111" spans="1:19" ht="16.5" customHeight="1" x14ac:dyDescent="0.25">
      <c r="A1111" s="9"/>
      <c r="B1111" s="49" t="s">
        <v>112</v>
      </c>
      <c r="C1111" s="50"/>
      <c r="D1111" s="50"/>
      <c r="E1111" s="50"/>
      <c r="F1111" s="50"/>
      <c r="G1111" s="51"/>
      <c r="H1111" s="20"/>
      <c r="I1111" s="9">
        <v>4</v>
      </c>
      <c r="J1111" s="9"/>
      <c r="K1111" s="9"/>
      <c r="L1111" s="9"/>
      <c r="M1111" s="9">
        <f t="shared" si="136"/>
        <v>32.4</v>
      </c>
      <c r="N1111" s="9">
        <f t="shared" si="137"/>
        <v>14</v>
      </c>
      <c r="O1111" s="9">
        <v>8.1</v>
      </c>
      <c r="P1111" s="9">
        <v>3.5</v>
      </c>
      <c r="Q1111" s="9" t="s">
        <v>9</v>
      </c>
      <c r="R1111" s="1">
        <v>0</v>
      </c>
      <c r="S1111" s="26"/>
    </row>
    <row r="1112" spans="1:19" ht="16.5" customHeight="1" x14ac:dyDescent="0.25">
      <c r="A1112" s="9"/>
      <c r="B1112" s="49" t="s">
        <v>113</v>
      </c>
      <c r="C1112" s="50"/>
      <c r="D1112" s="50"/>
      <c r="E1112" s="50"/>
      <c r="F1112" s="50"/>
      <c r="G1112" s="51"/>
      <c r="H1112" s="20"/>
      <c r="I1112" s="9">
        <v>4</v>
      </c>
      <c r="J1112" s="9"/>
      <c r="K1112" s="9"/>
      <c r="L1112" s="9"/>
      <c r="M1112" s="9">
        <f t="shared" si="136"/>
        <v>26</v>
      </c>
      <c r="N1112" s="9">
        <f t="shared" si="137"/>
        <v>10</v>
      </c>
      <c r="O1112" s="9">
        <v>6.5</v>
      </c>
      <c r="P1112" s="9">
        <v>2.5</v>
      </c>
      <c r="Q1112" s="9" t="s">
        <v>5</v>
      </c>
      <c r="R1112" s="1">
        <v>0</v>
      </c>
      <c r="S1112" s="26"/>
    </row>
    <row r="1113" spans="1:19" ht="16.5" customHeight="1" x14ac:dyDescent="0.25">
      <c r="A1113" s="9"/>
      <c r="B1113" s="49" t="s">
        <v>114</v>
      </c>
      <c r="C1113" s="50"/>
      <c r="D1113" s="50"/>
      <c r="E1113" s="50"/>
      <c r="F1113" s="50"/>
      <c r="G1113" s="51"/>
      <c r="H1113" s="20"/>
      <c r="I1113" s="9">
        <v>3</v>
      </c>
      <c r="J1113" s="9"/>
      <c r="K1113" s="9"/>
      <c r="L1113" s="9"/>
      <c r="M1113" s="9">
        <f t="shared" si="136"/>
        <v>21.9</v>
      </c>
      <c r="N1113" s="9">
        <f t="shared" si="137"/>
        <v>9</v>
      </c>
      <c r="O1113" s="9">
        <v>7.3</v>
      </c>
      <c r="P1113" s="9">
        <v>3</v>
      </c>
      <c r="Q1113" s="9" t="s">
        <v>6</v>
      </c>
      <c r="R1113" s="1">
        <v>0</v>
      </c>
      <c r="S1113" s="26"/>
    </row>
    <row r="1114" spans="1:19" ht="16.5" customHeight="1" x14ac:dyDescent="0.25">
      <c r="A1114" s="9"/>
      <c r="B1114" s="49" t="s">
        <v>115</v>
      </c>
      <c r="C1114" s="50"/>
      <c r="D1114" s="50"/>
      <c r="E1114" s="50"/>
      <c r="F1114" s="50"/>
      <c r="G1114" s="51"/>
      <c r="H1114" s="20"/>
      <c r="I1114" s="9">
        <v>2</v>
      </c>
      <c r="J1114" s="9"/>
      <c r="K1114" s="9"/>
      <c r="L1114" s="9"/>
      <c r="M1114" s="9">
        <f t="shared" si="136"/>
        <v>14.8</v>
      </c>
      <c r="N1114" s="9">
        <f t="shared" si="137"/>
        <v>6</v>
      </c>
      <c r="O1114" s="9">
        <v>7.4</v>
      </c>
      <c r="P1114" s="9">
        <v>3</v>
      </c>
      <c r="Q1114" s="9" t="s">
        <v>6</v>
      </c>
      <c r="R1114" s="1">
        <v>0</v>
      </c>
      <c r="S1114" s="26"/>
    </row>
    <row r="1115" spans="1:19" ht="16.5" customHeight="1" x14ac:dyDescent="0.25">
      <c r="A1115" s="9"/>
      <c r="B1115" s="49" t="s">
        <v>116</v>
      </c>
      <c r="C1115" s="50"/>
      <c r="D1115" s="50"/>
      <c r="E1115" s="50"/>
      <c r="F1115" s="50"/>
      <c r="G1115" s="51"/>
      <c r="H1115" s="20"/>
      <c r="I1115" s="9">
        <v>2</v>
      </c>
      <c r="J1115" s="9"/>
      <c r="K1115" s="9"/>
      <c r="L1115" s="9"/>
      <c r="M1115" s="9">
        <f t="shared" si="136"/>
        <v>17.2</v>
      </c>
      <c r="N1115" s="9">
        <f t="shared" si="137"/>
        <v>7.4</v>
      </c>
      <c r="O1115" s="9">
        <v>8.6</v>
      </c>
      <c r="P1115" s="9">
        <v>3.7</v>
      </c>
      <c r="Q1115" s="9" t="s">
        <v>10</v>
      </c>
      <c r="R1115" s="1">
        <v>0</v>
      </c>
      <c r="S1115" s="26"/>
    </row>
    <row r="1116" spans="1:19" ht="16.5" customHeight="1" x14ac:dyDescent="0.25">
      <c r="A1116" s="9"/>
      <c r="B1116" s="49" t="s">
        <v>118</v>
      </c>
      <c r="C1116" s="50"/>
      <c r="D1116" s="50"/>
      <c r="E1116" s="50"/>
      <c r="F1116" s="50"/>
      <c r="G1116" s="51"/>
      <c r="H1116" s="20"/>
      <c r="I1116" s="9">
        <v>2</v>
      </c>
      <c r="J1116" s="9"/>
      <c r="K1116" s="9"/>
      <c r="L1116" s="9"/>
      <c r="M1116" s="9">
        <f t="shared" si="136"/>
        <v>15.2</v>
      </c>
      <c r="N1116" s="9">
        <f t="shared" si="137"/>
        <v>6</v>
      </c>
      <c r="O1116" s="9">
        <v>7.6</v>
      </c>
      <c r="P1116" s="9">
        <v>3</v>
      </c>
      <c r="Q1116" s="9" t="s">
        <v>6</v>
      </c>
      <c r="R1116" s="1">
        <v>0</v>
      </c>
      <c r="S1116" s="26"/>
    </row>
    <row r="1117" spans="1:19" ht="16.5" customHeight="1" x14ac:dyDescent="0.25">
      <c r="A1117" s="9"/>
      <c r="B1117" s="49" t="s">
        <v>117</v>
      </c>
      <c r="C1117" s="50"/>
      <c r="D1117" s="50"/>
      <c r="E1117" s="50"/>
      <c r="F1117" s="50"/>
      <c r="G1117" s="51"/>
      <c r="H1117" s="20"/>
      <c r="I1117" s="9">
        <v>3</v>
      </c>
      <c r="J1117" s="9"/>
      <c r="K1117" s="9"/>
      <c r="L1117" s="9"/>
      <c r="M1117" s="9">
        <f t="shared" si="136"/>
        <v>24.900000000000002</v>
      </c>
      <c r="N1117" s="9">
        <f t="shared" si="137"/>
        <v>10.5</v>
      </c>
      <c r="O1117" s="9">
        <v>8.3000000000000007</v>
      </c>
      <c r="P1117" s="9">
        <v>3.5</v>
      </c>
      <c r="Q1117" s="9" t="s">
        <v>9</v>
      </c>
      <c r="R1117" s="1">
        <v>0</v>
      </c>
      <c r="S1117" s="26"/>
    </row>
    <row r="1118" spans="1:19" ht="16.5" hidden="1" customHeight="1" x14ac:dyDescent="0.25">
      <c r="A1118" s="21"/>
      <c r="H1118" s="21"/>
      <c r="I1118" s="21"/>
      <c r="J1118" s="21"/>
      <c r="K1118" s="21"/>
      <c r="L1118" s="21"/>
      <c r="M1118" s="9">
        <f t="shared" si="136"/>
        <v>0</v>
      </c>
      <c r="N1118" s="9">
        <f t="shared" si="137"/>
        <v>0</v>
      </c>
      <c r="O1118" s="21"/>
      <c r="P1118" s="21"/>
      <c r="Q1118" s="21"/>
      <c r="S1118" s="25"/>
    </row>
    <row r="1119" spans="1:19" ht="16.5" customHeight="1" x14ac:dyDescent="0.25">
      <c r="A1119" s="9"/>
      <c r="B1119" s="38" t="s">
        <v>42</v>
      </c>
      <c r="C1119" s="39"/>
      <c r="D1119" s="39"/>
      <c r="E1119" s="39"/>
      <c r="F1119" s="39"/>
      <c r="G1119" s="40"/>
      <c r="H1119" s="23"/>
      <c r="I1119" s="24">
        <f>SUM(I1107:I1118)</f>
        <v>29</v>
      </c>
      <c r="J1119" s="9"/>
      <c r="K1119" s="9"/>
      <c r="L1119" s="9"/>
      <c r="M1119" s="9">
        <f t="shared" si="136"/>
        <v>217.21</v>
      </c>
      <c r="N1119" s="9">
        <f t="shared" si="137"/>
        <v>89.03</v>
      </c>
      <c r="O1119" s="24">
        <f>ROUND(SUM(M1107:M1118)/I1119,2)</f>
        <v>7.49</v>
      </c>
      <c r="P1119" s="24">
        <f>ROUND(SUM(N1107:N1118)/I1119,2)</f>
        <v>3.07</v>
      </c>
      <c r="Q1119" s="9"/>
      <c r="S1119" s="25"/>
    </row>
    <row r="1120" spans="1:19" ht="20.25" customHeight="1" x14ac:dyDescent="0.25">
      <c r="A1120" s="27" t="s">
        <v>120</v>
      </c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</row>
    <row r="1121" spans="1:19" ht="16.5" customHeight="1" x14ac:dyDescent="0.25">
      <c r="A1121" s="9"/>
      <c r="B1121" s="49" t="s">
        <v>121</v>
      </c>
      <c r="C1121" s="50"/>
      <c r="D1121" s="50"/>
      <c r="E1121" s="50"/>
      <c r="F1121" s="50"/>
      <c r="G1121" s="51"/>
      <c r="H1121" s="20"/>
      <c r="I1121" s="9">
        <v>3</v>
      </c>
      <c r="J1121" s="9"/>
      <c r="K1121" s="9"/>
      <c r="L1121" s="9"/>
      <c r="M1121" s="9">
        <f t="shared" ref="M1121:M1130" si="138">I1121*O1121</f>
        <v>22.5</v>
      </c>
      <c r="N1121" s="9">
        <f t="shared" ref="N1121:N1130" si="139">I1121*P1121</f>
        <v>9</v>
      </c>
      <c r="O1121" s="9">
        <v>7.5</v>
      </c>
      <c r="P1121" s="9">
        <v>3</v>
      </c>
      <c r="Q1121" s="9" t="s">
        <v>6</v>
      </c>
      <c r="R1121" s="1">
        <v>0</v>
      </c>
      <c r="S1121" s="26"/>
    </row>
    <row r="1122" spans="1:19" ht="16.5" customHeight="1" x14ac:dyDescent="0.25">
      <c r="A1122" s="9"/>
      <c r="B1122" s="49" t="s">
        <v>122</v>
      </c>
      <c r="C1122" s="50"/>
      <c r="D1122" s="50"/>
      <c r="E1122" s="50"/>
      <c r="F1122" s="50"/>
      <c r="G1122" s="51"/>
      <c r="H1122" s="20"/>
      <c r="I1122" s="9">
        <v>1</v>
      </c>
      <c r="J1122" s="9"/>
      <c r="K1122" s="9"/>
      <c r="L1122" s="9"/>
      <c r="M1122" s="9">
        <f t="shared" si="138"/>
        <v>7.5</v>
      </c>
      <c r="N1122" s="9">
        <f t="shared" si="139"/>
        <v>3</v>
      </c>
      <c r="O1122" s="9">
        <v>7.5</v>
      </c>
      <c r="P1122" s="9">
        <v>3</v>
      </c>
      <c r="Q1122" s="9" t="s">
        <v>6</v>
      </c>
      <c r="R1122" s="1">
        <v>0</v>
      </c>
      <c r="S1122" s="26"/>
    </row>
    <row r="1123" spans="1:19" ht="16.5" customHeight="1" x14ac:dyDescent="0.25">
      <c r="A1123" s="9"/>
      <c r="B1123" s="49" t="s">
        <v>123</v>
      </c>
      <c r="C1123" s="50"/>
      <c r="D1123" s="50"/>
      <c r="E1123" s="50"/>
      <c r="F1123" s="50"/>
      <c r="G1123" s="51"/>
      <c r="H1123" s="20"/>
      <c r="I1123" s="9">
        <v>3</v>
      </c>
      <c r="J1123" s="9"/>
      <c r="K1123" s="9"/>
      <c r="L1123" s="9"/>
      <c r="M1123" s="9">
        <f t="shared" si="138"/>
        <v>22.200000000000003</v>
      </c>
      <c r="N1123" s="9">
        <f t="shared" si="139"/>
        <v>9</v>
      </c>
      <c r="O1123" s="9">
        <v>7.4</v>
      </c>
      <c r="P1123" s="9">
        <v>3</v>
      </c>
      <c r="Q1123" s="9" t="s">
        <v>6</v>
      </c>
      <c r="R1123" s="1">
        <v>0</v>
      </c>
      <c r="S1123" s="26"/>
    </row>
    <row r="1124" spans="1:19" ht="16.5" customHeight="1" x14ac:dyDescent="0.25">
      <c r="A1124" s="9"/>
      <c r="B1124" s="49" t="s">
        <v>124</v>
      </c>
      <c r="C1124" s="50"/>
      <c r="D1124" s="50"/>
      <c r="E1124" s="50"/>
      <c r="F1124" s="50"/>
      <c r="G1124" s="51"/>
      <c r="H1124" s="20"/>
      <c r="I1124" s="9">
        <v>3</v>
      </c>
      <c r="J1124" s="9"/>
      <c r="K1124" s="9"/>
      <c r="L1124" s="9"/>
      <c r="M1124" s="9">
        <f t="shared" si="138"/>
        <v>23.4</v>
      </c>
      <c r="N1124" s="9">
        <f t="shared" si="139"/>
        <v>9</v>
      </c>
      <c r="O1124" s="9">
        <v>7.8</v>
      </c>
      <c r="P1124" s="9">
        <v>3</v>
      </c>
      <c r="Q1124" s="9" t="s">
        <v>6</v>
      </c>
      <c r="R1124" s="1">
        <v>0</v>
      </c>
      <c r="S1124" s="26"/>
    </row>
    <row r="1125" spans="1:19" ht="16.5" customHeight="1" x14ac:dyDescent="0.25">
      <c r="A1125" s="9"/>
      <c r="B1125" s="49" t="s">
        <v>125</v>
      </c>
      <c r="C1125" s="50"/>
      <c r="D1125" s="50"/>
      <c r="E1125" s="50"/>
      <c r="F1125" s="50"/>
      <c r="G1125" s="51"/>
      <c r="H1125" s="20"/>
      <c r="I1125" s="9">
        <v>3</v>
      </c>
      <c r="J1125" s="9"/>
      <c r="K1125" s="9"/>
      <c r="L1125" s="9"/>
      <c r="M1125" s="9">
        <f t="shared" si="138"/>
        <v>23.1</v>
      </c>
      <c r="N1125" s="9">
        <f t="shared" si="139"/>
        <v>9</v>
      </c>
      <c r="O1125" s="9">
        <v>7.7</v>
      </c>
      <c r="P1125" s="9">
        <v>3</v>
      </c>
      <c r="Q1125" s="9" t="s">
        <v>6</v>
      </c>
      <c r="R1125" s="1">
        <v>0</v>
      </c>
      <c r="S1125" s="26"/>
    </row>
    <row r="1126" spans="1:19" ht="16.5" customHeight="1" x14ac:dyDescent="0.25">
      <c r="A1126" s="9"/>
      <c r="B1126" s="49" t="s">
        <v>127</v>
      </c>
      <c r="C1126" s="50"/>
      <c r="D1126" s="50"/>
      <c r="E1126" s="50"/>
      <c r="F1126" s="50"/>
      <c r="G1126" s="51"/>
      <c r="H1126" s="20"/>
      <c r="I1126" s="9">
        <v>2</v>
      </c>
      <c r="J1126" s="9"/>
      <c r="K1126" s="9"/>
      <c r="L1126" s="9"/>
      <c r="M1126" s="9">
        <f t="shared" si="138"/>
        <v>14</v>
      </c>
      <c r="N1126" s="9">
        <f t="shared" si="139"/>
        <v>6</v>
      </c>
      <c r="O1126" s="9">
        <v>7</v>
      </c>
      <c r="P1126" s="9">
        <v>3</v>
      </c>
      <c r="Q1126" s="9" t="s">
        <v>6</v>
      </c>
      <c r="R1126" s="1">
        <v>0</v>
      </c>
      <c r="S1126" s="26"/>
    </row>
    <row r="1127" spans="1:19" ht="16.5" customHeight="1" x14ac:dyDescent="0.25">
      <c r="A1127" s="9"/>
      <c r="B1127" s="49" t="s">
        <v>128</v>
      </c>
      <c r="C1127" s="50"/>
      <c r="D1127" s="50"/>
      <c r="E1127" s="50"/>
      <c r="F1127" s="50"/>
      <c r="G1127" s="51"/>
      <c r="H1127" s="20"/>
      <c r="I1127" s="9">
        <v>2</v>
      </c>
      <c r="J1127" s="9"/>
      <c r="K1127" s="9"/>
      <c r="L1127" s="9"/>
      <c r="M1127" s="9">
        <f t="shared" si="138"/>
        <v>15.6</v>
      </c>
      <c r="N1127" s="9">
        <f t="shared" si="139"/>
        <v>6</v>
      </c>
      <c r="O1127" s="9">
        <v>7.8</v>
      </c>
      <c r="P1127" s="9">
        <v>3</v>
      </c>
      <c r="Q1127" s="9" t="s">
        <v>6</v>
      </c>
      <c r="R1127" s="1">
        <v>0</v>
      </c>
      <c r="S1127" s="26"/>
    </row>
    <row r="1128" spans="1:19" ht="16.5" customHeight="1" x14ac:dyDescent="0.25">
      <c r="A1128" s="9"/>
      <c r="B1128" s="49" t="s">
        <v>126</v>
      </c>
      <c r="C1128" s="50"/>
      <c r="D1128" s="50"/>
      <c r="E1128" s="50"/>
      <c r="F1128" s="50"/>
      <c r="G1128" s="51"/>
      <c r="H1128" s="20"/>
      <c r="I1128" s="9">
        <v>3</v>
      </c>
      <c r="J1128" s="9"/>
      <c r="K1128" s="9"/>
      <c r="L1128" s="9"/>
      <c r="M1128" s="9">
        <f t="shared" si="138"/>
        <v>25.799999999999997</v>
      </c>
      <c r="N1128" s="9">
        <f t="shared" si="139"/>
        <v>11.100000000000001</v>
      </c>
      <c r="O1128" s="9">
        <v>8.6</v>
      </c>
      <c r="P1128" s="9">
        <v>3.7</v>
      </c>
      <c r="Q1128" s="9" t="s">
        <v>10</v>
      </c>
      <c r="R1128" s="1">
        <v>0</v>
      </c>
      <c r="S1128" s="26"/>
    </row>
    <row r="1129" spans="1:19" ht="16.5" hidden="1" customHeight="1" x14ac:dyDescent="0.25">
      <c r="A1129" s="21"/>
      <c r="H1129" s="21"/>
      <c r="I1129" s="21"/>
      <c r="J1129" s="21"/>
      <c r="K1129" s="21"/>
      <c r="L1129" s="21"/>
      <c r="M1129" s="9">
        <f t="shared" si="138"/>
        <v>0</v>
      </c>
      <c r="N1129" s="9">
        <f t="shared" si="139"/>
        <v>0</v>
      </c>
      <c r="O1129" s="21"/>
      <c r="P1129" s="21"/>
      <c r="Q1129" s="21"/>
      <c r="S1129" s="25"/>
    </row>
    <row r="1130" spans="1:19" ht="16.5" customHeight="1" x14ac:dyDescent="0.25">
      <c r="A1130" s="9"/>
      <c r="B1130" s="38" t="s">
        <v>42</v>
      </c>
      <c r="C1130" s="39"/>
      <c r="D1130" s="39"/>
      <c r="E1130" s="39"/>
      <c r="F1130" s="39"/>
      <c r="G1130" s="40"/>
      <c r="H1130" s="23"/>
      <c r="I1130" s="24">
        <f>SUM(I1121:I1129)</f>
        <v>20</v>
      </c>
      <c r="J1130" s="9"/>
      <c r="K1130" s="9"/>
      <c r="L1130" s="9"/>
      <c r="M1130" s="9">
        <f t="shared" si="138"/>
        <v>154.19999999999999</v>
      </c>
      <c r="N1130" s="9">
        <f t="shared" si="139"/>
        <v>62.199999999999996</v>
      </c>
      <c r="O1130" s="24">
        <f>ROUND(SUM(M1121:M1129)/I1130,2)</f>
        <v>7.71</v>
      </c>
      <c r="P1130" s="24">
        <f>ROUND(SUM(N1121:N1129)/I1130,2)</f>
        <v>3.11</v>
      </c>
      <c r="Q1130" s="9"/>
      <c r="S1130" s="25"/>
    </row>
    <row r="1131" spans="1:19" ht="16.5" customHeight="1" x14ac:dyDescent="0.25">
      <c r="A1131" s="21"/>
      <c r="B1131" s="22"/>
      <c r="C1131" s="22"/>
      <c r="D1131" s="22"/>
      <c r="E1131" s="22"/>
      <c r="F1131" s="22"/>
      <c r="G1131" s="22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</row>
    <row r="1133" spans="1:19" ht="18" x14ac:dyDescent="0.25">
      <c r="A1133" s="57" t="s">
        <v>132</v>
      </c>
      <c r="B1133" s="57"/>
      <c r="C1133" s="57"/>
      <c r="D1133" s="57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57"/>
      <c r="P1133" s="57"/>
      <c r="Q1133" s="57"/>
      <c r="R1133" s="57"/>
      <c r="S1133" s="57"/>
    </row>
    <row r="1134" spans="1:19" ht="18" x14ac:dyDescent="0.25">
      <c r="A1134" s="57" t="s">
        <v>176</v>
      </c>
      <c r="B1134" s="57"/>
      <c r="C1134" s="57"/>
      <c r="D1134" s="57"/>
      <c r="E1134" s="57"/>
      <c r="F1134" s="57"/>
      <c r="G1134" s="57"/>
      <c r="H1134" s="57"/>
      <c r="I1134" s="57"/>
      <c r="J1134" s="57"/>
      <c r="K1134" s="57"/>
      <c r="L1134" s="57"/>
      <c r="M1134" s="57"/>
      <c r="N1134" s="57"/>
      <c r="O1134" s="57"/>
      <c r="P1134" s="57"/>
      <c r="Q1134" s="57"/>
      <c r="R1134" s="57"/>
      <c r="S1134" s="57"/>
    </row>
    <row r="1135" spans="1:19" ht="18" x14ac:dyDescent="0.25">
      <c r="A1135" s="57" t="s">
        <v>177</v>
      </c>
      <c r="B1135" s="57"/>
      <c r="C1135" s="57"/>
      <c r="D1135" s="57"/>
      <c r="E1135" s="57"/>
      <c r="F1135" s="57"/>
      <c r="G1135" s="57"/>
      <c r="H1135" s="57"/>
      <c r="I1135" s="57"/>
      <c r="J1135" s="57"/>
      <c r="K1135" s="57"/>
      <c r="L1135" s="57"/>
      <c r="M1135" s="57"/>
      <c r="N1135" s="57"/>
      <c r="O1135" s="57"/>
      <c r="P1135" s="57"/>
      <c r="Q1135" s="57"/>
      <c r="R1135" s="57"/>
      <c r="S1135" s="57"/>
    </row>
    <row r="1136" spans="1:19" ht="18" x14ac:dyDescent="0.25">
      <c r="A1136" s="58" t="s">
        <v>135</v>
      </c>
      <c r="B1136" s="58"/>
      <c r="C1136" s="58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</row>
    <row r="1137" spans="1:20" ht="19.5" customHeight="1" x14ac:dyDescent="0.25">
      <c r="A1137" s="17"/>
      <c r="B1137" s="17"/>
      <c r="C1137" s="8"/>
      <c r="D1137" s="18"/>
      <c r="E1137" s="10"/>
      <c r="F1137" s="11"/>
      <c r="G1137" s="44" t="s">
        <v>49</v>
      </c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</row>
    <row r="1138" spans="1:20" ht="31.5" customHeight="1" x14ac:dyDescent="0.3">
      <c r="A1138" s="8"/>
      <c r="B1138" s="8"/>
      <c r="C1138" s="8"/>
      <c r="D1138" s="8"/>
      <c r="E1138" s="8"/>
      <c r="F1138" s="8"/>
      <c r="G1138" s="8"/>
      <c r="H1138" s="12"/>
      <c r="I1138" s="41" t="s">
        <v>40</v>
      </c>
      <c r="J1138" s="42"/>
      <c r="K1138" s="42"/>
      <c r="L1138" s="42"/>
      <c r="M1138" s="42"/>
      <c r="N1138" s="42"/>
      <c r="O1138" s="42"/>
      <c r="P1138" s="42"/>
      <c r="Q1138" s="42"/>
      <c r="R1138" s="42"/>
      <c r="S1138" s="42"/>
    </row>
    <row r="1139" spans="1:20" ht="16.8" x14ac:dyDescent="0.3">
      <c r="A1139" s="8"/>
      <c r="B1139" s="8"/>
      <c r="C1139" s="8"/>
      <c r="D1139" s="8"/>
      <c r="E1139" s="8"/>
      <c r="F1139" s="8"/>
      <c r="G1139" s="8"/>
      <c r="H1139" s="12"/>
      <c r="I1139" s="12"/>
      <c r="J1139" s="12"/>
      <c r="K1139" s="12"/>
      <c r="L1139" s="8"/>
      <c r="M1139" s="8"/>
      <c r="N1139" s="8"/>
      <c r="O1139" s="8"/>
      <c r="P1139" s="8"/>
      <c r="Q1139" s="8"/>
    </row>
    <row r="1140" spans="1:20" ht="33" customHeight="1" x14ac:dyDescent="0.3">
      <c r="A1140" s="8"/>
      <c r="B1140" s="8"/>
      <c r="C1140" s="8"/>
      <c r="D1140" s="8"/>
      <c r="E1140" s="8"/>
      <c r="F1140" s="8"/>
      <c r="G1140" s="8"/>
      <c r="H1140" s="12"/>
      <c r="I1140" s="12"/>
      <c r="J1140" s="12"/>
      <c r="K1140" s="12"/>
      <c r="L1140" s="8"/>
      <c r="M1140" s="8"/>
      <c r="N1140" s="8"/>
      <c r="O1140" s="8"/>
      <c r="P1140" s="8"/>
      <c r="Q1140" s="8"/>
    </row>
    <row r="1141" spans="1:20" ht="11.25" customHeight="1" x14ac:dyDescent="0.3">
      <c r="A1141" s="8"/>
      <c r="B1141" s="8"/>
      <c r="C1141" s="8"/>
      <c r="D1141" s="8"/>
      <c r="E1141" s="8"/>
      <c r="F1141" s="8"/>
      <c r="G1141" s="8"/>
      <c r="H1141" s="12"/>
      <c r="I1141" s="12"/>
      <c r="J1141" s="12"/>
      <c r="K1141" s="12"/>
      <c r="L1141" s="8"/>
      <c r="M1141" s="8"/>
      <c r="N1141" s="8"/>
      <c r="O1141" s="8"/>
      <c r="P1141" s="8"/>
      <c r="Q1141" s="8"/>
    </row>
    <row r="1142" spans="1:20" ht="17.399999999999999" x14ac:dyDescent="0.3">
      <c r="A1142" s="8"/>
      <c r="B1142" s="8"/>
      <c r="C1142" s="8"/>
      <c r="D1142" s="8"/>
      <c r="E1142" s="8"/>
      <c r="F1142" s="8"/>
      <c r="G1142" s="45" t="s">
        <v>41</v>
      </c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</row>
    <row r="1143" spans="1:20" ht="54" customHeight="1" x14ac:dyDescent="0.25">
      <c r="A1143" s="46" t="s">
        <v>33</v>
      </c>
      <c r="B1143" s="46"/>
      <c r="C1143" s="46"/>
      <c r="D1143" s="46"/>
      <c r="E1143" s="46"/>
      <c r="F1143" s="41" t="s">
        <v>24</v>
      </c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</row>
    <row r="1144" spans="1:20" ht="17.399999999999999" x14ac:dyDescent="0.25">
      <c r="A1144" s="47" t="s">
        <v>34</v>
      </c>
      <c r="B1144" s="47"/>
      <c r="C1144" s="47"/>
      <c r="D1144" s="47"/>
      <c r="E1144" s="47"/>
      <c r="F1144" s="47"/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</row>
    <row r="1145" spans="1:20" ht="4.5" customHeight="1" x14ac:dyDescent="0.25">
      <c r="A1145" s="48"/>
      <c r="B1145" s="48"/>
      <c r="C1145" s="48"/>
      <c r="D1145" s="48"/>
      <c r="E1145" s="48"/>
      <c r="F1145" s="48"/>
      <c r="G1145" s="48"/>
      <c r="H1145" s="48"/>
      <c r="I1145" s="48"/>
      <c r="J1145" s="48"/>
      <c r="K1145" s="48"/>
      <c r="L1145" s="48"/>
      <c r="M1145" s="48"/>
      <c r="N1145" s="48"/>
      <c r="O1145" s="48"/>
      <c r="P1145" s="48"/>
      <c r="Q1145" s="48"/>
    </row>
    <row r="1146" spans="1:20" ht="5.25" customHeight="1" x14ac:dyDescent="0.25">
      <c r="A1146" s="48"/>
      <c r="B1146" s="48"/>
      <c r="C1146" s="48"/>
      <c r="D1146" s="48"/>
      <c r="E1146" s="48"/>
      <c r="F1146" s="48"/>
      <c r="G1146" s="48"/>
      <c r="H1146" s="48"/>
      <c r="I1146" s="48"/>
      <c r="J1146" s="48"/>
      <c r="K1146" s="48"/>
      <c r="L1146" s="48"/>
      <c r="M1146" s="48"/>
      <c r="N1146" s="48"/>
      <c r="O1146" s="48"/>
      <c r="P1146" s="48"/>
      <c r="Q1146" s="48"/>
    </row>
    <row r="1147" spans="1:20" ht="16.5" customHeight="1" x14ac:dyDescent="0.25">
      <c r="A1147" s="52" t="s">
        <v>178</v>
      </c>
      <c r="B1147" s="52"/>
      <c r="C1147" s="52"/>
      <c r="D1147" s="52"/>
      <c r="E1147" s="52"/>
      <c r="F1147" s="52"/>
      <c r="G1147" s="56" t="s">
        <v>179</v>
      </c>
      <c r="H1147" s="56"/>
      <c r="I1147" s="56"/>
      <c r="J1147" s="56"/>
      <c r="K1147" s="56"/>
      <c r="L1147" s="56"/>
      <c r="M1147" s="56"/>
      <c r="N1147" s="56"/>
      <c r="O1147" s="56"/>
      <c r="P1147" s="56"/>
      <c r="Q1147" s="56"/>
      <c r="R1147" s="56"/>
      <c r="S1147" s="56"/>
    </row>
    <row r="1148" spans="1:20" ht="16.5" customHeight="1" x14ac:dyDescent="0.25">
      <c r="A1148" s="52" t="s">
        <v>180</v>
      </c>
      <c r="B1148" s="52"/>
      <c r="C1148" s="52"/>
      <c r="D1148" s="52"/>
      <c r="E1148" s="52"/>
      <c r="F1148" s="52"/>
      <c r="G1148" s="8" t="s">
        <v>46</v>
      </c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T1148" s="2"/>
    </row>
    <row r="1149" spans="1:20" ht="16.5" customHeight="1" x14ac:dyDescent="0.25">
      <c r="A1149" s="52" t="s">
        <v>47</v>
      </c>
      <c r="B1149" s="52"/>
      <c r="C1149" s="52"/>
      <c r="D1149" s="52"/>
      <c r="E1149" s="52"/>
      <c r="F1149" s="52"/>
      <c r="G1149" s="56" t="s">
        <v>48</v>
      </c>
      <c r="H1149" s="56"/>
      <c r="I1149" s="56"/>
      <c r="J1149" s="56"/>
      <c r="K1149" s="56"/>
      <c r="L1149" s="56"/>
      <c r="M1149" s="56"/>
      <c r="N1149" s="56"/>
      <c r="O1149" s="56"/>
      <c r="P1149" s="56"/>
      <c r="Q1149" s="56"/>
      <c r="R1149" s="56"/>
      <c r="S1149" s="56"/>
    </row>
    <row r="1150" spans="1:20" ht="5.25" customHeight="1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19"/>
      <c r="K1150" s="19"/>
      <c r="L1150" s="19"/>
      <c r="M1150" s="19"/>
      <c r="N1150" s="19"/>
      <c r="O1150" s="19"/>
      <c r="P1150" s="19"/>
      <c r="Q1150" s="19"/>
    </row>
    <row r="1151" spans="1:20" ht="15" customHeight="1" x14ac:dyDescent="0.25">
      <c r="A1151" s="35" t="s">
        <v>0</v>
      </c>
      <c r="B1151" s="29" t="s">
        <v>1</v>
      </c>
      <c r="C1151" s="30"/>
      <c r="D1151" s="30"/>
      <c r="E1151" s="30"/>
      <c r="F1151" s="30"/>
      <c r="G1151" s="31"/>
      <c r="H1151" s="35" t="s">
        <v>32</v>
      </c>
      <c r="I1151" s="35" t="s">
        <v>39</v>
      </c>
      <c r="J1151" s="53" t="s">
        <v>2</v>
      </c>
      <c r="K1151" s="54"/>
      <c r="L1151" s="54"/>
      <c r="M1151" s="54"/>
      <c r="N1151" s="54"/>
      <c r="O1151" s="54"/>
      <c r="P1151" s="54"/>
      <c r="Q1151" s="55"/>
      <c r="S1151" s="35" t="s">
        <v>38</v>
      </c>
    </row>
    <row r="1152" spans="1:20" ht="24" customHeight="1" x14ac:dyDescent="0.25">
      <c r="A1152" s="36"/>
      <c r="B1152" s="32"/>
      <c r="C1152" s="33"/>
      <c r="D1152" s="33"/>
      <c r="E1152" s="33"/>
      <c r="F1152" s="33"/>
      <c r="G1152" s="34"/>
      <c r="H1152" s="36"/>
      <c r="I1152" s="36"/>
      <c r="J1152" s="7" t="s">
        <v>28</v>
      </c>
      <c r="K1152" s="7" t="s">
        <v>29</v>
      </c>
      <c r="L1152" s="7" t="s">
        <v>30</v>
      </c>
      <c r="M1152" s="7"/>
      <c r="N1152" s="7"/>
      <c r="O1152" s="6" t="s">
        <v>35</v>
      </c>
      <c r="P1152" s="6" t="s">
        <v>36</v>
      </c>
      <c r="Q1152" s="6" t="s">
        <v>37</v>
      </c>
      <c r="S1152" s="36"/>
    </row>
    <row r="1153" spans="1:19" ht="20.25" customHeight="1" x14ac:dyDescent="0.25">
      <c r="A1153" s="27" t="s">
        <v>50</v>
      </c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</row>
    <row r="1154" spans="1:19" ht="16.5" customHeight="1" x14ac:dyDescent="0.25">
      <c r="A1154" s="9"/>
      <c r="B1154" s="49" t="s">
        <v>56</v>
      </c>
      <c r="C1154" s="50"/>
      <c r="D1154" s="50"/>
      <c r="E1154" s="50"/>
      <c r="F1154" s="50"/>
      <c r="G1154" s="51"/>
      <c r="H1154" s="20"/>
      <c r="I1154" s="9">
        <v>2</v>
      </c>
      <c r="J1154" s="9"/>
      <c r="K1154" s="9"/>
      <c r="L1154" s="9"/>
      <c r="M1154" s="9">
        <f t="shared" ref="M1154:M1162" si="140">I1154*O1154</f>
        <v>14.8</v>
      </c>
      <c r="N1154" s="9">
        <f t="shared" ref="N1154:N1162" si="141">I1154*P1154</f>
        <v>6</v>
      </c>
      <c r="O1154" s="9">
        <v>7.4</v>
      </c>
      <c r="P1154" s="9">
        <v>3</v>
      </c>
      <c r="Q1154" s="9" t="s">
        <v>6</v>
      </c>
      <c r="R1154" s="1">
        <v>0</v>
      </c>
      <c r="S1154" s="26"/>
    </row>
    <row r="1155" spans="1:19" ht="16.5" customHeight="1" x14ac:dyDescent="0.25">
      <c r="A1155" s="9"/>
      <c r="B1155" s="49" t="s">
        <v>78</v>
      </c>
      <c r="C1155" s="50"/>
      <c r="D1155" s="50"/>
      <c r="E1155" s="50"/>
      <c r="F1155" s="50"/>
      <c r="G1155" s="51"/>
      <c r="H1155" s="20"/>
      <c r="I1155" s="9">
        <v>3</v>
      </c>
      <c r="J1155" s="9"/>
      <c r="K1155" s="9"/>
      <c r="L1155" s="9"/>
      <c r="M1155" s="9">
        <f t="shared" si="140"/>
        <v>25.5</v>
      </c>
      <c r="N1155" s="9">
        <f t="shared" si="141"/>
        <v>11.100000000000001</v>
      </c>
      <c r="O1155" s="9">
        <v>8.5</v>
      </c>
      <c r="P1155" s="9">
        <v>3.7</v>
      </c>
      <c r="Q1155" s="9" t="s">
        <v>10</v>
      </c>
      <c r="R1155" s="1">
        <v>0</v>
      </c>
      <c r="S1155" s="26"/>
    </row>
    <row r="1156" spans="1:19" ht="31.2" customHeight="1" x14ac:dyDescent="0.25">
      <c r="A1156" s="9"/>
      <c r="B1156" s="49" t="s">
        <v>53</v>
      </c>
      <c r="C1156" s="50"/>
      <c r="D1156" s="50"/>
      <c r="E1156" s="50"/>
      <c r="F1156" s="50"/>
      <c r="G1156" s="51"/>
      <c r="H1156" s="20"/>
      <c r="I1156" s="9">
        <v>3</v>
      </c>
      <c r="J1156" s="9"/>
      <c r="K1156" s="9"/>
      <c r="L1156" s="9"/>
      <c r="M1156" s="9">
        <f t="shared" si="140"/>
        <v>21.9</v>
      </c>
      <c r="N1156" s="9">
        <f t="shared" si="141"/>
        <v>9</v>
      </c>
      <c r="O1156" s="9">
        <v>7.3</v>
      </c>
      <c r="P1156" s="9">
        <v>3</v>
      </c>
      <c r="Q1156" s="9" t="s">
        <v>6</v>
      </c>
      <c r="R1156" s="1">
        <v>0</v>
      </c>
      <c r="S1156" s="26"/>
    </row>
    <row r="1157" spans="1:19" ht="16.5" customHeight="1" x14ac:dyDescent="0.25">
      <c r="A1157" s="9"/>
      <c r="B1157" s="49" t="s">
        <v>52</v>
      </c>
      <c r="C1157" s="50"/>
      <c r="D1157" s="50"/>
      <c r="E1157" s="50"/>
      <c r="F1157" s="50"/>
      <c r="G1157" s="51"/>
      <c r="H1157" s="20"/>
      <c r="I1157" s="9">
        <v>1</v>
      </c>
      <c r="J1157" s="9"/>
      <c r="K1157" s="9"/>
      <c r="L1157" s="9"/>
      <c r="M1157" s="9">
        <f t="shared" si="140"/>
        <v>6.7</v>
      </c>
      <c r="N1157" s="9">
        <f t="shared" si="141"/>
        <v>2.5</v>
      </c>
      <c r="O1157" s="9">
        <v>6.7</v>
      </c>
      <c r="P1157" s="9">
        <v>2.5</v>
      </c>
      <c r="Q1157" s="9" t="s">
        <v>5</v>
      </c>
      <c r="R1157" s="1">
        <v>0</v>
      </c>
      <c r="S1157" s="26"/>
    </row>
    <row r="1158" spans="1:19" ht="16.5" customHeight="1" x14ac:dyDescent="0.25">
      <c r="A1158" s="9"/>
      <c r="B1158" s="49" t="s">
        <v>55</v>
      </c>
      <c r="C1158" s="50"/>
      <c r="D1158" s="50"/>
      <c r="E1158" s="50"/>
      <c r="F1158" s="50"/>
      <c r="G1158" s="51"/>
      <c r="H1158" s="20"/>
      <c r="I1158" s="9">
        <v>1</v>
      </c>
      <c r="J1158" s="9"/>
      <c r="K1158" s="9"/>
      <c r="L1158" s="9"/>
      <c r="M1158" s="9">
        <f t="shared" si="140"/>
        <v>7.6</v>
      </c>
      <c r="N1158" s="9">
        <f t="shared" si="141"/>
        <v>3</v>
      </c>
      <c r="O1158" s="9">
        <v>7.6</v>
      </c>
      <c r="P1158" s="9">
        <v>3</v>
      </c>
      <c r="Q1158" s="9" t="s">
        <v>6</v>
      </c>
      <c r="R1158" s="1">
        <v>0</v>
      </c>
      <c r="S1158" s="26"/>
    </row>
    <row r="1159" spans="1:19" ht="16.5" customHeight="1" x14ac:dyDescent="0.25">
      <c r="A1159" s="9"/>
      <c r="B1159" s="49" t="s">
        <v>54</v>
      </c>
      <c r="C1159" s="50"/>
      <c r="D1159" s="50"/>
      <c r="E1159" s="50"/>
      <c r="F1159" s="50"/>
      <c r="G1159" s="51"/>
      <c r="H1159" s="20"/>
      <c r="I1159" s="9">
        <v>3</v>
      </c>
      <c r="J1159" s="9"/>
      <c r="K1159" s="9"/>
      <c r="L1159" s="9"/>
      <c r="M1159" s="9">
        <f t="shared" si="140"/>
        <v>24.299999999999997</v>
      </c>
      <c r="N1159" s="9">
        <f t="shared" si="141"/>
        <v>10.5</v>
      </c>
      <c r="O1159" s="9">
        <v>8.1</v>
      </c>
      <c r="P1159" s="9">
        <v>3.5</v>
      </c>
      <c r="Q1159" s="9" t="s">
        <v>9</v>
      </c>
      <c r="R1159" s="1">
        <v>0</v>
      </c>
      <c r="S1159" s="26"/>
    </row>
    <row r="1160" spans="1:19" ht="16.5" customHeight="1" x14ac:dyDescent="0.25">
      <c r="A1160" s="9"/>
      <c r="B1160" s="49" t="s">
        <v>51</v>
      </c>
      <c r="C1160" s="50"/>
      <c r="D1160" s="50"/>
      <c r="E1160" s="50"/>
      <c r="F1160" s="50"/>
      <c r="G1160" s="51"/>
      <c r="H1160" s="20"/>
      <c r="I1160" s="9">
        <v>1</v>
      </c>
      <c r="J1160" s="9"/>
      <c r="K1160" s="9"/>
      <c r="L1160" s="9"/>
      <c r="M1160" s="9">
        <f t="shared" si="140"/>
        <v>7.8</v>
      </c>
      <c r="N1160" s="9">
        <f t="shared" si="141"/>
        <v>3</v>
      </c>
      <c r="O1160" s="9">
        <v>7.8</v>
      </c>
      <c r="P1160" s="9">
        <v>3</v>
      </c>
      <c r="Q1160" s="9" t="s">
        <v>6</v>
      </c>
      <c r="R1160" s="1">
        <v>0</v>
      </c>
      <c r="S1160" s="26"/>
    </row>
    <row r="1161" spans="1:19" ht="16.5" hidden="1" customHeight="1" x14ac:dyDescent="0.25">
      <c r="A1161" s="21"/>
      <c r="H1161" s="21"/>
      <c r="I1161" s="21"/>
      <c r="J1161" s="21"/>
      <c r="K1161" s="21"/>
      <c r="L1161" s="21"/>
      <c r="M1161" s="9">
        <f t="shared" si="140"/>
        <v>0</v>
      </c>
      <c r="N1161" s="9">
        <f t="shared" si="141"/>
        <v>0</v>
      </c>
      <c r="O1161" s="21"/>
      <c r="P1161" s="21"/>
      <c r="Q1161" s="21"/>
      <c r="S1161" s="25"/>
    </row>
    <row r="1162" spans="1:19" ht="16.5" customHeight="1" x14ac:dyDescent="0.25">
      <c r="A1162" s="9"/>
      <c r="B1162" s="38" t="s">
        <v>42</v>
      </c>
      <c r="C1162" s="39"/>
      <c r="D1162" s="39"/>
      <c r="E1162" s="39"/>
      <c r="F1162" s="39"/>
      <c r="G1162" s="40"/>
      <c r="H1162" s="23"/>
      <c r="I1162" s="24">
        <f>SUM(I1154:I1161)</f>
        <v>14</v>
      </c>
      <c r="J1162" s="9"/>
      <c r="K1162" s="9"/>
      <c r="L1162" s="9"/>
      <c r="M1162" s="9">
        <f t="shared" si="140"/>
        <v>108.64</v>
      </c>
      <c r="N1162" s="9">
        <f t="shared" si="141"/>
        <v>45.080000000000005</v>
      </c>
      <c r="O1162" s="24">
        <f>ROUND(SUM(M1154:M1161)/I1162,2)</f>
        <v>7.76</v>
      </c>
      <c r="P1162" s="24">
        <f>ROUND(SUM(N1154:N1161)/I1162,2)</f>
        <v>3.22</v>
      </c>
      <c r="Q1162" s="9"/>
      <c r="S1162" s="25"/>
    </row>
    <row r="1163" spans="1:19" ht="20.25" customHeight="1" x14ac:dyDescent="0.25">
      <c r="A1163" s="27" t="s">
        <v>57</v>
      </c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</row>
    <row r="1164" spans="1:19" ht="16.5" customHeight="1" x14ac:dyDescent="0.25">
      <c r="A1164" s="9"/>
      <c r="B1164" s="49" t="s">
        <v>136</v>
      </c>
      <c r="C1164" s="50"/>
      <c r="D1164" s="50"/>
      <c r="E1164" s="50"/>
      <c r="F1164" s="50"/>
      <c r="G1164" s="51"/>
      <c r="H1164" s="20"/>
      <c r="I1164" s="9">
        <v>4</v>
      </c>
      <c r="J1164" s="9"/>
      <c r="K1164" s="9"/>
      <c r="L1164" s="9"/>
      <c r="M1164" s="9">
        <f t="shared" ref="M1164:M1172" si="142">I1164*O1164</f>
        <v>30.4</v>
      </c>
      <c r="N1164" s="9">
        <f t="shared" ref="N1164:N1172" si="143">I1164*P1164</f>
        <v>12</v>
      </c>
      <c r="O1164" s="9">
        <v>7.6</v>
      </c>
      <c r="P1164" s="9">
        <v>3</v>
      </c>
      <c r="Q1164" s="9" t="s">
        <v>6</v>
      </c>
      <c r="R1164" s="1">
        <v>0</v>
      </c>
      <c r="S1164" s="26"/>
    </row>
    <row r="1165" spans="1:19" ht="16.5" customHeight="1" x14ac:dyDescent="0.25">
      <c r="A1165" s="9"/>
      <c r="B1165" s="49" t="s">
        <v>91</v>
      </c>
      <c r="C1165" s="50"/>
      <c r="D1165" s="50"/>
      <c r="E1165" s="50"/>
      <c r="F1165" s="50"/>
      <c r="G1165" s="51"/>
      <c r="H1165" s="20"/>
      <c r="I1165" s="9">
        <v>4</v>
      </c>
      <c r="J1165" s="9"/>
      <c r="K1165" s="9"/>
      <c r="L1165" s="9"/>
      <c r="M1165" s="9">
        <f t="shared" si="142"/>
        <v>28</v>
      </c>
      <c r="N1165" s="9">
        <f t="shared" si="143"/>
        <v>12</v>
      </c>
      <c r="O1165" s="9">
        <v>7</v>
      </c>
      <c r="P1165" s="9">
        <v>3</v>
      </c>
      <c r="Q1165" s="9" t="s">
        <v>6</v>
      </c>
      <c r="R1165" s="1">
        <v>0</v>
      </c>
      <c r="S1165" s="26"/>
    </row>
    <row r="1166" spans="1:19" ht="16.5" customHeight="1" x14ac:dyDescent="0.25">
      <c r="A1166" s="9"/>
      <c r="B1166" s="49" t="s">
        <v>60</v>
      </c>
      <c r="C1166" s="50"/>
      <c r="D1166" s="50"/>
      <c r="E1166" s="50"/>
      <c r="F1166" s="50"/>
      <c r="G1166" s="51"/>
      <c r="H1166" s="20"/>
      <c r="I1166" s="9">
        <v>4</v>
      </c>
      <c r="J1166" s="9"/>
      <c r="K1166" s="9"/>
      <c r="L1166" s="9"/>
      <c r="M1166" s="9">
        <f t="shared" si="142"/>
        <v>29.2</v>
      </c>
      <c r="N1166" s="9">
        <f t="shared" si="143"/>
        <v>12</v>
      </c>
      <c r="O1166" s="9">
        <v>7.3</v>
      </c>
      <c r="P1166" s="9">
        <v>3</v>
      </c>
      <c r="Q1166" s="9" t="s">
        <v>6</v>
      </c>
      <c r="R1166" s="1">
        <v>0</v>
      </c>
      <c r="S1166" s="26"/>
    </row>
    <row r="1167" spans="1:19" ht="16.5" customHeight="1" x14ac:dyDescent="0.25">
      <c r="A1167" s="9"/>
      <c r="B1167" s="49" t="s">
        <v>59</v>
      </c>
      <c r="C1167" s="50"/>
      <c r="D1167" s="50"/>
      <c r="E1167" s="50"/>
      <c r="F1167" s="50"/>
      <c r="G1167" s="51"/>
      <c r="H1167" s="20"/>
      <c r="I1167" s="9">
        <v>1</v>
      </c>
      <c r="J1167" s="9"/>
      <c r="K1167" s="9"/>
      <c r="L1167" s="9"/>
      <c r="M1167" s="9">
        <f t="shared" si="142"/>
        <v>7.6</v>
      </c>
      <c r="N1167" s="9">
        <f t="shared" si="143"/>
        <v>3</v>
      </c>
      <c r="O1167" s="9">
        <v>7.6</v>
      </c>
      <c r="P1167" s="9">
        <v>3</v>
      </c>
      <c r="Q1167" s="9" t="s">
        <v>6</v>
      </c>
      <c r="R1167" s="1">
        <v>0</v>
      </c>
      <c r="S1167" s="26"/>
    </row>
    <row r="1168" spans="1:19" ht="16.5" customHeight="1" x14ac:dyDescent="0.25">
      <c r="A1168" s="9"/>
      <c r="B1168" s="49" t="s">
        <v>58</v>
      </c>
      <c r="C1168" s="50"/>
      <c r="D1168" s="50"/>
      <c r="E1168" s="50"/>
      <c r="F1168" s="50"/>
      <c r="G1168" s="51"/>
      <c r="H1168" s="20"/>
      <c r="I1168" s="9">
        <v>1</v>
      </c>
      <c r="J1168" s="9"/>
      <c r="K1168" s="9"/>
      <c r="L1168" s="9"/>
      <c r="M1168" s="9">
        <f t="shared" si="142"/>
        <v>7.5</v>
      </c>
      <c r="N1168" s="9">
        <f t="shared" si="143"/>
        <v>3</v>
      </c>
      <c r="O1168" s="9">
        <v>7.5</v>
      </c>
      <c r="P1168" s="9">
        <v>3</v>
      </c>
      <c r="Q1168" s="9" t="s">
        <v>6</v>
      </c>
      <c r="R1168" s="1">
        <v>0</v>
      </c>
      <c r="S1168" s="26"/>
    </row>
    <row r="1169" spans="1:19" ht="16.5" customHeight="1" x14ac:dyDescent="0.25">
      <c r="A1169" s="9"/>
      <c r="B1169" s="49" t="s">
        <v>61</v>
      </c>
      <c r="C1169" s="50"/>
      <c r="D1169" s="50"/>
      <c r="E1169" s="50"/>
      <c r="F1169" s="50"/>
      <c r="G1169" s="51"/>
      <c r="H1169" s="20"/>
      <c r="I1169" s="9">
        <v>1</v>
      </c>
      <c r="J1169" s="9"/>
      <c r="K1169" s="9"/>
      <c r="L1169" s="9"/>
      <c r="M1169" s="9">
        <f t="shared" si="142"/>
        <v>7.6</v>
      </c>
      <c r="N1169" s="9">
        <f t="shared" si="143"/>
        <v>3</v>
      </c>
      <c r="O1169" s="9">
        <v>7.6</v>
      </c>
      <c r="P1169" s="9">
        <v>3</v>
      </c>
      <c r="Q1169" s="9" t="s">
        <v>6</v>
      </c>
      <c r="R1169" s="1">
        <v>0</v>
      </c>
      <c r="S1169" s="26"/>
    </row>
    <row r="1170" spans="1:19" ht="16.5" customHeight="1" x14ac:dyDescent="0.25">
      <c r="A1170" s="9"/>
      <c r="B1170" s="49" t="s">
        <v>62</v>
      </c>
      <c r="C1170" s="50"/>
      <c r="D1170" s="50"/>
      <c r="E1170" s="50"/>
      <c r="F1170" s="50"/>
      <c r="G1170" s="51"/>
      <c r="H1170" s="20"/>
      <c r="I1170" s="9">
        <v>1</v>
      </c>
      <c r="J1170" s="9"/>
      <c r="K1170" s="9"/>
      <c r="L1170" s="9"/>
      <c r="M1170" s="9">
        <f t="shared" si="142"/>
        <v>7.4</v>
      </c>
      <c r="N1170" s="9">
        <f t="shared" si="143"/>
        <v>3</v>
      </c>
      <c r="O1170" s="9">
        <v>7.4</v>
      </c>
      <c r="P1170" s="9">
        <v>3</v>
      </c>
      <c r="Q1170" s="9" t="s">
        <v>6</v>
      </c>
      <c r="R1170" s="1">
        <v>0</v>
      </c>
      <c r="S1170" s="26"/>
    </row>
    <row r="1171" spans="1:19" ht="16.5" hidden="1" customHeight="1" x14ac:dyDescent="0.25">
      <c r="A1171" s="21"/>
      <c r="H1171" s="21"/>
      <c r="I1171" s="21"/>
      <c r="J1171" s="21"/>
      <c r="K1171" s="21"/>
      <c r="L1171" s="21"/>
      <c r="M1171" s="9">
        <f t="shared" si="142"/>
        <v>0</v>
      </c>
      <c r="N1171" s="9">
        <f t="shared" si="143"/>
        <v>0</v>
      </c>
      <c r="O1171" s="21"/>
      <c r="P1171" s="21"/>
      <c r="Q1171" s="21"/>
      <c r="S1171" s="25"/>
    </row>
    <row r="1172" spans="1:19" ht="16.5" customHeight="1" x14ac:dyDescent="0.25">
      <c r="A1172" s="9"/>
      <c r="B1172" s="38" t="s">
        <v>42</v>
      </c>
      <c r="C1172" s="39"/>
      <c r="D1172" s="39"/>
      <c r="E1172" s="39"/>
      <c r="F1172" s="39"/>
      <c r="G1172" s="40"/>
      <c r="H1172" s="23"/>
      <c r="I1172" s="24">
        <f>SUM(I1164:I1171)</f>
        <v>16</v>
      </c>
      <c r="J1172" s="9"/>
      <c r="K1172" s="9"/>
      <c r="L1172" s="9"/>
      <c r="M1172" s="9">
        <f t="shared" si="142"/>
        <v>117.76</v>
      </c>
      <c r="N1172" s="9">
        <f t="shared" si="143"/>
        <v>48</v>
      </c>
      <c r="O1172" s="24">
        <f>ROUND(SUM(M1164:M1171)/I1172,2)</f>
        <v>7.36</v>
      </c>
      <c r="P1172" s="24">
        <f>ROUND(SUM(N1164:N1171)/I1172,2)</f>
        <v>3</v>
      </c>
      <c r="Q1172" s="9"/>
      <c r="S1172" s="25"/>
    </row>
    <row r="1173" spans="1:19" ht="20.25" customHeight="1" x14ac:dyDescent="0.25">
      <c r="A1173" s="27" t="s">
        <v>67</v>
      </c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</row>
    <row r="1174" spans="1:19" ht="16.5" customHeight="1" x14ac:dyDescent="0.25">
      <c r="A1174" s="9"/>
      <c r="B1174" s="49" t="s">
        <v>73</v>
      </c>
      <c r="C1174" s="50"/>
      <c r="D1174" s="50"/>
      <c r="E1174" s="50"/>
      <c r="F1174" s="50"/>
      <c r="G1174" s="51"/>
      <c r="H1174" s="20"/>
      <c r="I1174" s="9">
        <v>4</v>
      </c>
      <c r="J1174" s="9"/>
      <c r="K1174" s="9"/>
      <c r="L1174" s="9"/>
      <c r="M1174" s="9">
        <f t="shared" ref="M1174:M1184" si="144">I1174*O1174</f>
        <v>33.6</v>
      </c>
      <c r="N1174" s="9">
        <f t="shared" ref="N1174:N1184" si="145">I1174*P1174</f>
        <v>14</v>
      </c>
      <c r="O1174" s="9">
        <v>8.4</v>
      </c>
      <c r="P1174" s="9">
        <v>3.5</v>
      </c>
      <c r="Q1174" s="9" t="s">
        <v>9</v>
      </c>
      <c r="R1174" s="1">
        <v>0</v>
      </c>
      <c r="S1174" s="26"/>
    </row>
    <row r="1175" spans="1:19" ht="16.5" customHeight="1" x14ac:dyDescent="0.25">
      <c r="A1175" s="9"/>
      <c r="B1175" s="49" t="s">
        <v>68</v>
      </c>
      <c r="C1175" s="50"/>
      <c r="D1175" s="50"/>
      <c r="E1175" s="50"/>
      <c r="F1175" s="50"/>
      <c r="G1175" s="51"/>
      <c r="H1175" s="20"/>
      <c r="I1175" s="9">
        <v>3</v>
      </c>
      <c r="J1175" s="9"/>
      <c r="K1175" s="9"/>
      <c r="L1175" s="9"/>
      <c r="M1175" s="9">
        <f t="shared" si="144"/>
        <v>23.1</v>
      </c>
      <c r="N1175" s="9">
        <f t="shared" si="145"/>
        <v>9</v>
      </c>
      <c r="O1175" s="9">
        <v>7.7</v>
      </c>
      <c r="P1175" s="9">
        <v>3</v>
      </c>
      <c r="Q1175" s="9" t="s">
        <v>6</v>
      </c>
      <c r="R1175" s="1">
        <v>0</v>
      </c>
      <c r="S1175" s="26"/>
    </row>
    <row r="1176" spans="1:19" ht="16.5" customHeight="1" x14ac:dyDescent="0.25">
      <c r="A1176" s="9"/>
      <c r="B1176" s="49" t="s">
        <v>71</v>
      </c>
      <c r="C1176" s="50"/>
      <c r="D1176" s="50"/>
      <c r="E1176" s="50"/>
      <c r="F1176" s="50"/>
      <c r="G1176" s="51"/>
      <c r="H1176" s="20"/>
      <c r="I1176" s="9">
        <v>1</v>
      </c>
      <c r="J1176" s="9"/>
      <c r="K1176" s="9"/>
      <c r="L1176" s="9"/>
      <c r="M1176" s="9">
        <f t="shared" si="144"/>
        <v>7.4</v>
      </c>
      <c r="N1176" s="9">
        <f t="shared" si="145"/>
        <v>3</v>
      </c>
      <c r="O1176" s="9">
        <v>7.4</v>
      </c>
      <c r="P1176" s="9">
        <v>3</v>
      </c>
      <c r="Q1176" s="9" t="s">
        <v>6</v>
      </c>
      <c r="R1176" s="1">
        <v>0</v>
      </c>
      <c r="S1176" s="26"/>
    </row>
    <row r="1177" spans="1:19" ht="16.5" customHeight="1" x14ac:dyDescent="0.25">
      <c r="A1177" s="9"/>
      <c r="B1177" s="49" t="s">
        <v>70</v>
      </c>
      <c r="C1177" s="50"/>
      <c r="D1177" s="50"/>
      <c r="E1177" s="50"/>
      <c r="F1177" s="50"/>
      <c r="G1177" s="51"/>
      <c r="H1177" s="20"/>
      <c r="I1177" s="9">
        <v>2</v>
      </c>
      <c r="J1177" s="9"/>
      <c r="K1177" s="9"/>
      <c r="L1177" s="9"/>
      <c r="M1177" s="9">
        <f t="shared" si="144"/>
        <v>14.6</v>
      </c>
      <c r="N1177" s="9">
        <f t="shared" si="145"/>
        <v>6</v>
      </c>
      <c r="O1177" s="9">
        <v>7.3</v>
      </c>
      <c r="P1177" s="9">
        <v>3</v>
      </c>
      <c r="Q1177" s="9" t="s">
        <v>6</v>
      </c>
      <c r="R1177" s="1">
        <v>0</v>
      </c>
      <c r="S1177" s="26"/>
    </row>
    <row r="1178" spans="1:19" ht="16.5" customHeight="1" x14ac:dyDescent="0.25">
      <c r="A1178" s="9"/>
      <c r="B1178" s="49" t="s">
        <v>77</v>
      </c>
      <c r="C1178" s="50"/>
      <c r="D1178" s="50"/>
      <c r="E1178" s="50"/>
      <c r="F1178" s="50"/>
      <c r="G1178" s="51"/>
      <c r="H1178" s="20"/>
      <c r="I1178" s="9">
        <v>1</v>
      </c>
      <c r="J1178" s="9"/>
      <c r="K1178" s="9"/>
      <c r="L1178" s="9"/>
      <c r="M1178" s="9">
        <f t="shared" si="144"/>
        <v>8.1999999999999993</v>
      </c>
      <c r="N1178" s="9">
        <f t="shared" si="145"/>
        <v>3.5</v>
      </c>
      <c r="O1178" s="9">
        <v>8.1999999999999993</v>
      </c>
      <c r="P1178" s="9">
        <v>3.5</v>
      </c>
      <c r="Q1178" s="9" t="s">
        <v>9</v>
      </c>
      <c r="R1178" s="1">
        <v>0</v>
      </c>
      <c r="S1178" s="26"/>
    </row>
    <row r="1179" spans="1:19" ht="16.5" customHeight="1" x14ac:dyDescent="0.25">
      <c r="A1179" s="9"/>
      <c r="B1179" s="49" t="s">
        <v>72</v>
      </c>
      <c r="C1179" s="50"/>
      <c r="D1179" s="50"/>
      <c r="E1179" s="50"/>
      <c r="F1179" s="50"/>
      <c r="G1179" s="51"/>
      <c r="H1179" s="20"/>
      <c r="I1179" s="9">
        <v>4</v>
      </c>
      <c r="J1179" s="9"/>
      <c r="K1179" s="9"/>
      <c r="L1179" s="9"/>
      <c r="M1179" s="9">
        <f t="shared" si="144"/>
        <v>28</v>
      </c>
      <c r="N1179" s="9">
        <f t="shared" si="145"/>
        <v>12</v>
      </c>
      <c r="O1179" s="9">
        <v>7</v>
      </c>
      <c r="P1179" s="9">
        <v>3</v>
      </c>
      <c r="Q1179" s="9" t="s">
        <v>6</v>
      </c>
      <c r="R1179" s="1">
        <v>0</v>
      </c>
      <c r="S1179" s="26"/>
    </row>
    <row r="1180" spans="1:19" ht="16.5" customHeight="1" x14ac:dyDescent="0.25">
      <c r="A1180" s="9"/>
      <c r="B1180" s="49" t="s">
        <v>74</v>
      </c>
      <c r="C1180" s="50"/>
      <c r="D1180" s="50"/>
      <c r="E1180" s="50"/>
      <c r="F1180" s="50"/>
      <c r="G1180" s="51"/>
      <c r="H1180" s="20"/>
      <c r="I1180" s="9">
        <v>3</v>
      </c>
      <c r="J1180" s="9"/>
      <c r="K1180" s="9"/>
      <c r="L1180" s="9"/>
      <c r="M1180" s="9">
        <f t="shared" si="144"/>
        <v>18.299999999999997</v>
      </c>
      <c r="N1180" s="9">
        <f t="shared" si="145"/>
        <v>6</v>
      </c>
      <c r="O1180" s="9">
        <v>6.1</v>
      </c>
      <c r="P1180" s="9">
        <v>2</v>
      </c>
      <c r="Q1180" s="9" t="s">
        <v>3</v>
      </c>
      <c r="R1180" s="1">
        <v>0</v>
      </c>
      <c r="S1180" s="26"/>
    </row>
    <row r="1181" spans="1:19" ht="16.5" customHeight="1" x14ac:dyDescent="0.25">
      <c r="A1181" s="9"/>
      <c r="B1181" s="49" t="s">
        <v>76</v>
      </c>
      <c r="C1181" s="50"/>
      <c r="D1181" s="50"/>
      <c r="E1181" s="50"/>
      <c r="F1181" s="50"/>
      <c r="G1181" s="51"/>
      <c r="H1181" s="20"/>
      <c r="I1181" s="9">
        <v>4</v>
      </c>
      <c r="J1181" s="9"/>
      <c r="K1181" s="9"/>
      <c r="L1181" s="9"/>
      <c r="M1181" s="9">
        <f t="shared" si="144"/>
        <v>27.2</v>
      </c>
      <c r="N1181" s="9">
        <f t="shared" si="145"/>
        <v>10</v>
      </c>
      <c r="O1181" s="9">
        <v>6.8</v>
      </c>
      <c r="P1181" s="9">
        <v>2.5</v>
      </c>
      <c r="Q1181" s="9" t="s">
        <v>5</v>
      </c>
      <c r="R1181" s="1">
        <v>0</v>
      </c>
      <c r="S1181" s="26"/>
    </row>
    <row r="1182" spans="1:19" ht="16.5" customHeight="1" x14ac:dyDescent="0.25">
      <c r="A1182" s="9"/>
      <c r="B1182" s="49" t="s">
        <v>80</v>
      </c>
      <c r="C1182" s="50"/>
      <c r="D1182" s="50"/>
      <c r="E1182" s="50"/>
      <c r="F1182" s="50"/>
      <c r="G1182" s="51"/>
      <c r="H1182" s="20"/>
      <c r="I1182" s="9">
        <v>4</v>
      </c>
      <c r="J1182" s="9"/>
      <c r="K1182" s="9"/>
      <c r="L1182" s="9"/>
      <c r="M1182" s="9">
        <f t="shared" si="144"/>
        <v>31.2</v>
      </c>
      <c r="N1182" s="9">
        <f t="shared" si="145"/>
        <v>12</v>
      </c>
      <c r="O1182" s="9">
        <v>7.8</v>
      </c>
      <c r="P1182" s="9">
        <v>3</v>
      </c>
      <c r="Q1182" s="9" t="s">
        <v>6</v>
      </c>
      <c r="R1182" s="1">
        <v>0</v>
      </c>
      <c r="S1182" s="26"/>
    </row>
    <row r="1183" spans="1:19" ht="16.5" hidden="1" customHeight="1" x14ac:dyDescent="0.25">
      <c r="A1183" s="21"/>
      <c r="H1183" s="21"/>
      <c r="I1183" s="21"/>
      <c r="J1183" s="21"/>
      <c r="K1183" s="21"/>
      <c r="L1183" s="21"/>
      <c r="M1183" s="9">
        <f t="shared" si="144"/>
        <v>0</v>
      </c>
      <c r="N1183" s="9">
        <f t="shared" si="145"/>
        <v>0</v>
      </c>
      <c r="O1183" s="21"/>
      <c r="P1183" s="21"/>
      <c r="Q1183" s="21"/>
      <c r="S1183" s="25"/>
    </row>
    <row r="1184" spans="1:19" ht="16.5" customHeight="1" x14ac:dyDescent="0.25">
      <c r="A1184" s="9"/>
      <c r="B1184" s="38" t="s">
        <v>42</v>
      </c>
      <c r="C1184" s="39"/>
      <c r="D1184" s="39"/>
      <c r="E1184" s="39"/>
      <c r="F1184" s="39"/>
      <c r="G1184" s="40"/>
      <c r="H1184" s="23"/>
      <c r="I1184" s="24">
        <f>SUM(I1174:I1183)</f>
        <v>26</v>
      </c>
      <c r="J1184" s="9"/>
      <c r="K1184" s="9"/>
      <c r="L1184" s="9"/>
      <c r="M1184" s="9">
        <f t="shared" si="144"/>
        <v>191.62</v>
      </c>
      <c r="N1184" s="9">
        <f t="shared" si="145"/>
        <v>75.399999999999991</v>
      </c>
      <c r="O1184" s="24">
        <f>ROUND(SUM(M1174:M1183)/I1184,2)</f>
        <v>7.37</v>
      </c>
      <c r="P1184" s="24">
        <f>ROUND(SUM(N1174:N1183)/I1184,2)</f>
        <v>2.9</v>
      </c>
      <c r="Q1184" s="9"/>
      <c r="S1184" s="25"/>
    </row>
    <row r="1185" spans="1:19" ht="20.25" customHeight="1" x14ac:dyDescent="0.25">
      <c r="A1185" s="27" t="s">
        <v>82</v>
      </c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</row>
    <row r="1186" spans="1:19" ht="16.5" customHeight="1" x14ac:dyDescent="0.25">
      <c r="A1186" s="9"/>
      <c r="B1186" s="49" t="s">
        <v>86</v>
      </c>
      <c r="C1186" s="50"/>
      <c r="D1186" s="50"/>
      <c r="E1186" s="50"/>
      <c r="F1186" s="50"/>
      <c r="G1186" s="51"/>
      <c r="H1186" s="20"/>
      <c r="I1186" s="9">
        <v>3</v>
      </c>
      <c r="J1186" s="9"/>
      <c r="K1186" s="9"/>
      <c r="L1186" s="9"/>
      <c r="M1186" s="9">
        <f>I1186*O1186</f>
        <v>18.600000000000001</v>
      </c>
      <c r="N1186" s="9">
        <f>I1186*P1186</f>
        <v>6</v>
      </c>
      <c r="O1186" s="9">
        <v>6.2</v>
      </c>
      <c r="P1186" s="9">
        <v>2</v>
      </c>
      <c r="Q1186" s="9" t="s">
        <v>3</v>
      </c>
      <c r="R1186" s="1">
        <v>0</v>
      </c>
      <c r="S1186" s="26"/>
    </row>
    <row r="1187" spans="1:19" ht="16.5" customHeight="1" x14ac:dyDescent="0.25">
      <c r="A1187" s="9"/>
      <c r="B1187" s="49" t="s">
        <v>83</v>
      </c>
      <c r="C1187" s="50"/>
      <c r="D1187" s="50"/>
      <c r="E1187" s="50"/>
      <c r="F1187" s="50"/>
      <c r="G1187" s="51"/>
      <c r="H1187" s="20"/>
      <c r="I1187" s="9">
        <v>1</v>
      </c>
      <c r="J1187" s="9"/>
      <c r="K1187" s="9"/>
      <c r="L1187" s="9"/>
      <c r="M1187" s="9">
        <f>I1187*O1187</f>
        <v>8.5</v>
      </c>
      <c r="N1187" s="9">
        <f>I1187*P1187</f>
        <v>3.7</v>
      </c>
      <c r="O1187" s="9">
        <v>8.5</v>
      </c>
      <c r="P1187" s="9">
        <v>3.7</v>
      </c>
      <c r="Q1187" s="9" t="s">
        <v>10</v>
      </c>
      <c r="R1187" s="1">
        <v>0</v>
      </c>
      <c r="S1187" s="26"/>
    </row>
    <row r="1188" spans="1:19" ht="16.5" customHeight="1" x14ac:dyDescent="0.25">
      <c r="A1188" s="9"/>
      <c r="B1188" s="49" t="s">
        <v>75</v>
      </c>
      <c r="C1188" s="50"/>
      <c r="D1188" s="50"/>
      <c r="E1188" s="50"/>
      <c r="F1188" s="50"/>
      <c r="G1188" s="51"/>
      <c r="H1188" s="20"/>
      <c r="I1188" s="9">
        <v>3</v>
      </c>
      <c r="J1188" s="9"/>
      <c r="K1188" s="9"/>
      <c r="L1188" s="9"/>
      <c r="M1188" s="9">
        <f>I1188*O1188</f>
        <v>21</v>
      </c>
      <c r="N1188" s="9">
        <f>I1188*P1188</f>
        <v>9</v>
      </c>
      <c r="O1188" s="9">
        <v>7</v>
      </c>
      <c r="P1188" s="9">
        <v>3</v>
      </c>
      <c r="Q1188" s="9" t="s">
        <v>6</v>
      </c>
      <c r="R1188" s="1">
        <v>0</v>
      </c>
      <c r="S1188" s="26"/>
    </row>
    <row r="1189" spans="1:19" ht="16.5" customHeight="1" x14ac:dyDescent="0.25">
      <c r="A1189" s="9"/>
      <c r="B1189" s="49" t="s">
        <v>93</v>
      </c>
      <c r="C1189" s="50"/>
      <c r="D1189" s="50"/>
      <c r="E1189" s="50"/>
      <c r="F1189" s="50"/>
      <c r="G1189" s="51"/>
      <c r="H1189" s="20"/>
      <c r="I1189" s="9">
        <v>2</v>
      </c>
      <c r="J1189" s="9"/>
      <c r="K1189" s="9"/>
      <c r="L1189" s="9"/>
      <c r="M1189" s="9">
        <f>I1189*O1189</f>
        <v>16.600000000000001</v>
      </c>
      <c r="N1189" s="9">
        <f>I1189*P1189</f>
        <v>7</v>
      </c>
      <c r="O1189" s="9">
        <v>8.3000000000000007</v>
      </c>
      <c r="P1189" s="9">
        <v>3.5</v>
      </c>
      <c r="Q1189" s="9" t="s">
        <v>9</v>
      </c>
      <c r="R1189" s="1">
        <v>0</v>
      </c>
      <c r="S1189" s="26"/>
    </row>
    <row r="1190" spans="1:19" ht="16.5" customHeight="1" x14ac:dyDescent="0.25">
      <c r="A1190" s="9"/>
      <c r="B1190" s="49" t="s">
        <v>90</v>
      </c>
      <c r="C1190" s="50"/>
      <c r="D1190" s="50"/>
      <c r="E1190" s="50"/>
      <c r="F1190" s="50"/>
      <c r="G1190" s="51"/>
      <c r="H1190" s="20"/>
      <c r="I1190" s="9">
        <v>2</v>
      </c>
      <c r="J1190" s="9"/>
      <c r="K1190" s="9"/>
      <c r="L1190" s="9"/>
      <c r="M1190" s="9">
        <f>I1190*O1190</f>
        <v>14</v>
      </c>
      <c r="N1190" s="9">
        <f>I1190*P1190</f>
        <v>6</v>
      </c>
      <c r="O1190" s="9">
        <v>7</v>
      </c>
      <c r="P1190" s="9">
        <v>3</v>
      </c>
      <c r="Q1190" s="9" t="s">
        <v>6</v>
      </c>
      <c r="R1190" s="1">
        <v>0</v>
      </c>
      <c r="S1190" s="26"/>
    </row>
    <row r="1191" spans="1:19" ht="15" customHeight="1" x14ac:dyDescent="0.25">
      <c r="A1191" s="35" t="s">
        <v>0</v>
      </c>
      <c r="B1191" s="29" t="s">
        <v>1</v>
      </c>
      <c r="C1191" s="30"/>
      <c r="D1191" s="30"/>
      <c r="E1191" s="30"/>
      <c r="F1191" s="30"/>
      <c r="G1191" s="31"/>
      <c r="H1191" s="35" t="s">
        <v>32</v>
      </c>
      <c r="I1191" s="35" t="s">
        <v>39</v>
      </c>
      <c r="J1191" s="53" t="s">
        <v>2</v>
      </c>
      <c r="K1191" s="54"/>
      <c r="L1191" s="54"/>
      <c r="M1191" s="54"/>
      <c r="N1191" s="54"/>
      <c r="O1191" s="54"/>
      <c r="P1191" s="54"/>
      <c r="Q1191" s="55"/>
      <c r="S1191" s="35" t="s">
        <v>38</v>
      </c>
    </row>
    <row r="1192" spans="1:19" ht="24" customHeight="1" x14ac:dyDescent="0.25">
      <c r="A1192" s="36"/>
      <c r="B1192" s="32"/>
      <c r="C1192" s="33"/>
      <c r="D1192" s="33"/>
      <c r="E1192" s="33"/>
      <c r="F1192" s="33"/>
      <c r="G1192" s="34"/>
      <c r="H1192" s="36"/>
      <c r="I1192" s="36"/>
      <c r="J1192" s="7" t="s">
        <v>28</v>
      </c>
      <c r="K1192" s="7" t="s">
        <v>29</v>
      </c>
      <c r="L1192" s="7" t="s">
        <v>30</v>
      </c>
      <c r="M1192" s="7"/>
      <c r="N1192" s="7"/>
      <c r="O1192" s="6" t="s">
        <v>35</v>
      </c>
      <c r="P1192" s="6" t="s">
        <v>36</v>
      </c>
      <c r="Q1192" s="6" t="s">
        <v>37</v>
      </c>
      <c r="S1192" s="36"/>
    </row>
    <row r="1193" spans="1:19" ht="16.5" customHeight="1" x14ac:dyDescent="0.25">
      <c r="A1193" s="9"/>
      <c r="B1193" s="49" t="s">
        <v>95</v>
      </c>
      <c r="C1193" s="50"/>
      <c r="D1193" s="50"/>
      <c r="E1193" s="50"/>
      <c r="F1193" s="50"/>
      <c r="G1193" s="51"/>
      <c r="H1193" s="20"/>
      <c r="I1193" s="9">
        <v>1</v>
      </c>
      <c r="J1193" s="9"/>
      <c r="K1193" s="9"/>
      <c r="L1193" s="9"/>
      <c r="M1193" s="9">
        <f t="shared" ref="M1193:M1199" si="146">I1193*O1193</f>
        <v>7</v>
      </c>
      <c r="N1193" s="9">
        <f t="shared" ref="N1193:N1199" si="147">I1193*P1193</f>
        <v>3</v>
      </c>
      <c r="O1193" s="9">
        <v>7</v>
      </c>
      <c r="P1193" s="9">
        <v>3</v>
      </c>
      <c r="Q1193" s="9" t="s">
        <v>6</v>
      </c>
      <c r="R1193" s="1">
        <v>0</v>
      </c>
      <c r="S1193" s="26"/>
    </row>
    <row r="1194" spans="1:19" ht="16.5" customHeight="1" x14ac:dyDescent="0.25">
      <c r="A1194" s="9"/>
      <c r="B1194" s="49" t="s">
        <v>88</v>
      </c>
      <c r="C1194" s="50"/>
      <c r="D1194" s="50"/>
      <c r="E1194" s="50"/>
      <c r="F1194" s="50"/>
      <c r="G1194" s="51"/>
      <c r="H1194" s="20"/>
      <c r="I1194" s="9">
        <v>2</v>
      </c>
      <c r="J1194" s="9"/>
      <c r="K1194" s="9"/>
      <c r="L1194" s="9"/>
      <c r="M1194" s="9">
        <f t="shared" si="146"/>
        <v>16.8</v>
      </c>
      <c r="N1194" s="9">
        <f t="shared" si="147"/>
        <v>7</v>
      </c>
      <c r="O1194" s="9">
        <v>8.4</v>
      </c>
      <c r="P1194" s="9">
        <v>3.5</v>
      </c>
      <c r="Q1194" s="9" t="s">
        <v>9</v>
      </c>
      <c r="R1194" s="1">
        <v>0</v>
      </c>
      <c r="S1194" s="26"/>
    </row>
    <row r="1195" spans="1:19" ht="16.5" customHeight="1" x14ac:dyDescent="0.25">
      <c r="A1195" s="9"/>
      <c r="B1195" s="49" t="s">
        <v>89</v>
      </c>
      <c r="C1195" s="50"/>
      <c r="D1195" s="50"/>
      <c r="E1195" s="50"/>
      <c r="F1195" s="50"/>
      <c r="G1195" s="51"/>
      <c r="H1195" s="20"/>
      <c r="I1195" s="9">
        <v>2</v>
      </c>
      <c r="J1195" s="9"/>
      <c r="K1195" s="9"/>
      <c r="L1195" s="9"/>
      <c r="M1195" s="9">
        <f t="shared" si="146"/>
        <v>17</v>
      </c>
      <c r="N1195" s="9">
        <f t="shared" si="147"/>
        <v>7.4</v>
      </c>
      <c r="O1195" s="9">
        <v>8.5</v>
      </c>
      <c r="P1195" s="9">
        <v>3.7</v>
      </c>
      <c r="Q1195" s="9" t="s">
        <v>10</v>
      </c>
      <c r="R1195" s="1">
        <v>0</v>
      </c>
      <c r="S1195" s="26"/>
    </row>
    <row r="1196" spans="1:19" ht="16.5" customHeight="1" x14ac:dyDescent="0.25">
      <c r="A1196" s="9"/>
      <c r="B1196" s="49" t="s">
        <v>92</v>
      </c>
      <c r="C1196" s="50"/>
      <c r="D1196" s="50"/>
      <c r="E1196" s="50"/>
      <c r="F1196" s="50"/>
      <c r="G1196" s="51"/>
      <c r="H1196" s="20"/>
      <c r="I1196" s="9">
        <v>4</v>
      </c>
      <c r="J1196" s="9"/>
      <c r="K1196" s="9"/>
      <c r="L1196" s="9"/>
      <c r="M1196" s="9">
        <f t="shared" si="146"/>
        <v>28.8</v>
      </c>
      <c r="N1196" s="9">
        <f t="shared" si="147"/>
        <v>12</v>
      </c>
      <c r="O1196" s="9">
        <v>7.2</v>
      </c>
      <c r="P1196" s="9">
        <v>3</v>
      </c>
      <c r="Q1196" s="9" t="s">
        <v>6</v>
      </c>
      <c r="R1196" s="1">
        <v>0</v>
      </c>
      <c r="S1196" s="26"/>
    </row>
    <row r="1197" spans="1:19" ht="16.5" customHeight="1" x14ac:dyDescent="0.25">
      <c r="A1197" s="9"/>
      <c r="B1197" s="49" t="s">
        <v>84</v>
      </c>
      <c r="C1197" s="50"/>
      <c r="D1197" s="50"/>
      <c r="E1197" s="50"/>
      <c r="F1197" s="50"/>
      <c r="G1197" s="51"/>
      <c r="H1197" s="20"/>
      <c r="I1197" s="9">
        <v>3</v>
      </c>
      <c r="J1197" s="9"/>
      <c r="K1197" s="9"/>
      <c r="L1197" s="9"/>
      <c r="M1197" s="9">
        <f t="shared" si="146"/>
        <v>25.200000000000003</v>
      </c>
      <c r="N1197" s="9">
        <f t="shared" si="147"/>
        <v>10.5</v>
      </c>
      <c r="O1197" s="9">
        <v>8.4</v>
      </c>
      <c r="P1197" s="9">
        <v>3.5</v>
      </c>
      <c r="Q1197" s="9" t="s">
        <v>9</v>
      </c>
      <c r="R1197" s="1">
        <v>0</v>
      </c>
      <c r="S1197" s="26"/>
    </row>
    <row r="1198" spans="1:19" ht="16.5" hidden="1" customHeight="1" x14ac:dyDescent="0.25">
      <c r="A1198" s="21"/>
      <c r="H1198" s="21"/>
      <c r="I1198" s="21"/>
      <c r="J1198" s="21"/>
      <c r="K1198" s="21"/>
      <c r="L1198" s="21"/>
      <c r="M1198" s="9">
        <f t="shared" si="146"/>
        <v>0</v>
      </c>
      <c r="N1198" s="9">
        <f t="shared" si="147"/>
        <v>0</v>
      </c>
      <c r="O1198" s="21"/>
      <c r="P1198" s="21"/>
      <c r="Q1198" s="21"/>
      <c r="S1198" s="25"/>
    </row>
    <row r="1199" spans="1:19" ht="16.5" customHeight="1" x14ac:dyDescent="0.25">
      <c r="A1199" s="9"/>
      <c r="B1199" s="38" t="s">
        <v>42</v>
      </c>
      <c r="C1199" s="39"/>
      <c r="D1199" s="39"/>
      <c r="E1199" s="39"/>
      <c r="F1199" s="39"/>
      <c r="G1199" s="40"/>
      <c r="H1199" s="23"/>
      <c r="I1199" s="24">
        <f>SUM(I1186:I1198)</f>
        <v>23</v>
      </c>
      <c r="J1199" s="9"/>
      <c r="K1199" s="9"/>
      <c r="L1199" s="9"/>
      <c r="M1199" s="9">
        <f t="shared" si="146"/>
        <v>173.42</v>
      </c>
      <c r="N1199" s="9">
        <f t="shared" si="147"/>
        <v>71.53</v>
      </c>
      <c r="O1199" s="24">
        <f>ROUND(SUM(M1186:M1198)/I1199,2)</f>
        <v>7.54</v>
      </c>
      <c r="P1199" s="24">
        <f>ROUND(SUM(N1186:N1198)/I1199,2)</f>
        <v>3.11</v>
      </c>
      <c r="Q1199" s="9"/>
      <c r="S1199" s="25"/>
    </row>
    <row r="1200" spans="1:19" ht="20.25" customHeight="1" x14ac:dyDescent="0.25">
      <c r="A1200" s="27" t="s">
        <v>96</v>
      </c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</row>
    <row r="1201" spans="1:19" ht="16.5" customHeight="1" x14ac:dyDescent="0.25">
      <c r="A1201" s="9"/>
      <c r="B1201" s="49" t="s">
        <v>97</v>
      </c>
      <c r="C1201" s="50"/>
      <c r="D1201" s="50"/>
      <c r="E1201" s="50"/>
      <c r="F1201" s="50"/>
      <c r="G1201" s="51"/>
      <c r="H1201" s="20"/>
      <c r="I1201" s="9">
        <v>2</v>
      </c>
      <c r="J1201" s="9"/>
      <c r="K1201" s="9"/>
      <c r="L1201" s="9"/>
      <c r="M1201" s="9">
        <f t="shared" ref="M1201:M1213" si="148">I1201*O1201</f>
        <v>15.6</v>
      </c>
      <c r="N1201" s="9">
        <f t="shared" ref="N1201:N1213" si="149">I1201*P1201</f>
        <v>6</v>
      </c>
      <c r="O1201" s="9">
        <v>7.8</v>
      </c>
      <c r="P1201" s="9">
        <v>3</v>
      </c>
      <c r="Q1201" s="9" t="s">
        <v>6</v>
      </c>
      <c r="R1201" s="1">
        <v>0</v>
      </c>
      <c r="S1201" s="26"/>
    </row>
    <row r="1202" spans="1:19" ht="16.5" customHeight="1" x14ac:dyDescent="0.25">
      <c r="A1202" s="9"/>
      <c r="B1202" s="49" t="s">
        <v>104</v>
      </c>
      <c r="C1202" s="50"/>
      <c r="D1202" s="50"/>
      <c r="E1202" s="50"/>
      <c r="F1202" s="50"/>
      <c r="G1202" s="51"/>
      <c r="H1202" s="20"/>
      <c r="I1202" s="9">
        <v>3</v>
      </c>
      <c r="J1202" s="9"/>
      <c r="K1202" s="9"/>
      <c r="L1202" s="9"/>
      <c r="M1202" s="9">
        <f t="shared" si="148"/>
        <v>23.700000000000003</v>
      </c>
      <c r="N1202" s="9">
        <f t="shared" si="149"/>
        <v>9</v>
      </c>
      <c r="O1202" s="9">
        <v>7.9</v>
      </c>
      <c r="P1202" s="9">
        <v>3</v>
      </c>
      <c r="Q1202" s="9" t="s">
        <v>6</v>
      </c>
      <c r="R1202" s="1">
        <v>0</v>
      </c>
      <c r="S1202" s="26"/>
    </row>
    <row r="1203" spans="1:19" ht="16.5" customHeight="1" x14ac:dyDescent="0.25">
      <c r="A1203" s="9"/>
      <c r="B1203" s="49" t="s">
        <v>98</v>
      </c>
      <c r="C1203" s="50"/>
      <c r="D1203" s="50"/>
      <c r="E1203" s="50"/>
      <c r="F1203" s="50"/>
      <c r="G1203" s="51"/>
      <c r="H1203" s="20"/>
      <c r="I1203" s="9">
        <v>3</v>
      </c>
      <c r="J1203" s="9"/>
      <c r="K1203" s="9"/>
      <c r="L1203" s="9"/>
      <c r="M1203" s="9">
        <f t="shared" si="148"/>
        <v>20.399999999999999</v>
      </c>
      <c r="N1203" s="9">
        <f t="shared" si="149"/>
        <v>7.5</v>
      </c>
      <c r="O1203" s="9">
        <v>6.8</v>
      </c>
      <c r="P1203" s="9">
        <v>2.5</v>
      </c>
      <c r="Q1203" s="9" t="s">
        <v>5</v>
      </c>
      <c r="R1203" s="1">
        <v>0</v>
      </c>
      <c r="S1203" s="26"/>
    </row>
    <row r="1204" spans="1:19" ht="16.5" customHeight="1" x14ac:dyDescent="0.25">
      <c r="A1204" s="9"/>
      <c r="B1204" s="49" t="s">
        <v>79</v>
      </c>
      <c r="C1204" s="50"/>
      <c r="D1204" s="50"/>
      <c r="E1204" s="50"/>
      <c r="F1204" s="50"/>
      <c r="G1204" s="51"/>
      <c r="H1204" s="20"/>
      <c r="I1204" s="9">
        <v>2</v>
      </c>
      <c r="J1204" s="9"/>
      <c r="K1204" s="9"/>
      <c r="L1204" s="9"/>
      <c r="M1204" s="9">
        <f t="shared" si="148"/>
        <v>15.2</v>
      </c>
      <c r="N1204" s="9">
        <f t="shared" si="149"/>
        <v>6</v>
      </c>
      <c r="O1204" s="9">
        <v>7.6</v>
      </c>
      <c r="P1204" s="9">
        <v>3</v>
      </c>
      <c r="Q1204" s="9" t="s">
        <v>6</v>
      </c>
      <c r="R1204" s="1">
        <v>0</v>
      </c>
      <c r="S1204" s="26"/>
    </row>
    <row r="1205" spans="1:19" ht="16.5" customHeight="1" x14ac:dyDescent="0.25">
      <c r="A1205" s="9"/>
      <c r="B1205" s="49" t="s">
        <v>69</v>
      </c>
      <c r="C1205" s="50"/>
      <c r="D1205" s="50"/>
      <c r="E1205" s="50"/>
      <c r="F1205" s="50"/>
      <c r="G1205" s="51"/>
      <c r="H1205" s="20"/>
      <c r="I1205" s="9">
        <v>1</v>
      </c>
      <c r="J1205" s="9"/>
      <c r="K1205" s="9"/>
      <c r="L1205" s="9"/>
      <c r="M1205" s="9">
        <f t="shared" si="148"/>
        <v>7</v>
      </c>
      <c r="N1205" s="9">
        <f t="shared" si="149"/>
        <v>3</v>
      </c>
      <c r="O1205" s="9">
        <v>7</v>
      </c>
      <c r="P1205" s="9">
        <v>3</v>
      </c>
      <c r="Q1205" s="9" t="s">
        <v>6</v>
      </c>
      <c r="R1205" s="1">
        <v>0</v>
      </c>
      <c r="S1205" s="26"/>
    </row>
    <row r="1206" spans="1:19" ht="16.5" customHeight="1" x14ac:dyDescent="0.25">
      <c r="A1206" s="9"/>
      <c r="B1206" s="49" t="s">
        <v>102</v>
      </c>
      <c r="C1206" s="50"/>
      <c r="D1206" s="50"/>
      <c r="E1206" s="50"/>
      <c r="F1206" s="50"/>
      <c r="G1206" s="51"/>
      <c r="H1206" s="20"/>
      <c r="I1206" s="9">
        <v>2</v>
      </c>
      <c r="J1206" s="9"/>
      <c r="K1206" s="9"/>
      <c r="L1206" s="9"/>
      <c r="M1206" s="9">
        <f t="shared" si="148"/>
        <v>15</v>
      </c>
      <c r="N1206" s="9">
        <f t="shared" si="149"/>
        <v>6</v>
      </c>
      <c r="O1206" s="9">
        <v>7.5</v>
      </c>
      <c r="P1206" s="9">
        <v>3</v>
      </c>
      <c r="Q1206" s="9" t="s">
        <v>6</v>
      </c>
      <c r="R1206" s="1">
        <v>0</v>
      </c>
      <c r="S1206" s="26"/>
    </row>
    <row r="1207" spans="1:19" ht="16.5" customHeight="1" x14ac:dyDescent="0.25">
      <c r="A1207" s="9"/>
      <c r="B1207" s="49" t="s">
        <v>101</v>
      </c>
      <c r="C1207" s="50"/>
      <c r="D1207" s="50"/>
      <c r="E1207" s="50"/>
      <c r="F1207" s="50"/>
      <c r="G1207" s="51"/>
      <c r="H1207" s="20"/>
      <c r="I1207" s="9">
        <v>1</v>
      </c>
      <c r="J1207" s="9"/>
      <c r="K1207" s="9"/>
      <c r="L1207" s="9"/>
      <c r="M1207" s="9">
        <f t="shared" si="148"/>
        <v>7.8</v>
      </c>
      <c r="N1207" s="9">
        <f t="shared" si="149"/>
        <v>3</v>
      </c>
      <c r="O1207" s="9">
        <v>7.8</v>
      </c>
      <c r="P1207" s="9">
        <v>3</v>
      </c>
      <c r="Q1207" s="9" t="s">
        <v>6</v>
      </c>
      <c r="R1207" s="1">
        <v>0</v>
      </c>
      <c r="S1207" s="26"/>
    </row>
    <row r="1208" spans="1:19" ht="16.5" customHeight="1" x14ac:dyDescent="0.25">
      <c r="A1208" s="9"/>
      <c r="B1208" s="49" t="s">
        <v>100</v>
      </c>
      <c r="C1208" s="50"/>
      <c r="D1208" s="50"/>
      <c r="E1208" s="50"/>
      <c r="F1208" s="50"/>
      <c r="G1208" s="51"/>
      <c r="H1208" s="20"/>
      <c r="I1208" s="9">
        <v>1</v>
      </c>
      <c r="J1208" s="9"/>
      <c r="K1208" s="9"/>
      <c r="L1208" s="9"/>
      <c r="M1208" s="9">
        <f t="shared" si="148"/>
        <v>8</v>
      </c>
      <c r="N1208" s="9">
        <f t="shared" si="149"/>
        <v>3.5</v>
      </c>
      <c r="O1208" s="9">
        <v>8</v>
      </c>
      <c r="P1208" s="9">
        <v>3.5</v>
      </c>
      <c r="Q1208" s="9" t="s">
        <v>9</v>
      </c>
      <c r="R1208" s="1">
        <v>0</v>
      </c>
      <c r="S1208" s="26"/>
    </row>
    <row r="1209" spans="1:19" ht="16.5" customHeight="1" x14ac:dyDescent="0.25">
      <c r="A1209" s="9"/>
      <c r="B1209" s="49" t="s">
        <v>99</v>
      </c>
      <c r="C1209" s="50"/>
      <c r="D1209" s="50"/>
      <c r="E1209" s="50"/>
      <c r="F1209" s="50"/>
      <c r="G1209" s="51"/>
      <c r="H1209" s="20"/>
      <c r="I1209" s="9">
        <v>2</v>
      </c>
      <c r="J1209" s="9"/>
      <c r="K1209" s="9"/>
      <c r="L1209" s="9"/>
      <c r="M1209" s="9">
        <f t="shared" si="148"/>
        <v>12.4</v>
      </c>
      <c r="N1209" s="9">
        <f t="shared" si="149"/>
        <v>4</v>
      </c>
      <c r="O1209" s="9">
        <v>6.2</v>
      </c>
      <c r="P1209" s="9">
        <v>2</v>
      </c>
      <c r="Q1209" s="9" t="s">
        <v>3</v>
      </c>
      <c r="R1209" s="1">
        <v>0</v>
      </c>
      <c r="S1209" s="26"/>
    </row>
    <row r="1210" spans="1:19" ht="16.5" customHeight="1" x14ac:dyDescent="0.25">
      <c r="A1210" s="9"/>
      <c r="B1210" s="49" t="s">
        <v>103</v>
      </c>
      <c r="C1210" s="50"/>
      <c r="D1210" s="50"/>
      <c r="E1210" s="50"/>
      <c r="F1210" s="50"/>
      <c r="G1210" s="51"/>
      <c r="H1210" s="20"/>
      <c r="I1210" s="9">
        <v>2</v>
      </c>
      <c r="J1210" s="9"/>
      <c r="K1210" s="9"/>
      <c r="L1210" s="9"/>
      <c r="M1210" s="9">
        <f t="shared" si="148"/>
        <v>15</v>
      </c>
      <c r="N1210" s="9">
        <f t="shared" si="149"/>
        <v>6</v>
      </c>
      <c r="O1210" s="9">
        <v>7.5</v>
      </c>
      <c r="P1210" s="9">
        <v>3</v>
      </c>
      <c r="Q1210" s="9" t="s">
        <v>6</v>
      </c>
      <c r="R1210" s="1">
        <v>0</v>
      </c>
      <c r="S1210" s="26"/>
    </row>
    <row r="1211" spans="1:19" ht="16.5" customHeight="1" x14ac:dyDescent="0.25">
      <c r="A1211" s="9"/>
      <c r="B1211" s="49" t="s">
        <v>105</v>
      </c>
      <c r="C1211" s="50"/>
      <c r="D1211" s="50"/>
      <c r="E1211" s="50"/>
      <c r="F1211" s="50"/>
      <c r="G1211" s="51"/>
      <c r="H1211" s="20"/>
      <c r="I1211" s="9">
        <v>4</v>
      </c>
      <c r="J1211" s="9"/>
      <c r="K1211" s="9"/>
      <c r="L1211" s="9"/>
      <c r="M1211" s="9">
        <f t="shared" si="148"/>
        <v>31.2</v>
      </c>
      <c r="N1211" s="9">
        <f t="shared" si="149"/>
        <v>12</v>
      </c>
      <c r="O1211" s="9">
        <v>7.8</v>
      </c>
      <c r="P1211" s="9">
        <v>3</v>
      </c>
      <c r="Q1211" s="9" t="s">
        <v>6</v>
      </c>
      <c r="R1211" s="1">
        <v>0</v>
      </c>
      <c r="S1211" s="26"/>
    </row>
    <row r="1212" spans="1:19" ht="16.5" hidden="1" customHeight="1" x14ac:dyDescent="0.25">
      <c r="A1212" s="21"/>
      <c r="H1212" s="21"/>
      <c r="I1212" s="21"/>
      <c r="J1212" s="21"/>
      <c r="K1212" s="21"/>
      <c r="L1212" s="21"/>
      <c r="M1212" s="9">
        <f t="shared" si="148"/>
        <v>0</v>
      </c>
      <c r="N1212" s="9">
        <f t="shared" si="149"/>
        <v>0</v>
      </c>
      <c r="O1212" s="21"/>
      <c r="P1212" s="21"/>
      <c r="Q1212" s="21"/>
      <c r="S1212" s="25"/>
    </row>
    <row r="1213" spans="1:19" ht="16.5" customHeight="1" x14ac:dyDescent="0.25">
      <c r="A1213" s="9"/>
      <c r="B1213" s="38" t="s">
        <v>42</v>
      </c>
      <c r="C1213" s="39"/>
      <c r="D1213" s="39"/>
      <c r="E1213" s="39"/>
      <c r="F1213" s="39"/>
      <c r="G1213" s="40"/>
      <c r="H1213" s="23"/>
      <c r="I1213" s="24">
        <f>SUM(I1201:I1212)</f>
        <v>23</v>
      </c>
      <c r="J1213" s="9"/>
      <c r="K1213" s="9"/>
      <c r="L1213" s="9"/>
      <c r="M1213" s="9">
        <f t="shared" si="148"/>
        <v>171.35</v>
      </c>
      <c r="N1213" s="9">
        <f t="shared" si="149"/>
        <v>66.010000000000005</v>
      </c>
      <c r="O1213" s="24">
        <f>ROUND(SUM(M1201:M1212)/I1213,2)</f>
        <v>7.45</v>
      </c>
      <c r="P1213" s="24">
        <f>ROUND(SUM(N1201:N1212)/I1213,2)</f>
        <v>2.87</v>
      </c>
      <c r="Q1213" s="9"/>
      <c r="S1213" s="25"/>
    </row>
    <row r="1214" spans="1:19" ht="20.25" customHeight="1" x14ac:dyDescent="0.25">
      <c r="A1214" s="27" t="s">
        <v>107</v>
      </c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</row>
    <row r="1215" spans="1:19" ht="16.5" customHeight="1" x14ac:dyDescent="0.25">
      <c r="A1215" s="9"/>
      <c r="B1215" s="49" t="s">
        <v>108</v>
      </c>
      <c r="C1215" s="50"/>
      <c r="D1215" s="50"/>
      <c r="E1215" s="50"/>
      <c r="F1215" s="50"/>
      <c r="G1215" s="51"/>
      <c r="H1215" s="20"/>
      <c r="I1215" s="9">
        <v>1</v>
      </c>
      <c r="J1215" s="9"/>
      <c r="K1215" s="9"/>
      <c r="L1215" s="9"/>
      <c r="M1215" s="9">
        <f t="shared" ref="M1215:M1227" si="150">I1215*O1215</f>
        <v>7.3</v>
      </c>
      <c r="N1215" s="9">
        <f t="shared" ref="N1215:N1227" si="151">I1215*P1215</f>
        <v>3</v>
      </c>
      <c r="O1215" s="9">
        <v>7.3</v>
      </c>
      <c r="P1215" s="9">
        <v>3</v>
      </c>
      <c r="Q1215" s="9" t="s">
        <v>6</v>
      </c>
      <c r="R1215" s="1">
        <v>0</v>
      </c>
      <c r="S1215" s="26"/>
    </row>
    <row r="1216" spans="1:19" ht="16.5" customHeight="1" x14ac:dyDescent="0.25">
      <c r="A1216" s="9"/>
      <c r="B1216" s="49" t="s">
        <v>109</v>
      </c>
      <c r="C1216" s="50"/>
      <c r="D1216" s="50"/>
      <c r="E1216" s="50"/>
      <c r="F1216" s="50"/>
      <c r="G1216" s="51"/>
      <c r="H1216" s="20"/>
      <c r="I1216" s="9">
        <v>2</v>
      </c>
      <c r="J1216" s="9"/>
      <c r="K1216" s="9"/>
      <c r="L1216" s="9"/>
      <c r="M1216" s="9">
        <f t="shared" si="150"/>
        <v>15.2</v>
      </c>
      <c r="N1216" s="9">
        <f t="shared" si="151"/>
        <v>6</v>
      </c>
      <c r="O1216" s="9">
        <v>7.6</v>
      </c>
      <c r="P1216" s="9">
        <v>3</v>
      </c>
      <c r="Q1216" s="9" t="s">
        <v>6</v>
      </c>
      <c r="R1216" s="1">
        <v>0</v>
      </c>
      <c r="S1216" s="26"/>
    </row>
    <row r="1217" spans="1:19" ht="16.5" customHeight="1" x14ac:dyDescent="0.25">
      <c r="A1217" s="9"/>
      <c r="B1217" s="49" t="s">
        <v>110</v>
      </c>
      <c r="C1217" s="50"/>
      <c r="D1217" s="50"/>
      <c r="E1217" s="50"/>
      <c r="F1217" s="50"/>
      <c r="G1217" s="51"/>
      <c r="H1217" s="20"/>
      <c r="I1217" s="9">
        <v>3</v>
      </c>
      <c r="J1217" s="9"/>
      <c r="K1217" s="9"/>
      <c r="L1217" s="9"/>
      <c r="M1217" s="9">
        <f t="shared" si="150"/>
        <v>21.299999999999997</v>
      </c>
      <c r="N1217" s="9">
        <f t="shared" si="151"/>
        <v>9</v>
      </c>
      <c r="O1217" s="9">
        <v>7.1</v>
      </c>
      <c r="P1217" s="9">
        <v>3</v>
      </c>
      <c r="Q1217" s="9" t="s">
        <v>6</v>
      </c>
      <c r="R1217" s="1">
        <v>0</v>
      </c>
      <c r="S1217" s="26"/>
    </row>
    <row r="1218" spans="1:19" ht="16.5" customHeight="1" x14ac:dyDescent="0.25">
      <c r="A1218" s="9"/>
      <c r="B1218" s="49" t="s">
        <v>111</v>
      </c>
      <c r="C1218" s="50"/>
      <c r="D1218" s="50"/>
      <c r="E1218" s="50"/>
      <c r="F1218" s="50"/>
      <c r="G1218" s="51"/>
      <c r="H1218" s="20"/>
      <c r="I1218" s="9">
        <v>3</v>
      </c>
      <c r="J1218" s="9"/>
      <c r="K1218" s="9"/>
      <c r="L1218" s="9"/>
      <c r="M1218" s="9">
        <f t="shared" si="150"/>
        <v>20.100000000000001</v>
      </c>
      <c r="N1218" s="9">
        <f t="shared" si="151"/>
        <v>7.5</v>
      </c>
      <c r="O1218" s="9">
        <v>6.7</v>
      </c>
      <c r="P1218" s="9">
        <v>2.5</v>
      </c>
      <c r="Q1218" s="9" t="s">
        <v>5</v>
      </c>
      <c r="R1218" s="1">
        <v>0</v>
      </c>
      <c r="S1218" s="26"/>
    </row>
    <row r="1219" spans="1:19" ht="16.5" customHeight="1" x14ac:dyDescent="0.25">
      <c r="A1219" s="9"/>
      <c r="B1219" s="49" t="s">
        <v>112</v>
      </c>
      <c r="C1219" s="50"/>
      <c r="D1219" s="50"/>
      <c r="E1219" s="50"/>
      <c r="F1219" s="50"/>
      <c r="G1219" s="51"/>
      <c r="H1219" s="20"/>
      <c r="I1219" s="9">
        <v>4</v>
      </c>
      <c r="J1219" s="9"/>
      <c r="K1219" s="9"/>
      <c r="L1219" s="9"/>
      <c r="M1219" s="9">
        <f t="shared" si="150"/>
        <v>33.200000000000003</v>
      </c>
      <c r="N1219" s="9">
        <f t="shared" si="151"/>
        <v>14</v>
      </c>
      <c r="O1219" s="9">
        <v>8.3000000000000007</v>
      </c>
      <c r="P1219" s="9">
        <v>3.5</v>
      </c>
      <c r="Q1219" s="9" t="s">
        <v>9</v>
      </c>
      <c r="R1219" s="1">
        <v>0</v>
      </c>
      <c r="S1219" s="26"/>
    </row>
    <row r="1220" spans="1:19" ht="16.5" customHeight="1" x14ac:dyDescent="0.25">
      <c r="A1220" s="9"/>
      <c r="B1220" s="49" t="s">
        <v>113</v>
      </c>
      <c r="C1220" s="50"/>
      <c r="D1220" s="50"/>
      <c r="E1220" s="50"/>
      <c r="F1220" s="50"/>
      <c r="G1220" s="51"/>
      <c r="H1220" s="20"/>
      <c r="I1220" s="9">
        <v>4</v>
      </c>
      <c r="J1220" s="9"/>
      <c r="K1220" s="9"/>
      <c r="L1220" s="9"/>
      <c r="M1220" s="9">
        <f t="shared" si="150"/>
        <v>26</v>
      </c>
      <c r="N1220" s="9">
        <f t="shared" si="151"/>
        <v>10</v>
      </c>
      <c r="O1220" s="9">
        <v>6.5</v>
      </c>
      <c r="P1220" s="9">
        <v>2.5</v>
      </c>
      <c r="Q1220" s="9" t="s">
        <v>5</v>
      </c>
      <c r="R1220" s="1">
        <v>0</v>
      </c>
      <c r="S1220" s="26"/>
    </row>
    <row r="1221" spans="1:19" ht="16.5" customHeight="1" x14ac:dyDescent="0.25">
      <c r="A1221" s="9"/>
      <c r="B1221" s="49" t="s">
        <v>114</v>
      </c>
      <c r="C1221" s="50"/>
      <c r="D1221" s="50"/>
      <c r="E1221" s="50"/>
      <c r="F1221" s="50"/>
      <c r="G1221" s="51"/>
      <c r="H1221" s="20"/>
      <c r="I1221" s="9">
        <v>3</v>
      </c>
      <c r="J1221" s="9"/>
      <c r="K1221" s="9"/>
      <c r="L1221" s="9"/>
      <c r="M1221" s="9">
        <f t="shared" si="150"/>
        <v>17.399999999999999</v>
      </c>
      <c r="N1221" s="9">
        <f t="shared" si="151"/>
        <v>6</v>
      </c>
      <c r="O1221" s="9">
        <v>5.8</v>
      </c>
      <c r="P1221" s="9">
        <v>2</v>
      </c>
      <c r="Q1221" s="9" t="s">
        <v>3</v>
      </c>
      <c r="R1221" s="1">
        <v>0</v>
      </c>
      <c r="S1221" s="26"/>
    </row>
    <row r="1222" spans="1:19" ht="16.5" customHeight="1" x14ac:dyDescent="0.25">
      <c r="A1222" s="9"/>
      <c r="B1222" s="49" t="s">
        <v>115</v>
      </c>
      <c r="C1222" s="50"/>
      <c r="D1222" s="50"/>
      <c r="E1222" s="50"/>
      <c r="F1222" s="50"/>
      <c r="G1222" s="51"/>
      <c r="H1222" s="20"/>
      <c r="I1222" s="9">
        <v>2</v>
      </c>
      <c r="J1222" s="9"/>
      <c r="K1222" s="9"/>
      <c r="L1222" s="9"/>
      <c r="M1222" s="9">
        <f t="shared" si="150"/>
        <v>12.4</v>
      </c>
      <c r="N1222" s="9">
        <f t="shared" si="151"/>
        <v>4</v>
      </c>
      <c r="O1222" s="9">
        <v>6.2</v>
      </c>
      <c r="P1222" s="9">
        <v>2</v>
      </c>
      <c r="Q1222" s="9" t="s">
        <v>3</v>
      </c>
      <c r="R1222" s="1">
        <v>0</v>
      </c>
      <c r="S1222" s="26"/>
    </row>
    <row r="1223" spans="1:19" ht="16.5" customHeight="1" x14ac:dyDescent="0.25">
      <c r="A1223" s="9"/>
      <c r="B1223" s="49" t="s">
        <v>116</v>
      </c>
      <c r="C1223" s="50"/>
      <c r="D1223" s="50"/>
      <c r="E1223" s="50"/>
      <c r="F1223" s="50"/>
      <c r="G1223" s="51"/>
      <c r="H1223" s="20"/>
      <c r="I1223" s="9">
        <v>2</v>
      </c>
      <c r="J1223" s="9"/>
      <c r="K1223" s="9"/>
      <c r="L1223" s="9"/>
      <c r="M1223" s="9">
        <f t="shared" si="150"/>
        <v>14.6</v>
      </c>
      <c r="N1223" s="9">
        <f t="shared" si="151"/>
        <v>6</v>
      </c>
      <c r="O1223" s="9">
        <v>7.3</v>
      </c>
      <c r="P1223" s="9">
        <v>3</v>
      </c>
      <c r="Q1223" s="9" t="s">
        <v>6</v>
      </c>
      <c r="R1223" s="1">
        <v>0</v>
      </c>
      <c r="S1223" s="26"/>
    </row>
    <row r="1224" spans="1:19" ht="16.5" customHeight="1" x14ac:dyDescent="0.25">
      <c r="A1224" s="9"/>
      <c r="B1224" s="49" t="s">
        <v>117</v>
      </c>
      <c r="C1224" s="50"/>
      <c r="D1224" s="50"/>
      <c r="E1224" s="50"/>
      <c r="F1224" s="50"/>
      <c r="G1224" s="51"/>
      <c r="H1224" s="20"/>
      <c r="I1224" s="9">
        <v>3</v>
      </c>
      <c r="J1224" s="9"/>
      <c r="K1224" s="9"/>
      <c r="L1224" s="9"/>
      <c r="M1224" s="9">
        <f t="shared" si="150"/>
        <v>23.4</v>
      </c>
      <c r="N1224" s="9">
        <f t="shared" si="151"/>
        <v>9</v>
      </c>
      <c r="O1224" s="9">
        <v>7.8</v>
      </c>
      <c r="P1224" s="9">
        <v>3</v>
      </c>
      <c r="Q1224" s="9" t="s">
        <v>6</v>
      </c>
      <c r="R1224" s="1">
        <v>0</v>
      </c>
      <c r="S1224" s="26"/>
    </row>
    <row r="1225" spans="1:19" ht="16.5" customHeight="1" x14ac:dyDescent="0.25">
      <c r="A1225" s="9"/>
      <c r="B1225" s="49" t="s">
        <v>118</v>
      </c>
      <c r="C1225" s="50"/>
      <c r="D1225" s="50"/>
      <c r="E1225" s="50"/>
      <c r="F1225" s="50"/>
      <c r="G1225" s="51"/>
      <c r="H1225" s="20"/>
      <c r="I1225" s="9">
        <v>2</v>
      </c>
      <c r="J1225" s="9"/>
      <c r="K1225" s="9"/>
      <c r="L1225" s="9"/>
      <c r="M1225" s="9">
        <f t="shared" si="150"/>
        <v>15.2</v>
      </c>
      <c r="N1225" s="9">
        <f t="shared" si="151"/>
        <v>6</v>
      </c>
      <c r="O1225" s="9">
        <v>7.6</v>
      </c>
      <c r="P1225" s="9">
        <v>3</v>
      </c>
      <c r="Q1225" s="9" t="s">
        <v>6</v>
      </c>
      <c r="R1225" s="1">
        <v>0</v>
      </c>
      <c r="S1225" s="26"/>
    </row>
    <row r="1226" spans="1:19" ht="16.5" hidden="1" customHeight="1" x14ac:dyDescent="0.25">
      <c r="A1226" s="21"/>
      <c r="H1226" s="21"/>
      <c r="I1226" s="21"/>
      <c r="J1226" s="21"/>
      <c r="K1226" s="21"/>
      <c r="L1226" s="21"/>
      <c r="M1226" s="9">
        <f t="shared" si="150"/>
        <v>0</v>
      </c>
      <c r="N1226" s="9">
        <f t="shared" si="151"/>
        <v>0</v>
      </c>
      <c r="O1226" s="21"/>
      <c r="P1226" s="21"/>
      <c r="Q1226" s="21"/>
      <c r="S1226" s="25"/>
    </row>
    <row r="1227" spans="1:19" ht="16.5" customHeight="1" x14ac:dyDescent="0.25">
      <c r="A1227" s="9"/>
      <c r="B1227" s="38" t="s">
        <v>42</v>
      </c>
      <c r="C1227" s="39"/>
      <c r="D1227" s="39"/>
      <c r="E1227" s="39"/>
      <c r="F1227" s="39"/>
      <c r="G1227" s="40"/>
      <c r="H1227" s="23"/>
      <c r="I1227" s="24">
        <f>SUM(I1215:I1226)</f>
        <v>29</v>
      </c>
      <c r="J1227" s="9"/>
      <c r="K1227" s="9"/>
      <c r="L1227" s="9"/>
      <c r="M1227" s="9">
        <f t="shared" si="150"/>
        <v>206.19</v>
      </c>
      <c r="N1227" s="9">
        <f t="shared" si="151"/>
        <v>80.61999999999999</v>
      </c>
      <c r="O1227" s="24">
        <f>ROUND(SUM(M1215:M1226)/I1227,2)</f>
        <v>7.11</v>
      </c>
      <c r="P1227" s="24">
        <f>ROUND(SUM(N1215:N1226)/I1227,2)</f>
        <v>2.78</v>
      </c>
      <c r="Q1227" s="9"/>
      <c r="S1227" s="25"/>
    </row>
    <row r="1228" spans="1:19" ht="20.25" customHeight="1" x14ac:dyDescent="0.25">
      <c r="A1228" s="27" t="s">
        <v>120</v>
      </c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</row>
    <row r="1229" spans="1:19" ht="16.5" customHeight="1" x14ac:dyDescent="0.25">
      <c r="A1229" s="9"/>
      <c r="B1229" s="49" t="s">
        <v>121</v>
      </c>
      <c r="C1229" s="50"/>
      <c r="D1229" s="50"/>
      <c r="E1229" s="50"/>
      <c r="F1229" s="50"/>
      <c r="G1229" s="51"/>
      <c r="H1229" s="20"/>
      <c r="I1229" s="9">
        <v>3</v>
      </c>
      <c r="J1229" s="9"/>
      <c r="K1229" s="9"/>
      <c r="L1229" s="9"/>
      <c r="M1229" s="9">
        <f t="shared" ref="M1229:M1238" si="152">I1229*O1229</f>
        <v>18.899999999999999</v>
      </c>
      <c r="N1229" s="9">
        <f t="shared" ref="N1229:N1238" si="153">I1229*P1229</f>
        <v>6</v>
      </c>
      <c r="O1229" s="9">
        <v>6.3</v>
      </c>
      <c r="P1229" s="9">
        <v>2</v>
      </c>
      <c r="Q1229" s="9" t="s">
        <v>3</v>
      </c>
      <c r="R1229" s="1">
        <v>0</v>
      </c>
      <c r="S1229" s="26"/>
    </row>
    <row r="1230" spans="1:19" ht="16.5" customHeight="1" x14ac:dyDescent="0.25">
      <c r="A1230" s="9"/>
      <c r="B1230" s="49" t="s">
        <v>126</v>
      </c>
      <c r="C1230" s="50"/>
      <c r="D1230" s="50"/>
      <c r="E1230" s="50"/>
      <c r="F1230" s="50"/>
      <c r="G1230" s="51"/>
      <c r="H1230" s="20"/>
      <c r="I1230" s="9">
        <v>3</v>
      </c>
      <c r="J1230" s="9"/>
      <c r="K1230" s="9"/>
      <c r="L1230" s="9"/>
      <c r="M1230" s="9">
        <f t="shared" si="152"/>
        <v>24.900000000000002</v>
      </c>
      <c r="N1230" s="9">
        <f t="shared" si="153"/>
        <v>10.5</v>
      </c>
      <c r="O1230" s="9">
        <v>8.3000000000000007</v>
      </c>
      <c r="P1230" s="9">
        <v>3.5</v>
      </c>
      <c r="Q1230" s="9" t="s">
        <v>9</v>
      </c>
      <c r="R1230" s="1">
        <v>0</v>
      </c>
      <c r="S1230" s="26"/>
    </row>
    <row r="1231" spans="1:19" ht="16.5" customHeight="1" x14ac:dyDescent="0.25">
      <c r="A1231" s="9"/>
      <c r="B1231" s="49" t="s">
        <v>123</v>
      </c>
      <c r="C1231" s="50"/>
      <c r="D1231" s="50"/>
      <c r="E1231" s="50"/>
      <c r="F1231" s="50"/>
      <c r="G1231" s="51"/>
      <c r="H1231" s="20"/>
      <c r="I1231" s="9">
        <v>3</v>
      </c>
      <c r="J1231" s="9"/>
      <c r="K1231" s="9"/>
      <c r="L1231" s="9"/>
      <c r="M1231" s="9">
        <f t="shared" si="152"/>
        <v>18.899999999999999</v>
      </c>
      <c r="N1231" s="9">
        <f t="shared" si="153"/>
        <v>6</v>
      </c>
      <c r="O1231" s="9">
        <v>6.3</v>
      </c>
      <c r="P1231" s="9">
        <v>2</v>
      </c>
      <c r="Q1231" s="9" t="s">
        <v>3</v>
      </c>
      <c r="R1231" s="1">
        <v>0</v>
      </c>
      <c r="S1231" s="26"/>
    </row>
    <row r="1232" spans="1:19" ht="16.5" customHeight="1" x14ac:dyDescent="0.25">
      <c r="A1232" s="9"/>
      <c r="B1232" s="49" t="s">
        <v>124</v>
      </c>
      <c r="C1232" s="50"/>
      <c r="D1232" s="50"/>
      <c r="E1232" s="50"/>
      <c r="F1232" s="50"/>
      <c r="G1232" s="51"/>
      <c r="H1232" s="20"/>
      <c r="I1232" s="9">
        <v>3</v>
      </c>
      <c r="J1232" s="9"/>
      <c r="K1232" s="9"/>
      <c r="L1232" s="9"/>
      <c r="M1232" s="9">
        <f t="shared" si="152"/>
        <v>24</v>
      </c>
      <c r="N1232" s="9">
        <f t="shared" si="153"/>
        <v>10.5</v>
      </c>
      <c r="O1232" s="9">
        <v>8</v>
      </c>
      <c r="P1232" s="9">
        <v>3.5</v>
      </c>
      <c r="Q1232" s="9" t="s">
        <v>9</v>
      </c>
      <c r="R1232" s="1">
        <v>0</v>
      </c>
      <c r="S1232" s="26"/>
    </row>
    <row r="1233" spans="1:19" ht="16.5" customHeight="1" x14ac:dyDescent="0.25">
      <c r="A1233" s="9"/>
      <c r="B1233" s="49" t="s">
        <v>125</v>
      </c>
      <c r="C1233" s="50"/>
      <c r="D1233" s="50"/>
      <c r="E1233" s="50"/>
      <c r="F1233" s="50"/>
      <c r="G1233" s="51"/>
      <c r="H1233" s="20"/>
      <c r="I1233" s="9">
        <v>3</v>
      </c>
      <c r="J1233" s="9"/>
      <c r="K1233" s="9"/>
      <c r="L1233" s="9"/>
      <c r="M1233" s="9">
        <f t="shared" si="152"/>
        <v>23.1</v>
      </c>
      <c r="N1233" s="9">
        <f t="shared" si="153"/>
        <v>9</v>
      </c>
      <c r="O1233" s="9">
        <v>7.7</v>
      </c>
      <c r="P1233" s="9">
        <v>3</v>
      </c>
      <c r="Q1233" s="9" t="s">
        <v>6</v>
      </c>
      <c r="R1233" s="1">
        <v>0</v>
      </c>
      <c r="S1233" s="26"/>
    </row>
    <row r="1234" spans="1:19" ht="16.5" customHeight="1" x14ac:dyDescent="0.25">
      <c r="A1234" s="9"/>
      <c r="B1234" s="49" t="s">
        <v>128</v>
      </c>
      <c r="C1234" s="50"/>
      <c r="D1234" s="50"/>
      <c r="E1234" s="50"/>
      <c r="F1234" s="50"/>
      <c r="G1234" s="51"/>
      <c r="H1234" s="20"/>
      <c r="I1234" s="9">
        <v>2</v>
      </c>
      <c r="J1234" s="9"/>
      <c r="K1234" s="9"/>
      <c r="L1234" s="9"/>
      <c r="M1234" s="9">
        <f t="shared" si="152"/>
        <v>17.2</v>
      </c>
      <c r="N1234" s="9">
        <f t="shared" si="153"/>
        <v>7.4</v>
      </c>
      <c r="O1234" s="9">
        <v>8.6</v>
      </c>
      <c r="P1234" s="9">
        <v>3.7</v>
      </c>
      <c r="Q1234" s="9" t="s">
        <v>10</v>
      </c>
      <c r="R1234" s="1">
        <v>0</v>
      </c>
      <c r="S1234" s="26"/>
    </row>
    <row r="1235" spans="1:19" ht="16.5" customHeight="1" x14ac:dyDescent="0.25">
      <c r="A1235" s="9"/>
      <c r="B1235" s="49" t="s">
        <v>122</v>
      </c>
      <c r="C1235" s="50"/>
      <c r="D1235" s="50"/>
      <c r="E1235" s="50"/>
      <c r="F1235" s="50"/>
      <c r="G1235" s="51"/>
      <c r="H1235" s="20"/>
      <c r="I1235" s="9">
        <v>1</v>
      </c>
      <c r="J1235" s="9"/>
      <c r="K1235" s="9"/>
      <c r="L1235" s="9"/>
      <c r="M1235" s="9">
        <f t="shared" si="152"/>
        <v>8.1</v>
      </c>
      <c r="N1235" s="9">
        <f t="shared" si="153"/>
        <v>3.5</v>
      </c>
      <c r="O1235" s="9">
        <v>8.1</v>
      </c>
      <c r="P1235" s="9">
        <v>3.5</v>
      </c>
      <c r="Q1235" s="9" t="s">
        <v>9</v>
      </c>
      <c r="R1235" s="1">
        <v>0</v>
      </c>
      <c r="S1235" s="26"/>
    </row>
    <row r="1236" spans="1:19" ht="16.5" customHeight="1" x14ac:dyDescent="0.25">
      <c r="A1236" s="9"/>
      <c r="B1236" s="49" t="s">
        <v>127</v>
      </c>
      <c r="C1236" s="50"/>
      <c r="D1236" s="50"/>
      <c r="E1236" s="50"/>
      <c r="F1236" s="50"/>
      <c r="G1236" s="51"/>
      <c r="H1236" s="20"/>
      <c r="I1236" s="9">
        <v>2</v>
      </c>
      <c r="J1236" s="9"/>
      <c r="K1236" s="9"/>
      <c r="L1236" s="9"/>
      <c r="M1236" s="9">
        <f t="shared" si="152"/>
        <v>13</v>
      </c>
      <c r="N1236" s="9">
        <f t="shared" si="153"/>
        <v>5</v>
      </c>
      <c r="O1236" s="9">
        <v>6.5</v>
      </c>
      <c r="P1236" s="9">
        <v>2.5</v>
      </c>
      <c r="Q1236" s="9" t="s">
        <v>5</v>
      </c>
      <c r="R1236" s="1">
        <v>0</v>
      </c>
      <c r="S1236" s="26"/>
    </row>
    <row r="1237" spans="1:19" ht="16.5" hidden="1" customHeight="1" x14ac:dyDescent="0.25">
      <c r="A1237" s="21"/>
      <c r="H1237" s="21"/>
      <c r="I1237" s="21"/>
      <c r="J1237" s="21"/>
      <c r="K1237" s="21"/>
      <c r="L1237" s="21"/>
      <c r="M1237" s="9">
        <f t="shared" si="152"/>
        <v>0</v>
      </c>
      <c r="N1237" s="9">
        <f t="shared" si="153"/>
        <v>0</v>
      </c>
      <c r="O1237" s="21"/>
      <c r="P1237" s="21"/>
      <c r="Q1237" s="21"/>
      <c r="S1237" s="25"/>
    </row>
    <row r="1238" spans="1:19" ht="16.5" customHeight="1" x14ac:dyDescent="0.25">
      <c r="A1238" s="9"/>
      <c r="B1238" s="38" t="s">
        <v>42</v>
      </c>
      <c r="C1238" s="39"/>
      <c r="D1238" s="39"/>
      <c r="E1238" s="39"/>
      <c r="F1238" s="39"/>
      <c r="G1238" s="40"/>
      <c r="H1238" s="23"/>
      <c r="I1238" s="24">
        <f>SUM(I1229:I1237)</f>
        <v>20</v>
      </c>
      <c r="J1238" s="9"/>
      <c r="K1238" s="9"/>
      <c r="L1238" s="9"/>
      <c r="M1238" s="9">
        <f t="shared" si="152"/>
        <v>148.19999999999999</v>
      </c>
      <c r="N1238" s="9">
        <f t="shared" si="153"/>
        <v>58</v>
      </c>
      <c r="O1238" s="24">
        <f>ROUND(SUM(M1229:M1237)/I1238,2)</f>
        <v>7.41</v>
      </c>
      <c r="P1238" s="24">
        <f>ROUND(SUM(N1229:N1237)/I1238,2)</f>
        <v>2.9</v>
      </c>
      <c r="Q1238" s="9"/>
      <c r="S1238" s="25"/>
    </row>
    <row r="1239" spans="1:19" ht="16.5" customHeight="1" x14ac:dyDescent="0.25">
      <c r="A1239" s="21"/>
      <c r="B1239" s="22"/>
      <c r="C1239" s="22"/>
      <c r="D1239" s="22"/>
      <c r="E1239" s="22"/>
      <c r="F1239" s="22"/>
      <c r="G1239" s="22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</row>
    <row r="1241" spans="1:19" ht="18" x14ac:dyDescent="0.25">
      <c r="A1241" s="57" t="s">
        <v>132</v>
      </c>
      <c r="B1241" s="57"/>
      <c r="C1241" s="57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57"/>
      <c r="P1241" s="57"/>
      <c r="Q1241" s="57"/>
      <c r="R1241" s="57"/>
      <c r="S1241" s="57"/>
    </row>
    <row r="1242" spans="1:19" ht="18" x14ac:dyDescent="0.25">
      <c r="A1242" s="57" t="s">
        <v>181</v>
      </c>
      <c r="B1242" s="57"/>
      <c r="C1242" s="57"/>
      <c r="D1242" s="57"/>
      <c r="E1242" s="57"/>
      <c r="F1242" s="57"/>
      <c r="G1242" s="57"/>
      <c r="H1242" s="57"/>
      <c r="I1242" s="57"/>
      <c r="J1242" s="57"/>
      <c r="K1242" s="57"/>
      <c r="L1242" s="57"/>
      <c r="M1242" s="57"/>
      <c r="N1242" s="57"/>
      <c r="O1242" s="57"/>
      <c r="P1242" s="57"/>
      <c r="Q1242" s="57"/>
      <c r="R1242" s="57"/>
      <c r="S1242" s="57"/>
    </row>
    <row r="1243" spans="1:19" ht="18" x14ac:dyDescent="0.25">
      <c r="A1243" s="57" t="s">
        <v>153</v>
      </c>
      <c r="B1243" s="57"/>
      <c r="C1243" s="57"/>
      <c r="D1243" s="57"/>
      <c r="E1243" s="57"/>
      <c r="F1243" s="57"/>
      <c r="G1243" s="57"/>
      <c r="H1243" s="57"/>
      <c r="I1243" s="57"/>
      <c r="J1243" s="57"/>
      <c r="K1243" s="57"/>
      <c r="L1243" s="57"/>
      <c r="M1243" s="57"/>
      <c r="N1243" s="57"/>
      <c r="O1243" s="57"/>
      <c r="P1243" s="57"/>
      <c r="Q1243" s="57"/>
      <c r="R1243" s="57"/>
      <c r="S1243" s="57"/>
    </row>
    <row r="1244" spans="1:19" ht="18" x14ac:dyDescent="0.25">
      <c r="A1244" s="58" t="s">
        <v>135</v>
      </c>
      <c r="B1244" s="58"/>
      <c r="C1244" s="58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</row>
    <row r="1245" spans="1:19" ht="19.5" customHeight="1" x14ac:dyDescent="0.25">
      <c r="A1245" s="17"/>
      <c r="B1245" s="17"/>
      <c r="C1245" s="8"/>
      <c r="D1245" s="18"/>
      <c r="E1245" s="10"/>
      <c r="F1245" s="11"/>
      <c r="G1245" s="44" t="s">
        <v>49</v>
      </c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</row>
    <row r="1246" spans="1:19" ht="31.5" customHeight="1" x14ac:dyDescent="0.3">
      <c r="A1246" s="8"/>
      <c r="B1246" s="8"/>
      <c r="C1246" s="8"/>
      <c r="D1246" s="8"/>
      <c r="E1246" s="8"/>
      <c r="F1246" s="8"/>
      <c r="G1246" s="8"/>
      <c r="H1246" s="12"/>
      <c r="I1246" s="41" t="s">
        <v>40</v>
      </c>
      <c r="J1246" s="42"/>
      <c r="K1246" s="42"/>
      <c r="L1246" s="42"/>
      <c r="M1246" s="42"/>
      <c r="N1246" s="42"/>
      <c r="O1246" s="42"/>
      <c r="P1246" s="42"/>
      <c r="Q1246" s="42"/>
      <c r="R1246" s="42"/>
      <c r="S1246" s="42"/>
    </row>
    <row r="1247" spans="1:19" ht="16.8" x14ac:dyDescent="0.3">
      <c r="A1247" s="8"/>
      <c r="B1247" s="8"/>
      <c r="C1247" s="8"/>
      <c r="D1247" s="8"/>
      <c r="E1247" s="8"/>
      <c r="F1247" s="8"/>
      <c r="G1247" s="8"/>
      <c r="H1247" s="12"/>
      <c r="I1247" s="12"/>
      <c r="J1247" s="12"/>
      <c r="K1247" s="12"/>
      <c r="L1247" s="8"/>
      <c r="M1247" s="8"/>
      <c r="N1247" s="8"/>
      <c r="O1247" s="8"/>
      <c r="P1247" s="8"/>
      <c r="Q1247" s="8"/>
    </row>
    <row r="1248" spans="1:19" ht="33" customHeight="1" x14ac:dyDescent="0.3">
      <c r="A1248" s="8"/>
      <c r="B1248" s="8"/>
      <c r="C1248" s="8"/>
      <c r="D1248" s="8"/>
      <c r="E1248" s="8"/>
      <c r="F1248" s="8"/>
      <c r="G1248" s="8"/>
      <c r="H1248" s="12"/>
      <c r="I1248" s="12"/>
      <c r="J1248" s="12"/>
      <c r="K1248" s="12"/>
      <c r="L1248" s="8"/>
      <c r="M1248" s="8"/>
      <c r="N1248" s="8"/>
      <c r="O1248" s="8"/>
      <c r="P1248" s="8"/>
      <c r="Q1248" s="8"/>
    </row>
    <row r="1249" spans="1:20" ht="11.25" customHeight="1" x14ac:dyDescent="0.3">
      <c r="A1249" s="8"/>
      <c r="B1249" s="8"/>
      <c r="C1249" s="8"/>
      <c r="D1249" s="8"/>
      <c r="E1249" s="8"/>
      <c r="F1249" s="8"/>
      <c r="G1249" s="8"/>
      <c r="H1249" s="12"/>
      <c r="I1249" s="12"/>
      <c r="J1249" s="12"/>
      <c r="K1249" s="12"/>
      <c r="L1249" s="8"/>
      <c r="M1249" s="8"/>
      <c r="N1249" s="8"/>
      <c r="O1249" s="8"/>
      <c r="P1249" s="8"/>
      <c r="Q1249" s="8"/>
    </row>
    <row r="1250" spans="1:20" ht="17.399999999999999" x14ac:dyDescent="0.3">
      <c r="A1250" s="8"/>
      <c r="B1250" s="8"/>
      <c r="C1250" s="8"/>
      <c r="D1250" s="8"/>
      <c r="E1250" s="8"/>
      <c r="F1250" s="8"/>
      <c r="G1250" s="45" t="s">
        <v>41</v>
      </c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</row>
    <row r="1251" spans="1:20" ht="54" customHeight="1" x14ac:dyDescent="0.25">
      <c r="A1251" s="46" t="s">
        <v>33</v>
      </c>
      <c r="B1251" s="46"/>
      <c r="C1251" s="46"/>
      <c r="D1251" s="46"/>
      <c r="E1251" s="46"/>
      <c r="F1251" s="41" t="s">
        <v>24</v>
      </c>
      <c r="G1251" s="41"/>
      <c r="H1251" s="41"/>
      <c r="I1251" s="41"/>
      <c r="J1251" s="41"/>
      <c r="K1251" s="41"/>
      <c r="L1251" s="41"/>
      <c r="M1251" s="41"/>
      <c r="N1251" s="41"/>
      <c r="O1251" s="41"/>
      <c r="P1251" s="41"/>
      <c r="Q1251" s="41"/>
      <c r="R1251" s="41"/>
      <c r="S1251" s="41"/>
    </row>
    <row r="1252" spans="1:20" ht="17.399999999999999" x14ac:dyDescent="0.25">
      <c r="A1252" s="47" t="s">
        <v>34</v>
      </c>
      <c r="B1252" s="47"/>
      <c r="C1252" s="47"/>
      <c r="D1252" s="47"/>
      <c r="E1252" s="47"/>
      <c r="F1252" s="47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</row>
    <row r="1253" spans="1:20" ht="4.5" customHeight="1" x14ac:dyDescent="0.25">
      <c r="A1253" s="48"/>
      <c r="B1253" s="48"/>
      <c r="C1253" s="48"/>
      <c r="D1253" s="48"/>
      <c r="E1253" s="48"/>
      <c r="F1253" s="48"/>
      <c r="G1253" s="48"/>
      <c r="H1253" s="48"/>
      <c r="I1253" s="48"/>
      <c r="J1253" s="48"/>
      <c r="K1253" s="48"/>
      <c r="L1253" s="48"/>
      <c r="M1253" s="48"/>
      <c r="N1253" s="48"/>
      <c r="O1253" s="48"/>
      <c r="P1253" s="48"/>
      <c r="Q1253" s="48"/>
    </row>
    <row r="1254" spans="1:20" ht="5.25" customHeight="1" x14ac:dyDescent="0.25">
      <c r="A1254" s="48"/>
      <c r="B1254" s="48"/>
      <c r="C1254" s="48"/>
      <c r="D1254" s="48"/>
      <c r="E1254" s="48"/>
      <c r="F1254" s="48"/>
      <c r="G1254" s="48"/>
      <c r="H1254" s="48"/>
      <c r="I1254" s="48"/>
      <c r="J1254" s="48"/>
      <c r="K1254" s="48"/>
      <c r="L1254" s="48"/>
      <c r="M1254" s="48"/>
      <c r="N1254" s="48"/>
      <c r="O1254" s="48"/>
      <c r="P1254" s="48"/>
      <c r="Q1254" s="48"/>
    </row>
    <row r="1255" spans="1:20" ht="16.5" customHeight="1" x14ac:dyDescent="0.25">
      <c r="A1255" s="52" t="s">
        <v>182</v>
      </c>
      <c r="B1255" s="52"/>
      <c r="C1255" s="52"/>
      <c r="D1255" s="52"/>
      <c r="E1255" s="52"/>
      <c r="F1255" s="52"/>
      <c r="G1255" s="56" t="s">
        <v>183</v>
      </c>
      <c r="H1255" s="56"/>
      <c r="I1255" s="56"/>
      <c r="J1255" s="56"/>
      <c r="K1255" s="56"/>
      <c r="L1255" s="56"/>
      <c r="M1255" s="56"/>
      <c r="N1255" s="56"/>
      <c r="O1255" s="56"/>
      <c r="P1255" s="56"/>
      <c r="Q1255" s="56"/>
      <c r="R1255" s="56"/>
      <c r="S1255" s="56"/>
    </row>
    <row r="1256" spans="1:20" ht="16.5" customHeight="1" x14ac:dyDescent="0.25">
      <c r="A1256" s="52" t="s">
        <v>184</v>
      </c>
      <c r="B1256" s="52"/>
      <c r="C1256" s="52"/>
      <c r="D1256" s="52"/>
      <c r="E1256" s="52"/>
      <c r="F1256" s="52"/>
      <c r="G1256" s="8" t="s">
        <v>46</v>
      </c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T1256" s="2"/>
    </row>
    <row r="1257" spans="1:20" ht="16.5" customHeight="1" x14ac:dyDescent="0.25">
      <c r="A1257" s="52" t="s">
        <v>47</v>
      </c>
      <c r="B1257" s="52"/>
      <c r="C1257" s="52"/>
      <c r="D1257" s="52"/>
      <c r="E1257" s="52"/>
      <c r="F1257" s="52"/>
      <c r="G1257" s="56" t="s">
        <v>48</v>
      </c>
      <c r="H1257" s="56"/>
      <c r="I1257" s="56"/>
      <c r="J1257" s="56"/>
      <c r="K1257" s="56"/>
      <c r="L1257" s="56"/>
      <c r="M1257" s="56"/>
      <c r="N1257" s="56"/>
      <c r="O1257" s="56"/>
      <c r="P1257" s="56"/>
      <c r="Q1257" s="56"/>
      <c r="R1257" s="56"/>
      <c r="S1257" s="56"/>
    </row>
    <row r="1258" spans="1:20" ht="5.25" customHeight="1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19"/>
      <c r="K1258" s="19"/>
      <c r="L1258" s="19"/>
      <c r="M1258" s="19"/>
      <c r="N1258" s="19"/>
      <c r="O1258" s="19"/>
      <c r="P1258" s="19"/>
      <c r="Q1258" s="19"/>
    </row>
    <row r="1259" spans="1:20" ht="15" customHeight="1" x14ac:dyDescent="0.25">
      <c r="A1259" s="35" t="s">
        <v>0</v>
      </c>
      <c r="B1259" s="29" t="s">
        <v>1</v>
      </c>
      <c r="C1259" s="30"/>
      <c r="D1259" s="30"/>
      <c r="E1259" s="30"/>
      <c r="F1259" s="30"/>
      <c r="G1259" s="31"/>
      <c r="H1259" s="35" t="s">
        <v>32</v>
      </c>
      <c r="I1259" s="35" t="s">
        <v>39</v>
      </c>
      <c r="J1259" s="53" t="s">
        <v>2</v>
      </c>
      <c r="K1259" s="54"/>
      <c r="L1259" s="54"/>
      <c r="M1259" s="54"/>
      <c r="N1259" s="54"/>
      <c r="O1259" s="54"/>
      <c r="P1259" s="54"/>
      <c r="Q1259" s="55"/>
      <c r="S1259" s="35" t="s">
        <v>38</v>
      </c>
    </row>
    <row r="1260" spans="1:20" ht="24" customHeight="1" x14ac:dyDescent="0.25">
      <c r="A1260" s="36"/>
      <c r="B1260" s="32"/>
      <c r="C1260" s="33"/>
      <c r="D1260" s="33"/>
      <c r="E1260" s="33"/>
      <c r="F1260" s="33"/>
      <c r="G1260" s="34"/>
      <c r="H1260" s="36"/>
      <c r="I1260" s="36"/>
      <c r="J1260" s="7" t="s">
        <v>28</v>
      </c>
      <c r="K1260" s="7" t="s">
        <v>29</v>
      </c>
      <c r="L1260" s="7" t="s">
        <v>30</v>
      </c>
      <c r="M1260" s="7"/>
      <c r="N1260" s="7"/>
      <c r="O1260" s="6" t="s">
        <v>35</v>
      </c>
      <c r="P1260" s="6" t="s">
        <v>36</v>
      </c>
      <c r="Q1260" s="6" t="s">
        <v>37</v>
      </c>
      <c r="S1260" s="36"/>
    </row>
    <row r="1261" spans="1:20" ht="20.25" customHeight="1" x14ac:dyDescent="0.25">
      <c r="A1261" s="27" t="s">
        <v>50</v>
      </c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</row>
    <row r="1262" spans="1:20" ht="16.5" customHeight="1" x14ac:dyDescent="0.25">
      <c r="A1262" s="9"/>
      <c r="B1262" s="49" t="s">
        <v>56</v>
      </c>
      <c r="C1262" s="50"/>
      <c r="D1262" s="50"/>
      <c r="E1262" s="50"/>
      <c r="F1262" s="50"/>
      <c r="G1262" s="51"/>
      <c r="H1262" s="20"/>
      <c r="I1262" s="9">
        <v>2</v>
      </c>
      <c r="J1262" s="9"/>
      <c r="K1262" s="9"/>
      <c r="L1262" s="9"/>
      <c r="M1262" s="9">
        <f t="shared" ref="M1262:M1270" si="154">I1262*O1262</f>
        <v>15.2</v>
      </c>
      <c r="N1262" s="9">
        <f t="shared" ref="N1262:N1270" si="155">I1262*P1262</f>
        <v>6</v>
      </c>
      <c r="O1262" s="9">
        <v>7.6</v>
      </c>
      <c r="P1262" s="9">
        <v>3</v>
      </c>
      <c r="Q1262" s="9" t="s">
        <v>6</v>
      </c>
      <c r="R1262" s="1">
        <v>0</v>
      </c>
      <c r="S1262" s="26"/>
    </row>
    <row r="1263" spans="1:20" ht="16.5" customHeight="1" x14ac:dyDescent="0.25">
      <c r="A1263" s="9"/>
      <c r="B1263" s="49" t="s">
        <v>78</v>
      </c>
      <c r="C1263" s="50"/>
      <c r="D1263" s="50"/>
      <c r="E1263" s="50"/>
      <c r="F1263" s="50"/>
      <c r="G1263" s="51"/>
      <c r="H1263" s="20"/>
      <c r="I1263" s="9">
        <v>3</v>
      </c>
      <c r="J1263" s="9"/>
      <c r="K1263" s="9"/>
      <c r="L1263" s="9"/>
      <c r="M1263" s="9">
        <f t="shared" si="154"/>
        <v>15.899999999999999</v>
      </c>
      <c r="N1263" s="9">
        <f t="shared" si="155"/>
        <v>4.5</v>
      </c>
      <c r="O1263" s="9">
        <v>5.3</v>
      </c>
      <c r="P1263" s="9">
        <v>1.5</v>
      </c>
      <c r="Q1263" s="9" t="s">
        <v>4</v>
      </c>
      <c r="R1263" s="1">
        <v>0</v>
      </c>
      <c r="S1263" s="26"/>
    </row>
    <row r="1264" spans="1:20" ht="31.2" customHeight="1" x14ac:dyDescent="0.25">
      <c r="A1264" s="9"/>
      <c r="B1264" s="49" t="s">
        <v>53</v>
      </c>
      <c r="C1264" s="50"/>
      <c r="D1264" s="50"/>
      <c r="E1264" s="50"/>
      <c r="F1264" s="50"/>
      <c r="G1264" s="51"/>
      <c r="H1264" s="20"/>
      <c r="I1264" s="9">
        <v>3</v>
      </c>
      <c r="J1264" s="9"/>
      <c r="K1264" s="9"/>
      <c r="L1264" s="9"/>
      <c r="M1264" s="9">
        <f t="shared" si="154"/>
        <v>22.799999999999997</v>
      </c>
      <c r="N1264" s="9">
        <f t="shared" si="155"/>
        <v>9</v>
      </c>
      <c r="O1264" s="9">
        <v>7.6</v>
      </c>
      <c r="P1264" s="9">
        <v>3</v>
      </c>
      <c r="Q1264" s="9" t="s">
        <v>6</v>
      </c>
      <c r="R1264" s="1">
        <v>0</v>
      </c>
      <c r="S1264" s="26"/>
    </row>
    <row r="1265" spans="1:19" ht="16.5" customHeight="1" x14ac:dyDescent="0.25">
      <c r="A1265" s="9"/>
      <c r="B1265" s="49" t="s">
        <v>52</v>
      </c>
      <c r="C1265" s="50"/>
      <c r="D1265" s="50"/>
      <c r="E1265" s="50"/>
      <c r="F1265" s="50"/>
      <c r="G1265" s="51"/>
      <c r="H1265" s="20"/>
      <c r="I1265" s="9">
        <v>1</v>
      </c>
      <c r="J1265" s="9"/>
      <c r="K1265" s="9"/>
      <c r="L1265" s="9"/>
      <c r="M1265" s="9">
        <f t="shared" si="154"/>
        <v>7</v>
      </c>
      <c r="N1265" s="9">
        <f t="shared" si="155"/>
        <v>3</v>
      </c>
      <c r="O1265" s="9">
        <v>7</v>
      </c>
      <c r="P1265" s="9">
        <v>3</v>
      </c>
      <c r="Q1265" s="9" t="s">
        <v>6</v>
      </c>
      <c r="R1265" s="1">
        <v>0</v>
      </c>
      <c r="S1265" s="26"/>
    </row>
    <row r="1266" spans="1:19" ht="16.5" customHeight="1" x14ac:dyDescent="0.25">
      <c r="A1266" s="9"/>
      <c r="B1266" s="49" t="s">
        <v>55</v>
      </c>
      <c r="C1266" s="50"/>
      <c r="D1266" s="50"/>
      <c r="E1266" s="50"/>
      <c r="F1266" s="50"/>
      <c r="G1266" s="51"/>
      <c r="H1266" s="20"/>
      <c r="I1266" s="9">
        <v>1</v>
      </c>
      <c r="J1266" s="9"/>
      <c r="K1266" s="9"/>
      <c r="L1266" s="9"/>
      <c r="M1266" s="9">
        <f t="shared" si="154"/>
        <v>7.1</v>
      </c>
      <c r="N1266" s="9">
        <f t="shared" si="155"/>
        <v>3</v>
      </c>
      <c r="O1266" s="9">
        <v>7.1</v>
      </c>
      <c r="P1266" s="9">
        <v>3</v>
      </c>
      <c r="Q1266" s="9" t="s">
        <v>6</v>
      </c>
      <c r="R1266" s="1">
        <v>0</v>
      </c>
      <c r="S1266" s="26"/>
    </row>
    <row r="1267" spans="1:19" ht="16.5" customHeight="1" x14ac:dyDescent="0.25">
      <c r="A1267" s="9"/>
      <c r="B1267" s="49" t="s">
        <v>54</v>
      </c>
      <c r="C1267" s="50"/>
      <c r="D1267" s="50"/>
      <c r="E1267" s="50"/>
      <c r="F1267" s="50"/>
      <c r="G1267" s="51"/>
      <c r="H1267" s="20"/>
      <c r="I1267" s="9">
        <v>3</v>
      </c>
      <c r="J1267" s="9"/>
      <c r="K1267" s="9"/>
      <c r="L1267" s="9"/>
      <c r="M1267" s="9">
        <f t="shared" si="154"/>
        <v>24.599999999999998</v>
      </c>
      <c r="N1267" s="9">
        <f t="shared" si="155"/>
        <v>10.5</v>
      </c>
      <c r="O1267" s="9">
        <v>8.1999999999999993</v>
      </c>
      <c r="P1267" s="9">
        <v>3.5</v>
      </c>
      <c r="Q1267" s="9" t="s">
        <v>9</v>
      </c>
      <c r="R1267" s="1">
        <v>0</v>
      </c>
      <c r="S1267" s="26"/>
    </row>
    <row r="1268" spans="1:19" ht="16.5" customHeight="1" x14ac:dyDescent="0.25">
      <c r="A1268" s="9"/>
      <c r="B1268" s="49" t="s">
        <v>51</v>
      </c>
      <c r="C1268" s="50"/>
      <c r="D1268" s="50"/>
      <c r="E1268" s="50"/>
      <c r="F1268" s="50"/>
      <c r="G1268" s="51"/>
      <c r="H1268" s="20"/>
      <c r="I1268" s="9">
        <v>1</v>
      </c>
      <c r="J1268" s="9"/>
      <c r="K1268" s="9"/>
      <c r="L1268" s="9"/>
      <c r="M1268" s="9">
        <f t="shared" si="154"/>
        <v>8.1999999999999993</v>
      </c>
      <c r="N1268" s="9">
        <f t="shared" si="155"/>
        <v>3.5</v>
      </c>
      <c r="O1268" s="9">
        <v>8.1999999999999993</v>
      </c>
      <c r="P1268" s="9">
        <v>3.5</v>
      </c>
      <c r="Q1268" s="9" t="s">
        <v>9</v>
      </c>
      <c r="R1268" s="1">
        <v>0</v>
      </c>
      <c r="S1268" s="26"/>
    </row>
    <row r="1269" spans="1:19" ht="16.5" hidden="1" customHeight="1" x14ac:dyDescent="0.25">
      <c r="A1269" s="21"/>
      <c r="H1269" s="21"/>
      <c r="I1269" s="21"/>
      <c r="J1269" s="21"/>
      <c r="K1269" s="21"/>
      <c r="L1269" s="21"/>
      <c r="M1269" s="9">
        <f t="shared" si="154"/>
        <v>0</v>
      </c>
      <c r="N1269" s="9">
        <f t="shared" si="155"/>
        <v>0</v>
      </c>
      <c r="O1269" s="21"/>
      <c r="P1269" s="21"/>
      <c r="Q1269" s="21"/>
      <c r="S1269" s="25"/>
    </row>
    <row r="1270" spans="1:19" ht="16.5" customHeight="1" x14ac:dyDescent="0.25">
      <c r="A1270" s="9"/>
      <c r="B1270" s="38" t="s">
        <v>42</v>
      </c>
      <c r="C1270" s="39"/>
      <c r="D1270" s="39"/>
      <c r="E1270" s="39"/>
      <c r="F1270" s="39"/>
      <c r="G1270" s="40"/>
      <c r="H1270" s="23"/>
      <c r="I1270" s="24">
        <f>SUM(I1262:I1269)</f>
        <v>14</v>
      </c>
      <c r="J1270" s="9"/>
      <c r="K1270" s="9"/>
      <c r="L1270" s="9"/>
      <c r="M1270" s="9">
        <f t="shared" si="154"/>
        <v>100.8</v>
      </c>
      <c r="N1270" s="9">
        <f t="shared" si="155"/>
        <v>39.479999999999997</v>
      </c>
      <c r="O1270" s="24">
        <f>ROUND(SUM(M1262:M1269)/I1270,2)</f>
        <v>7.2</v>
      </c>
      <c r="P1270" s="24">
        <f>ROUND(SUM(N1262:N1269)/I1270,2)</f>
        <v>2.82</v>
      </c>
      <c r="Q1270" s="9"/>
      <c r="S1270" s="25"/>
    </row>
    <row r="1271" spans="1:19" ht="20.25" customHeight="1" x14ac:dyDescent="0.25">
      <c r="A1271" s="27" t="s">
        <v>57</v>
      </c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</row>
    <row r="1272" spans="1:19" ht="16.5" customHeight="1" x14ac:dyDescent="0.25">
      <c r="A1272" s="9"/>
      <c r="B1272" s="49" t="s">
        <v>136</v>
      </c>
      <c r="C1272" s="50"/>
      <c r="D1272" s="50"/>
      <c r="E1272" s="50"/>
      <c r="F1272" s="50"/>
      <c r="G1272" s="51"/>
      <c r="H1272" s="20"/>
      <c r="I1272" s="9">
        <v>4</v>
      </c>
      <c r="J1272" s="9"/>
      <c r="K1272" s="9"/>
      <c r="L1272" s="9"/>
      <c r="M1272" s="9">
        <f t="shared" ref="M1272:M1280" si="156">I1272*O1272</f>
        <v>28</v>
      </c>
      <c r="N1272" s="9">
        <f t="shared" ref="N1272:N1280" si="157">I1272*P1272</f>
        <v>12</v>
      </c>
      <c r="O1272" s="9">
        <v>7</v>
      </c>
      <c r="P1272" s="9">
        <v>3</v>
      </c>
      <c r="Q1272" s="9" t="s">
        <v>6</v>
      </c>
      <c r="R1272" s="1">
        <v>0</v>
      </c>
      <c r="S1272" s="26"/>
    </row>
    <row r="1273" spans="1:19" ht="16.5" customHeight="1" x14ac:dyDescent="0.25">
      <c r="A1273" s="9"/>
      <c r="B1273" s="49" t="s">
        <v>91</v>
      </c>
      <c r="C1273" s="50"/>
      <c r="D1273" s="50"/>
      <c r="E1273" s="50"/>
      <c r="F1273" s="50"/>
      <c r="G1273" s="51"/>
      <c r="H1273" s="20"/>
      <c r="I1273" s="9">
        <v>4</v>
      </c>
      <c r="J1273" s="9"/>
      <c r="K1273" s="9"/>
      <c r="L1273" s="9"/>
      <c r="M1273" s="9">
        <f t="shared" si="156"/>
        <v>23.2</v>
      </c>
      <c r="N1273" s="9">
        <f t="shared" si="157"/>
        <v>8</v>
      </c>
      <c r="O1273" s="9">
        <v>5.8</v>
      </c>
      <c r="P1273" s="9">
        <v>2</v>
      </c>
      <c r="Q1273" s="9" t="s">
        <v>3</v>
      </c>
      <c r="R1273" s="1">
        <v>0</v>
      </c>
      <c r="S1273" s="26"/>
    </row>
    <row r="1274" spans="1:19" ht="16.5" customHeight="1" x14ac:dyDescent="0.25">
      <c r="A1274" s="9"/>
      <c r="B1274" s="49" t="s">
        <v>60</v>
      </c>
      <c r="C1274" s="50"/>
      <c r="D1274" s="50"/>
      <c r="E1274" s="50"/>
      <c r="F1274" s="50"/>
      <c r="G1274" s="51"/>
      <c r="H1274" s="20"/>
      <c r="I1274" s="9">
        <v>4</v>
      </c>
      <c r="J1274" s="9"/>
      <c r="K1274" s="9"/>
      <c r="L1274" s="9"/>
      <c r="M1274" s="9">
        <f t="shared" si="156"/>
        <v>32</v>
      </c>
      <c r="N1274" s="9">
        <f t="shared" si="157"/>
        <v>14</v>
      </c>
      <c r="O1274" s="9">
        <v>8</v>
      </c>
      <c r="P1274" s="9">
        <v>3.5</v>
      </c>
      <c r="Q1274" s="9" t="s">
        <v>9</v>
      </c>
      <c r="R1274" s="1">
        <v>0</v>
      </c>
      <c r="S1274" s="26"/>
    </row>
    <row r="1275" spans="1:19" ht="16.5" customHeight="1" x14ac:dyDescent="0.25">
      <c r="A1275" s="9"/>
      <c r="B1275" s="49" t="s">
        <v>59</v>
      </c>
      <c r="C1275" s="50"/>
      <c r="D1275" s="50"/>
      <c r="E1275" s="50"/>
      <c r="F1275" s="50"/>
      <c r="G1275" s="51"/>
      <c r="H1275" s="20"/>
      <c r="I1275" s="9">
        <v>1</v>
      </c>
      <c r="J1275" s="9"/>
      <c r="K1275" s="9"/>
      <c r="L1275" s="9"/>
      <c r="M1275" s="9">
        <f t="shared" si="156"/>
        <v>7.6</v>
      </c>
      <c r="N1275" s="9">
        <f t="shared" si="157"/>
        <v>3</v>
      </c>
      <c r="O1275" s="9">
        <v>7.6</v>
      </c>
      <c r="P1275" s="9">
        <v>3</v>
      </c>
      <c r="Q1275" s="9" t="s">
        <v>6</v>
      </c>
      <c r="R1275" s="1">
        <v>0</v>
      </c>
      <c r="S1275" s="26"/>
    </row>
    <row r="1276" spans="1:19" ht="16.5" customHeight="1" x14ac:dyDescent="0.25">
      <c r="A1276" s="9"/>
      <c r="B1276" s="49" t="s">
        <v>58</v>
      </c>
      <c r="C1276" s="50"/>
      <c r="D1276" s="50"/>
      <c r="E1276" s="50"/>
      <c r="F1276" s="50"/>
      <c r="G1276" s="51"/>
      <c r="H1276" s="20"/>
      <c r="I1276" s="9">
        <v>1</v>
      </c>
      <c r="J1276" s="9"/>
      <c r="K1276" s="9"/>
      <c r="L1276" s="9"/>
      <c r="M1276" s="9">
        <f t="shared" si="156"/>
        <v>7.9</v>
      </c>
      <c r="N1276" s="9">
        <f t="shared" si="157"/>
        <v>3</v>
      </c>
      <c r="O1276" s="9">
        <v>7.9</v>
      </c>
      <c r="P1276" s="9">
        <v>3</v>
      </c>
      <c r="Q1276" s="9" t="s">
        <v>6</v>
      </c>
      <c r="R1276" s="1">
        <v>0</v>
      </c>
      <c r="S1276" s="26"/>
    </row>
    <row r="1277" spans="1:19" ht="16.5" customHeight="1" x14ac:dyDescent="0.25">
      <c r="A1277" s="9"/>
      <c r="B1277" s="49" t="s">
        <v>61</v>
      </c>
      <c r="C1277" s="50"/>
      <c r="D1277" s="50"/>
      <c r="E1277" s="50"/>
      <c r="F1277" s="50"/>
      <c r="G1277" s="51"/>
      <c r="H1277" s="20"/>
      <c r="I1277" s="9">
        <v>1</v>
      </c>
      <c r="J1277" s="9"/>
      <c r="K1277" s="9"/>
      <c r="L1277" s="9"/>
      <c r="M1277" s="9">
        <f t="shared" si="156"/>
        <v>7.8</v>
      </c>
      <c r="N1277" s="9">
        <f t="shared" si="157"/>
        <v>3</v>
      </c>
      <c r="O1277" s="9">
        <v>7.8</v>
      </c>
      <c r="P1277" s="9">
        <v>3</v>
      </c>
      <c r="Q1277" s="9" t="s">
        <v>6</v>
      </c>
      <c r="R1277" s="1">
        <v>0</v>
      </c>
      <c r="S1277" s="26"/>
    </row>
    <row r="1278" spans="1:19" ht="16.5" customHeight="1" x14ac:dyDescent="0.25">
      <c r="A1278" s="9"/>
      <c r="B1278" s="49" t="s">
        <v>62</v>
      </c>
      <c r="C1278" s="50"/>
      <c r="D1278" s="50"/>
      <c r="E1278" s="50"/>
      <c r="F1278" s="50"/>
      <c r="G1278" s="51"/>
      <c r="H1278" s="20"/>
      <c r="I1278" s="9">
        <v>1</v>
      </c>
      <c r="J1278" s="9"/>
      <c r="K1278" s="9"/>
      <c r="L1278" s="9"/>
      <c r="M1278" s="9">
        <f t="shared" si="156"/>
        <v>8.1</v>
      </c>
      <c r="N1278" s="9">
        <f t="shared" si="157"/>
        <v>3.5</v>
      </c>
      <c r="O1278" s="9">
        <v>8.1</v>
      </c>
      <c r="P1278" s="9">
        <v>3.5</v>
      </c>
      <c r="Q1278" s="9" t="s">
        <v>9</v>
      </c>
      <c r="R1278" s="1">
        <v>0</v>
      </c>
      <c r="S1278" s="26"/>
    </row>
    <row r="1279" spans="1:19" ht="16.5" hidden="1" customHeight="1" x14ac:dyDescent="0.25">
      <c r="A1279" s="21"/>
      <c r="H1279" s="21"/>
      <c r="I1279" s="21"/>
      <c r="J1279" s="21"/>
      <c r="K1279" s="21"/>
      <c r="L1279" s="21"/>
      <c r="M1279" s="9">
        <f t="shared" si="156"/>
        <v>0</v>
      </c>
      <c r="N1279" s="9">
        <f t="shared" si="157"/>
        <v>0</v>
      </c>
      <c r="O1279" s="21"/>
      <c r="P1279" s="21"/>
      <c r="Q1279" s="21"/>
      <c r="S1279" s="25"/>
    </row>
    <row r="1280" spans="1:19" ht="16.5" customHeight="1" x14ac:dyDescent="0.25">
      <c r="A1280" s="9"/>
      <c r="B1280" s="38" t="s">
        <v>42</v>
      </c>
      <c r="C1280" s="39"/>
      <c r="D1280" s="39"/>
      <c r="E1280" s="39"/>
      <c r="F1280" s="39"/>
      <c r="G1280" s="40"/>
      <c r="H1280" s="23"/>
      <c r="I1280" s="24">
        <f>SUM(I1272:I1279)</f>
        <v>16</v>
      </c>
      <c r="J1280" s="9"/>
      <c r="K1280" s="9"/>
      <c r="L1280" s="9"/>
      <c r="M1280" s="9">
        <f t="shared" si="156"/>
        <v>114.56</v>
      </c>
      <c r="N1280" s="9">
        <f t="shared" si="157"/>
        <v>46.56</v>
      </c>
      <c r="O1280" s="24">
        <f>ROUND(SUM(M1272:M1279)/I1280,2)</f>
        <v>7.16</v>
      </c>
      <c r="P1280" s="24">
        <f>ROUND(SUM(N1272:N1279)/I1280,2)</f>
        <v>2.91</v>
      </c>
      <c r="Q1280" s="9"/>
      <c r="S1280" s="25"/>
    </row>
    <row r="1281" spans="1:19" ht="20.25" customHeight="1" x14ac:dyDescent="0.25">
      <c r="A1281" s="27" t="s">
        <v>67</v>
      </c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</row>
    <row r="1282" spans="1:19" ht="16.5" customHeight="1" x14ac:dyDescent="0.25">
      <c r="A1282" s="9"/>
      <c r="B1282" s="49" t="s">
        <v>73</v>
      </c>
      <c r="C1282" s="50"/>
      <c r="D1282" s="50"/>
      <c r="E1282" s="50"/>
      <c r="F1282" s="50"/>
      <c r="G1282" s="51"/>
      <c r="H1282" s="20"/>
      <c r="I1282" s="9">
        <v>4</v>
      </c>
      <c r="J1282" s="9"/>
      <c r="K1282" s="9"/>
      <c r="L1282" s="9"/>
      <c r="M1282" s="9">
        <f t="shared" ref="M1282:M1292" si="158">I1282*O1282</f>
        <v>22.4</v>
      </c>
      <c r="N1282" s="9">
        <f t="shared" ref="N1282:N1292" si="159">I1282*P1282</f>
        <v>8</v>
      </c>
      <c r="O1282" s="9">
        <v>5.6</v>
      </c>
      <c r="P1282" s="9">
        <v>2</v>
      </c>
      <c r="Q1282" s="9" t="s">
        <v>3</v>
      </c>
      <c r="R1282" s="1">
        <v>0</v>
      </c>
      <c r="S1282" s="26"/>
    </row>
    <row r="1283" spans="1:19" ht="16.5" customHeight="1" x14ac:dyDescent="0.25">
      <c r="A1283" s="9"/>
      <c r="B1283" s="49" t="s">
        <v>68</v>
      </c>
      <c r="C1283" s="50"/>
      <c r="D1283" s="50"/>
      <c r="E1283" s="50"/>
      <c r="F1283" s="50"/>
      <c r="G1283" s="51"/>
      <c r="H1283" s="20"/>
      <c r="I1283" s="9">
        <v>3</v>
      </c>
      <c r="J1283" s="9"/>
      <c r="K1283" s="9"/>
      <c r="L1283" s="9"/>
      <c r="M1283" s="9">
        <f t="shared" si="158"/>
        <v>23.1</v>
      </c>
      <c r="N1283" s="9">
        <f t="shared" si="159"/>
        <v>9</v>
      </c>
      <c r="O1283" s="9">
        <v>7.7</v>
      </c>
      <c r="P1283" s="9">
        <v>3</v>
      </c>
      <c r="Q1283" s="9" t="s">
        <v>6</v>
      </c>
      <c r="R1283" s="1">
        <v>0</v>
      </c>
      <c r="S1283" s="26"/>
    </row>
    <row r="1284" spans="1:19" ht="16.5" customHeight="1" x14ac:dyDescent="0.25">
      <c r="A1284" s="9"/>
      <c r="B1284" s="49" t="s">
        <v>71</v>
      </c>
      <c r="C1284" s="50"/>
      <c r="D1284" s="50"/>
      <c r="E1284" s="50"/>
      <c r="F1284" s="50"/>
      <c r="G1284" s="51"/>
      <c r="H1284" s="20"/>
      <c r="I1284" s="9">
        <v>1</v>
      </c>
      <c r="J1284" s="9"/>
      <c r="K1284" s="9"/>
      <c r="L1284" s="9"/>
      <c r="M1284" s="9">
        <f t="shared" si="158"/>
        <v>7.8</v>
      </c>
      <c r="N1284" s="9">
        <f t="shared" si="159"/>
        <v>3</v>
      </c>
      <c r="O1284" s="9">
        <v>7.8</v>
      </c>
      <c r="P1284" s="9">
        <v>3</v>
      </c>
      <c r="Q1284" s="9" t="s">
        <v>6</v>
      </c>
      <c r="R1284" s="1">
        <v>0</v>
      </c>
      <c r="S1284" s="26"/>
    </row>
    <row r="1285" spans="1:19" ht="16.5" customHeight="1" x14ac:dyDescent="0.25">
      <c r="A1285" s="9"/>
      <c r="B1285" s="49" t="s">
        <v>70</v>
      </c>
      <c r="C1285" s="50"/>
      <c r="D1285" s="50"/>
      <c r="E1285" s="50"/>
      <c r="F1285" s="50"/>
      <c r="G1285" s="51"/>
      <c r="H1285" s="20"/>
      <c r="I1285" s="9">
        <v>2</v>
      </c>
      <c r="J1285" s="9"/>
      <c r="K1285" s="9"/>
      <c r="L1285" s="9"/>
      <c r="M1285" s="9">
        <f t="shared" si="158"/>
        <v>14.2</v>
      </c>
      <c r="N1285" s="9">
        <f t="shared" si="159"/>
        <v>6</v>
      </c>
      <c r="O1285" s="9">
        <v>7.1</v>
      </c>
      <c r="P1285" s="9">
        <v>3</v>
      </c>
      <c r="Q1285" s="9" t="s">
        <v>6</v>
      </c>
      <c r="R1285" s="1">
        <v>0</v>
      </c>
      <c r="S1285" s="26"/>
    </row>
    <row r="1286" spans="1:19" ht="16.5" customHeight="1" x14ac:dyDescent="0.25">
      <c r="A1286" s="9"/>
      <c r="B1286" s="49" t="s">
        <v>77</v>
      </c>
      <c r="C1286" s="50"/>
      <c r="D1286" s="50"/>
      <c r="E1286" s="50"/>
      <c r="F1286" s="50"/>
      <c r="G1286" s="51"/>
      <c r="H1286" s="20"/>
      <c r="I1286" s="9">
        <v>1</v>
      </c>
      <c r="J1286" s="9"/>
      <c r="K1286" s="9"/>
      <c r="L1286" s="9"/>
      <c r="M1286" s="9">
        <f t="shared" si="158"/>
        <v>9.1</v>
      </c>
      <c r="N1286" s="9">
        <f t="shared" si="159"/>
        <v>4</v>
      </c>
      <c r="O1286" s="9">
        <v>9.1</v>
      </c>
      <c r="P1286" s="9">
        <v>4</v>
      </c>
      <c r="Q1286" s="9" t="s">
        <v>12</v>
      </c>
      <c r="R1286" s="1">
        <v>0</v>
      </c>
      <c r="S1286" s="26"/>
    </row>
    <row r="1287" spans="1:19" ht="16.5" customHeight="1" x14ac:dyDescent="0.25">
      <c r="A1287" s="9"/>
      <c r="B1287" s="49" t="s">
        <v>72</v>
      </c>
      <c r="C1287" s="50"/>
      <c r="D1287" s="50"/>
      <c r="E1287" s="50"/>
      <c r="F1287" s="50"/>
      <c r="G1287" s="51"/>
      <c r="H1287" s="20"/>
      <c r="I1287" s="9">
        <v>4</v>
      </c>
      <c r="J1287" s="9"/>
      <c r="K1287" s="9"/>
      <c r="L1287" s="9"/>
      <c r="M1287" s="9">
        <f t="shared" si="158"/>
        <v>26.4</v>
      </c>
      <c r="N1287" s="9">
        <f t="shared" si="159"/>
        <v>10</v>
      </c>
      <c r="O1287" s="9">
        <v>6.6</v>
      </c>
      <c r="P1287" s="9">
        <v>2.5</v>
      </c>
      <c r="Q1287" s="9" t="s">
        <v>5</v>
      </c>
      <c r="R1287" s="1">
        <v>0</v>
      </c>
      <c r="S1287" s="26"/>
    </row>
    <row r="1288" spans="1:19" ht="16.5" customHeight="1" x14ac:dyDescent="0.25">
      <c r="A1288" s="9"/>
      <c r="B1288" s="49" t="s">
        <v>74</v>
      </c>
      <c r="C1288" s="50"/>
      <c r="D1288" s="50"/>
      <c r="E1288" s="50"/>
      <c r="F1288" s="50"/>
      <c r="G1288" s="51"/>
      <c r="H1288" s="20"/>
      <c r="I1288" s="9">
        <v>3</v>
      </c>
      <c r="J1288" s="9"/>
      <c r="K1288" s="9"/>
      <c r="L1288" s="9"/>
      <c r="M1288" s="9">
        <f t="shared" si="158"/>
        <v>20.399999999999999</v>
      </c>
      <c r="N1288" s="9">
        <f t="shared" si="159"/>
        <v>7.5</v>
      </c>
      <c r="O1288" s="9">
        <v>6.8</v>
      </c>
      <c r="P1288" s="9">
        <v>2.5</v>
      </c>
      <c r="Q1288" s="9" t="s">
        <v>5</v>
      </c>
      <c r="R1288" s="1">
        <v>0</v>
      </c>
      <c r="S1288" s="26"/>
    </row>
    <row r="1289" spans="1:19" ht="16.5" customHeight="1" x14ac:dyDescent="0.25">
      <c r="A1289" s="9"/>
      <c r="B1289" s="49" t="s">
        <v>76</v>
      </c>
      <c r="C1289" s="50"/>
      <c r="D1289" s="50"/>
      <c r="E1289" s="50"/>
      <c r="F1289" s="50"/>
      <c r="G1289" s="51"/>
      <c r="H1289" s="20"/>
      <c r="I1289" s="9">
        <v>4</v>
      </c>
      <c r="J1289" s="9"/>
      <c r="K1289" s="9"/>
      <c r="L1289" s="9"/>
      <c r="M1289" s="9">
        <f t="shared" si="158"/>
        <v>30.4</v>
      </c>
      <c r="N1289" s="9">
        <f t="shared" si="159"/>
        <v>12</v>
      </c>
      <c r="O1289" s="9">
        <v>7.6</v>
      </c>
      <c r="P1289" s="9">
        <v>3</v>
      </c>
      <c r="Q1289" s="9" t="s">
        <v>6</v>
      </c>
      <c r="R1289" s="1">
        <v>0</v>
      </c>
      <c r="S1289" s="26"/>
    </row>
    <row r="1290" spans="1:19" ht="16.5" customHeight="1" x14ac:dyDescent="0.25">
      <c r="A1290" s="9"/>
      <c r="B1290" s="49" t="s">
        <v>80</v>
      </c>
      <c r="C1290" s="50"/>
      <c r="D1290" s="50"/>
      <c r="E1290" s="50"/>
      <c r="F1290" s="50"/>
      <c r="G1290" s="51"/>
      <c r="H1290" s="20"/>
      <c r="I1290" s="9">
        <v>4</v>
      </c>
      <c r="J1290" s="9"/>
      <c r="K1290" s="9"/>
      <c r="L1290" s="9"/>
      <c r="M1290" s="9">
        <f t="shared" si="158"/>
        <v>24.4</v>
      </c>
      <c r="N1290" s="9">
        <f t="shared" si="159"/>
        <v>8</v>
      </c>
      <c r="O1290" s="9">
        <v>6.1</v>
      </c>
      <c r="P1290" s="9">
        <v>2</v>
      </c>
      <c r="Q1290" s="9" t="s">
        <v>3</v>
      </c>
      <c r="R1290" s="1">
        <v>0</v>
      </c>
      <c r="S1290" s="26"/>
    </row>
    <row r="1291" spans="1:19" ht="16.5" hidden="1" customHeight="1" x14ac:dyDescent="0.25">
      <c r="A1291" s="21"/>
      <c r="H1291" s="21"/>
      <c r="I1291" s="21"/>
      <c r="J1291" s="21"/>
      <c r="K1291" s="21"/>
      <c r="L1291" s="21"/>
      <c r="M1291" s="9">
        <f t="shared" si="158"/>
        <v>0</v>
      </c>
      <c r="N1291" s="9">
        <f t="shared" si="159"/>
        <v>0</v>
      </c>
      <c r="O1291" s="21"/>
      <c r="P1291" s="21"/>
      <c r="Q1291" s="21"/>
      <c r="S1291" s="25"/>
    </row>
    <row r="1292" spans="1:19" ht="16.5" customHeight="1" x14ac:dyDescent="0.25">
      <c r="A1292" s="9"/>
      <c r="B1292" s="38" t="s">
        <v>42</v>
      </c>
      <c r="C1292" s="39"/>
      <c r="D1292" s="39"/>
      <c r="E1292" s="39"/>
      <c r="F1292" s="39"/>
      <c r="G1292" s="40"/>
      <c r="H1292" s="23"/>
      <c r="I1292" s="24">
        <f>SUM(I1282:I1291)</f>
        <v>26</v>
      </c>
      <c r="J1292" s="9"/>
      <c r="K1292" s="9"/>
      <c r="L1292" s="9"/>
      <c r="M1292" s="9">
        <f t="shared" si="158"/>
        <v>178.1</v>
      </c>
      <c r="N1292" s="9">
        <f t="shared" si="159"/>
        <v>67.600000000000009</v>
      </c>
      <c r="O1292" s="24">
        <f>ROUND(SUM(M1282:M1291)/I1292,2)</f>
        <v>6.85</v>
      </c>
      <c r="P1292" s="24">
        <f>ROUND(SUM(N1282:N1291)/I1292,2)</f>
        <v>2.6</v>
      </c>
      <c r="Q1292" s="9"/>
      <c r="S1292" s="25"/>
    </row>
    <row r="1293" spans="1:19" ht="20.25" customHeight="1" x14ac:dyDescent="0.25">
      <c r="A1293" s="27" t="s">
        <v>82</v>
      </c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</row>
    <row r="1294" spans="1:19" ht="16.5" customHeight="1" x14ac:dyDescent="0.25">
      <c r="A1294" s="9"/>
      <c r="B1294" s="49" t="s">
        <v>86</v>
      </c>
      <c r="C1294" s="50"/>
      <c r="D1294" s="50"/>
      <c r="E1294" s="50"/>
      <c r="F1294" s="50"/>
      <c r="G1294" s="51"/>
      <c r="H1294" s="20"/>
      <c r="I1294" s="9">
        <v>3</v>
      </c>
      <c r="J1294" s="9"/>
      <c r="K1294" s="9"/>
      <c r="L1294" s="9"/>
      <c r="M1294" s="9">
        <f>I1294*O1294</f>
        <v>22.5</v>
      </c>
      <c r="N1294" s="9">
        <f>I1294*P1294</f>
        <v>9</v>
      </c>
      <c r="O1294" s="9">
        <v>7.5</v>
      </c>
      <c r="P1294" s="9">
        <v>3</v>
      </c>
      <c r="Q1294" s="9" t="s">
        <v>6</v>
      </c>
      <c r="R1294" s="1">
        <v>0</v>
      </c>
      <c r="S1294" s="26"/>
    </row>
    <row r="1295" spans="1:19" ht="16.5" customHeight="1" x14ac:dyDescent="0.25">
      <c r="A1295" s="9"/>
      <c r="B1295" s="49" t="s">
        <v>83</v>
      </c>
      <c r="C1295" s="50"/>
      <c r="D1295" s="50"/>
      <c r="E1295" s="50"/>
      <c r="F1295" s="50"/>
      <c r="G1295" s="51"/>
      <c r="H1295" s="20"/>
      <c r="I1295" s="9">
        <v>1</v>
      </c>
      <c r="J1295" s="9"/>
      <c r="K1295" s="9"/>
      <c r="L1295" s="9"/>
      <c r="M1295" s="9">
        <f>I1295*O1295</f>
        <v>8.8000000000000007</v>
      </c>
      <c r="N1295" s="9">
        <f>I1295*P1295</f>
        <v>3.7</v>
      </c>
      <c r="O1295" s="9">
        <v>8.8000000000000007</v>
      </c>
      <c r="P1295" s="9">
        <v>3.7</v>
      </c>
      <c r="Q1295" s="9" t="s">
        <v>10</v>
      </c>
      <c r="R1295" s="1">
        <v>0</v>
      </c>
      <c r="S1295" s="26"/>
    </row>
    <row r="1296" spans="1:19" ht="16.5" customHeight="1" x14ac:dyDescent="0.25">
      <c r="A1296" s="9"/>
      <c r="B1296" s="49" t="s">
        <v>75</v>
      </c>
      <c r="C1296" s="50"/>
      <c r="D1296" s="50"/>
      <c r="E1296" s="50"/>
      <c r="F1296" s="50"/>
      <c r="G1296" s="51"/>
      <c r="H1296" s="20"/>
      <c r="I1296" s="9">
        <v>3</v>
      </c>
      <c r="J1296" s="9"/>
      <c r="K1296" s="9"/>
      <c r="L1296" s="9"/>
      <c r="M1296" s="9">
        <f>I1296*O1296</f>
        <v>22.5</v>
      </c>
      <c r="N1296" s="9">
        <f>I1296*P1296</f>
        <v>9</v>
      </c>
      <c r="O1296" s="9">
        <v>7.5</v>
      </c>
      <c r="P1296" s="9">
        <v>3</v>
      </c>
      <c r="Q1296" s="9" t="s">
        <v>6</v>
      </c>
      <c r="R1296" s="1">
        <v>0</v>
      </c>
      <c r="S1296" s="26"/>
    </row>
    <row r="1297" spans="1:19" ht="16.5" customHeight="1" x14ac:dyDescent="0.25">
      <c r="A1297" s="9"/>
      <c r="B1297" s="49" t="s">
        <v>93</v>
      </c>
      <c r="C1297" s="50"/>
      <c r="D1297" s="50"/>
      <c r="E1297" s="50"/>
      <c r="F1297" s="50"/>
      <c r="G1297" s="51"/>
      <c r="H1297" s="20"/>
      <c r="I1297" s="9">
        <v>2</v>
      </c>
      <c r="J1297" s="9"/>
      <c r="K1297" s="9"/>
      <c r="L1297" s="9"/>
      <c r="M1297" s="9">
        <f>I1297*O1297</f>
        <v>16.600000000000001</v>
      </c>
      <c r="N1297" s="9">
        <f>I1297*P1297</f>
        <v>7</v>
      </c>
      <c r="O1297" s="9">
        <v>8.3000000000000007</v>
      </c>
      <c r="P1297" s="9">
        <v>3.5</v>
      </c>
      <c r="Q1297" s="9" t="s">
        <v>9</v>
      </c>
      <c r="R1297" s="1">
        <v>0</v>
      </c>
      <c r="S1297" s="26"/>
    </row>
    <row r="1298" spans="1:19" ht="16.5" customHeight="1" x14ac:dyDescent="0.25">
      <c r="A1298" s="9"/>
      <c r="B1298" s="49" t="s">
        <v>90</v>
      </c>
      <c r="C1298" s="50"/>
      <c r="D1298" s="50"/>
      <c r="E1298" s="50"/>
      <c r="F1298" s="50"/>
      <c r="G1298" s="51"/>
      <c r="H1298" s="20"/>
      <c r="I1298" s="9">
        <v>2</v>
      </c>
      <c r="J1298" s="9"/>
      <c r="K1298" s="9"/>
      <c r="L1298" s="9"/>
      <c r="M1298" s="9">
        <f>I1298*O1298</f>
        <v>15</v>
      </c>
      <c r="N1298" s="9">
        <f>I1298*P1298</f>
        <v>6</v>
      </c>
      <c r="O1298" s="9">
        <v>7.5</v>
      </c>
      <c r="P1298" s="9">
        <v>3</v>
      </c>
      <c r="Q1298" s="9" t="s">
        <v>6</v>
      </c>
      <c r="R1298" s="1">
        <v>0</v>
      </c>
      <c r="S1298" s="26"/>
    </row>
    <row r="1299" spans="1:19" ht="15" customHeight="1" x14ac:dyDescent="0.25">
      <c r="A1299" s="35" t="s">
        <v>0</v>
      </c>
      <c r="B1299" s="29" t="s">
        <v>1</v>
      </c>
      <c r="C1299" s="30"/>
      <c r="D1299" s="30"/>
      <c r="E1299" s="30"/>
      <c r="F1299" s="30"/>
      <c r="G1299" s="31"/>
      <c r="H1299" s="35" t="s">
        <v>32</v>
      </c>
      <c r="I1299" s="35" t="s">
        <v>39</v>
      </c>
      <c r="J1299" s="53" t="s">
        <v>2</v>
      </c>
      <c r="K1299" s="54"/>
      <c r="L1299" s="54"/>
      <c r="M1299" s="54"/>
      <c r="N1299" s="54"/>
      <c r="O1299" s="54"/>
      <c r="P1299" s="54"/>
      <c r="Q1299" s="55"/>
      <c r="S1299" s="35" t="s">
        <v>38</v>
      </c>
    </row>
    <row r="1300" spans="1:19" ht="24" customHeight="1" x14ac:dyDescent="0.25">
      <c r="A1300" s="36"/>
      <c r="B1300" s="32"/>
      <c r="C1300" s="33"/>
      <c r="D1300" s="33"/>
      <c r="E1300" s="33"/>
      <c r="F1300" s="33"/>
      <c r="G1300" s="34"/>
      <c r="H1300" s="36"/>
      <c r="I1300" s="36"/>
      <c r="J1300" s="7" t="s">
        <v>28</v>
      </c>
      <c r="K1300" s="7" t="s">
        <v>29</v>
      </c>
      <c r="L1300" s="7" t="s">
        <v>30</v>
      </c>
      <c r="M1300" s="7"/>
      <c r="N1300" s="7"/>
      <c r="O1300" s="6" t="s">
        <v>35</v>
      </c>
      <c r="P1300" s="6" t="s">
        <v>36</v>
      </c>
      <c r="Q1300" s="6" t="s">
        <v>37</v>
      </c>
      <c r="S1300" s="36"/>
    </row>
    <row r="1301" spans="1:19" ht="16.5" customHeight="1" x14ac:dyDescent="0.25">
      <c r="A1301" s="9"/>
      <c r="B1301" s="49" t="s">
        <v>95</v>
      </c>
      <c r="C1301" s="50"/>
      <c r="D1301" s="50"/>
      <c r="E1301" s="50"/>
      <c r="F1301" s="50"/>
      <c r="G1301" s="51"/>
      <c r="H1301" s="20"/>
      <c r="I1301" s="9">
        <v>1</v>
      </c>
      <c r="J1301" s="9"/>
      <c r="K1301" s="9"/>
      <c r="L1301" s="9"/>
      <c r="M1301" s="9">
        <f t="shared" ref="M1301:M1307" si="160">I1301*O1301</f>
        <v>8</v>
      </c>
      <c r="N1301" s="9">
        <f t="shared" ref="N1301:N1307" si="161">I1301*P1301</f>
        <v>3.5</v>
      </c>
      <c r="O1301" s="9">
        <v>8</v>
      </c>
      <c r="P1301" s="9">
        <v>3.5</v>
      </c>
      <c r="Q1301" s="9" t="s">
        <v>9</v>
      </c>
      <c r="R1301" s="1">
        <v>0</v>
      </c>
      <c r="S1301" s="26"/>
    </row>
    <row r="1302" spans="1:19" ht="16.5" customHeight="1" x14ac:dyDescent="0.25">
      <c r="A1302" s="9"/>
      <c r="B1302" s="49" t="s">
        <v>88</v>
      </c>
      <c r="C1302" s="50"/>
      <c r="D1302" s="50"/>
      <c r="E1302" s="50"/>
      <c r="F1302" s="50"/>
      <c r="G1302" s="51"/>
      <c r="H1302" s="20"/>
      <c r="I1302" s="9">
        <v>2</v>
      </c>
      <c r="J1302" s="9"/>
      <c r="K1302" s="9"/>
      <c r="L1302" s="9"/>
      <c r="M1302" s="9">
        <f t="shared" si="160"/>
        <v>16.600000000000001</v>
      </c>
      <c r="N1302" s="9">
        <f t="shared" si="161"/>
        <v>7</v>
      </c>
      <c r="O1302" s="9">
        <v>8.3000000000000007</v>
      </c>
      <c r="P1302" s="9">
        <v>3.5</v>
      </c>
      <c r="Q1302" s="9" t="s">
        <v>9</v>
      </c>
      <c r="R1302" s="1">
        <v>0</v>
      </c>
      <c r="S1302" s="26"/>
    </row>
    <row r="1303" spans="1:19" ht="16.5" customHeight="1" x14ac:dyDescent="0.25">
      <c r="A1303" s="9"/>
      <c r="B1303" s="49" t="s">
        <v>89</v>
      </c>
      <c r="C1303" s="50"/>
      <c r="D1303" s="50"/>
      <c r="E1303" s="50"/>
      <c r="F1303" s="50"/>
      <c r="G1303" s="51"/>
      <c r="H1303" s="20"/>
      <c r="I1303" s="9">
        <v>2</v>
      </c>
      <c r="J1303" s="9"/>
      <c r="K1303" s="9"/>
      <c r="L1303" s="9"/>
      <c r="M1303" s="9">
        <f t="shared" si="160"/>
        <v>16.399999999999999</v>
      </c>
      <c r="N1303" s="9">
        <f t="shared" si="161"/>
        <v>7</v>
      </c>
      <c r="O1303" s="9">
        <v>8.1999999999999993</v>
      </c>
      <c r="P1303" s="9">
        <v>3.5</v>
      </c>
      <c r="Q1303" s="9" t="s">
        <v>9</v>
      </c>
      <c r="R1303" s="1">
        <v>0</v>
      </c>
      <c r="S1303" s="26"/>
    </row>
    <row r="1304" spans="1:19" ht="16.5" customHeight="1" x14ac:dyDescent="0.25">
      <c r="A1304" s="9"/>
      <c r="B1304" s="49" t="s">
        <v>92</v>
      </c>
      <c r="C1304" s="50"/>
      <c r="D1304" s="50"/>
      <c r="E1304" s="50"/>
      <c r="F1304" s="50"/>
      <c r="G1304" s="51"/>
      <c r="H1304" s="20"/>
      <c r="I1304" s="9">
        <v>4</v>
      </c>
      <c r="J1304" s="9"/>
      <c r="K1304" s="9"/>
      <c r="L1304" s="9"/>
      <c r="M1304" s="9">
        <f t="shared" si="160"/>
        <v>28.8</v>
      </c>
      <c r="N1304" s="9">
        <f t="shared" si="161"/>
        <v>12</v>
      </c>
      <c r="O1304" s="9">
        <v>7.2</v>
      </c>
      <c r="P1304" s="9">
        <v>3</v>
      </c>
      <c r="Q1304" s="9" t="s">
        <v>6</v>
      </c>
      <c r="R1304" s="1">
        <v>0</v>
      </c>
      <c r="S1304" s="26"/>
    </row>
    <row r="1305" spans="1:19" ht="16.5" customHeight="1" x14ac:dyDescent="0.25">
      <c r="A1305" s="9"/>
      <c r="B1305" s="49" t="s">
        <v>84</v>
      </c>
      <c r="C1305" s="50"/>
      <c r="D1305" s="50"/>
      <c r="E1305" s="50"/>
      <c r="F1305" s="50"/>
      <c r="G1305" s="51"/>
      <c r="H1305" s="20"/>
      <c r="I1305" s="9">
        <v>3</v>
      </c>
      <c r="J1305" s="9"/>
      <c r="K1305" s="9"/>
      <c r="L1305" s="9"/>
      <c r="M1305" s="9">
        <f t="shared" si="160"/>
        <v>24.299999999999997</v>
      </c>
      <c r="N1305" s="9">
        <f t="shared" si="161"/>
        <v>10.5</v>
      </c>
      <c r="O1305" s="9">
        <v>8.1</v>
      </c>
      <c r="P1305" s="9">
        <v>3.5</v>
      </c>
      <c r="Q1305" s="9" t="s">
        <v>9</v>
      </c>
      <c r="R1305" s="1">
        <v>0</v>
      </c>
      <c r="S1305" s="26"/>
    </row>
    <row r="1306" spans="1:19" ht="16.5" hidden="1" customHeight="1" x14ac:dyDescent="0.25">
      <c r="A1306" s="21"/>
      <c r="H1306" s="21"/>
      <c r="I1306" s="21"/>
      <c r="J1306" s="21"/>
      <c r="K1306" s="21"/>
      <c r="L1306" s="21"/>
      <c r="M1306" s="9">
        <f t="shared" si="160"/>
        <v>0</v>
      </c>
      <c r="N1306" s="9">
        <f t="shared" si="161"/>
        <v>0</v>
      </c>
      <c r="O1306" s="21"/>
      <c r="P1306" s="21"/>
      <c r="Q1306" s="21"/>
      <c r="S1306" s="25"/>
    </row>
    <row r="1307" spans="1:19" ht="16.5" customHeight="1" x14ac:dyDescent="0.25">
      <c r="A1307" s="9"/>
      <c r="B1307" s="38" t="s">
        <v>42</v>
      </c>
      <c r="C1307" s="39"/>
      <c r="D1307" s="39"/>
      <c r="E1307" s="39"/>
      <c r="F1307" s="39"/>
      <c r="G1307" s="40"/>
      <c r="H1307" s="23"/>
      <c r="I1307" s="24">
        <f>SUM(I1294:I1306)</f>
        <v>23</v>
      </c>
      <c r="J1307" s="9"/>
      <c r="K1307" s="9"/>
      <c r="L1307" s="9"/>
      <c r="M1307" s="9">
        <f t="shared" si="160"/>
        <v>179.4</v>
      </c>
      <c r="N1307" s="9">
        <f t="shared" si="161"/>
        <v>74.75</v>
      </c>
      <c r="O1307" s="24">
        <f>ROUND(SUM(M1294:M1306)/I1307,2)</f>
        <v>7.8</v>
      </c>
      <c r="P1307" s="24">
        <f>ROUND(SUM(N1294:N1306)/I1307,2)</f>
        <v>3.25</v>
      </c>
      <c r="Q1307" s="9"/>
      <c r="S1307" s="25"/>
    </row>
    <row r="1308" spans="1:19" ht="20.25" customHeight="1" x14ac:dyDescent="0.25">
      <c r="A1308" s="27" t="s">
        <v>96</v>
      </c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</row>
    <row r="1309" spans="1:19" ht="16.5" customHeight="1" x14ac:dyDescent="0.25">
      <c r="A1309" s="9"/>
      <c r="B1309" s="49" t="s">
        <v>97</v>
      </c>
      <c r="C1309" s="50"/>
      <c r="D1309" s="50"/>
      <c r="E1309" s="50"/>
      <c r="F1309" s="50"/>
      <c r="G1309" s="51"/>
      <c r="H1309" s="20"/>
      <c r="I1309" s="9">
        <v>2</v>
      </c>
      <c r="J1309" s="9"/>
      <c r="K1309" s="9"/>
      <c r="L1309" s="9"/>
      <c r="M1309" s="9">
        <f t="shared" ref="M1309:M1321" si="162">I1309*O1309</f>
        <v>16.8</v>
      </c>
      <c r="N1309" s="9">
        <f t="shared" ref="N1309:N1321" si="163">I1309*P1309</f>
        <v>7</v>
      </c>
      <c r="O1309" s="9">
        <v>8.4</v>
      </c>
      <c r="P1309" s="9">
        <v>3.5</v>
      </c>
      <c r="Q1309" s="9" t="s">
        <v>9</v>
      </c>
      <c r="R1309" s="1">
        <v>0</v>
      </c>
      <c r="S1309" s="26"/>
    </row>
    <row r="1310" spans="1:19" ht="16.5" customHeight="1" x14ac:dyDescent="0.25">
      <c r="A1310" s="9"/>
      <c r="B1310" s="49" t="s">
        <v>99</v>
      </c>
      <c r="C1310" s="50"/>
      <c r="D1310" s="50"/>
      <c r="E1310" s="50"/>
      <c r="F1310" s="50"/>
      <c r="G1310" s="51"/>
      <c r="H1310" s="20"/>
      <c r="I1310" s="9">
        <v>2</v>
      </c>
      <c r="J1310" s="9"/>
      <c r="K1310" s="9"/>
      <c r="L1310" s="9"/>
      <c r="M1310" s="9">
        <f t="shared" si="162"/>
        <v>17.600000000000001</v>
      </c>
      <c r="N1310" s="9">
        <f t="shared" si="163"/>
        <v>7.4</v>
      </c>
      <c r="O1310" s="9">
        <v>8.8000000000000007</v>
      </c>
      <c r="P1310" s="9">
        <v>3.7</v>
      </c>
      <c r="Q1310" s="9" t="s">
        <v>10</v>
      </c>
      <c r="R1310" s="1">
        <v>0</v>
      </c>
      <c r="S1310" s="26"/>
    </row>
    <row r="1311" spans="1:19" ht="16.5" customHeight="1" x14ac:dyDescent="0.25">
      <c r="A1311" s="9"/>
      <c r="B1311" s="49" t="s">
        <v>98</v>
      </c>
      <c r="C1311" s="50"/>
      <c r="D1311" s="50"/>
      <c r="E1311" s="50"/>
      <c r="F1311" s="50"/>
      <c r="G1311" s="51"/>
      <c r="H1311" s="20"/>
      <c r="I1311" s="9">
        <v>3</v>
      </c>
      <c r="J1311" s="9"/>
      <c r="K1311" s="9"/>
      <c r="L1311" s="9"/>
      <c r="M1311" s="9">
        <f t="shared" si="162"/>
        <v>27</v>
      </c>
      <c r="N1311" s="9">
        <f t="shared" si="163"/>
        <v>12</v>
      </c>
      <c r="O1311" s="9">
        <v>9</v>
      </c>
      <c r="P1311" s="9">
        <v>4</v>
      </c>
      <c r="Q1311" s="9" t="s">
        <v>12</v>
      </c>
      <c r="R1311" s="1">
        <v>0</v>
      </c>
      <c r="S1311" s="26"/>
    </row>
    <row r="1312" spans="1:19" ht="16.5" customHeight="1" x14ac:dyDescent="0.25">
      <c r="A1312" s="9"/>
      <c r="B1312" s="49" t="s">
        <v>103</v>
      </c>
      <c r="C1312" s="50"/>
      <c r="D1312" s="50"/>
      <c r="E1312" s="50"/>
      <c r="F1312" s="50"/>
      <c r="G1312" s="51"/>
      <c r="H1312" s="20"/>
      <c r="I1312" s="9">
        <v>2</v>
      </c>
      <c r="J1312" s="9"/>
      <c r="K1312" s="9"/>
      <c r="L1312" s="9"/>
      <c r="M1312" s="9">
        <f t="shared" si="162"/>
        <v>15.6</v>
      </c>
      <c r="N1312" s="9">
        <f t="shared" si="163"/>
        <v>6</v>
      </c>
      <c r="O1312" s="9">
        <v>7.8</v>
      </c>
      <c r="P1312" s="9">
        <v>3</v>
      </c>
      <c r="Q1312" s="9" t="s">
        <v>6</v>
      </c>
      <c r="R1312" s="1">
        <v>0</v>
      </c>
      <c r="S1312" s="26"/>
    </row>
    <row r="1313" spans="1:19" ht="16.5" customHeight="1" x14ac:dyDescent="0.25">
      <c r="A1313" s="9"/>
      <c r="B1313" s="49" t="s">
        <v>69</v>
      </c>
      <c r="C1313" s="50"/>
      <c r="D1313" s="50"/>
      <c r="E1313" s="50"/>
      <c r="F1313" s="50"/>
      <c r="G1313" s="51"/>
      <c r="H1313" s="20"/>
      <c r="I1313" s="9">
        <v>1</v>
      </c>
      <c r="J1313" s="9"/>
      <c r="K1313" s="9"/>
      <c r="L1313" s="9"/>
      <c r="M1313" s="9">
        <f t="shared" si="162"/>
        <v>7.7</v>
      </c>
      <c r="N1313" s="9">
        <f t="shared" si="163"/>
        <v>3</v>
      </c>
      <c r="O1313" s="9">
        <v>7.7</v>
      </c>
      <c r="P1313" s="9">
        <v>3</v>
      </c>
      <c r="Q1313" s="9" t="s">
        <v>6</v>
      </c>
      <c r="R1313" s="1">
        <v>0</v>
      </c>
      <c r="S1313" s="26"/>
    </row>
    <row r="1314" spans="1:19" ht="16.5" customHeight="1" x14ac:dyDescent="0.25">
      <c r="A1314" s="9"/>
      <c r="B1314" s="49" t="s">
        <v>102</v>
      </c>
      <c r="C1314" s="50"/>
      <c r="D1314" s="50"/>
      <c r="E1314" s="50"/>
      <c r="F1314" s="50"/>
      <c r="G1314" s="51"/>
      <c r="H1314" s="20"/>
      <c r="I1314" s="9">
        <v>2</v>
      </c>
      <c r="J1314" s="9"/>
      <c r="K1314" s="9"/>
      <c r="L1314" s="9"/>
      <c r="M1314" s="9">
        <f t="shared" si="162"/>
        <v>15</v>
      </c>
      <c r="N1314" s="9">
        <f t="shared" si="163"/>
        <v>6</v>
      </c>
      <c r="O1314" s="9">
        <v>7.5</v>
      </c>
      <c r="P1314" s="9">
        <v>3</v>
      </c>
      <c r="Q1314" s="9" t="s">
        <v>6</v>
      </c>
      <c r="R1314" s="1">
        <v>0</v>
      </c>
      <c r="S1314" s="26"/>
    </row>
    <row r="1315" spans="1:19" ht="16.5" customHeight="1" x14ac:dyDescent="0.25">
      <c r="A1315" s="9"/>
      <c r="B1315" s="49" t="s">
        <v>101</v>
      </c>
      <c r="C1315" s="50"/>
      <c r="D1315" s="50"/>
      <c r="E1315" s="50"/>
      <c r="F1315" s="50"/>
      <c r="G1315" s="51"/>
      <c r="H1315" s="20"/>
      <c r="I1315" s="9">
        <v>1</v>
      </c>
      <c r="J1315" s="9"/>
      <c r="K1315" s="9"/>
      <c r="L1315" s="9"/>
      <c r="M1315" s="9">
        <f t="shared" si="162"/>
        <v>7.8</v>
      </c>
      <c r="N1315" s="9">
        <f t="shared" si="163"/>
        <v>3</v>
      </c>
      <c r="O1315" s="9">
        <v>7.8</v>
      </c>
      <c r="P1315" s="9">
        <v>3</v>
      </c>
      <c r="Q1315" s="9" t="s">
        <v>6</v>
      </c>
      <c r="R1315" s="1">
        <v>0</v>
      </c>
      <c r="S1315" s="26"/>
    </row>
    <row r="1316" spans="1:19" ht="16.5" customHeight="1" x14ac:dyDescent="0.25">
      <c r="A1316" s="9"/>
      <c r="B1316" s="49" t="s">
        <v>100</v>
      </c>
      <c r="C1316" s="50"/>
      <c r="D1316" s="50"/>
      <c r="E1316" s="50"/>
      <c r="F1316" s="50"/>
      <c r="G1316" s="51"/>
      <c r="H1316" s="20"/>
      <c r="I1316" s="9">
        <v>1</v>
      </c>
      <c r="J1316" s="9"/>
      <c r="K1316" s="9"/>
      <c r="L1316" s="9"/>
      <c r="M1316" s="9">
        <f t="shared" si="162"/>
        <v>8</v>
      </c>
      <c r="N1316" s="9">
        <f t="shared" si="163"/>
        <v>3.5</v>
      </c>
      <c r="O1316" s="9">
        <v>8</v>
      </c>
      <c r="P1316" s="9">
        <v>3.5</v>
      </c>
      <c r="Q1316" s="9" t="s">
        <v>9</v>
      </c>
      <c r="R1316" s="1">
        <v>0</v>
      </c>
      <c r="S1316" s="26"/>
    </row>
    <row r="1317" spans="1:19" ht="16.5" customHeight="1" x14ac:dyDescent="0.25">
      <c r="A1317" s="9"/>
      <c r="B1317" s="49" t="s">
        <v>104</v>
      </c>
      <c r="C1317" s="50"/>
      <c r="D1317" s="50"/>
      <c r="E1317" s="50"/>
      <c r="F1317" s="50"/>
      <c r="G1317" s="51"/>
      <c r="H1317" s="20"/>
      <c r="I1317" s="9">
        <v>3</v>
      </c>
      <c r="J1317" s="9"/>
      <c r="K1317" s="9"/>
      <c r="L1317" s="9"/>
      <c r="M1317" s="9">
        <f t="shared" si="162"/>
        <v>21.6</v>
      </c>
      <c r="N1317" s="9">
        <f t="shared" si="163"/>
        <v>9</v>
      </c>
      <c r="O1317" s="9">
        <v>7.2</v>
      </c>
      <c r="P1317" s="9">
        <v>3</v>
      </c>
      <c r="Q1317" s="9" t="s">
        <v>6</v>
      </c>
      <c r="R1317" s="1">
        <v>0</v>
      </c>
      <c r="S1317" s="26"/>
    </row>
    <row r="1318" spans="1:19" ht="16.5" customHeight="1" x14ac:dyDescent="0.25">
      <c r="A1318" s="9"/>
      <c r="B1318" s="49" t="s">
        <v>79</v>
      </c>
      <c r="C1318" s="50"/>
      <c r="D1318" s="50"/>
      <c r="E1318" s="50"/>
      <c r="F1318" s="50"/>
      <c r="G1318" s="51"/>
      <c r="H1318" s="20"/>
      <c r="I1318" s="9">
        <v>2</v>
      </c>
      <c r="J1318" s="9"/>
      <c r="K1318" s="9"/>
      <c r="L1318" s="9"/>
      <c r="M1318" s="9">
        <f t="shared" si="162"/>
        <v>16.600000000000001</v>
      </c>
      <c r="N1318" s="9">
        <f t="shared" si="163"/>
        <v>7</v>
      </c>
      <c r="O1318" s="9">
        <v>8.3000000000000007</v>
      </c>
      <c r="P1318" s="9">
        <v>3.5</v>
      </c>
      <c r="Q1318" s="9" t="s">
        <v>9</v>
      </c>
      <c r="R1318" s="1">
        <v>0</v>
      </c>
      <c r="S1318" s="26"/>
    </row>
    <row r="1319" spans="1:19" ht="16.5" customHeight="1" x14ac:dyDescent="0.25">
      <c r="A1319" s="9"/>
      <c r="B1319" s="49" t="s">
        <v>105</v>
      </c>
      <c r="C1319" s="50"/>
      <c r="D1319" s="50"/>
      <c r="E1319" s="50"/>
      <c r="F1319" s="50"/>
      <c r="G1319" s="51"/>
      <c r="H1319" s="20"/>
      <c r="I1319" s="9">
        <v>4</v>
      </c>
      <c r="J1319" s="9"/>
      <c r="K1319" s="9"/>
      <c r="L1319" s="9"/>
      <c r="M1319" s="9">
        <f t="shared" si="162"/>
        <v>26</v>
      </c>
      <c r="N1319" s="9">
        <f t="shared" si="163"/>
        <v>10</v>
      </c>
      <c r="O1319" s="9">
        <v>6.5</v>
      </c>
      <c r="P1319" s="9">
        <v>2.5</v>
      </c>
      <c r="Q1319" s="9" t="s">
        <v>5</v>
      </c>
      <c r="R1319" s="1">
        <v>0</v>
      </c>
      <c r="S1319" s="26"/>
    </row>
    <row r="1320" spans="1:19" ht="16.5" hidden="1" customHeight="1" x14ac:dyDescent="0.25">
      <c r="A1320" s="21"/>
      <c r="H1320" s="21"/>
      <c r="I1320" s="21"/>
      <c r="J1320" s="21"/>
      <c r="K1320" s="21"/>
      <c r="L1320" s="21"/>
      <c r="M1320" s="9">
        <f t="shared" si="162"/>
        <v>0</v>
      </c>
      <c r="N1320" s="9">
        <f t="shared" si="163"/>
        <v>0</v>
      </c>
      <c r="O1320" s="21"/>
      <c r="P1320" s="21"/>
      <c r="Q1320" s="21"/>
      <c r="S1320" s="25"/>
    </row>
    <row r="1321" spans="1:19" ht="16.5" customHeight="1" x14ac:dyDescent="0.25">
      <c r="A1321" s="9"/>
      <c r="B1321" s="38" t="s">
        <v>42</v>
      </c>
      <c r="C1321" s="39"/>
      <c r="D1321" s="39"/>
      <c r="E1321" s="39"/>
      <c r="F1321" s="39"/>
      <c r="G1321" s="40"/>
      <c r="H1321" s="23"/>
      <c r="I1321" s="24">
        <f>SUM(I1309:I1320)</f>
        <v>23</v>
      </c>
      <c r="J1321" s="9"/>
      <c r="K1321" s="9"/>
      <c r="L1321" s="9"/>
      <c r="M1321" s="9">
        <f t="shared" si="162"/>
        <v>179.63</v>
      </c>
      <c r="N1321" s="9">
        <f t="shared" si="163"/>
        <v>73.83</v>
      </c>
      <c r="O1321" s="24">
        <f>ROUND(SUM(M1309:M1320)/I1321,2)</f>
        <v>7.81</v>
      </c>
      <c r="P1321" s="24">
        <f>ROUND(SUM(N1309:N1320)/I1321,2)</f>
        <v>3.21</v>
      </c>
      <c r="Q1321" s="9"/>
      <c r="S1321" s="25"/>
    </row>
    <row r="1322" spans="1:19" ht="20.25" customHeight="1" x14ac:dyDescent="0.25">
      <c r="A1322" s="27" t="s">
        <v>107</v>
      </c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</row>
    <row r="1323" spans="1:19" ht="16.5" customHeight="1" x14ac:dyDescent="0.25">
      <c r="A1323" s="9"/>
      <c r="B1323" s="49" t="s">
        <v>108</v>
      </c>
      <c r="C1323" s="50"/>
      <c r="D1323" s="50"/>
      <c r="E1323" s="50"/>
      <c r="F1323" s="50"/>
      <c r="G1323" s="51"/>
      <c r="H1323" s="20"/>
      <c r="I1323" s="9">
        <v>1</v>
      </c>
      <c r="J1323" s="9"/>
      <c r="K1323" s="9"/>
      <c r="L1323" s="9"/>
      <c r="M1323" s="9">
        <f t="shared" ref="M1323:M1335" si="164">I1323*O1323</f>
        <v>8</v>
      </c>
      <c r="N1323" s="9">
        <f t="shared" ref="N1323:N1335" si="165">I1323*P1323</f>
        <v>3.5</v>
      </c>
      <c r="O1323" s="9">
        <v>8</v>
      </c>
      <c r="P1323" s="9">
        <v>3.5</v>
      </c>
      <c r="Q1323" s="9" t="s">
        <v>9</v>
      </c>
      <c r="R1323" s="1">
        <v>0</v>
      </c>
      <c r="S1323" s="26"/>
    </row>
    <row r="1324" spans="1:19" ht="16.5" customHeight="1" x14ac:dyDescent="0.25">
      <c r="A1324" s="9"/>
      <c r="B1324" s="49" t="s">
        <v>109</v>
      </c>
      <c r="C1324" s="50"/>
      <c r="D1324" s="50"/>
      <c r="E1324" s="50"/>
      <c r="F1324" s="50"/>
      <c r="G1324" s="51"/>
      <c r="H1324" s="20"/>
      <c r="I1324" s="9">
        <v>2</v>
      </c>
      <c r="J1324" s="9"/>
      <c r="K1324" s="9"/>
      <c r="L1324" s="9"/>
      <c r="M1324" s="9">
        <f t="shared" si="164"/>
        <v>16.399999999999999</v>
      </c>
      <c r="N1324" s="9">
        <f t="shared" si="165"/>
        <v>7</v>
      </c>
      <c r="O1324" s="9">
        <v>8.1999999999999993</v>
      </c>
      <c r="P1324" s="9">
        <v>3.5</v>
      </c>
      <c r="Q1324" s="9" t="s">
        <v>9</v>
      </c>
      <c r="R1324" s="1">
        <v>0</v>
      </c>
      <c r="S1324" s="26"/>
    </row>
    <row r="1325" spans="1:19" ht="16.5" customHeight="1" x14ac:dyDescent="0.25">
      <c r="A1325" s="9"/>
      <c r="B1325" s="49" t="s">
        <v>110</v>
      </c>
      <c r="C1325" s="50"/>
      <c r="D1325" s="50"/>
      <c r="E1325" s="50"/>
      <c r="F1325" s="50"/>
      <c r="G1325" s="51"/>
      <c r="H1325" s="20"/>
      <c r="I1325" s="9">
        <v>3</v>
      </c>
      <c r="J1325" s="9"/>
      <c r="K1325" s="9"/>
      <c r="L1325" s="9"/>
      <c r="M1325" s="9">
        <f t="shared" si="164"/>
        <v>23.1</v>
      </c>
      <c r="N1325" s="9">
        <f t="shared" si="165"/>
        <v>9</v>
      </c>
      <c r="O1325" s="9">
        <v>7.7</v>
      </c>
      <c r="P1325" s="9">
        <v>3</v>
      </c>
      <c r="Q1325" s="9" t="s">
        <v>6</v>
      </c>
      <c r="R1325" s="1">
        <v>0</v>
      </c>
      <c r="S1325" s="26"/>
    </row>
    <row r="1326" spans="1:19" ht="16.5" customHeight="1" x14ac:dyDescent="0.25">
      <c r="A1326" s="9"/>
      <c r="B1326" s="49" t="s">
        <v>111</v>
      </c>
      <c r="C1326" s="50"/>
      <c r="D1326" s="50"/>
      <c r="E1326" s="50"/>
      <c r="F1326" s="50"/>
      <c r="G1326" s="51"/>
      <c r="H1326" s="20"/>
      <c r="I1326" s="9">
        <v>3</v>
      </c>
      <c r="J1326" s="9"/>
      <c r="K1326" s="9"/>
      <c r="L1326" s="9"/>
      <c r="M1326" s="9">
        <f t="shared" si="164"/>
        <v>21.6</v>
      </c>
      <c r="N1326" s="9">
        <f t="shared" si="165"/>
        <v>9</v>
      </c>
      <c r="O1326" s="9">
        <v>7.2</v>
      </c>
      <c r="P1326" s="9">
        <v>3</v>
      </c>
      <c r="Q1326" s="9" t="s">
        <v>6</v>
      </c>
      <c r="R1326" s="1">
        <v>0</v>
      </c>
      <c r="S1326" s="26"/>
    </row>
    <row r="1327" spans="1:19" ht="16.5" customHeight="1" x14ac:dyDescent="0.25">
      <c r="A1327" s="9"/>
      <c r="B1327" s="49" t="s">
        <v>112</v>
      </c>
      <c r="C1327" s="50"/>
      <c r="D1327" s="50"/>
      <c r="E1327" s="50"/>
      <c r="F1327" s="50"/>
      <c r="G1327" s="51"/>
      <c r="H1327" s="20"/>
      <c r="I1327" s="9">
        <v>4</v>
      </c>
      <c r="J1327" s="9"/>
      <c r="K1327" s="9"/>
      <c r="L1327" s="9"/>
      <c r="M1327" s="9">
        <f t="shared" si="164"/>
        <v>36</v>
      </c>
      <c r="N1327" s="9">
        <f t="shared" si="165"/>
        <v>16</v>
      </c>
      <c r="O1327" s="9">
        <v>9</v>
      </c>
      <c r="P1327" s="9">
        <v>4</v>
      </c>
      <c r="Q1327" s="9" t="s">
        <v>12</v>
      </c>
      <c r="R1327" s="1">
        <v>0</v>
      </c>
      <c r="S1327" s="26"/>
    </row>
    <row r="1328" spans="1:19" ht="16.5" customHeight="1" x14ac:dyDescent="0.25">
      <c r="A1328" s="9"/>
      <c r="B1328" s="49" t="s">
        <v>113</v>
      </c>
      <c r="C1328" s="50"/>
      <c r="D1328" s="50"/>
      <c r="E1328" s="50"/>
      <c r="F1328" s="50"/>
      <c r="G1328" s="51"/>
      <c r="H1328" s="20"/>
      <c r="I1328" s="9">
        <v>4</v>
      </c>
      <c r="J1328" s="9"/>
      <c r="K1328" s="9"/>
      <c r="L1328" s="9"/>
      <c r="M1328" s="9">
        <f t="shared" si="164"/>
        <v>28</v>
      </c>
      <c r="N1328" s="9">
        <f t="shared" si="165"/>
        <v>12</v>
      </c>
      <c r="O1328" s="9">
        <v>7</v>
      </c>
      <c r="P1328" s="9">
        <v>3</v>
      </c>
      <c r="Q1328" s="9" t="s">
        <v>6</v>
      </c>
      <c r="R1328" s="1">
        <v>0</v>
      </c>
      <c r="S1328" s="26"/>
    </row>
    <row r="1329" spans="1:19" ht="16.5" customHeight="1" x14ac:dyDescent="0.25">
      <c r="A1329" s="9"/>
      <c r="B1329" s="49" t="s">
        <v>114</v>
      </c>
      <c r="C1329" s="50"/>
      <c r="D1329" s="50"/>
      <c r="E1329" s="50"/>
      <c r="F1329" s="50"/>
      <c r="G1329" s="51"/>
      <c r="H1329" s="20"/>
      <c r="I1329" s="9">
        <v>3</v>
      </c>
      <c r="J1329" s="9"/>
      <c r="K1329" s="9"/>
      <c r="L1329" s="9"/>
      <c r="M1329" s="9">
        <f t="shared" si="164"/>
        <v>21</v>
      </c>
      <c r="N1329" s="9">
        <f t="shared" si="165"/>
        <v>9</v>
      </c>
      <c r="O1329" s="9">
        <v>7</v>
      </c>
      <c r="P1329" s="9">
        <v>3</v>
      </c>
      <c r="Q1329" s="9" t="s">
        <v>6</v>
      </c>
      <c r="R1329" s="1">
        <v>0</v>
      </c>
      <c r="S1329" s="26"/>
    </row>
    <row r="1330" spans="1:19" ht="16.5" customHeight="1" x14ac:dyDescent="0.25">
      <c r="A1330" s="9"/>
      <c r="B1330" s="49" t="s">
        <v>115</v>
      </c>
      <c r="C1330" s="50"/>
      <c r="D1330" s="50"/>
      <c r="E1330" s="50"/>
      <c r="F1330" s="50"/>
      <c r="G1330" s="51"/>
      <c r="H1330" s="20"/>
      <c r="I1330" s="9">
        <v>2</v>
      </c>
      <c r="J1330" s="9"/>
      <c r="K1330" s="9"/>
      <c r="L1330" s="9"/>
      <c r="M1330" s="9">
        <f t="shared" si="164"/>
        <v>14.8</v>
      </c>
      <c r="N1330" s="9">
        <f t="shared" si="165"/>
        <v>6</v>
      </c>
      <c r="O1330" s="9">
        <v>7.4</v>
      </c>
      <c r="P1330" s="9">
        <v>3</v>
      </c>
      <c r="Q1330" s="9" t="s">
        <v>6</v>
      </c>
      <c r="R1330" s="1">
        <v>0</v>
      </c>
      <c r="S1330" s="26"/>
    </row>
    <row r="1331" spans="1:19" ht="16.5" customHeight="1" x14ac:dyDescent="0.25">
      <c r="A1331" s="9"/>
      <c r="B1331" s="49" t="s">
        <v>116</v>
      </c>
      <c r="C1331" s="50"/>
      <c r="D1331" s="50"/>
      <c r="E1331" s="50"/>
      <c r="F1331" s="50"/>
      <c r="G1331" s="51"/>
      <c r="H1331" s="20"/>
      <c r="I1331" s="9">
        <v>2</v>
      </c>
      <c r="J1331" s="9"/>
      <c r="K1331" s="9"/>
      <c r="L1331" s="9"/>
      <c r="M1331" s="9">
        <f t="shared" si="164"/>
        <v>13.4</v>
      </c>
      <c r="N1331" s="9">
        <f t="shared" si="165"/>
        <v>5</v>
      </c>
      <c r="O1331" s="9">
        <v>6.7</v>
      </c>
      <c r="P1331" s="9">
        <v>2.5</v>
      </c>
      <c r="Q1331" s="9" t="s">
        <v>5</v>
      </c>
      <c r="R1331" s="1">
        <v>0</v>
      </c>
      <c r="S1331" s="26"/>
    </row>
    <row r="1332" spans="1:19" ht="16.5" customHeight="1" x14ac:dyDescent="0.25">
      <c r="A1332" s="9"/>
      <c r="B1332" s="49" t="s">
        <v>117</v>
      </c>
      <c r="C1332" s="50"/>
      <c r="D1332" s="50"/>
      <c r="E1332" s="50"/>
      <c r="F1332" s="50"/>
      <c r="G1332" s="51"/>
      <c r="H1332" s="20"/>
      <c r="I1332" s="9">
        <v>3</v>
      </c>
      <c r="J1332" s="9"/>
      <c r="K1332" s="9"/>
      <c r="L1332" s="9"/>
      <c r="M1332" s="9">
        <f t="shared" si="164"/>
        <v>23.4</v>
      </c>
      <c r="N1332" s="9">
        <f t="shared" si="165"/>
        <v>9</v>
      </c>
      <c r="O1332" s="9">
        <v>7.8</v>
      </c>
      <c r="P1332" s="9">
        <v>3</v>
      </c>
      <c r="Q1332" s="9" t="s">
        <v>6</v>
      </c>
      <c r="R1332" s="1">
        <v>0</v>
      </c>
      <c r="S1332" s="26"/>
    </row>
    <row r="1333" spans="1:19" ht="16.5" customHeight="1" x14ac:dyDescent="0.25">
      <c r="A1333" s="9"/>
      <c r="B1333" s="49" t="s">
        <v>118</v>
      </c>
      <c r="C1333" s="50"/>
      <c r="D1333" s="50"/>
      <c r="E1333" s="50"/>
      <c r="F1333" s="50"/>
      <c r="G1333" s="51"/>
      <c r="H1333" s="20"/>
      <c r="I1333" s="9">
        <v>2</v>
      </c>
      <c r="J1333" s="9"/>
      <c r="K1333" s="9"/>
      <c r="L1333" s="9"/>
      <c r="M1333" s="9">
        <f t="shared" si="164"/>
        <v>15.2</v>
      </c>
      <c r="N1333" s="9">
        <f t="shared" si="165"/>
        <v>6</v>
      </c>
      <c r="O1333" s="9">
        <v>7.6</v>
      </c>
      <c r="P1333" s="9">
        <v>3</v>
      </c>
      <c r="Q1333" s="9" t="s">
        <v>6</v>
      </c>
      <c r="R1333" s="1">
        <v>0</v>
      </c>
      <c r="S1333" s="26"/>
    </row>
    <row r="1334" spans="1:19" ht="16.5" hidden="1" customHeight="1" x14ac:dyDescent="0.25">
      <c r="A1334" s="21"/>
      <c r="H1334" s="21"/>
      <c r="I1334" s="21"/>
      <c r="J1334" s="21"/>
      <c r="K1334" s="21"/>
      <c r="L1334" s="21"/>
      <c r="M1334" s="9">
        <f t="shared" si="164"/>
        <v>0</v>
      </c>
      <c r="N1334" s="9">
        <f t="shared" si="165"/>
        <v>0</v>
      </c>
      <c r="O1334" s="21"/>
      <c r="P1334" s="21"/>
      <c r="Q1334" s="21"/>
      <c r="S1334" s="25"/>
    </row>
    <row r="1335" spans="1:19" ht="16.5" customHeight="1" x14ac:dyDescent="0.25">
      <c r="A1335" s="9"/>
      <c r="B1335" s="38" t="s">
        <v>42</v>
      </c>
      <c r="C1335" s="39"/>
      <c r="D1335" s="39"/>
      <c r="E1335" s="39"/>
      <c r="F1335" s="39"/>
      <c r="G1335" s="40"/>
      <c r="H1335" s="23"/>
      <c r="I1335" s="24">
        <f>SUM(I1323:I1334)</f>
        <v>29</v>
      </c>
      <c r="J1335" s="9"/>
      <c r="K1335" s="9"/>
      <c r="L1335" s="9"/>
      <c r="M1335" s="9">
        <f t="shared" si="164"/>
        <v>220.98</v>
      </c>
      <c r="N1335" s="9">
        <f t="shared" si="165"/>
        <v>91.64</v>
      </c>
      <c r="O1335" s="24">
        <f>ROUND(SUM(M1323:M1334)/I1335,2)</f>
        <v>7.62</v>
      </c>
      <c r="P1335" s="24">
        <f>ROUND(SUM(N1323:N1334)/I1335,2)</f>
        <v>3.16</v>
      </c>
      <c r="Q1335" s="9"/>
      <c r="S1335" s="25"/>
    </row>
    <row r="1336" spans="1:19" ht="20.25" customHeight="1" x14ac:dyDescent="0.25">
      <c r="A1336" s="27" t="s">
        <v>120</v>
      </c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</row>
    <row r="1337" spans="1:19" ht="16.5" customHeight="1" x14ac:dyDescent="0.25">
      <c r="A1337" s="9"/>
      <c r="B1337" s="49" t="s">
        <v>121</v>
      </c>
      <c r="C1337" s="50"/>
      <c r="D1337" s="50"/>
      <c r="E1337" s="50"/>
      <c r="F1337" s="50"/>
      <c r="G1337" s="51"/>
      <c r="H1337" s="20"/>
      <c r="I1337" s="9">
        <v>3</v>
      </c>
      <c r="J1337" s="9"/>
      <c r="K1337" s="9"/>
      <c r="L1337" s="9"/>
      <c r="M1337" s="9">
        <f t="shared" ref="M1337:M1346" si="166">I1337*O1337</f>
        <v>21.299999999999997</v>
      </c>
      <c r="N1337" s="9">
        <f t="shared" ref="N1337:N1346" si="167">I1337*P1337</f>
        <v>9</v>
      </c>
      <c r="O1337" s="9">
        <v>7.1</v>
      </c>
      <c r="P1337" s="9">
        <v>3</v>
      </c>
      <c r="Q1337" s="9" t="s">
        <v>6</v>
      </c>
      <c r="R1337" s="1">
        <v>0</v>
      </c>
      <c r="S1337" s="26"/>
    </row>
    <row r="1338" spans="1:19" ht="16.5" customHeight="1" x14ac:dyDescent="0.25">
      <c r="A1338" s="9"/>
      <c r="B1338" s="49" t="s">
        <v>122</v>
      </c>
      <c r="C1338" s="50"/>
      <c r="D1338" s="50"/>
      <c r="E1338" s="50"/>
      <c r="F1338" s="50"/>
      <c r="G1338" s="51"/>
      <c r="H1338" s="20"/>
      <c r="I1338" s="9">
        <v>1</v>
      </c>
      <c r="J1338" s="9"/>
      <c r="K1338" s="9"/>
      <c r="L1338" s="9"/>
      <c r="M1338" s="9">
        <f t="shared" si="166"/>
        <v>8.1</v>
      </c>
      <c r="N1338" s="9">
        <f t="shared" si="167"/>
        <v>3.5</v>
      </c>
      <c r="O1338" s="9">
        <v>8.1</v>
      </c>
      <c r="P1338" s="9">
        <v>3.5</v>
      </c>
      <c r="Q1338" s="9" t="s">
        <v>9</v>
      </c>
      <c r="R1338" s="1">
        <v>0</v>
      </c>
      <c r="S1338" s="26"/>
    </row>
    <row r="1339" spans="1:19" ht="16.5" customHeight="1" x14ac:dyDescent="0.25">
      <c r="A1339" s="9"/>
      <c r="B1339" s="49" t="s">
        <v>123</v>
      </c>
      <c r="C1339" s="50"/>
      <c r="D1339" s="50"/>
      <c r="E1339" s="50"/>
      <c r="F1339" s="50"/>
      <c r="G1339" s="51"/>
      <c r="H1339" s="20"/>
      <c r="I1339" s="9">
        <v>3</v>
      </c>
      <c r="J1339" s="9"/>
      <c r="K1339" s="9"/>
      <c r="L1339" s="9"/>
      <c r="M1339" s="9">
        <f t="shared" si="166"/>
        <v>24.299999999999997</v>
      </c>
      <c r="N1339" s="9">
        <f t="shared" si="167"/>
        <v>10.5</v>
      </c>
      <c r="O1339" s="9">
        <v>8.1</v>
      </c>
      <c r="P1339" s="9">
        <v>3.5</v>
      </c>
      <c r="Q1339" s="9" t="s">
        <v>9</v>
      </c>
      <c r="R1339" s="1">
        <v>0</v>
      </c>
      <c r="S1339" s="26"/>
    </row>
    <row r="1340" spans="1:19" ht="16.5" customHeight="1" x14ac:dyDescent="0.25">
      <c r="A1340" s="9"/>
      <c r="B1340" s="49" t="s">
        <v>124</v>
      </c>
      <c r="C1340" s="50"/>
      <c r="D1340" s="50"/>
      <c r="E1340" s="50"/>
      <c r="F1340" s="50"/>
      <c r="G1340" s="51"/>
      <c r="H1340" s="20"/>
      <c r="I1340" s="9">
        <v>3</v>
      </c>
      <c r="J1340" s="9"/>
      <c r="K1340" s="9"/>
      <c r="L1340" s="9"/>
      <c r="M1340" s="9">
        <f t="shared" si="166"/>
        <v>23.700000000000003</v>
      </c>
      <c r="N1340" s="9">
        <f t="shared" si="167"/>
        <v>9</v>
      </c>
      <c r="O1340" s="9">
        <v>7.9</v>
      </c>
      <c r="P1340" s="9">
        <v>3</v>
      </c>
      <c r="Q1340" s="9" t="s">
        <v>6</v>
      </c>
      <c r="R1340" s="1">
        <v>0</v>
      </c>
      <c r="S1340" s="26"/>
    </row>
    <row r="1341" spans="1:19" ht="16.5" customHeight="1" x14ac:dyDescent="0.25">
      <c r="A1341" s="9"/>
      <c r="B1341" s="49" t="s">
        <v>125</v>
      </c>
      <c r="C1341" s="50"/>
      <c r="D1341" s="50"/>
      <c r="E1341" s="50"/>
      <c r="F1341" s="50"/>
      <c r="G1341" s="51"/>
      <c r="H1341" s="20"/>
      <c r="I1341" s="9">
        <v>3</v>
      </c>
      <c r="J1341" s="9"/>
      <c r="K1341" s="9"/>
      <c r="L1341" s="9"/>
      <c r="M1341" s="9">
        <f t="shared" si="166"/>
        <v>20.700000000000003</v>
      </c>
      <c r="N1341" s="9">
        <f t="shared" si="167"/>
        <v>7.5</v>
      </c>
      <c r="O1341" s="9">
        <v>6.9</v>
      </c>
      <c r="P1341" s="9">
        <v>2.5</v>
      </c>
      <c r="Q1341" s="9" t="s">
        <v>5</v>
      </c>
      <c r="R1341" s="1">
        <v>0</v>
      </c>
      <c r="S1341" s="26"/>
    </row>
    <row r="1342" spans="1:19" ht="16.5" customHeight="1" x14ac:dyDescent="0.25">
      <c r="A1342" s="9"/>
      <c r="B1342" s="49" t="s">
        <v>127</v>
      </c>
      <c r="C1342" s="50"/>
      <c r="D1342" s="50"/>
      <c r="E1342" s="50"/>
      <c r="F1342" s="50"/>
      <c r="G1342" s="51"/>
      <c r="H1342" s="20"/>
      <c r="I1342" s="9">
        <v>2</v>
      </c>
      <c r="J1342" s="9"/>
      <c r="K1342" s="9"/>
      <c r="L1342" s="9"/>
      <c r="M1342" s="9">
        <f t="shared" si="166"/>
        <v>8</v>
      </c>
      <c r="N1342" s="9">
        <f t="shared" si="167"/>
        <v>2</v>
      </c>
      <c r="O1342" s="9">
        <v>4</v>
      </c>
      <c r="P1342" s="9">
        <v>1</v>
      </c>
      <c r="Q1342" s="9" t="s">
        <v>8</v>
      </c>
      <c r="R1342" s="1">
        <v>0</v>
      </c>
      <c r="S1342" s="26"/>
    </row>
    <row r="1343" spans="1:19" ht="16.5" customHeight="1" x14ac:dyDescent="0.25">
      <c r="A1343" s="9"/>
      <c r="B1343" s="49" t="s">
        <v>126</v>
      </c>
      <c r="C1343" s="50"/>
      <c r="D1343" s="50"/>
      <c r="E1343" s="50"/>
      <c r="F1343" s="50"/>
      <c r="G1343" s="51"/>
      <c r="H1343" s="20"/>
      <c r="I1343" s="9">
        <v>3</v>
      </c>
      <c r="J1343" s="9"/>
      <c r="K1343" s="9"/>
      <c r="L1343" s="9"/>
      <c r="M1343" s="9">
        <f t="shared" si="166"/>
        <v>24</v>
      </c>
      <c r="N1343" s="9">
        <f t="shared" si="167"/>
        <v>10.5</v>
      </c>
      <c r="O1343" s="9">
        <v>8</v>
      </c>
      <c r="P1343" s="9">
        <v>3.5</v>
      </c>
      <c r="Q1343" s="9" t="s">
        <v>9</v>
      </c>
      <c r="R1343" s="1">
        <v>0</v>
      </c>
      <c r="S1343" s="26"/>
    </row>
    <row r="1344" spans="1:19" ht="16.5" customHeight="1" x14ac:dyDescent="0.25">
      <c r="A1344" s="9"/>
      <c r="B1344" s="49" t="s">
        <v>128</v>
      </c>
      <c r="C1344" s="50"/>
      <c r="D1344" s="50"/>
      <c r="E1344" s="50"/>
      <c r="F1344" s="50"/>
      <c r="G1344" s="51"/>
      <c r="H1344" s="20"/>
      <c r="I1344" s="9">
        <v>2</v>
      </c>
      <c r="J1344" s="9"/>
      <c r="K1344" s="9"/>
      <c r="L1344" s="9"/>
      <c r="M1344" s="9">
        <f t="shared" si="166"/>
        <v>16.8</v>
      </c>
      <c r="N1344" s="9">
        <f t="shared" si="167"/>
        <v>7</v>
      </c>
      <c r="O1344" s="9">
        <v>8.4</v>
      </c>
      <c r="P1344" s="9">
        <v>3.5</v>
      </c>
      <c r="Q1344" s="9" t="s">
        <v>9</v>
      </c>
      <c r="R1344" s="1">
        <v>0</v>
      </c>
      <c r="S1344" s="26"/>
    </row>
    <row r="1345" spans="1:19" ht="16.5" hidden="1" customHeight="1" x14ac:dyDescent="0.25">
      <c r="A1345" s="21"/>
      <c r="H1345" s="21"/>
      <c r="I1345" s="21"/>
      <c r="J1345" s="21"/>
      <c r="K1345" s="21"/>
      <c r="L1345" s="21"/>
      <c r="M1345" s="9">
        <f t="shared" si="166"/>
        <v>0</v>
      </c>
      <c r="N1345" s="9">
        <f t="shared" si="167"/>
        <v>0</v>
      </c>
      <c r="O1345" s="21"/>
      <c r="P1345" s="21"/>
      <c r="Q1345" s="21"/>
      <c r="S1345" s="25"/>
    </row>
    <row r="1346" spans="1:19" ht="16.5" customHeight="1" x14ac:dyDescent="0.25">
      <c r="A1346" s="9"/>
      <c r="B1346" s="38" t="s">
        <v>42</v>
      </c>
      <c r="C1346" s="39"/>
      <c r="D1346" s="39"/>
      <c r="E1346" s="39"/>
      <c r="F1346" s="39"/>
      <c r="G1346" s="40"/>
      <c r="H1346" s="23"/>
      <c r="I1346" s="24">
        <f>SUM(I1337:I1345)</f>
        <v>20</v>
      </c>
      <c r="J1346" s="9"/>
      <c r="K1346" s="9"/>
      <c r="L1346" s="9"/>
      <c r="M1346" s="9">
        <f t="shared" si="166"/>
        <v>147</v>
      </c>
      <c r="N1346" s="9">
        <f t="shared" si="167"/>
        <v>59</v>
      </c>
      <c r="O1346" s="24">
        <f>ROUND(SUM(M1337:M1345)/I1346,2)</f>
        <v>7.35</v>
      </c>
      <c r="P1346" s="24">
        <f>ROUND(SUM(N1337:N1345)/I1346,2)</f>
        <v>2.95</v>
      </c>
      <c r="Q1346" s="9"/>
      <c r="S1346" s="25"/>
    </row>
    <row r="1347" spans="1:19" ht="16.5" customHeight="1" x14ac:dyDescent="0.25">
      <c r="A1347" s="21"/>
      <c r="B1347" s="22"/>
      <c r="C1347" s="22"/>
      <c r="D1347" s="22"/>
      <c r="E1347" s="22"/>
      <c r="F1347" s="22"/>
      <c r="G1347" s="22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</row>
    <row r="1349" spans="1:19" ht="18" x14ac:dyDescent="0.25">
      <c r="A1349" s="57" t="s">
        <v>132</v>
      </c>
      <c r="B1349" s="57"/>
      <c r="C1349" s="57"/>
      <c r="D1349" s="57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57"/>
      <c r="P1349" s="57"/>
      <c r="Q1349" s="57"/>
      <c r="R1349" s="57"/>
      <c r="S1349" s="57"/>
    </row>
    <row r="1350" spans="1:19" ht="18" x14ac:dyDescent="0.25">
      <c r="A1350" s="57" t="s">
        <v>185</v>
      </c>
      <c r="B1350" s="57"/>
      <c r="C1350" s="57"/>
      <c r="D1350" s="57"/>
      <c r="E1350" s="57"/>
      <c r="F1350" s="57"/>
      <c r="G1350" s="57"/>
      <c r="H1350" s="57"/>
      <c r="I1350" s="57"/>
      <c r="J1350" s="57"/>
      <c r="K1350" s="57"/>
      <c r="L1350" s="57"/>
      <c r="M1350" s="57"/>
      <c r="N1350" s="57"/>
      <c r="O1350" s="57"/>
      <c r="P1350" s="57"/>
      <c r="Q1350" s="57"/>
      <c r="R1350" s="57"/>
      <c r="S1350" s="57"/>
    </row>
    <row r="1351" spans="1:19" ht="18" x14ac:dyDescent="0.25">
      <c r="A1351" s="57" t="s">
        <v>186</v>
      </c>
      <c r="B1351" s="57"/>
      <c r="C1351" s="57"/>
      <c r="D1351" s="57"/>
      <c r="E1351" s="57"/>
      <c r="F1351" s="57"/>
      <c r="G1351" s="57"/>
      <c r="H1351" s="57"/>
      <c r="I1351" s="57"/>
      <c r="J1351" s="57"/>
      <c r="K1351" s="57"/>
      <c r="L1351" s="57"/>
      <c r="M1351" s="57"/>
      <c r="N1351" s="57"/>
      <c r="O1351" s="57"/>
      <c r="P1351" s="57"/>
      <c r="Q1351" s="57"/>
      <c r="R1351" s="57"/>
      <c r="S1351" s="57"/>
    </row>
    <row r="1352" spans="1:19" ht="18" x14ac:dyDescent="0.25">
      <c r="A1352" s="58" t="s">
        <v>135</v>
      </c>
      <c r="B1352" s="58"/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</row>
    <row r="1353" spans="1:19" ht="19.5" customHeight="1" x14ac:dyDescent="0.25">
      <c r="A1353" s="17"/>
      <c r="B1353" s="17"/>
      <c r="C1353" s="8"/>
      <c r="D1353" s="18"/>
      <c r="E1353" s="10"/>
      <c r="F1353" s="11"/>
      <c r="G1353" s="44" t="s">
        <v>49</v>
      </c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</row>
    <row r="1354" spans="1:19" ht="31.5" customHeight="1" x14ac:dyDescent="0.3">
      <c r="A1354" s="8"/>
      <c r="B1354" s="8"/>
      <c r="C1354" s="8"/>
      <c r="D1354" s="8"/>
      <c r="E1354" s="8"/>
      <c r="F1354" s="8"/>
      <c r="G1354" s="8"/>
      <c r="H1354" s="12"/>
      <c r="I1354" s="41" t="s">
        <v>40</v>
      </c>
      <c r="J1354" s="42"/>
      <c r="K1354" s="42"/>
      <c r="L1354" s="42"/>
      <c r="M1354" s="42"/>
      <c r="N1354" s="42"/>
      <c r="O1354" s="42"/>
      <c r="P1354" s="42"/>
      <c r="Q1354" s="42"/>
      <c r="R1354" s="42"/>
      <c r="S1354" s="42"/>
    </row>
    <row r="1355" spans="1:19" ht="16.8" x14ac:dyDescent="0.3">
      <c r="A1355" s="8"/>
      <c r="B1355" s="8"/>
      <c r="C1355" s="8"/>
      <c r="D1355" s="8"/>
      <c r="E1355" s="8"/>
      <c r="F1355" s="8"/>
      <c r="G1355" s="8"/>
      <c r="H1355" s="12"/>
      <c r="I1355" s="12"/>
      <c r="J1355" s="12"/>
      <c r="K1355" s="12"/>
      <c r="L1355" s="8"/>
      <c r="M1355" s="8"/>
      <c r="N1355" s="8"/>
      <c r="O1355" s="8"/>
      <c r="P1355" s="8"/>
      <c r="Q1355" s="8"/>
    </row>
    <row r="1356" spans="1:19" ht="33" customHeight="1" x14ac:dyDescent="0.3">
      <c r="A1356" s="8"/>
      <c r="B1356" s="8"/>
      <c r="C1356" s="8"/>
      <c r="D1356" s="8"/>
      <c r="E1356" s="8"/>
      <c r="F1356" s="8"/>
      <c r="G1356" s="8"/>
      <c r="H1356" s="12"/>
      <c r="I1356" s="12"/>
      <c r="J1356" s="12"/>
      <c r="K1356" s="12"/>
      <c r="L1356" s="8"/>
      <c r="M1356" s="8"/>
      <c r="N1356" s="8"/>
      <c r="O1356" s="8"/>
      <c r="P1356" s="8"/>
      <c r="Q1356" s="8"/>
    </row>
    <row r="1357" spans="1:19" ht="11.25" customHeight="1" x14ac:dyDescent="0.3">
      <c r="A1357" s="8"/>
      <c r="B1357" s="8"/>
      <c r="C1357" s="8"/>
      <c r="D1357" s="8"/>
      <c r="E1357" s="8"/>
      <c r="F1357" s="8"/>
      <c r="G1357" s="8"/>
      <c r="H1357" s="12"/>
      <c r="I1357" s="12"/>
      <c r="J1357" s="12"/>
      <c r="K1357" s="12"/>
      <c r="L1357" s="8"/>
      <c r="M1357" s="8"/>
      <c r="N1357" s="8"/>
      <c r="O1357" s="8"/>
      <c r="P1357" s="8"/>
      <c r="Q1357" s="8"/>
    </row>
    <row r="1358" spans="1:19" ht="17.399999999999999" x14ac:dyDescent="0.3">
      <c r="A1358" s="8"/>
      <c r="B1358" s="8"/>
      <c r="C1358" s="8"/>
      <c r="D1358" s="8"/>
      <c r="E1358" s="8"/>
      <c r="F1358" s="8"/>
      <c r="G1358" s="45" t="s">
        <v>41</v>
      </c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</row>
    <row r="1359" spans="1:19" ht="54" customHeight="1" x14ac:dyDescent="0.25">
      <c r="A1359" s="46" t="s">
        <v>33</v>
      </c>
      <c r="B1359" s="46"/>
      <c r="C1359" s="46"/>
      <c r="D1359" s="46"/>
      <c r="E1359" s="46"/>
      <c r="F1359" s="41" t="s">
        <v>24</v>
      </c>
      <c r="G1359" s="41"/>
      <c r="H1359" s="41"/>
      <c r="I1359" s="41"/>
      <c r="J1359" s="41"/>
      <c r="K1359" s="41"/>
      <c r="L1359" s="41"/>
      <c r="M1359" s="41"/>
      <c r="N1359" s="41"/>
      <c r="O1359" s="41"/>
      <c r="P1359" s="41"/>
      <c r="Q1359" s="41"/>
      <c r="R1359" s="41"/>
      <c r="S1359" s="41"/>
    </row>
    <row r="1360" spans="1:19" ht="17.399999999999999" x14ac:dyDescent="0.25">
      <c r="A1360" s="47" t="s">
        <v>34</v>
      </c>
      <c r="B1360" s="47"/>
      <c r="C1360" s="47"/>
      <c r="D1360" s="47"/>
      <c r="E1360" s="47"/>
      <c r="F1360" s="47"/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</row>
    <row r="1361" spans="1:20" ht="4.5" customHeight="1" x14ac:dyDescent="0.25">
      <c r="A1361" s="48"/>
      <c r="B1361" s="48"/>
      <c r="C1361" s="48"/>
      <c r="D1361" s="48"/>
      <c r="E1361" s="48"/>
      <c r="F1361" s="48"/>
      <c r="G1361" s="48"/>
      <c r="H1361" s="48"/>
      <c r="I1361" s="48"/>
      <c r="J1361" s="48"/>
      <c r="K1361" s="48"/>
      <c r="L1361" s="48"/>
      <c r="M1361" s="48"/>
      <c r="N1361" s="48"/>
      <c r="O1361" s="48"/>
      <c r="P1361" s="48"/>
      <c r="Q1361" s="48"/>
    </row>
    <row r="1362" spans="1:20" ht="5.25" customHeight="1" x14ac:dyDescent="0.25">
      <c r="A1362" s="48"/>
      <c r="B1362" s="48"/>
      <c r="C1362" s="48"/>
      <c r="D1362" s="48"/>
      <c r="E1362" s="48"/>
      <c r="F1362" s="48"/>
      <c r="G1362" s="48"/>
      <c r="H1362" s="48"/>
      <c r="I1362" s="48"/>
      <c r="J1362" s="48"/>
      <c r="K1362" s="48"/>
      <c r="L1362" s="48"/>
      <c r="M1362" s="48"/>
      <c r="N1362" s="48"/>
      <c r="O1362" s="48"/>
      <c r="P1362" s="48"/>
      <c r="Q1362" s="48"/>
    </row>
    <row r="1363" spans="1:20" ht="16.5" customHeight="1" x14ac:dyDescent="0.25">
      <c r="A1363" s="52" t="s">
        <v>187</v>
      </c>
      <c r="B1363" s="52"/>
      <c r="C1363" s="52"/>
      <c r="D1363" s="52"/>
      <c r="E1363" s="52"/>
      <c r="F1363" s="52"/>
      <c r="G1363" s="56" t="s">
        <v>188</v>
      </c>
      <c r="H1363" s="56"/>
      <c r="I1363" s="56"/>
      <c r="J1363" s="56"/>
      <c r="K1363" s="56"/>
      <c r="L1363" s="56"/>
      <c r="M1363" s="56"/>
      <c r="N1363" s="56"/>
      <c r="O1363" s="56"/>
      <c r="P1363" s="56"/>
      <c r="Q1363" s="56"/>
      <c r="R1363" s="56"/>
      <c r="S1363" s="56"/>
    </row>
    <row r="1364" spans="1:20" ht="16.5" customHeight="1" x14ac:dyDescent="0.25">
      <c r="A1364" s="52" t="s">
        <v>189</v>
      </c>
      <c r="B1364" s="52"/>
      <c r="C1364" s="52"/>
      <c r="D1364" s="52"/>
      <c r="E1364" s="52"/>
      <c r="F1364" s="52"/>
      <c r="G1364" s="8" t="s">
        <v>46</v>
      </c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T1364" s="2"/>
    </row>
    <row r="1365" spans="1:20" ht="16.5" customHeight="1" x14ac:dyDescent="0.25">
      <c r="A1365" s="52" t="s">
        <v>47</v>
      </c>
      <c r="B1365" s="52"/>
      <c r="C1365" s="52"/>
      <c r="D1365" s="52"/>
      <c r="E1365" s="52"/>
      <c r="F1365" s="52"/>
      <c r="G1365" s="56" t="s">
        <v>48</v>
      </c>
      <c r="H1365" s="56"/>
      <c r="I1365" s="56"/>
      <c r="J1365" s="56"/>
      <c r="K1365" s="56"/>
      <c r="L1365" s="56"/>
      <c r="M1365" s="56"/>
      <c r="N1365" s="56"/>
      <c r="O1365" s="56"/>
      <c r="P1365" s="56"/>
      <c r="Q1365" s="56"/>
      <c r="R1365" s="56"/>
      <c r="S1365" s="56"/>
    </row>
    <row r="1366" spans="1:20" ht="5.25" customHeight="1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19"/>
      <c r="K1366" s="19"/>
      <c r="L1366" s="19"/>
      <c r="M1366" s="19"/>
      <c r="N1366" s="19"/>
      <c r="O1366" s="19"/>
      <c r="P1366" s="19"/>
      <c r="Q1366" s="19"/>
    </row>
    <row r="1367" spans="1:20" ht="15" customHeight="1" x14ac:dyDescent="0.25">
      <c r="A1367" s="35" t="s">
        <v>0</v>
      </c>
      <c r="B1367" s="29" t="s">
        <v>1</v>
      </c>
      <c r="C1367" s="30"/>
      <c r="D1367" s="30"/>
      <c r="E1367" s="30"/>
      <c r="F1367" s="30"/>
      <c r="G1367" s="31"/>
      <c r="H1367" s="35" t="s">
        <v>32</v>
      </c>
      <c r="I1367" s="35" t="s">
        <v>39</v>
      </c>
      <c r="J1367" s="53" t="s">
        <v>2</v>
      </c>
      <c r="K1367" s="54"/>
      <c r="L1367" s="54"/>
      <c r="M1367" s="54"/>
      <c r="N1367" s="54"/>
      <c r="O1367" s="54"/>
      <c r="P1367" s="54"/>
      <c r="Q1367" s="55"/>
      <c r="S1367" s="35" t="s">
        <v>38</v>
      </c>
    </row>
    <row r="1368" spans="1:20" ht="24" customHeight="1" x14ac:dyDescent="0.25">
      <c r="A1368" s="36"/>
      <c r="B1368" s="32"/>
      <c r="C1368" s="33"/>
      <c r="D1368" s="33"/>
      <c r="E1368" s="33"/>
      <c r="F1368" s="33"/>
      <c r="G1368" s="34"/>
      <c r="H1368" s="36"/>
      <c r="I1368" s="36"/>
      <c r="J1368" s="7" t="s">
        <v>28</v>
      </c>
      <c r="K1368" s="7" t="s">
        <v>29</v>
      </c>
      <c r="L1368" s="7" t="s">
        <v>30</v>
      </c>
      <c r="M1368" s="7"/>
      <c r="N1368" s="7"/>
      <c r="O1368" s="6" t="s">
        <v>35</v>
      </c>
      <c r="P1368" s="6" t="s">
        <v>36</v>
      </c>
      <c r="Q1368" s="6" t="s">
        <v>37</v>
      </c>
      <c r="S1368" s="36"/>
    </row>
    <row r="1369" spans="1:20" ht="20.25" customHeight="1" x14ac:dyDescent="0.25">
      <c r="A1369" s="27" t="s">
        <v>50</v>
      </c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</row>
    <row r="1370" spans="1:20" ht="16.5" customHeight="1" x14ac:dyDescent="0.25">
      <c r="A1370" s="9"/>
      <c r="B1370" s="49" t="s">
        <v>56</v>
      </c>
      <c r="C1370" s="50"/>
      <c r="D1370" s="50"/>
      <c r="E1370" s="50"/>
      <c r="F1370" s="50"/>
      <c r="G1370" s="51"/>
      <c r="H1370" s="20"/>
      <c r="I1370" s="9">
        <v>2</v>
      </c>
      <c r="J1370" s="9"/>
      <c r="K1370" s="9"/>
      <c r="L1370" s="9"/>
      <c r="M1370" s="9">
        <f t="shared" ref="M1370:M1378" si="168">I1370*O1370</f>
        <v>14.8</v>
      </c>
      <c r="N1370" s="9">
        <f t="shared" ref="N1370:N1378" si="169">I1370*P1370</f>
        <v>6</v>
      </c>
      <c r="O1370" s="9">
        <v>7.4</v>
      </c>
      <c r="P1370" s="9">
        <v>3</v>
      </c>
      <c r="Q1370" s="9" t="s">
        <v>6</v>
      </c>
      <c r="R1370" s="1">
        <v>0</v>
      </c>
      <c r="S1370" s="26"/>
    </row>
    <row r="1371" spans="1:20" ht="16.5" customHeight="1" x14ac:dyDescent="0.25">
      <c r="A1371" s="9"/>
      <c r="B1371" s="49" t="s">
        <v>78</v>
      </c>
      <c r="C1371" s="50"/>
      <c r="D1371" s="50"/>
      <c r="E1371" s="50"/>
      <c r="F1371" s="50"/>
      <c r="G1371" s="51"/>
      <c r="H1371" s="20"/>
      <c r="I1371" s="9">
        <v>3</v>
      </c>
      <c r="J1371" s="9"/>
      <c r="K1371" s="9"/>
      <c r="L1371" s="9"/>
      <c r="M1371" s="9">
        <f t="shared" si="168"/>
        <v>15.899999999999999</v>
      </c>
      <c r="N1371" s="9">
        <f t="shared" si="169"/>
        <v>4.5</v>
      </c>
      <c r="O1371" s="9">
        <v>5.3</v>
      </c>
      <c r="P1371" s="9">
        <v>1.5</v>
      </c>
      <c r="Q1371" s="9" t="s">
        <v>4</v>
      </c>
      <c r="R1371" s="1">
        <v>0</v>
      </c>
      <c r="S1371" s="26"/>
    </row>
    <row r="1372" spans="1:20" ht="31.2" customHeight="1" x14ac:dyDescent="0.25">
      <c r="A1372" s="9"/>
      <c r="B1372" s="49" t="s">
        <v>53</v>
      </c>
      <c r="C1372" s="50"/>
      <c r="D1372" s="50"/>
      <c r="E1372" s="50"/>
      <c r="F1372" s="50"/>
      <c r="G1372" s="51"/>
      <c r="H1372" s="20"/>
      <c r="I1372" s="9">
        <v>3</v>
      </c>
      <c r="J1372" s="9"/>
      <c r="K1372" s="9"/>
      <c r="L1372" s="9"/>
      <c r="M1372" s="9">
        <f t="shared" si="168"/>
        <v>22.799999999999997</v>
      </c>
      <c r="N1372" s="9">
        <f t="shared" si="169"/>
        <v>9</v>
      </c>
      <c r="O1372" s="9">
        <v>7.6</v>
      </c>
      <c r="P1372" s="9">
        <v>3</v>
      </c>
      <c r="Q1372" s="9" t="s">
        <v>6</v>
      </c>
      <c r="R1372" s="1">
        <v>0</v>
      </c>
      <c r="S1372" s="26"/>
    </row>
    <row r="1373" spans="1:20" ht="16.5" customHeight="1" x14ac:dyDescent="0.25">
      <c r="A1373" s="9"/>
      <c r="B1373" s="49" t="s">
        <v>52</v>
      </c>
      <c r="C1373" s="50"/>
      <c r="D1373" s="50"/>
      <c r="E1373" s="50"/>
      <c r="F1373" s="50"/>
      <c r="G1373" s="51"/>
      <c r="H1373" s="20"/>
      <c r="I1373" s="9">
        <v>1</v>
      </c>
      <c r="J1373" s="9"/>
      <c r="K1373" s="9"/>
      <c r="L1373" s="9"/>
      <c r="M1373" s="9">
        <f t="shared" si="168"/>
        <v>6.8</v>
      </c>
      <c r="N1373" s="9">
        <f t="shared" si="169"/>
        <v>2.5</v>
      </c>
      <c r="O1373" s="9">
        <v>6.8</v>
      </c>
      <c r="P1373" s="9">
        <v>2.5</v>
      </c>
      <c r="Q1373" s="9" t="s">
        <v>5</v>
      </c>
      <c r="R1373" s="1">
        <v>0</v>
      </c>
      <c r="S1373" s="26"/>
    </row>
    <row r="1374" spans="1:20" ht="16.5" customHeight="1" x14ac:dyDescent="0.25">
      <c r="A1374" s="9"/>
      <c r="B1374" s="49" t="s">
        <v>55</v>
      </c>
      <c r="C1374" s="50"/>
      <c r="D1374" s="50"/>
      <c r="E1374" s="50"/>
      <c r="F1374" s="50"/>
      <c r="G1374" s="51"/>
      <c r="H1374" s="20"/>
      <c r="I1374" s="9">
        <v>1</v>
      </c>
      <c r="J1374" s="9"/>
      <c r="K1374" s="9"/>
      <c r="L1374" s="9"/>
      <c r="M1374" s="9">
        <f t="shared" si="168"/>
        <v>5.9</v>
      </c>
      <c r="N1374" s="9">
        <f t="shared" si="169"/>
        <v>2</v>
      </c>
      <c r="O1374" s="9">
        <v>5.9</v>
      </c>
      <c r="P1374" s="9">
        <v>2</v>
      </c>
      <c r="Q1374" s="9" t="s">
        <v>3</v>
      </c>
      <c r="R1374" s="1">
        <v>0</v>
      </c>
      <c r="S1374" s="26"/>
    </row>
    <row r="1375" spans="1:20" ht="16.5" customHeight="1" x14ac:dyDescent="0.25">
      <c r="A1375" s="9"/>
      <c r="B1375" s="49" t="s">
        <v>54</v>
      </c>
      <c r="C1375" s="50"/>
      <c r="D1375" s="50"/>
      <c r="E1375" s="50"/>
      <c r="F1375" s="50"/>
      <c r="G1375" s="51"/>
      <c r="H1375" s="20"/>
      <c r="I1375" s="9">
        <v>3</v>
      </c>
      <c r="J1375" s="9"/>
      <c r="K1375" s="9"/>
      <c r="L1375" s="9"/>
      <c r="M1375" s="9">
        <f t="shared" si="168"/>
        <v>21.9</v>
      </c>
      <c r="N1375" s="9">
        <f t="shared" si="169"/>
        <v>9</v>
      </c>
      <c r="O1375" s="9">
        <v>7.3</v>
      </c>
      <c r="P1375" s="9">
        <v>3</v>
      </c>
      <c r="Q1375" s="9" t="s">
        <v>6</v>
      </c>
      <c r="R1375" s="1">
        <v>0</v>
      </c>
      <c r="S1375" s="26"/>
    </row>
    <row r="1376" spans="1:20" ht="16.5" customHeight="1" x14ac:dyDescent="0.25">
      <c r="A1376" s="9"/>
      <c r="B1376" s="49" t="s">
        <v>51</v>
      </c>
      <c r="C1376" s="50"/>
      <c r="D1376" s="50"/>
      <c r="E1376" s="50"/>
      <c r="F1376" s="50"/>
      <c r="G1376" s="51"/>
      <c r="H1376" s="20"/>
      <c r="I1376" s="9">
        <v>1</v>
      </c>
      <c r="J1376" s="9"/>
      <c r="K1376" s="9"/>
      <c r="L1376" s="9"/>
      <c r="M1376" s="9">
        <f t="shared" si="168"/>
        <v>8.1999999999999993</v>
      </c>
      <c r="N1376" s="9">
        <f t="shared" si="169"/>
        <v>3.5</v>
      </c>
      <c r="O1376" s="9">
        <v>8.1999999999999993</v>
      </c>
      <c r="P1376" s="9">
        <v>3.5</v>
      </c>
      <c r="Q1376" s="9" t="s">
        <v>9</v>
      </c>
      <c r="R1376" s="1">
        <v>0</v>
      </c>
      <c r="S1376" s="26"/>
    </row>
    <row r="1377" spans="1:19" ht="16.5" hidden="1" customHeight="1" x14ac:dyDescent="0.25">
      <c r="A1377" s="21"/>
      <c r="H1377" s="21"/>
      <c r="I1377" s="21"/>
      <c r="J1377" s="21"/>
      <c r="K1377" s="21"/>
      <c r="L1377" s="21"/>
      <c r="M1377" s="9">
        <f t="shared" si="168"/>
        <v>0</v>
      </c>
      <c r="N1377" s="9">
        <f t="shared" si="169"/>
        <v>0</v>
      </c>
      <c r="O1377" s="21"/>
      <c r="P1377" s="21"/>
      <c r="Q1377" s="21"/>
      <c r="S1377" s="25"/>
    </row>
    <row r="1378" spans="1:19" ht="16.5" customHeight="1" x14ac:dyDescent="0.25">
      <c r="A1378" s="9"/>
      <c r="B1378" s="38" t="s">
        <v>42</v>
      </c>
      <c r="C1378" s="39"/>
      <c r="D1378" s="39"/>
      <c r="E1378" s="39"/>
      <c r="F1378" s="39"/>
      <c r="G1378" s="40"/>
      <c r="H1378" s="23"/>
      <c r="I1378" s="24">
        <f>SUM(I1370:I1377)</f>
        <v>14</v>
      </c>
      <c r="J1378" s="9"/>
      <c r="K1378" s="9"/>
      <c r="L1378" s="9"/>
      <c r="M1378" s="9">
        <f t="shared" si="168"/>
        <v>96.32</v>
      </c>
      <c r="N1378" s="9">
        <f t="shared" si="169"/>
        <v>36.54</v>
      </c>
      <c r="O1378" s="24">
        <f>ROUND(SUM(M1370:M1377)/I1378,2)</f>
        <v>6.88</v>
      </c>
      <c r="P1378" s="24">
        <f>ROUND(SUM(N1370:N1377)/I1378,2)</f>
        <v>2.61</v>
      </c>
      <c r="Q1378" s="9"/>
      <c r="S1378" s="25"/>
    </row>
    <row r="1379" spans="1:19" ht="20.25" customHeight="1" x14ac:dyDescent="0.25">
      <c r="A1379" s="27" t="s">
        <v>57</v>
      </c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</row>
    <row r="1380" spans="1:19" ht="16.5" customHeight="1" x14ac:dyDescent="0.25">
      <c r="A1380" s="9"/>
      <c r="B1380" s="49" t="s">
        <v>136</v>
      </c>
      <c r="C1380" s="50"/>
      <c r="D1380" s="50"/>
      <c r="E1380" s="50"/>
      <c r="F1380" s="50"/>
      <c r="G1380" s="51"/>
      <c r="H1380" s="20"/>
      <c r="I1380" s="9">
        <v>4</v>
      </c>
      <c r="J1380" s="9"/>
      <c r="K1380" s="9"/>
      <c r="L1380" s="9"/>
      <c r="M1380" s="9">
        <f t="shared" ref="M1380:M1388" si="170">I1380*O1380</f>
        <v>21.2</v>
      </c>
      <c r="N1380" s="9">
        <f t="shared" ref="N1380:N1388" si="171">I1380*P1380</f>
        <v>6</v>
      </c>
      <c r="O1380" s="9">
        <v>5.3</v>
      </c>
      <c r="P1380" s="9">
        <v>1.5</v>
      </c>
      <c r="Q1380" s="9" t="s">
        <v>4</v>
      </c>
      <c r="R1380" s="1">
        <v>0</v>
      </c>
      <c r="S1380" s="26"/>
    </row>
    <row r="1381" spans="1:19" ht="16.5" customHeight="1" x14ac:dyDescent="0.25">
      <c r="A1381" s="9"/>
      <c r="B1381" s="49" t="s">
        <v>91</v>
      </c>
      <c r="C1381" s="50"/>
      <c r="D1381" s="50"/>
      <c r="E1381" s="50"/>
      <c r="F1381" s="50"/>
      <c r="G1381" s="51"/>
      <c r="H1381" s="20"/>
      <c r="I1381" s="9">
        <v>4</v>
      </c>
      <c r="J1381" s="9"/>
      <c r="K1381" s="9"/>
      <c r="L1381" s="9"/>
      <c r="M1381" s="9">
        <f t="shared" si="170"/>
        <v>19.2</v>
      </c>
      <c r="N1381" s="9">
        <f t="shared" si="171"/>
        <v>4</v>
      </c>
      <c r="O1381" s="9">
        <v>4.8</v>
      </c>
      <c r="P1381" s="9">
        <v>1</v>
      </c>
      <c r="Q1381" s="9" t="s">
        <v>8</v>
      </c>
      <c r="R1381" s="1">
        <v>0</v>
      </c>
      <c r="S1381" s="26"/>
    </row>
    <row r="1382" spans="1:19" ht="16.5" customHeight="1" x14ac:dyDescent="0.25">
      <c r="A1382" s="9"/>
      <c r="B1382" s="49" t="s">
        <v>60</v>
      </c>
      <c r="C1382" s="50"/>
      <c r="D1382" s="50"/>
      <c r="E1382" s="50"/>
      <c r="F1382" s="50"/>
      <c r="G1382" s="51"/>
      <c r="H1382" s="20"/>
      <c r="I1382" s="9">
        <v>4</v>
      </c>
      <c r="J1382" s="9"/>
      <c r="K1382" s="9"/>
      <c r="L1382" s="9"/>
      <c r="M1382" s="9">
        <f t="shared" si="170"/>
        <v>23.6</v>
      </c>
      <c r="N1382" s="9">
        <f t="shared" si="171"/>
        <v>8</v>
      </c>
      <c r="O1382" s="9">
        <v>5.9</v>
      </c>
      <c r="P1382" s="9">
        <v>2</v>
      </c>
      <c r="Q1382" s="9" t="s">
        <v>3</v>
      </c>
      <c r="R1382" s="1">
        <v>0</v>
      </c>
      <c r="S1382" s="26"/>
    </row>
    <row r="1383" spans="1:19" ht="16.5" customHeight="1" x14ac:dyDescent="0.25">
      <c r="A1383" s="9"/>
      <c r="B1383" s="49" t="s">
        <v>59</v>
      </c>
      <c r="C1383" s="50"/>
      <c r="D1383" s="50"/>
      <c r="E1383" s="50"/>
      <c r="F1383" s="50"/>
      <c r="G1383" s="51"/>
      <c r="H1383" s="20"/>
      <c r="I1383" s="9">
        <v>1</v>
      </c>
      <c r="J1383" s="9"/>
      <c r="K1383" s="9"/>
      <c r="L1383" s="9"/>
      <c r="M1383" s="9">
        <f t="shared" si="170"/>
        <v>6.5</v>
      </c>
      <c r="N1383" s="9">
        <f t="shared" si="171"/>
        <v>2.5</v>
      </c>
      <c r="O1383" s="9">
        <v>6.5</v>
      </c>
      <c r="P1383" s="9">
        <v>2.5</v>
      </c>
      <c r="Q1383" s="9" t="s">
        <v>5</v>
      </c>
      <c r="R1383" s="1">
        <v>0</v>
      </c>
      <c r="S1383" s="26"/>
    </row>
    <row r="1384" spans="1:19" ht="16.5" customHeight="1" x14ac:dyDescent="0.25">
      <c r="A1384" s="9"/>
      <c r="B1384" s="49" t="s">
        <v>58</v>
      </c>
      <c r="C1384" s="50"/>
      <c r="D1384" s="50"/>
      <c r="E1384" s="50"/>
      <c r="F1384" s="50"/>
      <c r="G1384" s="51"/>
      <c r="H1384" s="20"/>
      <c r="I1384" s="9">
        <v>1</v>
      </c>
      <c r="J1384" s="9"/>
      <c r="K1384" s="9"/>
      <c r="L1384" s="9"/>
      <c r="M1384" s="9">
        <f t="shared" si="170"/>
        <v>7.3</v>
      </c>
      <c r="N1384" s="9">
        <f t="shared" si="171"/>
        <v>3</v>
      </c>
      <c r="O1384" s="9">
        <v>7.3</v>
      </c>
      <c r="P1384" s="9">
        <v>3</v>
      </c>
      <c r="Q1384" s="9" t="s">
        <v>6</v>
      </c>
      <c r="R1384" s="1">
        <v>0</v>
      </c>
      <c r="S1384" s="26"/>
    </row>
    <row r="1385" spans="1:19" ht="16.5" customHeight="1" x14ac:dyDescent="0.25">
      <c r="A1385" s="9"/>
      <c r="B1385" s="49" t="s">
        <v>61</v>
      </c>
      <c r="C1385" s="50"/>
      <c r="D1385" s="50"/>
      <c r="E1385" s="50"/>
      <c r="F1385" s="50"/>
      <c r="G1385" s="51"/>
      <c r="H1385" s="20"/>
      <c r="I1385" s="9">
        <v>1</v>
      </c>
      <c r="J1385" s="9"/>
      <c r="K1385" s="9"/>
      <c r="L1385" s="9"/>
      <c r="M1385" s="9">
        <f t="shared" si="170"/>
        <v>7.1</v>
      </c>
      <c r="N1385" s="9">
        <f t="shared" si="171"/>
        <v>3</v>
      </c>
      <c r="O1385" s="9">
        <v>7.1</v>
      </c>
      <c r="P1385" s="9">
        <v>3</v>
      </c>
      <c r="Q1385" s="9" t="s">
        <v>6</v>
      </c>
      <c r="R1385" s="1">
        <v>0</v>
      </c>
      <c r="S1385" s="26"/>
    </row>
    <row r="1386" spans="1:19" ht="16.5" customHeight="1" x14ac:dyDescent="0.25">
      <c r="A1386" s="9"/>
      <c r="B1386" s="49" t="s">
        <v>62</v>
      </c>
      <c r="C1386" s="50"/>
      <c r="D1386" s="50"/>
      <c r="E1386" s="50"/>
      <c r="F1386" s="50"/>
      <c r="G1386" s="51"/>
      <c r="H1386" s="20"/>
      <c r="I1386" s="9">
        <v>1</v>
      </c>
      <c r="J1386" s="9"/>
      <c r="K1386" s="9"/>
      <c r="L1386" s="9"/>
      <c r="M1386" s="9">
        <f t="shared" si="170"/>
        <v>7</v>
      </c>
      <c r="N1386" s="9">
        <f t="shared" si="171"/>
        <v>3</v>
      </c>
      <c r="O1386" s="9">
        <v>7</v>
      </c>
      <c r="P1386" s="9">
        <v>3</v>
      </c>
      <c r="Q1386" s="9" t="s">
        <v>6</v>
      </c>
      <c r="R1386" s="1">
        <v>0</v>
      </c>
      <c r="S1386" s="26"/>
    </row>
    <row r="1387" spans="1:19" ht="16.5" hidden="1" customHeight="1" x14ac:dyDescent="0.25">
      <c r="A1387" s="21"/>
      <c r="H1387" s="21"/>
      <c r="I1387" s="21"/>
      <c r="J1387" s="21"/>
      <c r="K1387" s="21"/>
      <c r="L1387" s="21"/>
      <c r="M1387" s="9">
        <f t="shared" si="170"/>
        <v>0</v>
      </c>
      <c r="N1387" s="9">
        <f t="shared" si="171"/>
        <v>0</v>
      </c>
      <c r="O1387" s="21"/>
      <c r="P1387" s="21"/>
      <c r="Q1387" s="21"/>
      <c r="S1387" s="25"/>
    </row>
    <row r="1388" spans="1:19" ht="16.5" customHeight="1" x14ac:dyDescent="0.25">
      <c r="A1388" s="9"/>
      <c r="B1388" s="38" t="s">
        <v>42</v>
      </c>
      <c r="C1388" s="39"/>
      <c r="D1388" s="39"/>
      <c r="E1388" s="39"/>
      <c r="F1388" s="39"/>
      <c r="G1388" s="40"/>
      <c r="H1388" s="23"/>
      <c r="I1388" s="24">
        <f>SUM(I1380:I1387)</f>
        <v>16</v>
      </c>
      <c r="J1388" s="9"/>
      <c r="K1388" s="9"/>
      <c r="L1388" s="9"/>
      <c r="M1388" s="9">
        <f t="shared" si="170"/>
        <v>91.84</v>
      </c>
      <c r="N1388" s="9">
        <f t="shared" si="171"/>
        <v>29.44</v>
      </c>
      <c r="O1388" s="24">
        <f>ROUND(SUM(M1380:M1387)/I1388,2)</f>
        <v>5.74</v>
      </c>
      <c r="P1388" s="24">
        <f>ROUND(SUM(N1380:N1387)/I1388,2)</f>
        <v>1.84</v>
      </c>
      <c r="Q1388" s="9"/>
      <c r="S1388" s="25"/>
    </row>
    <row r="1389" spans="1:19" ht="20.25" customHeight="1" x14ac:dyDescent="0.25">
      <c r="A1389" s="27" t="s">
        <v>67</v>
      </c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</row>
    <row r="1390" spans="1:19" ht="16.5" customHeight="1" x14ac:dyDescent="0.25">
      <c r="A1390" s="9"/>
      <c r="B1390" s="49" t="s">
        <v>73</v>
      </c>
      <c r="C1390" s="50"/>
      <c r="D1390" s="50"/>
      <c r="E1390" s="50"/>
      <c r="F1390" s="50"/>
      <c r="G1390" s="51"/>
      <c r="H1390" s="20"/>
      <c r="I1390" s="9">
        <v>4</v>
      </c>
      <c r="J1390" s="9"/>
      <c r="K1390" s="9"/>
      <c r="L1390" s="9"/>
      <c r="M1390" s="9">
        <f t="shared" ref="M1390:M1400" si="172">I1390*O1390</f>
        <v>29.2</v>
      </c>
      <c r="N1390" s="9">
        <f t="shared" ref="N1390:N1400" si="173">I1390*P1390</f>
        <v>12</v>
      </c>
      <c r="O1390" s="9">
        <v>7.3</v>
      </c>
      <c r="P1390" s="9">
        <v>3</v>
      </c>
      <c r="Q1390" s="9" t="s">
        <v>6</v>
      </c>
      <c r="R1390" s="1">
        <v>0</v>
      </c>
      <c r="S1390" s="26"/>
    </row>
    <row r="1391" spans="1:19" ht="16.5" customHeight="1" x14ac:dyDescent="0.25">
      <c r="A1391" s="9"/>
      <c r="B1391" s="49" t="s">
        <v>68</v>
      </c>
      <c r="C1391" s="50"/>
      <c r="D1391" s="50"/>
      <c r="E1391" s="50"/>
      <c r="F1391" s="50"/>
      <c r="G1391" s="51"/>
      <c r="H1391" s="20"/>
      <c r="I1391" s="9">
        <v>3</v>
      </c>
      <c r="J1391" s="9"/>
      <c r="K1391" s="9"/>
      <c r="L1391" s="9"/>
      <c r="M1391" s="9">
        <f t="shared" si="172"/>
        <v>21.9</v>
      </c>
      <c r="N1391" s="9">
        <f t="shared" si="173"/>
        <v>9</v>
      </c>
      <c r="O1391" s="9">
        <v>7.3</v>
      </c>
      <c r="P1391" s="9">
        <v>3</v>
      </c>
      <c r="Q1391" s="9" t="s">
        <v>6</v>
      </c>
      <c r="R1391" s="1">
        <v>0</v>
      </c>
      <c r="S1391" s="26"/>
    </row>
    <row r="1392" spans="1:19" ht="16.5" customHeight="1" x14ac:dyDescent="0.25">
      <c r="A1392" s="9"/>
      <c r="B1392" s="49" t="s">
        <v>71</v>
      </c>
      <c r="C1392" s="50"/>
      <c r="D1392" s="50"/>
      <c r="E1392" s="50"/>
      <c r="F1392" s="50"/>
      <c r="G1392" s="51"/>
      <c r="H1392" s="20"/>
      <c r="I1392" s="9">
        <v>1</v>
      </c>
      <c r="J1392" s="9"/>
      <c r="K1392" s="9"/>
      <c r="L1392" s="9"/>
      <c r="M1392" s="9">
        <f t="shared" si="172"/>
        <v>6.2</v>
      </c>
      <c r="N1392" s="9">
        <f t="shared" si="173"/>
        <v>2</v>
      </c>
      <c r="O1392" s="9">
        <v>6.2</v>
      </c>
      <c r="P1392" s="9">
        <v>2</v>
      </c>
      <c r="Q1392" s="9" t="s">
        <v>3</v>
      </c>
      <c r="R1392" s="1">
        <v>0</v>
      </c>
      <c r="S1392" s="26"/>
    </row>
    <row r="1393" spans="1:19" ht="16.5" customHeight="1" x14ac:dyDescent="0.25">
      <c r="A1393" s="9"/>
      <c r="B1393" s="49" t="s">
        <v>70</v>
      </c>
      <c r="C1393" s="50"/>
      <c r="D1393" s="50"/>
      <c r="E1393" s="50"/>
      <c r="F1393" s="50"/>
      <c r="G1393" s="51"/>
      <c r="H1393" s="20"/>
      <c r="I1393" s="9">
        <v>2</v>
      </c>
      <c r="J1393" s="9"/>
      <c r="K1393" s="9"/>
      <c r="L1393" s="9"/>
      <c r="M1393" s="9">
        <f t="shared" si="172"/>
        <v>14</v>
      </c>
      <c r="N1393" s="9">
        <f t="shared" si="173"/>
        <v>6</v>
      </c>
      <c r="O1393" s="9">
        <v>7</v>
      </c>
      <c r="P1393" s="9">
        <v>3</v>
      </c>
      <c r="Q1393" s="9" t="s">
        <v>6</v>
      </c>
      <c r="R1393" s="1">
        <v>0</v>
      </c>
      <c r="S1393" s="26"/>
    </row>
    <row r="1394" spans="1:19" ht="16.5" customHeight="1" x14ac:dyDescent="0.25">
      <c r="A1394" s="9"/>
      <c r="B1394" s="49" t="s">
        <v>77</v>
      </c>
      <c r="C1394" s="50"/>
      <c r="D1394" s="50"/>
      <c r="E1394" s="50"/>
      <c r="F1394" s="50"/>
      <c r="G1394" s="51"/>
      <c r="H1394" s="20"/>
      <c r="I1394" s="9">
        <v>1</v>
      </c>
      <c r="J1394" s="9"/>
      <c r="K1394" s="9"/>
      <c r="L1394" s="9"/>
      <c r="M1394" s="9">
        <f t="shared" si="172"/>
        <v>4.5999999999999996</v>
      </c>
      <c r="N1394" s="9">
        <f t="shared" si="173"/>
        <v>1</v>
      </c>
      <c r="O1394" s="9">
        <v>4.5999999999999996</v>
      </c>
      <c r="P1394" s="9">
        <v>1</v>
      </c>
      <c r="Q1394" s="9" t="s">
        <v>8</v>
      </c>
      <c r="R1394" s="1">
        <v>0</v>
      </c>
      <c r="S1394" s="26"/>
    </row>
    <row r="1395" spans="1:19" ht="16.5" customHeight="1" x14ac:dyDescent="0.25">
      <c r="A1395" s="9"/>
      <c r="B1395" s="49" t="s">
        <v>72</v>
      </c>
      <c r="C1395" s="50"/>
      <c r="D1395" s="50"/>
      <c r="E1395" s="50"/>
      <c r="F1395" s="50"/>
      <c r="G1395" s="51"/>
      <c r="H1395" s="20"/>
      <c r="I1395" s="9">
        <v>4</v>
      </c>
      <c r="J1395" s="9"/>
      <c r="K1395" s="9"/>
      <c r="L1395" s="9"/>
      <c r="M1395" s="9">
        <f t="shared" si="172"/>
        <v>24.4</v>
      </c>
      <c r="N1395" s="9">
        <f t="shared" si="173"/>
        <v>8</v>
      </c>
      <c r="O1395" s="9">
        <v>6.1</v>
      </c>
      <c r="P1395" s="9">
        <v>2</v>
      </c>
      <c r="Q1395" s="9" t="s">
        <v>3</v>
      </c>
      <c r="R1395" s="1">
        <v>0</v>
      </c>
      <c r="S1395" s="26"/>
    </row>
    <row r="1396" spans="1:19" ht="16.5" customHeight="1" x14ac:dyDescent="0.25">
      <c r="A1396" s="9"/>
      <c r="B1396" s="49" t="s">
        <v>74</v>
      </c>
      <c r="C1396" s="50"/>
      <c r="D1396" s="50"/>
      <c r="E1396" s="50"/>
      <c r="F1396" s="50"/>
      <c r="G1396" s="51"/>
      <c r="H1396" s="20"/>
      <c r="I1396" s="9">
        <v>3</v>
      </c>
      <c r="J1396" s="9"/>
      <c r="K1396" s="9"/>
      <c r="L1396" s="9"/>
      <c r="M1396" s="9">
        <f t="shared" si="172"/>
        <v>19.200000000000003</v>
      </c>
      <c r="N1396" s="9">
        <f t="shared" si="173"/>
        <v>6</v>
      </c>
      <c r="O1396" s="9">
        <v>6.4</v>
      </c>
      <c r="P1396" s="9">
        <v>2</v>
      </c>
      <c r="Q1396" s="9" t="s">
        <v>3</v>
      </c>
      <c r="R1396" s="1">
        <v>0</v>
      </c>
      <c r="S1396" s="26"/>
    </row>
    <row r="1397" spans="1:19" ht="16.5" customHeight="1" x14ac:dyDescent="0.25">
      <c r="A1397" s="9"/>
      <c r="B1397" s="49" t="s">
        <v>76</v>
      </c>
      <c r="C1397" s="50"/>
      <c r="D1397" s="50"/>
      <c r="E1397" s="50"/>
      <c r="F1397" s="50"/>
      <c r="G1397" s="51"/>
      <c r="H1397" s="20"/>
      <c r="I1397" s="9">
        <v>4</v>
      </c>
      <c r="J1397" s="9"/>
      <c r="K1397" s="9"/>
      <c r="L1397" s="9"/>
      <c r="M1397" s="9">
        <f t="shared" si="172"/>
        <v>21.2</v>
      </c>
      <c r="N1397" s="9">
        <f t="shared" si="173"/>
        <v>6</v>
      </c>
      <c r="O1397" s="9">
        <v>5.3</v>
      </c>
      <c r="P1397" s="9">
        <v>1.5</v>
      </c>
      <c r="Q1397" s="9" t="s">
        <v>4</v>
      </c>
      <c r="R1397" s="1">
        <v>0</v>
      </c>
      <c r="S1397" s="26"/>
    </row>
    <row r="1398" spans="1:19" ht="16.5" customHeight="1" x14ac:dyDescent="0.25">
      <c r="A1398" s="9"/>
      <c r="B1398" s="49" t="s">
        <v>80</v>
      </c>
      <c r="C1398" s="50"/>
      <c r="D1398" s="50"/>
      <c r="E1398" s="50"/>
      <c r="F1398" s="50"/>
      <c r="G1398" s="51"/>
      <c r="H1398" s="20"/>
      <c r="I1398" s="9">
        <v>4</v>
      </c>
      <c r="J1398" s="9"/>
      <c r="K1398" s="9"/>
      <c r="L1398" s="9"/>
      <c r="M1398" s="9">
        <f t="shared" si="172"/>
        <v>22.8</v>
      </c>
      <c r="N1398" s="9">
        <f t="shared" si="173"/>
        <v>8</v>
      </c>
      <c r="O1398" s="9">
        <v>5.7</v>
      </c>
      <c r="P1398" s="9">
        <v>2</v>
      </c>
      <c r="Q1398" s="9" t="s">
        <v>3</v>
      </c>
      <c r="R1398" s="1">
        <v>0</v>
      </c>
      <c r="S1398" s="26"/>
    </row>
    <row r="1399" spans="1:19" ht="16.5" hidden="1" customHeight="1" x14ac:dyDescent="0.25">
      <c r="A1399" s="21"/>
      <c r="H1399" s="21"/>
      <c r="I1399" s="21"/>
      <c r="J1399" s="21"/>
      <c r="K1399" s="21"/>
      <c r="L1399" s="21"/>
      <c r="M1399" s="9">
        <f t="shared" si="172"/>
        <v>0</v>
      </c>
      <c r="N1399" s="9">
        <f t="shared" si="173"/>
        <v>0</v>
      </c>
      <c r="O1399" s="21"/>
      <c r="P1399" s="21"/>
      <c r="Q1399" s="21"/>
      <c r="S1399" s="25"/>
    </row>
    <row r="1400" spans="1:19" ht="16.5" customHeight="1" x14ac:dyDescent="0.25">
      <c r="A1400" s="9"/>
      <c r="B1400" s="38" t="s">
        <v>42</v>
      </c>
      <c r="C1400" s="39"/>
      <c r="D1400" s="39"/>
      <c r="E1400" s="39"/>
      <c r="F1400" s="39"/>
      <c r="G1400" s="40"/>
      <c r="H1400" s="23"/>
      <c r="I1400" s="24">
        <f>SUM(I1390:I1399)</f>
        <v>26</v>
      </c>
      <c r="J1400" s="9"/>
      <c r="K1400" s="9"/>
      <c r="L1400" s="9"/>
      <c r="M1400" s="9">
        <f t="shared" si="172"/>
        <v>163.54</v>
      </c>
      <c r="N1400" s="9">
        <f t="shared" si="173"/>
        <v>57.98</v>
      </c>
      <c r="O1400" s="24">
        <f>ROUND(SUM(M1390:M1399)/I1400,2)</f>
        <v>6.29</v>
      </c>
      <c r="P1400" s="24">
        <f>ROUND(SUM(N1390:N1399)/I1400,2)</f>
        <v>2.23</v>
      </c>
      <c r="Q1400" s="9"/>
      <c r="S1400" s="25"/>
    </row>
    <row r="1401" spans="1:19" ht="20.25" customHeight="1" x14ac:dyDescent="0.25">
      <c r="A1401" s="27" t="s">
        <v>82</v>
      </c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</row>
    <row r="1402" spans="1:19" ht="16.5" customHeight="1" x14ac:dyDescent="0.25">
      <c r="A1402" s="9"/>
      <c r="B1402" s="49" t="s">
        <v>86</v>
      </c>
      <c r="C1402" s="50"/>
      <c r="D1402" s="50"/>
      <c r="E1402" s="50"/>
      <c r="F1402" s="50"/>
      <c r="G1402" s="51"/>
      <c r="H1402" s="20"/>
      <c r="I1402" s="9">
        <v>3</v>
      </c>
      <c r="J1402" s="9"/>
      <c r="K1402" s="9"/>
      <c r="L1402" s="9"/>
      <c r="M1402" s="9">
        <f>I1402*O1402</f>
        <v>18</v>
      </c>
      <c r="N1402" s="9">
        <f>I1402*P1402</f>
        <v>6</v>
      </c>
      <c r="O1402" s="9">
        <v>6</v>
      </c>
      <c r="P1402" s="9">
        <v>2</v>
      </c>
      <c r="Q1402" s="9" t="s">
        <v>3</v>
      </c>
      <c r="R1402" s="1">
        <v>0</v>
      </c>
      <c r="S1402" s="26"/>
    </row>
    <row r="1403" spans="1:19" ht="16.5" customHeight="1" x14ac:dyDescent="0.25">
      <c r="A1403" s="9"/>
      <c r="B1403" s="49" t="s">
        <v>83</v>
      </c>
      <c r="C1403" s="50"/>
      <c r="D1403" s="50"/>
      <c r="E1403" s="50"/>
      <c r="F1403" s="50"/>
      <c r="G1403" s="51"/>
      <c r="H1403" s="20"/>
      <c r="I1403" s="9">
        <v>1</v>
      </c>
      <c r="J1403" s="9"/>
      <c r="K1403" s="9"/>
      <c r="L1403" s="9"/>
      <c r="M1403" s="9">
        <f>I1403*O1403</f>
        <v>7.3</v>
      </c>
      <c r="N1403" s="9">
        <f>I1403*P1403</f>
        <v>3</v>
      </c>
      <c r="O1403" s="9">
        <v>7.3</v>
      </c>
      <c r="P1403" s="9">
        <v>3</v>
      </c>
      <c r="Q1403" s="9" t="s">
        <v>6</v>
      </c>
      <c r="R1403" s="1">
        <v>0</v>
      </c>
      <c r="S1403" s="26"/>
    </row>
    <row r="1404" spans="1:19" ht="16.5" customHeight="1" x14ac:dyDescent="0.25">
      <c r="A1404" s="9"/>
      <c r="B1404" s="49" t="s">
        <v>75</v>
      </c>
      <c r="C1404" s="50"/>
      <c r="D1404" s="50"/>
      <c r="E1404" s="50"/>
      <c r="F1404" s="50"/>
      <c r="G1404" s="51"/>
      <c r="H1404" s="20"/>
      <c r="I1404" s="9">
        <v>3</v>
      </c>
      <c r="J1404" s="9"/>
      <c r="K1404" s="9"/>
      <c r="L1404" s="9"/>
      <c r="M1404" s="9">
        <f>I1404*O1404</f>
        <v>19.5</v>
      </c>
      <c r="N1404" s="9">
        <f>I1404*P1404</f>
        <v>7.5</v>
      </c>
      <c r="O1404" s="9">
        <v>6.5</v>
      </c>
      <c r="P1404" s="9">
        <v>2.5</v>
      </c>
      <c r="Q1404" s="9" t="s">
        <v>5</v>
      </c>
      <c r="R1404" s="1">
        <v>0</v>
      </c>
      <c r="S1404" s="26"/>
    </row>
    <row r="1405" spans="1:19" ht="16.5" customHeight="1" x14ac:dyDescent="0.25">
      <c r="A1405" s="9"/>
      <c r="B1405" s="49" t="s">
        <v>93</v>
      </c>
      <c r="C1405" s="50"/>
      <c r="D1405" s="50"/>
      <c r="E1405" s="50"/>
      <c r="F1405" s="50"/>
      <c r="G1405" s="51"/>
      <c r="H1405" s="20"/>
      <c r="I1405" s="9">
        <v>2</v>
      </c>
      <c r="J1405" s="9"/>
      <c r="K1405" s="9"/>
      <c r="L1405" s="9"/>
      <c r="M1405" s="9">
        <f>I1405*O1405</f>
        <v>15.8</v>
      </c>
      <c r="N1405" s="9">
        <f>I1405*P1405</f>
        <v>6</v>
      </c>
      <c r="O1405" s="9">
        <v>7.9</v>
      </c>
      <c r="P1405" s="9">
        <v>3</v>
      </c>
      <c r="Q1405" s="9" t="s">
        <v>6</v>
      </c>
      <c r="R1405" s="1">
        <v>0</v>
      </c>
      <c r="S1405" s="26"/>
    </row>
    <row r="1406" spans="1:19" ht="16.5" customHeight="1" x14ac:dyDescent="0.25">
      <c r="A1406" s="9"/>
      <c r="B1406" s="49" t="s">
        <v>90</v>
      </c>
      <c r="C1406" s="50"/>
      <c r="D1406" s="50"/>
      <c r="E1406" s="50"/>
      <c r="F1406" s="50"/>
      <c r="G1406" s="51"/>
      <c r="H1406" s="20"/>
      <c r="I1406" s="9">
        <v>2</v>
      </c>
      <c r="J1406" s="9"/>
      <c r="K1406" s="9"/>
      <c r="L1406" s="9"/>
      <c r="M1406" s="9">
        <f>I1406*O1406</f>
        <v>12.6</v>
      </c>
      <c r="N1406" s="9">
        <f>I1406*P1406</f>
        <v>4</v>
      </c>
      <c r="O1406" s="9">
        <v>6.3</v>
      </c>
      <c r="P1406" s="9">
        <v>2</v>
      </c>
      <c r="Q1406" s="9" t="s">
        <v>3</v>
      </c>
      <c r="R1406" s="1">
        <v>0</v>
      </c>
      <c r="S1406" s="26"/>
    </row>
    <row r="1407" spans="1:19" ht="15" customHeight="1" x14ac:dyDescent="0.25">
      <c r="A1407" s="35" t="s">
        <v>0</v>
      </c>
      <c r="B1407" s="29" t="s">
        <v>1</v>
      </c>
      <c r="C1407" s="30"/>
      <c r="D1407" s="30"/>
      <c r="E1407" s="30"/>
      <c r="F1407" s="30"/>
      <c r="G1407" s="31"/>
      <c r="H1407" s="35" t="s">
        <v>32</v>
      </c>
      <c r="I1407" s="35" t="s">
        <v>39</v>
      </c>
      <c r="J1407" s="53" t="s">
        <v>2</v>
      </c>
      <c r="K1407" s="54"/>
      <c r="L1407" s="54"/>
      <c r="M1407" s="54"/>
      <c r="N1407" s="54"/>
      <c r="O1407" s="54"/>
      <c r="P1407" s="54"/>
      <c r="Q1407" s="55"/>
      <c r="S1407" s="35" t="s">
        <v>38</v>
      </c>
    </row>
    <row r="1408" spans="1:19" ht="24" customHeight="1" x14ac:dyDescent="0.25">
      <c r="A1408" s="36"/>
      <c r="B1408" s="32"/>
      <c r="C1408" s="33"/>
      <c r="D1408" s="33"/>
      <c r="E1408" s="33"/>
      <c r="F1408" s="33"/>
      <c r="G1408" s="34"/>
      <c r="H1408" s="36"/>
      <c r="I1408" s="36"/>
      <c r="J1408" s="7" t="s">
        <v>28</v>
      </c>
      <c r="K1408" s="7" t="s">
        <v>29</v>
      </c>
      <c r="L1408" s="7" t="s">
        <v>30</v>
      </c>
      <c r="M1408" s="7"/>
      <c r="N1408" s="7"/>
      <c r="O1408" s="6" t="s">
        <v>35</v>
      </c>
      <c r="P1408" s="6" t="s">
        <v>36</v>
      </c>
      <c r="Q1408" s="6" t="s">
        <v>37</v>
      </c>
      <c r="S1408" s="36"/>
    </row>
    <row r="1409" spans="1:19" ht="16.5" customHeight="1" x14ac:dyDescent="0.25">
      <c r="A1409" s="9"/>
      <c r="B1409" s="49" t="s">
        <v>95</v>
      </c>
      <c r="C1409" s="50"/>
      <c r="D1409" s="50"/>
      <c r="E1409" s="50"/>
      <c r="F1409" s="50"/>
      <c r="G1409" s="51"/>
      <c r="H1409" s="20"/>
      <c r="I1409" s="9">
        <v>1</v>
      </c>
      <c r="J1409" s="9"/>
      <c r="K1409" s="9"/>
      <c r="L1409" s="9"/>
      <c r="M1409" s="9">
        <f t="shared" ref="M1409:M1415" si="174">I1409*O1409</f>
        <v>7.5</v>
      </c>
      <c r="N1409" s="9">
        <f t="shared" ref="N1409:N1415" si="175">I1409*P1409</f>
        <v>3</v>
      </c>
      <c r="O1409" s="9">
        <v>7.5</v>
      </c>
      <c r="P1409" s="9">
        <v>3</v>
      </c>
      <c r="Q1409" s="9" t="s">
        <v>6</v>
      </c>
      <c r="R1409" s="1">
        <v>0</v>
      </c>
      <c r="S1409" s="26"/>
    </row>
    <row r="1410" spans="1:19" ht="16.5" customHeight="1" x14ac:dyDescent="0.25">
      <c r="A1410" s="9"/>
      <c r="B1410" s="49" t="s">
        <v>88</v>
      </c>
      <c r="C1410" s="50"/>
      <c r="D1410" s="50"/>
      <c r="E1410" s="50"/>
      <c r="F1410" s="50"/>
      <c r="G1410" s="51"/>
      <c r="H1410" s="20"/>
      <c r="I1410" s="9">
        <v>2</v>
      </c>
      <c r="J1410" s="9"/>
      <c r="K1410" s="9"/>
      <c r="L1410" s="9"/>
      <c r="M1410" s="9">
        <f t="shared" si="174"/>
        <v>15</v>
      </c>
      <c r="N1410" s="9">
        <f t="shared" si="175"/>
        <v>6</v>
      </c>
      <c r="O1410" s="9">
        <v>7.5</v>
      </c>
      <c r="P1410" s="9">
        <v>3</v>
      </c>
      <c r="Q1410" s="9" t="s">
        <v>6</v>
      </c>
      <c r="R1410" s="1">
        <v>0</v>
      </c>
      <c r="S1410" s="26"/>
    </row>
    <row r="1411" spans="1:19" ht="16.5" customHeight="1" x14ac:dyDescent="0.25">
      <c r="A1411" s="9"/>
      <c r="B1411" s="49" t="s">
        <v>89</v>
      </c>
      <c r="C1411" s="50"/>
      <c r="D1411" s="50"/>
      <c r="E1411" s="50"/>
      <c r="F1411" s="50"/>
      <c r="G1411" s="51"/>
      <c r="H1411" s="20"/>
      <c r="I1411" s="9">
        <v>2</v>
      </c>
      <c r="J1411" s="9"/>
      <c r="K1411" s="9"/>
      <c r="L1411" s="9"/>
      <c r="M1411" s="9">
        <f t="shared" si="174"/>
        <v>15.6</v>
      </c>
      <c r="N1411" s="9">
        <f t="shared" si="175"/>
        <v>6</v>
      </c>
      <c r="O1411" s="9">
        <v>7.8</v>
      </c>
      <c r="P1411" s="9">
        <v>3</v>
      </c>
      <c r="Q1411" s="9" t="s">
        <v>6</v>
      </c>
      <c r="R1411" s="1">
        <v>0</v>
      </c>
      <c r="S1411" s="26"/>
    </row>
    <row r="1412" spans="1:19" ht="16.5" customHeight="1" x14ac:dyDescent="0.25">
      <c r="A1412" s="9"/>
      <c r="B1412" s="49" t="s">
        <v>92</v>
      </c>
      <c r="C1412" s="50"/>
      <c r="D1412" s="50"/>
      <c r="E1412" s="50"/>
      <c r="F1412" s="50"/>
      <c r="G1412" s="51"/>
      <c r="H1412" s="20"/>
      <c r="I1412" s="9">
        <v>4</v>
      </c>
      <c r="J1412" s="9"/>
      <c r="K1412" s="9"/>
      <c r="L1412" s="9"/>
      <c r="M1412" s="9">
        <f t="shared" si="174"/>
        <v>19.2</v>
      </c>
      <c r="N1412" s="9">
        <f t="shared" si="175"/>
        <v>4</v>
      </c>
      <c r="O1412" s="9">
        <v>4.8</v>
      </c>
      <c r="P1412" s="9">
        <v>1</v>
      </c>
      <c r="Q1412" s="9" t="s">
        <v>8</v>
      </c>
      <c r="R1412" s="1">
        <v>0</v>
      </c>
      <c r="S1412" s="26"/>
    </row>
    <row r="1413" spans="1:19" ht="16.5" customHeight="1" x14ac:dyDescent="0.25">
      <c r="A1413" s="9"/>
      <c r="B1413" s="49" t="s">
        <v>84</v>
      </c>
      <c r="C1413" s="50"/>
      <c r="D1413" s="50"/>
      <c r="E1413" s="50"/>
      <c r="F1413" s="50"/>
      <c r="G1413" s="51"/>
      <c r="H1413" s="20"/>
      <c r="I1413" s="9">
        <v>3</v>
      </c>
      <c r="J1413" s="9"/>
      <c r="K1413" s="9"/>
      <c r="L1413" s="9"/>
      <c r="M1413" s="9">
        <f t="shared" si="174"/>
        <v>21.299999999999997</v>
      </c>
      <c r="N1413" s="9">
        <f t="shared" si="175"/>
        <v>9</v>
      </c>
      <c r="O1413" s="9">
        <v>7.1</v>
      </c>
      <c r="P1413" s="9">
        <v>3</v>
      </c>
      <c r="Q1413" s="9" t="s">
        <v>6</v>
      </c>
      <c r="R1413" s="1">
        <v>0</v>
      </c>
      <c r="S1413" s="26"/>
    </row>
    <row r="1414" spans="1:19" ht="16.5" hidden="1" customHeight="1" x14ac:dyDescent="0.25">
      <c r="A1414" s="21"/>
      <c r="H1414" s="21"/>
      <c r="I1414" s="21"/>
      <c r="J1414" s="21"/>
      <c r="K1414" s="21"/>
      <c r="L1414" s="21"/>
      <c r="M1414" s="9">
        <f t="shared" si="174"/>
        <v>0</v>
      </c>
      <c r="N1414" s="9">
        <f t="shared" si="175"/>
        <v>0</v>
      </c>
      <c r="O1414" s="21"/>
      <c r="P1414" s="21"/>
      <c r="Q1414" s="21"/>
      <c r="S1414" s="25"/>
    </row>
    <row r="1415" spans="1:19" ht="16.5" customHeight="1" x14ac:dyDescent="0.25">
      <c r="A1415" s="9"/>
      <c r="B1415" s="38" t="s">
        <v>42</v>
      </c>
      <c r="C1415" s="39"/>
      <c r="D1415" s="39"/>
      <c r="E1415" s="39"/>
      <c r="F1415" s="39"/>
      <c r="G1415" s="40"/>
      <c r="H1415" s="23"/>
      <c r="I1415" s="24">
        <f>SUM(I1402:I1414)</f>
        <v>23</v>
      </c>
      <c r="J1415" s="9"/>
      <c r="K1415" s="9"/>
      <c r="L1415" s="9"/>
      <c r="M1415" s="9">
        <f t="shared" si="174"/>
        <v>151.79999999999998</v>
      </c>
      <c r="N1415" s="9">
        <f t="shared" si="175"/>
        <v>54.510000000000005</v>
      </c>
      <c r="O1415" s="24">
        <f>ROUND(SUM(M1402:M1414)/I1415,2)</f>
        <v>6.6</v>
      </c>
      <c r="P1415" s="24">
        <f>ROUND(SUM(N1402:N1414)/I1415,2)</f>
        <v>2.37</v>
      </c>
      <c r="Q1415" s="9"/>
      <c r="S1415" s="25"/>
    </row>
    <row r="1416" spans="1:19" ht="20.25" customHeight="1" x14ac:dyDescent="0.25">
      <c r="A1416" s="27" t="s">
        <v>96</v>
      </c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</row>
    <row r="1417" spans="1:19" ht="16.5" customHeight="1" x14ac:dyDescent="0.25">
      <c r="A1417" s="9"/>
      <c r="B1417" s="49" t="s">
        <v>97</v>
      </c>
      <c r="C1417" s="50"/>
      <c r="D1417" s="50"/>
      <c r="E1417" s="50"/>
      <c r="F1417" s="50"/>
      <c r="G1417" s="51"/>
      <c r="H1417" s="20"/>
      <c r="I1417" s="9">
        <v>2</v>
      </c>
      <c r="J1417" s="9"/>
      <c r="K1417" s="9"/>
      <c r="L1417" s="9"/>
      <c r="M1417" s="9">
        <f t="shared" ref="M1417:M1429" si="176">I1417*O1417</f>
        <v>12.8</v>
      </c>
      <c r="N1417" s="9">
        <f t="shared" ref="N1417:N1429" si="177">I1417*P1417</f>
        <v>4</v>
      </c>
      <c r="O1417" s="9">
        <v>6.4</v>
      </c>
      <c r="P1417" s="9">
        <v>2</v>
      </c>
      <c r="Q1417" s="9" t="s">
        <v>3</v>
      </c>
      <c r="R1417" s="1">
        <v>0</v>
      </c>
      <c r="S1417" s="26"/>
    </row>
    <row r="1418" spans="1:19" ht="16.5" customHeight="1" x14ac:dyDescent="0.25">
      <c r="A1418" s="9"/>
      <c r="B1418" s="49" t="s">
        <v>104</v>
      </c>
      <c r="C1418" s="50"/>
      <c r="D1418" s="50"/>
      <c r="E1418" s="50"/>
      <c r="F1418" s="50"/>
      <c r="G1418" s="51"/>
      <c r="H1418" s="20"/>
      <c r="I1418" s="9">
        <v>3</v>
      </c>
      <c r="J1418" s="9"/>
      <c r="K1418" s="9"/>
      <c r="L1418" s="9"/>
      <c r="M1418" s="9">
        <f t="shared" si="176"/>
        <v>21.299999999999997</v>
      </c>
      <c r="N1418" s="9">
        <f t="shared" si="177"/>
        <v>9</v>
      </c>
      <c r="O1418" s="9">
        <v>7.1</v>
      </c>
      <c r="P1418" s="9">
        <v>3</v>
      </c>
      <c r="Q1418" s="9" t="s">
        <v>6</v>
      </c>
      <c r="R1418" s="1">
        <v>0</v>
      </c>
      <c r="S1418" s="26"/>
    </row>
    <row r="1419" spans="1:19" ht="16.5" customHeight="1" x14ac:dyDescent="0.25">
      <c r="A1419" s="9"/>
      <c r="B1419" s="49" t="s">
        <v>98</v>
      </c>
      <c r="C1419" s="50"/>
      <c r="D1419" s="50"/>
      <c r="E1419" s="50"/>
      <c r="F1419" s="50"/>
      <c r="G1419" s="51"/>
      <c r="H1419" s="20"/>
      <c r="I1419" s="9">
        <v>3</v>
      </c>
      <c r="J1419" s="9"/>
      <c r="K1419" s="9"/>
      <c r="L1419" s="9"/>
      <c r="M1419" s="9">
        <f t="shared" si="176"/>
        <v>16.200000000000003</v>
      </c>
      <c r="N1419" s="9">
        <f t="shared" si="177"/>
        <v>4.5</v>
      </c>
      <c r="O1419" s="9">
        <v>5.4</v>
      </c>
      <c r="P1419" s="9">
        <v>1.5</v>
      </c>
      <c r="Q1419" s="9" t="s">
        <v>4</v>
      </c>
      <c r="R1419" s="1">
        <v>0</v>
      </c>
      <c r="S1419" s="26"/>
    </row>
    <row r="1420" spans="1:19" ht="16.5" customHeight="1" x14ac:dyDescent="0.25">
      <c r="A1420" s="9"/>
      <c r="B1420" s="49" t="s">
        <v>103</v>
      </c>
      <c r="C1420" s="50"/>
      <c r="D1420" s="50"/>
      <c r="E1420" s="50"/>
      <c r="F1420" s="50"/>
      <c r="G1420" s="51"/>
      <c r="H1420" s="20"/>
      <c r="I1420" s="9">
        <v>2</v>
      </c>
      <c r="J1420" s="9"/>
      <c r="K1420" s="9"/>
      <c r="L1420" s="9"/>
      <c r="M1420" s="9">
        <f t="shared" si="176"/>
        <v>14.4</v>
      </c>
      <c r="N1420" s="9">
        <f t="shared" si="177"/>
        <v>6</v>
      </c>
      <c r="O1420" s="9">
        <v>7.2</v>
      </c>
      <c r="P1420" s="9">
        <v>3</v>
      </c>
      <c r="Q1420" s="9" t="s">
        <v>6</v>
      </c>
      <c r="R1420" s="1">
        <v>0</v>
      </c>
      <c r="S1420" s="26"/>
    </row>
    <row r="1421" spans="1:19" ht="16.5" customHeight="1" x14ac:dyDescent="0.25">
      <c r="A1421" s="9"/>
      <c r="B1421" s="49" t="s">
        <v>69</v>
      </c>
      <c r="C1421" s="50"/>
      <c r="D1421" s="50"/>
      <c r="E1421" s="50"/>
      <c r="F1421" s="50"/>
      <c r="G1421" s="51"/>
      <c r="H1421" s="20"/>
      <c r="I1421" s="9">
        <v>1</v>
      </c>
      <c r="J1421" s="9"/>
      <c r="K1421" s="9"/>
      <c r="L1421" s="9"/>
      <c r="M1421" s="9">
        <f t="shared" si="176"/>
        <v>7</v>
      </c>
      <c r="N1421" s="9">
        <f t="shared" si="177"/>
        <v>3</v>
      </c>
      <c r="O1421" s="9">
        <v>7</v>
      </c>
      <c r="P1421" s="9">
        <v>3</v>
      </c>
      <c r="Q1421" s="9" t="s">
        <v>6</v>
      </c>
      <c r="R1421" s="1">
        <v>0</v>
      </c>
      <c r="S1421" s="26"/>
    </row>
    <row r="1422" spans="1:19" ht="16.5" customHeight="1" x14ac:dyDescent="0.25">
      <c r="A1422" s="9"/>
      <c r="B1422" s="49" t="s">
        <v>105</v>
      </c>
      <c r="C1422" s="50"/>
      <c r="D1422" s="50"/>
      <c r="E1422" s="50"/>
      <c r="F1422" s="50"/>
      <c r="G1422" s="51"/>
      <c r="H1422" s="20"/>
      <c r="I1422" s="9">
        <v>4</v>
      </c>
      <c r="J1422" s="9"/>
      <c r="K1422" s="9"/>
      <c r="L1422" s="9"/>
      <c r="M1422" s="9">
        <f t="shared" si="176"/>
        <v>26.8</v>
      </c>
      <c r="N1422" s="9">
        <f t="shared" si="177"/>
        <v>10</v>
      </c>
      <c r="O1422" s="9">
        <v>6.7</v>
      </c>
      <c r="P1422" s="9">
        <v>2.5</v>
      </c>
      <c r="Q1422" s="9" t="s">
        <v>5</v>
      </c>
      <c r="R1422" s="1">
        <v>0</v>
      </c>
      <c r="S1422" s="26"/>
    </row>
    <row r="1423" spans="1:19" ht="16.5" customHeight="1" x14ac:dyDescent="0.25">
      <c r="A1423" s="9"/>
      <c r="B1423" s="49" t="s">
        <v>101</v>
      </c>
      <c r="C1423" s="50"/>
      <c r="D1423" s="50"/>
      <c r="E1423" s="50"/>
      <c r="F1423" s="50"/>
      <c r="G1423" s="51"/>
      <c r="H1423" s="20"/>
      <c r="I1423" s="9">
        <v>1</v>
      </c>
      <c r="J1423" s="9"/>
      <c r="K1423" s="9"/>
      <c r="L1423" s="9"/>
      <c r="M1423" s="9">
        <f t="shared" si="176"/>
        <v>8.4</v>
      </c>
      <c r="N1423" s="9">
        <f t="shared" si="177"/>
        <v>3.5</v>
      </c>
      <c r="O1423" s="9">
        <v>8.4</v>
      </c>
      <c r="P1423" s="9">
        <v>3.5</v>
      </c>
      <c r="Q1423" s="9" t="s">
        <v>9</v>
      </c>
      <c r="R1423" s="1">
        <v>0</v>
      </c>
      <c r="S1423" s="26"/>
    </row>
    <row r="1424" spans="1:19" ht="16.5" customHeight="1" x14ac:dyDescent="0.25">
      <c r="A1424" s="9"/>
      <c r="B1424" s="49" t="s">
        <v>100</v>
      </c>
      <c r="C1424" s="50"/>
      <c r="D1424" s="50"/>
      <c r="E1424" s="50"/>
      <c r="F1424" s="50"/>
      <c r="G1424" s="51"/>
      <c r="H1424" s="20"/>
      <c r="I1424" s="9">
        <v>1</v>
      </c>
      <c r="J1424" s="9"/>
      <c r="K1424" s="9"/>
      <c r="L1424" s="9"/>
      <c r="M1424" s="9">
        <f t="shared" si="176"/>
        <v>8.6999999999999993</v>
      </c>
      <c r="N1424" s="9">
        <f t="shared" si="177"/>
        <v>3.7</v>
      </c>
      <c r="O1424" s="9">
        <v>8.6999999999999993</v>
      </c>
      <c r="P1424" s="9">
        <v>3.7</v>
      </c>
      <c r="Q1424" s="9" t="s">
        <v>10</v>
      </c>
      <c r="R1424" s="1">
        <v>0</v>
      </c>
      <c r="S1424" s="26"/>
    </row>
    <row r="1425" spans="1:19" ht="16.5" customHeight="1" x14ac:dyDescent="0.25">
      <c r="A1425" s="9"/>
      <c r="B1425" s="49" t="s">
        <v>99</v>
      </c>
      <c r="C1425" s="50"/>
      <c r="D1425" s="50"/>
      <c r="E1425" s="50"/>
      <c r="F1425" s="50"/>
      <c r="G1425" s="51"/>
      <c r="H1425" s="20"/>
      <c r="I1425" s="9">
        <v>2</v>
      </c>
      <c r="J1425" s="9"/>
      <c r="K1425" s="9"/>
      <c r="L1425" s="9"/>
      <c r="M1425" s="9">
        <f t="shared" si="176"/>
        <v>12.4</v>
      </c>
      <c r="N1425" s="9">
        <f t="shared" si="177"/>
        <v>4</v>
      </c>
      <c r="O1425" s="9">
        <v>6.2</v>
      </c>
      <c r="P1425" s="9">
        <v>2</v>
      </c>
      <c r="Q1425" s="9" t="s">
        <v>3</v>
      </c>
      <c r="R1425" s="1">
        <v>0</v>
      </c>
      <c r="S1425" s="26"/>
    </row>
    <row r="1426" spans="1:19" ht="16.5" customHeight="1" x14ac:dyDescent="0.25">
      <c r="A1426" s="9"/>
      <c r="B1426" s="49" t="s">
        <v>79</v>
      </c>
      <c r="C1426" s="50"/>
      <c r="D1426" s="50"/>
      <c r="E1426" s="50"/>
      <c r="F1426" s="50"/>
      <c r="G1426" s="51"/>
      <c r="H1426" s="20"/>
      <c r="I1426" s="9">
        <v>2</v>
      </c>
      <c r="J1426" s="9"/>
      <c r="K1426" s="9"/>
      <c r="L1426" s="9"/>
      <c r="M1426" s="9">
        <f t="shared" si="176"/>
        <v>13</v>
      </c>
      <c r="N1426" s="9">
        <f t="shared" si="177"/>
        <v>5</v>
      </c>
      <c r="O1426" s="9">
        <v>6.5</v>
      </c>
      <c r="P1426" s="9">
        <v>2.5</v>
      </c>
      <c r="Q1426" s="9" t="s">
        <v>5</v>
      </c>
      <c r="R1426" s="1">
        <v>0</v>
      </c>
      <c r="S1426" s="26"/>
    </row>
    <row r="1427" spans="1:19" ht="16.5" customHeight="1" x14ac:dyDescent="0.25">
      <c r="A1427" s="9"/>
      <c r="B1427" s="49" t="s">
        <v>102</v>
      </c>
      <c r="C1427" s="50"/>
      <c r="D1427" s="50"/>
      <c r="E1427" s="50"/>
      <c r="F1427" s="50"/>
      <c r="G1427" s="51"/>
      <c r="H1427" s="20"/>
      <c r="I1427" s="9">
        <v>2</v>
      </c>
      <c r="J1427" s="9"/>
      <c r="K1427" s="9"/>
      <c r="L1427" s="9"/>
      <c r="M1427" s="9">
        <f t="shared" si="176"/>
        <v>11</v>
      </c>
      <c r="N1427" s="9">
        <f t="shared" si="177"/>
        <v>4</v>
      </c>
      <c r="O1427" s="9">
        <v>5.5</v>
      </c>
      <c r="P1427" s="9">
        <v>2</v>
      </c>
      <c r="Q1427" s="9" t="s">
        <v>3</v>
      </c>
      <c r="R1427" s="1">
        <v>0</v>
      </c>
      <c r="S1427" s="26"/>
    </row>
    <row r="1428" spans="1:19" ht="16.5" hidden="1" customHeight="1" x14ac:dyDescent="0.25">
      <c r="A1428" s="21"/>
      <c r="H1428" s="21"/>
      <c r="I1428" s="21"/>
      <c r="J1428" s="21"/>
      <c r="K1428" s="21"/>
      <c r="L1428" s="21"/>
      <c r="M1428" s="9">
        <f t="shared" si="176"/>
        <v>0</v>
      </c>
      <c r="N1428" s="9">
        <f t="shared" si="177"/>
        <v>0</v>
      </c>
      <c r="O1428" s="21"/>
      <c r="P1428" s="21"/>
      <c r="Q1428" s="21"/>
      <c r="S1428" s="25"/>
    </row>
    <row r="1429" spans="1:19" ht="16.5" customHeight="1" x14ac:dyDescent="0.25">
      <c r="A1429" s="9"/>
      <c r="B1429" s="38" t="s">
        <v>42</v>
      </c>
      <c r="C1429" s="39"/>
      <c r="D1429" s="39"/>
      <c r="E1429" s="39"/>
      <c r="F1429" s="39"/>
      <c r="G1429" s="40"/>
      <c r="H1429" s="23"/>
      <c r="I1429" s="24">
        <f>SUM(I1417:I1428)</f>
        <v>23</v>
      </c>
      <c r="J1429" s="9"/>
      <c r="K1429" s="9"/>
      <c r="L1429" s="9"/>
      <c r="M1429" s="9">
        <f t="shared" si="176"/>
        <v>152.03</v>
      </c>
      <c r="N1429" s="9">
        <f t="shared" si="177"/>
        <v>56.81</v>
      </c>
      <c r="O1429" s="24">
        <f>ROUND(SUM(M1417:M1428)/I1429,2)</f>
        <v>6.61</v>
      </c>
      <c r="P1429" s="24">
        <f>ROUND(SUM(N1417:N1428)/I1429,2)</f>
        <v>2.4700000000000002</v>
      </c>
      <c r="Q1429" s="9"/>
      <c r="S1429" s="25"/>
    </row>
    <row r="1430" spans="1:19" ht="20.25" customHeight="1" x14ac:dyDescent="0.25">
      <c r="A1430" s="27" t="s">
        <v>107</v>
      </c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</row>
    <row r="1431" spans="1:19" ht="16.5" customHeight="1" x14ac:dyDescent="0.25">
      <c r="A1431" s="9"/>
      <c r="B1431" s="49" t="s">
        <v>108</v>
      </c>
      <c r="C1431" s="50"/>
      <c r="D1431" s="50"/>
      <c r="E1431" s="50"/>
      <c r="F1431" s="50"/>
      <c r="G1431" s="51"/>
      <c r="H1431" s="20"/>
      <c r="I1431" s="9">
        <v>1</v>
      </c>
      <c r="J1431" s="9"/>
      <c r="K1431" s="9"/>
      <c r="L1431" s="9"/>
      <c r="M1431" s="9">
        <f t="shared" ref="M1431:M1443" si="178">I1431*O1431</f>
        <v>6.9</v>
      </c>
      <c r="N1431" s="9">
        <f t="shared" ref="N1431:N1443" si="179">I1431*P1431</f>
        <v>2.5</v>
      </c>
      <c r="O1431" s="9">
        <v>6.9</v>
      </c>
      <c r="P1431" s="9">
        <v>2.5</v>
      </c>
      <c r="Q1431" s="9" t="s">
        <v>5</v>
      </c>
      <c r="R1431" s="1">
        <v>0</v>
      </c>
      <c r="S1431" s="26"/>
    </row>
    <row r="1432" spans="1:19" ht="16.5" customHeight="1" x14ac:dyDescent="0.25">
      <c r="A1432" s="9"/>
      <c r="B1432" s="49" t="s">
        <v>113</v>
      </c>
      <c r="C1432" s="50"/>
      <c r="D1432" s="50"/>
      <c r="E1432" s="50"/>
      <c r="F1432" s="50"/>
      <c r="G1432" s="51"/>
      <c r="H1432" s="20"/>
      <c r="I1432" s="9">
        <v>4</v>
      </c>
      <c r="J1432" s="9"/>
      <c r="K1432" s="9"/>
      <c r="L1432" s="9"/>
      <c r="M1432" s="9">
        <f t="shared" si="178"/>
        <v>27.2</v>
      </c>
      <c r="N1432" s="9">
        <f t="shared" si="179"/>
        <v>10</v>
      </c>
      <c r="O1432" s="9">
        <v>6.8</v>
      </c>
      <c r="P1432" s="9">
        <v>2.5</v>
      </c>
      <c r="Q1432" s="9" t="s">
        <v>5</v>
      </c>
      <c r="R1432" s="1">
        <v>0</v>
      </c>
      <c r="S1432" s="26"/>
    </row>
    <row r="1433" spans="1:19" ht="16.5" customHeight="1" x14ac:dyDescent="0.25">
      <c r="A1433" s="9"/>
      <c r="B1433" s="49" t="s">
        <v>116</v>
      </c>
      <c r="C1433" s="50"/>
      <c r="D1433" s="50"/>
      <c r="E1433" s="50"/>
      <c r="F1433" s="50"/>
      <c r="G1433" s="51"/>
      <c r="H1433" s="20"/>
      <c r="I1433" s="9">
        <v>2</v>
      </c>
      <c r="J1433" s="9"/>
      <c r="K1433" s="9"/>
      <c r="L1433" s="9"/>
      <c r="M1433" s="9">
        <f t="shared" si="178"/>
        <v>14</v>
      </c>
      <c r="N1433" s="9">
        <f t="shared" si="179"/>
        <v>6</v>
      </c>
      <c r="O1433" s="9">
        <v>7</v>
      </c>
      <c r="P1433" s="9">
        <v>3</v>
      </c>
      <c r="Q1433" s="9" t="s">
        <v>6</v>
      </c>
      <c r="R1433" s="1">
        <v>0</v>
      </c>
      <c r="S1433" s="26"/>
    </row>
    <row r="1434" spans="1:19" ht="16.5" customHeight="1" x14ac:dyDescent="0.25">
      <c r="A1434" s="9"/>
      <c r="B1434" s="49" t="s">
        <v>111</v>
      </c>
      <c r="C1434" s="50"/>
      <c r="D1434" s="50"/>
      <c r="E1434" s="50"/>
      <c r="F1434" s="50"/>
      <c r="G1434" s="51"/>
      <c r="H1434" s="20"/>
      <c r="I1434" s="9">
        <v>3</v>
      </c>
      <c r="J1434" s="9"/>
      <c r="K1434" s="9"/>
      <c r="L1434" s="9"/>
      <c r="M1434" s="9">
        <f t="shared" si="178"/>
        <v>20.399999999999999</v>
      </c>
      <c r="N1434" s="9">
        <f t="shared" si="179"/>
        <v>7.5</v>
      </c>
      <c r="O1434" s="9">
        <v>6.8</v>
      </c>
      <c r="P1434" s="9">
        <v>2.5</v>
      </c>
      <c r="Q1434" s="9" t="s">
        <v>5</v>
      </c>
      <c r="R1434" s="1">
        <v>0</v>
      </c>
      <c r="S1434" s="26"/>
    </row>
    <row r="1435" spans="1:19" ht="16.5" customHeight="1" x14ac:dyDescent="0.25">
      <c r="A1435" s="9"/>
      <c r="B1435" s="49" t="s">
        <v>112</v>
      </c>
      <c r="C1435" s="50"/>
      <c r="D1435" s="50"/>
      <c r="E1435" s="50"/>
      <c r="F1435" s="50"/>
      <c r="G1435" s="51"/>
      <c r="H1435" s="20"/>
      <c r="I1435" s="9">
        <v>4</v>
      </c>
      <c r="J1435" s="9"/>
      <c r="K1435" s="9"/>
      <c r="L1435" s="9"/>
      <c r="M1435" s="9">
        <f t="shared" si="178"/>
        <v>26</v>
      </c>
      <c r="N1435" s="9">
        <f t="shared" si="179"/>
        <v>10</v>
      </c>
      <c r="O1435" s="9">
        <v>6.5</v>
      </c>
      <c r="P1435" s="9">
        <v>2.5</v>
      </c>
      <c r="Q1435" s="9" t="s">
        <v>5</v>
      </c>
      <c r="R1435" s="1">
        <v>0</v>
      </c>
      <c r="S1435" s="26"/>
    </row>
    <row r="1436" spans="1:19" ht="16.5" customHeight="1" x14ac:dyDescent="0.25">
      <c r="A1436" s="9"/>
      <c r="B1436" s="49" t="s">
        <v>109</v>
      </c>
      <c r="C1436" s="50"/>
      <c r="D1436" s="50"/>
      <c r="E1436" s="50"/>
      <c r="F1436" s="50"/>
      <c r="G1436" s="51"/>
      <c r="H1436" s="20"/>
      <c r="I1436" s="9">
        <v>2</v>
      </c>
      <c r="J1436" s="9"/>
      <c r="K1436" s="9"/>
      <c r="L1436" s="9"/>
      <c r="M1436" s="9">
        <f t="shared" si="178"/>
        <v>13.8</v>
      </c>
      <c r="N1436" s="9">
        <f t="shared" si="179"/>
        <v>5</v>
      </c>
      <c r="O1436" s="9">
        <v>6.9</v>
      </c>
      <c r="P1436" s="9">
        <v>2.5</v>
      </c>
      <c r="Q1436" s="9" t="s">
        <v>5</v>
      </c>
      <c r="R1436" s="1">
        <v>0</v>
      </c>
      <c r="S1436" s="26"/>
    </row>
    <row r="1437" spans="1:19" ht="16.5" customHeight="1" x14ac:dyDescent="0.25">
      <c r="A1437" s="9"/>
      <c r="B1437" s="49" t="s">
        <v>114</v>
      </c>
      <c r="C1437" s="50"/>
      <c r="D1437" s="50"/>
      <c r="E1437" s="50"/>
      <c r="F1437" s="50"/>
      <c r="G1437" s="51"/>
      <c r="H1437" s="20"/>
      <c r="I1437" s="9">
        <v>3</v>
      </c>
      <c r="J1437" s="9"/>
      <c r="K1437" s="9"/>
      <c r="L1437" s="9"/>
      <c r="M1437" s="9">
        <f t="shared" si="178"/>
        <v>20.100000000000001</v>
      </c>
      <c r="N1437" s="9">
        <f t="shared" si="179"/>
        <v>7.5</v>
      </c>
      <c r="O1437" s="9">
        <v>6.7</v>
      </c>
      <c r="P1437" s="9">
        <v>2.5</v>
      </c>
      <c r="Q1437" s="9" t="s">
        <v>5</v>
      </c>
      <c r="R1437" s="1">
        <v>0</v>
      </c>
      <c r="S1437" s="26"/>
    </row>
    <row r="1438" spans="1:19" ht="16.5" customHeight="1" x14ac:dyDescent="0.25">
      <c r="A1438" s="9"/>
      <c r="B1438" s="49" t="s">
        <v>115</v>
      </c>
      <c r="C1438" s="50"/>
      <c r="D1438" s="50"/>
      <c r="E1438" s="50"/>
      <c r="F1438" s="50"/>
      <c r="G1438" s="51"/>
      <c r="H1438" s="20"/>
      <c r="I1438" s="9">
        <v>2</v>
      </c>
      <c r="J1438" s="9"/>
      <c r="K1438" s="9"/>
      <c r="L1438" s="9"/>
      <c r="M1438" s="9">
        <f t="shared" si="178"/>
        <v>10.8</v>
      </c>
      <c r="N1438" s="9">
        <f t="shared" si="179"/>
        <v>3</v>
      </c>
      <c r="O1438" s="9">
        <v>5.4</v>
      </c>
      <c r="P1438" s="9">
        <v>1.5</v>
      </c>
      <c r="Q1438" s="9" t="s">
        <v>4</v>
      </c>
      <c r="R1438" s="1">
        <v>0</v>
      </c>
      <c r="S1438" s="26"/>
    </row>
    <row r="1439" spans="1:19" ht="16.5" customHeight="1" x14ac:dyDescent="0.25">
      <c r="A1439" s="9"/>
      <c r="B1439" s="49" t="s">
        <v>110</v>
      </c>
      <c r="C1439" s="50"/>
      <c r="D1439" s="50"/>
      <c r="E1439" s="50"/>
      <c r="F1439" s="50"/>
      <c r="G1439" s="51"/>
      <c r="H1439" s="20"/>
      <c r="I1439" s="9">
        <v>3</v>
      </c>
      <c r="J1439" s="9"/>
      <c r="K1439" s="9"/>
      <c r="L1439" s="9"/>
      <c r="M1439" s="9">
        <f t="shared" si="178"/>
        <v>22.200000000000003</v>
      </c>
      <c r="N1439" s="9">
        <f t="shared" si="179"/>
        <v>9</v>
      </c>
      <c r="O1439" s="9">
        <v>7.4</v>
      </c>
      <c r="P1439" s="9">
        <v>3</v>
      </c>
      <c r="Q1439" s="9" t="s">
        <v>6</v>
      </c>
      <c r="R1439" s="1">
        <v>0</v>
      </c>
      <c r="S1439" s="26"/>
    </row>
    <row r="1440" spans="1:19" ht="16.5" customHeight="1" x14ac:dyDescent="0.25">
      <c r="A1440" s="9"/>
      <c r="B1440" s="49" t="s">
        <v>117</v>
      </c>
      <c r="C1440" s="50"/>
      <c r="D1440" s="50"/>
      <c r="E1440" s="50"/>
      <c r="F1440" s="50"/>
      <c r="G1440" s="51"/>
      <c r="H1440" s="20"/>
      <c r="I1440" s="9">
        <v>3</v>
      </c>
      <c r="J1440" s="9"/>
      <c r="K1440" s="9"/>
      <c r="L1440" s="9"/>
      <c r="M1440" s="9">
        <f t="shared" si="178"/>
        <v>20.100000000000001</v>
      </c>
      <c r="N1440" s="9">
        <f t="shared" si="179"/>
        <v>7.5</v>
      </c>
      <c r="O1440" s="9">
        <v>6.7</v>
      </c>
      <c r="P1440" s="9">
        <v>2.5</v>
      </c>
      <c r="Q1440" s="9" t="s">
        <v>5</v>
      </c>
      <c r="R1440" s="1">
        <v>0</v>
      </c>
      <c r="S1440" s="26"/>
    </row>
    <row r="1441" spans="1:19" ht="16.5" customHeight="1" x14ac:dyDescent="0.25">
      <c r="A1441" s="9"/>
      <c r="B1441" s="49" t="s">
        <v>118</v>
      </c>
      <c r="C1441" s="50"/>
      <c r="D1441" s="50"/>
      <c r="E1441" s="50"/>
      <c r="F1441" s="50"/>
      <c r="G1441" s="51"/>
      <c r="H1441" s="20"/>
      <c r="I1441" s="9">
        <v>2</v>
      </c>
      <c r="J1441" s="9"/>
      <c r="K1441" s="9"/>
      <c r="L1441" s="9"/>
      <c r="M1441" s="9">
        <f t="shared" si="178"/>
        <v>17</v>
      </c>
      <c r="N1441" s="9">
        <f t="shared" si="179"/>
        <v>7.4</v>
      </c>
      <c r="O1441" s="9">
        <v>8.5</v>
      </c>
      <c r="P1441" s="9">
        <v>3.7</v>
      </c>
      <c r="Q1441" s="9" t="s">
        <v>10</v>
      </c>
      <c r="R1441" s="1">
        <v>0</v>
      </c>
      <c r="S1441" s="26"/>
    </row>
    <row r="1442" spans="1:19" ht="16.5" hidden="1" customHeight="1" x14ac:dyDescent="0.25">
      <c r="A1442" s="21"/>
      <c r="H1442" s="21"/>
      <c r="I1442" s="21"/>
      <c r="J1442" s="21"/>
      <c r="K1442" s="21"/>
      <c r="L1442" s="21"/>
      <c r="M1442" s="9">
        <f t="shared" si="178"/>
        <v>0</v>
      </c>
      <c r="N1442" s="9">
        <f t="shared" si="179"/>
        <v>0</v>
      </c>
      <c r="O1442" s="21"/>
      <c r="P1442" s="21"/>
      <c r="Q1442" s="21"/>
      <c r="S1442" s="25"/>
    </row>
    <row r="1443" spans="1:19" ht="16.5" customHeight="1" x14ac:dyDescent="0.25">
      <c r="A1443" s="9"/>
      <c r="B1443" s="38" t="s">
        <v>42</v>
      </c>
      <c r="C1443" s="39"/>
      <c r="D1443" s="39"/>
      <c r="E1443" s="39"/>
      <c r="F1443" s="39"/>
      <c r="G1443" s="40"/>
      <c r="H1443" s="23"/>
      <c r="I1443" s="24">
        <f>SUM(I1431:I1442)</f>
        <v>29</v>
      </c>
      <c r="J1443" s="9"/>
      <c r="K1443" s="9"/>
      <c r="L1443" s="9"/>
      <c r="M1443" s="9">
        <f t="shared" si="178"/>
        <v>198.35999999999999</v>
      </c>
      <c r="N1443" s="9">
        <f t="shared" si="179"/>
        <v>75.400000000000006</v>
      </c>
      <c r="O1443" s="24">
        <f>ROUND(SUM(M1431:M1442)/I1443,2)</f>
        <v>6.84</v>
      </c>
      <c r="P1443" s="24">
        <f>ROUND(SUM(N1431:N1442)/I1443,2)</f>
        <v>2.6</v>
      </c>
      <c r="Q1443" s="9"/>
      <c r="S1443" s="25"/>
    </row>
    <row r="1444" spans="1:19" ht="20.25" customHeight="1" x14ac:dyDescent="0.25">
      <c r="A1444" s="27" t="s">
        <v>120</v>
      </c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</row>
    <row r="1445" spans="1:19" ht="16.5" customHeight="1" x14ac:dyDescent="0.25">
      <c r="A1445" s="9"/>
      <c r="B1445" s="49" t="s">
        <v>121</v>
      </c>
      <c r="C1445" s="50"/>
      <c r="D1445" s="50"/>
      <c r="E1445" s="50"/>
      <c r="F1445" s="50"/>
      <c r="G1445" s="51"/>
      <c r="H1445" s="20"/>
      <c r="I1445" s="9">
        <v>3</v>
      </c>
      <c r="J1445" s="9"/>
      <c r="K1445" s="9"/>
      <c r="L1445" s="9"/>
      <c r="M1445" s="9">
        <f t="shared" ref="M1445:M1454" si="180">I1445*O1445</f>
        <v>20.399999999999999</v>
      </c>
      <c r="N1445" s="9">
        <f t="shared" ref="N1445:N1454" si="181">I1445*P1445</f>
        <v>7.5</v>
      </c>
      <c r="O1445" s="9">
        <v>6.8</v>
      </c>
      <c r="P1445" s="9">
        <v>2.5</v>
      </c>
      <c r="Q1445" s="9" t="s">
        <v>5</v>
      </c>
      <c r="R1445" s="1">
        <v>0</v>
      </c>
      <c r="S1445" s="26"/>
    </row>
    <row r="1446" spans="1:19" ht="16.5" customHeight="1" x14ac:dyDescent="0.25">
      <c r="A1446" s="9"/>
      <c r="B1446" s="49" t="s">
        <v>126</v>
      </c>
      <c r="C1446" s="50"/>
      <c r="D1446" s="50"/>
      <c r="E1446" s="50"/>
      <c r="F1446" s="50"/>
      <c r="G1446" s="51"/>
      <c r="H1446" s="20"/>
      <c r="I1446" s="9">
        <v>3</v>
      </c>
      <c r="J1446" s="9"/>
      <c r="K1446" s="9"/>
      <c r="L1446" s="9"/>
      <c r="M1446" s="9">
        <f t="shared" si="180"/>
        <v>21.9</v>
      </c>
      <c r="N1446" s="9">
        <f t="shared" si="181"/>
        <v>9</v>
      </c>
      <c r="O1446" s="9">
        <v>7.3</v>
      </c>
      <c r="P1446" s="9">
        <v>3</v>
      </c>
      <c r="Q1446" s="9" t="s">
        <v>6</v>
      </c>
      <c r="R1446" s="1">
        <v>0</v>
      </c>
      <c r="S1446" s="26"/>
    </row>
    <row r="1447" spans="1:19" ht="16.5" customHeight="1" x14ac:dyDescent="0.25">
      <c r="A1447" s="9"/>
      <c r="B1447" s="49" t="s">
        <v>123</v>
      </c>
      <c r="C1447" s="50"/>
      <c r="D1447" s="50"/>
      <c r="E1447" s="50"/>
      <c r="F1447" s="50"/>
      <c r="G1447" s="51"/>
      <c r="H1447" s="20"/>
      <c r="I1447" s="9">
        <v>3</v>
      </c>
      <c r="J1447" s="9"/>
      <c r="K1447" s="9"/>
      <c r="L1447" s="9"/>
      <c r="M1447" s="9">
        <f t="shared" si="180"/>
        <v>16.799999999999997</v>
      </c>
      <c r="N1447" s="9">
        <f t="shared" si="181"/>
        <v>6</v>
      </c>
      <c r="O1447" s="9">
        <v>5.6</v>
      </c>
      <c r="P1447" s="9">
        <v>2</v>
      </c>
      <c r="Q1447" s="9" t="s">
        <v>3</v>
      </c>
      <c r="R1447" s="1">
        <v>0</v>
      </c>
      <c r="S1447" s="26"/>
    </row>
    <row r="1448" spans="1:19" ht="16.5" customHeight="1" x14ac:dyDescent="0.25">
      <c r="A1448" s="9"/>
      <c r="B1448" s="49" t="s">
        <v>124</v>
      </c>
      <c r="C1448" s="50"/>
      <c r="D1448" s="50"/>
      <c r="E1448" s="50"/>
      <c r="F1448" s="50"/>
      <c r="G1448" s="51"/>
      <c r="H1448" s="20"/>
      <c r="I1448" s="9">
        <v>3</v>
      </c>
      <c r="J1448" s="9"/>
      <c r="K1448" s="9"/>
      <c r="L1448" s="9"/>
      <c r="M1448" s="9">
        <f t="shared" si="180"/>
        <v>22.5</v>
      </c>
      <c r="N1448" s="9">
        <f t="shared" si="181"/>
        <v>9</v>
      </c>
      <c r="O1448" s="9">
        <v>7.5</v>
      </c>
      <c r="P1448" s="9">
        <v>3</v>
      </c>
      <c r="Q1448" s="9" t="s">
        <v>6</v>
      </c>
      <c r="R1448" s="1">
        <v>0</v>
      </c>
      <c r="S1448" s="26"/>
    </row>
    <row r="1449" spans="1:19" ht="16.5" customHeight="1" x14ac:dyDescent="0.25">
      <c r="A1449" s="9"/>
      <c r="B1449" s="49" t="s">
        <v>125</v>
      </c>
      <c r="C1449" s="50"/>
      <c r="D1449" s="50"/>
      <c r="E1449" s="50"/>
      <c r="F1449" s="50"/>
      <c r="G1449" s="51"/>
      <c r="H1449" s="20"/>
      <c r="I1449" s="9">
        <v>3</v>
      </c>
      <c r="J1449" s="9"/>
      <c r="K1449" s="9"/>
      <c r="L1449" s="9"/>
      <c r="M1449" s="9">
        <f t="shared" si="180"/>
        <v>19.5</v>
      </c>
      <c r="N1449" s="9">
        <f t="shared" si="181"/>
        <v>7.5</v>
      </c>
      <c r="O1449" s="9">
        <v>6.5</v>
      </c>
      <c r="P1449" s="9">
        <v>2.5</v>
      </c>
      <c r="Q1449" s="9" t="s">
        <v>5</v>
      </c>
      <c r="R1449" s="1">
        <v>0</v>
      </c>
      <c r="S1449" s="26"/>
    </row>
    <row r="1450" spans="1:19" ht="16.5" customHeight="1" x14ac:dyDescent="0.25">
      <c r="A1450" s="9"/>
      <c r="B1450" s="49" t="s">
        <v>128</v>
      </c>
      <c r="C1450" s="50"/>
      <c r="D1450" s="50"/>
      <c r="E1450" s="50"/>
      <c r="F1450" s="50"/>
      <c r="G1450" s="51"/>
      <c r="H1450" s="20"/>
      <c r="I1450" s="9">
        <v>2</v>
      </c>
      <c r="J1450" s="9"/>
      <c r="K1450" s="9"/>
      <c r="L1450" s="9"/>
      <c r="M1450" s="9">
        <f t="shared" si="180"/>
        <v>14.4</v>
      </c>
      <c r="N1450" s="9">
        <f t="shared" si="181"/>
        <v>6</v>
      </c>
      <c r="O1450" s="9">
        <v>7.2</v>
      </c>
      <c r="P1450" s="9">
        <v>3</v>
      </c>
      <c r="Q1450" s="9" t="s">
        <v>6</v>
      </c>
      <c r="R1450" s="1">
        <v>0</v>
      </c>
      <c r="S1450" s="26"/>
    </row>
    <row r="1451" spans="1:19" ht="16.5" customHeight="1" x14ac:dyDescent="0.25">
      <c r="A1451" s="9"/>
      <c r="B1451" s="49" t="s">
        <v>122</v>
      </c>
      <c r="C1451" s="50"/>
      <c r="D1451" s="50"/>
      <c r="E1451" s="50"/>
      <c r="F1451" s="50"/>
      <c r="G1451" s="51"/>
      <c r="H1451" s="20"/>
      <c r="I1451" s="9">
        <v>1</v>
      </c>
      <c r="J1451" s="9"/>
      <c r="K1451" s="9"/>
      <c r="L1451" s="9"/>
      <c r="M1451" s="9">
        <f t="shared" si="180"/>
        <v>7.3</v>
      </c>
      <c r="N1451" s="9">
        <f t="shared" si="181"/>
        <v>3</v>
      </c>
      <c r="O1451" s="9">
        <v>7.3</v>
      </c>
      <c r="P1451" s="9">
        <v>3</v>
      </c>
      <c r="Q1451" s="9" t="s">
        <v>6</v>
      </c>
      <c r="R1451" s="1">
        <v>0</v>
      </c>
      <c r="S1451" s="26"/>
    </row>
    <row r="1452" spans="1:19" ht="16.5" customHeight="1" x14ac:dyDescent="0.25">
      <c r="A1452" s="9"/>
      <c r="B1452" s="49" t="s">
        <v>127</v>
      </c>
      <c r="C1452" s="50"/>
      <c r="D1452" s="50"/>
      <c r="E1452" s="50"/>
      <c r="F1452" s="50"/>
      <c r="G1452" s="51"/>
      <c r="H1452" s="20"/>
      <c r="I1452" s="9">
        <v>2</v>
      </c>
      <c r="J1452" s="9"/>
      <c r="K1452" s="9"/>
      <c r="L1452" s="9"/>
      <c r="M1452" s="9">
        <f t="shared" si="180"/>
        <v>12</v>
      </c>
      <c r="N1452" s="9">
        <f t="shared" si="181"/>
        <v>4</v>
      </c>
      <c r="O1452" s="9">
        <v>6</v>
      </c>
      <c r="P1452" s="9">
        <v>2</v>
      </c>
      <c r="Q1452" s="9" t="s">
        <v>3</v>
      </c>
      <c r="R1452" s="1">
        <v>0</v>
      </c>
      <c r="S1452" s="26"/>
    </row>
    <row r="1453" spans="1:19" ht="16.5" hidden="1" customHeight="1" x14ac:dyDescent="0.25">
      <c r="A1453" s="21"/>
      <c r="H1453" s="21"/>
      <c r="I1453" s="21"/>
      <c r="J1453" s="21"/>
      <c r="K1453" s="21"/>
      <c r="L1453" s="21"/>
      <c r="M1453" s="9">
        <f t="shared" si="180"/>
        <v>0</v>
      </c>
      <c r="N1453" s="9">
        <f t="shared" si="181"/>
        <v>0</v>
      </c>
      <c r="O1453" s="21"/>
      <c r="P1453" s="21"/>
      <c r="Q1453" s="21"/>
      <c r="S1453" s="25"/>
    </row>
    <row r="1454" spans="1:19" ht="16.5" customHeight="1" x14ac:dyDescent="0.25">
      <c r="A1454" s="9"/>
      <c r="B1454" s="38" t="s">
        <v>42</v>
      </c>
      <c r="C1454" s="39"/>
      <c r="D1454" s="39"/>
      <c r="E1454" s="39"/>
      <c r="F1454" s="39"/>
      <c r="G1454" s="40"/>
      <c r="H1454" s="23"/>
      <c r="I1454" s="24">
        <f>SUM(I1445:I1453)</f>
        <v>20</v>
      </c>
      <c r="J1454" s="9"/>
      <c r="K1454" s="9"/>
      <c r="L1454" s="9"/>
      <c r="M1454" s="9">
        <f t="shared" si="180"/>
        <v>134.80000000000001</v>
      </c>
      <c r="N1454" s="9">
        <f t="shared" si="181"/>
        <v>52</v>
      </c>
      <c r="O1454" s="24">
        <f>ROUND(SUM(M1445:M1453)/I1454,2)</f>
        <v>6.74</v>
      </c>
      <c r="P1454" s="24">
        <f>ROUND(SUM(N1445:N1453)/I1454,2)</f>
        <v>2.6</v>
      </c>
      <c r="Q1454" s="9"/>
      <c r="S1454" s="25"/>
    </row>
    <row r="1455" spans="1:19" ht="16.5" customHeight="1" x14ac:dyDescent="0.25">
      <c r="A1455" s="21"/>
      <c r="B1455" s="22"/>
      <c r="C1455" s="22"/>
      <c r="D1455" s="22"/>
      <c r="E1455" s="22"/>
      <c r="F1455" s="22"/>
      <c r="G1455" s="22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</row>
    <row r="1457" spans="1:20" ht="18" x14ac:dyDescent="0.25">
      <c r="A1457" s="57" t="s">
        <v>132</v>
      </c>
      <c r="B1457" s="57"/>
      <c r="C1457" s="57"/>
      <c r="D1457" s="57"/>
      <c r="E1457" s="57"/>
      <c r="F1457" s="57"/>
      <c r="G1457" s="57"/>
      <c r="H1457" s="57"/>
      <c r="I1457" s="57"/>
      <c r="J1457" s="57"/>
      <c r="K1457" s="57"/>
      <c r="L1457" s="57"/>
      <c r="M1457" s="57"/>
      <c r="N1457" s="57"/>
      <c r="O1457" s="57"/>
      <c r="P1457" s="57"/>
      <c r="Q1457" s="57"/>
      <c r="R1457" s="57"/>
      <c r="S1457" s="57"/>
    </row>
    <row r="1458" spans="1:20" ht="18" x14ac:dyDescent="0.25">
      <c r="A1458" s="57" t="s">
        <v>190</v>
      </c>
      <c r="B1458" s="57"/>
      <c r="C1458" s="57"/>
      <c r="D1458" s="57"/>
      <c r="E1458" s="57"/>
      <c r="F1458" s="57"/>
      <c r="G1458" s="57"/>
      <c r="H1458" s="57"/>
      <c r="I1458" s="57"/>
      <c r="J1458" s="57"/>
      <c r="K1458" s="57"/>
      <c r="L1458" s="57"/>
      <c r="M1458" s="57"/>
      <c r="N1458" s="57"/>
      <c r="O1458" s="57"/>
      <c r="P1458" s="57"/>
      <c r="Q1458" s="57"/>
      <c r="R1458" s="57"/>
      <c r="S1458" s="57"/>
    </row>
    <row r="1459" spans="1:20" ht="18" x14ac:dyDescent="0.25">
      <c r="A1459" s="57" t="s">
        <v>191</v>
      </c>
      <c r="B1459" s="57"/>
      <c r="C1459" s="57"/>
      <c r="D1459" s="57"/>
      <c r="E1459" s="57"/>
      <c r="F1459" s="57"/>
      <c r="G1459" s="57"/>
      <c r="H1459" s="57"/>
      <c r="I1459" s="57"/>
      <c r="J1459" s="57"/>
      <c r="K1459" s="57"/>
      <c r="L1459" s="57"/>
      <c r="M1459" s="57"/>
      <c r="N1459" s="57"/>
      <c r="O1459" s="57"/>
      <c r="P1459" s="57"/>
      <c r="Q1459" s="57"/>
      <c r="R1459" s="57"/>
      <c r="S1459" s="57"/>
    </row>
    <row r="1460" spans="1:20" ht="18" x14ac:dyDescent="0.25">
      <c r="A1460" s="58" t="s">
        <v>148</v>
      </c>
      <c r="B1460" s="58"/>
      <c r="C1460" s="58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</row>
    <row r="1461" spans="1:20" ht="19.5" customHeight="1" x14ac:dyDescent="0.25">
      <c r="A1461" s="17"/>
      <c r="B1461" s="17"/>
      <c r="C1461" s="8"/>
      <c r="D1461" s="18"/>
      <c r="E1461" s="10"/>
      <c r="F1461" s="11"/>
      <c r="G1461" s="44" t="s">
        <v>49</v>
      </c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</row>
    <row r="1462" spans="1:20" ht="31.5" customHeight="1" x14ac:dyDescent="0.3">
      <c r="A1462" s="8"/>
      <c r="B1462" s="8"/>
      <c r="C1462" s="8"/>
      <c r="D1462" s="8"/>
      <c r="E1462" s="8"/>
      <c r="F1462" s="8"/>
      <c r="G1462" s="8"/>
      <c r="H1462" s="12"/>
      <c r="I1462" s="41" t="s">
        <v>40</v>
      </c>
      <c r="J1462" s="42"/>
      <c r="K1462" s="42"/>
      <c r="L1462" s="42"/>
      <c r="M1462" s="42"/>
      <c r="N1462" s="42"/>
      <c r="O1462" s="42"/>
      <c r="P1462" s="42"/>
      <c r="Q1462" s="42"/>
      <c r="R1462" s="42"/>
      <c r="S1462" s="42"/>
    </row>
    <row r="1463" spans="1:20" ht="16.8" x14ac:dyDescent="0.3">
      <c r="A1463" s="8"/>
      <c r="B1463" s="8"/>
      <c r="C1463" s="8"/>
      <c r="D1463" s="8"/>
      <c r="E1463" s="8"/>
      <c r="F1463" s="8"/>
      <c r="G1463" s="8"/>
      <c r="H1463" s="12"/>
      <c r="I1463" s="12"/>
      <c r="J1463" s="12"/>
      <c r="K1463" s="12"/>
      <c r="L1463" s="8"/>
      <c r="M1463" s="8"/>
      <c r="N1463" s="8"/>
      <c r="O1463" s="8"/>
      <c r="P1463" s="8"/>
      <c r="Q1463" s="8"/>
    </row>
    <row r="1464" spans="1:20" ht="33" customHeight="1" x14ac:dyDescent="0.3">
      <c r="A1464" s="8"/>
      <c r="B1464" s="8"/>
      <c r="C1464" s="8"/>
      <c r="D1464" s="8"/>
      <c r="E1464" s="8"/>
      <c r="F1464" s="8"/>
      <c r="G1464" s="8"/>
      <c r="H1464" s="12"/>
      <c r="I1464" s="12"/>
      <c r="J1464" s="12"/>
      <c r="K1464" s="12"/>
      <c r="L1464" s="8"/>
      <c r="M1464" s="8"/>
      <c r="N1464" s="8"/>
      <c r="O1464" s="8"/>
      <c r="P1464" s="8"/>
      <c r="Q1464" s="8"/>
    </row>
    <row r="1465" spans="1:20" ht="11.25" customHeight="1" x14ac:dyDescent="0.3">
      <c r="A1465" s="8"/>
      <c r="B1465" s="8"/>
      <c r="C1465" s="8"/>
      <c r="D1465" s="8"/>
      <c r="E1465" s="8"/>
      <c r="F1465" s="8"/>
      <c r="G1465" s="8"/>
      <c r="H1465" s="12"/>
      <c r="I1465" s="12"/>
      <c r="J1465" s="12"/>
      <c r="K1465" s="12"/>
      <c r="L1465" s="8"/>
      <c r="M1465" s="8"/>
      <c r="N1465" s="8"/>
      <c r="O1465" s="8"/>
      <c r="P1465" s="8"/>
      <c r="Q1465" s="8"/>
    </row>
    <row r="1466" spans="1:20" ht="17.399999999999999" x14ac:dyDescent="0.3">
      <c r="A1466" s="8"/>
      <c r="B1466" s="8"/>
      <c r="C1466" s="8"/>
      <c r="D1466" s="8"/>
      <c r="E1466" s="8"/>
      <c r="F1466" s="8"/>
      <c r="G1466" s="45" t="s">
        <v>41</v>
      </c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</row>
    <row r="1467" spans="1:20" ht="54" customHeight="1" x14ac:dyDescent="0.25">
      <c r="A1467" s="46" t="s">
        <v>33</v>
      </c>
      <c r="B1467" s="46"/>
      <c r="C1467" s="46"/>
      <c r="D1467" s="46"/>
      <c r="E1467" s="46"/>
      <c r="F1467" s="41" t="s">
        <v>24</v>
      </c>
      <c r="G1467" s="41"/>
      <c r="H1467" s="41"/>
      <c r="I1467" s="41"/>
      <c r="J1467" s="41"/>
      <c r="K1467" s="41"/>
      <c r="L1467" s="41"/>
      <c r="M1467" s="41"/>
      <c r="N1467" s="41"/>
      <c r="O1467" s="41"/>
      <c r="P1467" s="41"/>
      <c r="Q1467" s="41"/>
      <c r="R1467" s="41"/>
      <c r="S1467" s="41"/>
    </row>
    <row r="1468" spans="1:20" ht="17.399999999999999" x14ac:dyDescent="0.25">
      <c r="A1468" s="47" t="s">
        <v>34</v>
      </c>
      <c r="B1468" s="47"/>
      <c r="C1468" s="47"/>
      <c r="D1468" s="47"/>
      <c r="E1468" s="47"/>
      <c r="F1468" s="47"/>
      <c r="G1468" s="47"/>
      <c r="H1468" s="47"/>
      <c r="I1468" s="47"/>
      <c r="J1468" s="47"/>
      <c r="K1468" s="47"/>
      <c r="L1468" s="47"/>
      <c r="M1468" s="47"/>
      <c r="N1468" s="47"/>
      <c r="O1468" s="47"/>
      <c r="P1468" s="47"/>
      <c r="Q1468" s="47"/>
    </row>
    <row r="1469" spans="1:20" ht="4.5" customHeight="1" x14ac:dyDescent="0.25">
      <c r="A1469" s="48"/>
      <c r="B1469" s="48"/>
      <c r="C1469" s="48"/>
      <c r="D1469" s="48"/>
      <c r="E1469" s="48"/>
      <c r="F1469" s="48"/>
      <c r="G1469" s="48"/>
      <c r="H1469" s="48"/>
      <c r="I1469" s="48"/>
      <c r="J1469" s="48"/>
      <c r="K1469" s="48"/>
      <c r="L1469" s="48"/>
      <c r="M1469" s="48"/>
      <c r="N1469" s="48"/>
      <c r="O1469" s="48"/>
      <c r="P1469" s="48"/>
      <c r="Q1469" s="48"/>
    </row>
    <row r="1470" spans="1:20" ht="5.25" customHeight="1" x14ac:dyDescent="0.25">
      <c r="A1470" s="48"/>
      <c r="B1470" s="48"/>
      <c r="C1470" s="48"/>
      <c r="D1470" s="48"/>
      <c r="E1470" s="48"/>
      <c r="F1470" s="48"/>
      <c r="G1470" s="48"/>
      <c r="H1470" s="48"/>
      <c r="I1470" s="48"/>
      <c r="J1470" s="48"/>
      <c r="K1470" s="48"/>
      <c r="L1470" s="48"/>
      <c r="M1470" s="48"/>
      <c r="N1470" s="48"/>
      <c r="O1470" s="48"/>
      <c r="P1470" s="48"/>
      <c r="Q1470" s="48"/>
    </row>
    <row r="1471" spans="1:20" ht="16.5" customHeight="1" x14ac:dyDescent="0.25">
      <c r="A1471" s="52" t="s">
        <v>192</v>
      </c>
      <c r="B1471" s="52"/>
      <c r="C1471" s="52"/>
      <c r="D1471" s="52"/>
      <c r="E1471" s="52"/>
      <c r="F1471" s="52"/>
      <c r="G1471" s="56" t="s">
        <v>193</v>
      </c>
      <c r="H1471" s="56"/>
      <c r="I1471" s="56"/>
      <c r="J1471" s="56"/>
      <c r="K1471" s="56"/>
      <c r="L1471" s="56"/>
      <c r="M1471" s="56"/>
      <c r="N1471" s="56"/>
      <c r="O1471" s="56"/>
      <c r="P1471" s="56"/>
      <c r="Q1471" s="56"/>
      <c r="R1471" s="56"/>
      <c r="S1471" s="56"/>
    </row>
    <row r="1472" spans="1:20" ht="16.5" customHeight="1" x14ac:dyDescent="0.25">
      <c r="A1472" s="52" t="s">
        <v>194</v>
      </c>
      <c r="B1472" s="52"/>
      <c r="C1472" s="52"/>
      <c r="D1472" s="52"/>
      <c r="E1472" s="52"/>
      <c r="F1472" s="52"/>
      <c r="G1472" s="8" t="s">
        <v>46</v>
      </c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T1472" s="2"/>
    </row>
    <row r="1473" spans="1:19" ht="16.5" customHeight="1" x14ac:dyDescent="0.25">
      <c r="A1473" s="52" t="s">
        <v>47</v>
      </c>
      <c r="B1473" s="52"/>
      <c r="C1473" s="52"/>
      <c r="D1473" s="52"/>
      <c r="E1473" s="52"/>
      <c r="F1473" s="52"/>
      <c r="G1473" s="56" t="s">
        <v>48</v>
      </c>
      <c r="H1473" s="56"/>
      <c r="I1473" s="56"/>
      <c r="J1473" s="56"/>
      <c r="K1473" s="56"/>
      <c r="L1473" s="56"/>
      <c r="M1473" s="56"/>
      <c r="N1473" s="56"/>
      <c r="O1473" s="56"/>
      <c r="P1473" s="56"/>
      <c r="Q1473" s="56"/>
      <c r="R1473" s="56"/>
      <c r="S1473" s="56"/>
    </row>
    <row r="1474" spans="1:19" ht="5.25" customHeight="1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19"/>
      <c r="K1474" s="19"/>
      <c r="L1474" s="19"/>
      <c r="M1474" s="19"/>
      <c r="N1474" s="19"/>
      <c r="O1474" s="19"/>
      <c r="P1474" s="19"/>
      <c r="Q1474" s="19"/>
    </row>
    <row r="1475" spans="1:19" ht="15" customHeight="1" x14ac:dyDescent="0.25">
      <c r="A1475" s="35" t="s">
        <v>0</v>
      </c>
      <c r="B1475" s="29" t="s">
        <v>1</v>
      </c>
      <c r="C1475" s="30"/>
      <c r="D1475" s="30"/>
      <c r="E1475" s="30"/>
      <c r="F1475" s="30"/>
      <c r="G1475" s="31"/>
      <c r="H1475" s="35" t="s">
        <v>32</v>
      </c>
      <c r="I1475" s="35" t="s">
        <v>39</v>
      </c>
      <c r="J1475" s="53" t="s">
        <v>2</v>
      </c>
      <c r="K1475" s="54"/>
      <c r="L1475" s="54"/>
      <c r="M1475" s="54"/>
      <c r="N1475" s="54"/>
      <c r="O1475" s="54"/>
      <c r="P1475" s="54"/>
      <c r="Q1475" s="55"/>
      <c r="S1475" s="35" t="s">
        <v>38</v>
      </c>
    </row>
    <row r="1476" spans="1:19" ht="24" customHeight="1" x14ac:dyDescent="0.25">
      <c r="A1476" s="36"/>
      <c r="B1476" s="32"/>
      <c r="C1476" s="33"/>
      <c r="D1476" s="33"/>
      <c r="E1476" s="33"/>
      <c r="F1476" s="33"/>
      <c r="G1476" s="34"/>
      <c r="H1476" s="36"/>
      <c r="I1476" s="36"/>
      <c r="J1476" s="7" t="s">
        <v>28</v>
      </c>
      <c r="K1476" s="7" t="s">
        <v>29</v>
      </c>
      <c r="L1476" s="7" t="s">
        <v>30</v>
      </c>
      <c r="M1476" s="7"/>
      <c r="N1476" s="7"/>
      <c r="O1476" s="6" t="s">
        <v>35</v>
      </c>
      <c r="P1476" s="6" t="s">
        <v>36</v>
      </c>
      <c r="Q1476" s="6" t="s">
        <v>37</v>
      </c>
      <c r="S1476" s="36"/>
    </row>
    <row r="1477" spans="1:19" ht="20.25" customHeight="1" x14ac:dyDescent="0.25">
      <c r="A1477" s="27" t="s">
        <v>50</v>
      </c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</row>
    <row r="1478" spans="1:19" ht="16.5" customHeight="1" x14ac:dyDescent="0.25">
      <c r="A1478" s="9"/>
      <c r="B1478" s="49" t="s">
        <v>51</v>
      </c>
      <c r="C1478" s="50"/>
      <c r="D1478" s="50"/>
      <c r="E1478" s="50"/>
      <c r="F1478" s="50"/>
      <c r="G1478" s="51"/>
      <c r="H1478" s="20"/>
      <c r="I1478" s="9">
        <v>1</v>
      </c>
      <c r="J1478" s="9"/>
      <c r="K1478" s="9"/>
      <c r="L1478" s="9"/>
      <c r="M1478" s="9">
        <f t="shared" ref="M1478:M1486" si="182">I1478*O1478</f>
        <v>6</v>
      </c>
      <c r="N1478" s="9">
        <f t="shared" ref="N1478:N1486" si="183">I1478*P1478</f>
        <v>2</v>
      </c>
      <c r="O1478" s="9">
        <v>6</v>
      </c>
      <c r="P1478" s="9">
        <v>2</v>
      </c>
      <c r="Q1478" s="9" t="s">
        <v>3</v>
      </c>
      <c r="R1478" s="1">
        <v>0</v>
      </c>
      <c r="S1478" s="26"/>
    </row>
    <row r="1479" spans="1:19" ht="16.5" customHeight="1" x14ac:dyDescent="0.25">
      <c r="A1479" s="9"/>
      <c r="B1479" s="49" t="s">
        <v>78</v>
      </c>
      <c r="C1479" s="50"/>
      <c r="D1479" s="50"/>
      <c r="E1479" s="50"/>
      <c r="F1479" s="50"/>
      <c r="G1479" s="51"/>
      <c r="H1479" s="20"/>
      <c r="I1479" s="9">
        <v>3</v>
      </c>
      <c r="J1479" s="9"/>
      <c r="K1479" s="9"/>
      <c r="L1479" s="9"/>
      <c r="M1479" s="9">
        <f t="shared" si="182"/>
        <v>19.5</v>
      </c>
      <c r="N1479" s="9">
        <f t="shared" si="183"/>
        <v>7.5</v>
      </c>
      <c r="O1479" s="9">
        <v>6.5</v>
      </c>
      <c r="P1479" s="9">
        <v>2.5</v>
      </c>
      <c r="Q1479" s="9" t="s">
        <v>5</v>
      </c>
      <c r="R1479" s="1">
        <v>0</v>
      </c>
      <c r="S1479" s="26"/>
    </row>
    <row r="1480" spans="1:19" ht="31.2" customHeight="1" x14ac:dyDescent="0.25">
      <c r="A1480" s="9"/>
      <c r="B1480" s="49" t="s">
        <v>53</v>
      </c>
      <c r="C1480" s="50"/>
      <c r="D1480" s="50"/>
      <c r="E1480" s="50"/>
      <c r="F1480" s="50"/>
      <c r="G1480" s="51"/>
      <c r="H1480" s="20"/>
      <c r="I1480" s="9">
        <v>3</v>
      </c>
      <c r="J1480" s="9"/>
      <c r="K1480" s="9"/>
      <c r="L1480" s="9"/>
      <c r="M1480" s="9">
        <f t="shared" si="182"/>
        <v>21.9</v>
      </c>
      <c r="N1480" s="9">
        <f t="shared" si="183"/>
        <v>9</v>
      </c>
      <c r="O1480" s="9">
        <v>7.3</v>
      </c>
      <c r="P1480" s="9">
        <v>3</v>
      </c>
      <c r="Q1480" s="9" t="s">
        <v>6</v>
      </c>
      <c r="R1480" s="1">
        <v>0</v>
      </c>
      <c r="S1480" s="26"/>
    </row>
    <row r="1481" spans="1:19" ht="16.5" customHeight="1" x14ac:dyDescent="0.25">
      <c r="A1481" s="9"/>
      <c r="B1481" s="49" t="s">
        <v>52</v>
      </c>
      <c r="C1481" s="50"/>
      <c r="D1481" s="50"/>
      <c r="E1481" s="50"/>
      <c r="F1481" s="50"/>
      <c r="G1481" s="51"/>
      <c r="H1481" s="20"/>
      <c r="I1481" s="9">
        <v>1</v>
      </c>
      <c r="J1481" s="9"/>
      <c r="K1481" s="9"/>
      <c r="L1481" s="9"/>
      <c r="M1481" s="9">
        <f t="shared" si="182"/>
        <v>7.4</v>
      </c>
      <c r="N1481" s="9">
        <f t="shared" si="183"/>
        <v>3</v>
      </c>
      <c r="O1481" s="9">
        <v>7.4</v>
      </c>
      <c r="P1481" s="9">
        <v>3</v>
      </c>
      <c r="Q1481" s="9" t="s">
        <v>6</v>
      </c>
      <c r="R1481" s="1">
        <v>0</v>
      </c>
      <c r="S1481" s="26"/>
    </row>
    <row r="1482" spans="1:19" ht="16.5" customHeight="1" x14ac:dyDescent="0.25">
      <c r="A1482" s="9"/>
      <c r="B1482" s="49" t="s">
        <v>55</v>
      </c>
      <c r="C1482" s="50"/>
      <c r="D1482" s="50"/>
      <c r="E1482" s="50"/>
      <c r="F1482" s="50"/>
      <c r="G1482" s="51"/>
      <c r="H1482" s="20"/>
      <c r="I1482" s="9">
        <v>1</v>
      </c>
      <c r="J1482" s="9"/>
      <c r="K1482" s="9"/>
      <c r="L1482" s="9"/>
      <c r="M1482" s="9">
        <f t="shared" si="182"/>
        <v>6.8</v>
      </c>
      <c r="N1482" s="9">
        <f t="shared" si="183"/>
        <v>2.5</v>
      </c>
      <c r="O1482" s="9">
        <v>6.8</v>
      </c>
      <c r="P1482" s="9">
        <v>2.5</v>
      </c>
      <c r="Q1482" s="9" t="s">
        <v>5</v>
      </c>
      <c r="R1482" s="1">
        <v>0</v>
      </c>
      <c r="S1482" s="26"/>
    </row>
    <row r="1483" spans="1:19" ht="16.5" customHeight="1" x14ac:dyDescent="0.25">
      <c r="A1483" s="9"/>
      <c r="B1483" s="49" t="s">
        <v>54</v>
      </c>
      <c r="C1483" s="50"/>
      <c r="D1483" s="50"/>
      <c r="E1483" s="50"/>
      <c r="F1483" s="50"/>
      <c r="G1483" s="51"/>
      <c r="H1483" s="20"/>
      <c r="I1483" s="9">
        <v>3</v>
      </c>
      <c r="J1483" s="9"/>
      <c r="K1483" s="9"/>
      <c r="L1483" s="9"/>
      <c r="M1483" s="9">
        <f t="shared" si="182"/>
        <v>23.700000000000003</v>
      </c>
      <c r="N1483" s="9">
        <f t="shared" si="183"/>
        <v>9</v>
      </c>
      <c r="O1483" s="9">
        <v>7.9</v>
      </c>
      <c r="P1483" s="9">
        <v>3</v>
      </c>
      <c r="Q1483" s="9" t="s">
        <v>6</v>
      </c>
      <c r="R1483" s="1">
        <v>0</v>
      </c>
      <c r="S1483" s="26"/>
    </row>
    <row r="1484" spans="1:19" ht="16.5" customHeight="1" x14ac:dyDescent="0.25">
      <c r="A1484" s="9"/>
      <c r="B1484" s="49" t="s">
        <v>56</v>
      </c>
      <c r="C1484" s="50"/>
      <c r="D1484" s="50"/>
      <c r="E1484" s="50"/>
      <c r="F1484" s="50"/>
      <c r="G1484" s="51"/>
      <c r="H1484" s="20"/>
      <c r="I1484" s="9">
        <v>2</v>
      </c>
      <c r="J1484" s="9"/>
      <c r="K1484" s="9"/>
      <c r="L1484" s="9"/>
      <c r="M1484" s="9">
        <f t="shared" si="182"/>
        <v>13.4</v>
      </c>
      <c r="N1484" s="9">
        <f t="shared" si="183"/>
        <v>5</v>
      </c>
      <c r="O1484" s="9">
        <v>6.7</v>
      </c>
      <c r="P1484" s="9">
        <v>2.5</v>
      </c>
      <c r="Q1484" s="9" t="s">
        <v>5</v>
      </c>
      <c r="R1484" s="1">
        <v>0</v>
      </c>
      <c r="S1484" s="26"/>
    </row>
    <row r="1485" spans="1:19" ht="16.5" hidden="1" customHeight="1" x14ac:dyDescent="0.25">
      <c r="A1485" s="21"/>
      <c r="H1485" s="21"/>
      <c r="I1485" s="21"/>
      <c r="J1485" s="21"/>
      <c r="K1485" s="21"/>
      <c r="L1485" s="21"/>
      <c r="M1485" s="9">
        <f t="shared" si="182"/>
        <v>0</v>
      </c>
      <c r="N1485" s="9">
        <f t="shared" si="183"/>
        <v>0</v>
      </c>
      <c r="O1485" s="21"/>
      <c r="P1485" s="21"/>
      <c r="Q1485" s="21"/>
      <c r="S1485" s="25"/>
    </row>
    <row r="1486" spans="1:19" ht="16.5" customHeight="1" x14ac:dyDescent="0.25">
      <c r="A1486" s="9"/>
      <c r="B1486" s="38" t="s">
        <v>42</v>
      </c>
      <c r="C1486" s="39"/>
      <c r="D1486" s="39"/>
      <c r="E1486" s="39"/>
      <c r="F1486" s="39"/>
      <c r="G1486" s="40"/>
      <c r="H1486" s="23"/>
      <c r="I1486" s="24">
        <f>SUM(I1478:I1485)</f>
        <v>14</v>
      </c>
      <c r="J1486" s="9"/>
      <c r="K1486" s="9"/>
      <c r="L1486" s="9"/>
      <c r="M1486" s="9">
        <f t="shared" si="182"/>
        <v>98.7</v>
      </c>
      <c r="N1486" s="9">
        <f t="shared" si="183"/>
        <v>37.94</v>
      </c>
      <c r="O1486" s="24">
        <f>ROUND(SUM(M1478:M1485)/I1486,2)</f>
        <v>7.05</v>
      </c>
      <c r="P1486" s="24">
        <f>ROUND(SUM(N1478:N1485)/I1486,2)</f>
        <v>2.71</v>
      </c>
      <c r="Q1486" s="9"/>
      <c r="S1486" s="25"/>
    </row>
    <row r="1487" spans="1:19" ht="20.25" customHeight="1" x14ac:dyDescent="0.25">
      <c r="A1487" s="27" t="s">
        <v>57</v>
      </c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</row>
    <row r="1488" spans="1:19" ht="16.5" customHeight="1" x14ac:dyDescent="0.25">
      <c r="A1488" s="9"/>
      <c r="B1488" s="49" t="s">
        <v>136</v>
      </c>
      <c r="C1488" s="50"/>
      <c r="D1488" s="50"/>
      <c r="E1488" s="50"/>
      <c r="F1488" s="50"/>
      <c r="G1488" s="51"/>
      <c r="H1488" s="20"/>
      <c r="I1488" s="9">
        <v>4</v>
      </c>
      <c r="J1488" s="9"/>
      <c r="K1488" s="9"/>
      <c r="L1488" s="9"/>
      <c r="M1488" s="9">
        <f t="shared" ref="M1488:M1496" si="184">I1488*O1488</f>
        <v>26.8</v>
      </c>
      <c r="N1488" s="9">
        <f t="shared" ref="N1488:N1496" si="185">I1488*P1488</f>
        <v>10</v>
      </c>
      <c r="O1488" s="9">
        <v>6.7</v>
      </c>
      <c r="P1488" s="9">
        <v>2.5</v>
      </c>
      <c r="Q1488" s="9" t="s">
        <v>5</v>
      </c>
      <c r="R1488" s="1">
        <v>0</v>
      </c>
      <c r="S1488" s="26"/>
    </row>
    <row r="1489" spans="1:19" ht="16.5" customHeight="1" x14ac:dyDescent="0.25">
      <c r="A1489" s="9"/>
      <c r="B1489" s="49" t="s">
        <v>91</v>
      </c>
      <c r="C1489" s="50"/>
      <c r="D1489" s="50"/>
      <c r="E1489" s="50"/>
      <c r="F1489" s="50"/>
      <c r="G1489" s="51"/>
      <c r="H1489" s="20"/>
      <c r="I1489" s="9">
        <v>4</v>
      </c>
      <c r="J1489" s="9"/>
      <c r="K1489" s="9"/>
      <c r="L1489" s="9"/>
      <c r="M1489" s="9">
        <f t="shared" si="184"/>
        <v>22.8</v>
      </c>
      <c r="N1489" s="9">
        <f t="shared" si="185"/>
        <v>8</v>
      </c>
      <c r="O1489" s="9">
        <v>5.7</v>
      </c>
      <c r="P1489" s="9">
        <v>2</v>
      </c>
      <c r="Q1489" s="9" t="s">
        <v>3</v>
      </c>
      <c r="R1489" s="1">
        <v>0</v>
      </c>
      <c r="S1489" s="26"/>
    </row>
    <row r="1490" spans="1:19" ht="16.5" customHeight="1" x14ac:dyDescent="0.25">
      <c r="A1490" s="9"/>
      <c r="B1490" s="49" t="s">
        <v>60</v>
      </c>
      <c r="C1490" s="50"/>
      <c r="D1490" s="50"/>
      <c r="E1490" s="50"/>
      <c r="F1490" s="50"/>
      <c r="G1490" s="51"/>
      <c r="H1490" s="20"/>
      <c r="I1490" s="9">
        <v>4</v>
      </c>
      <c r="J1490" s="9"/>
      <c r="K1490" s="9"/>
      <c r="L1490" s="9"/>
      <c r="M1490" s="9">
        <f t="shared" si="184"/>
        <v>28.4</v>
      </c>
      <c r="N1490" s="9">
        <f t="shared" si="185"/>
        <v>12</v>
      </c>
      <c r="O1490" s="9">
        <v>7.1</v>
      </c>
      <c r="P1490" s="9">
        <v>3</v>
      </c>
      <c r="Q1490" s="9" t="s">
        <v>6</v>
      </c>
      <c r="R1490" s="1">
        <v>0</v>
      </c>
      <c r="S1490" s="26"/>
    </row>
    <row r="1491" spans="1:19" ht="16.5" customHeight="1" x14ac:dyDescent="0.25">
      <c r="A1491" s="9"/>
      <c r="B1491" s="49" t="s">
        <v>59</v>
      </c>
      <c r="C1491" s="50"/>
      <c r="D1491" s="50"/>
      <c r="E1491" s="50"/>
      <c r="F1491" s="50"/>
      <c r="G1491" s="51"/>
      <c r="H1491" s="20"/>
      <c r="I1491" s="9">
        <v>1</v>
      </c>
      <c r="J1491" s="9"/>
      <c r="K1491" s="9"/>
      <c r="L1491" s="9"/>
      <c r="M1491" s="9">
        <f t="shared" si="184"/>
        <v>7.7</v>
      </c>
      <c r="N1491" s="9">
        <f t="shared" si="185"/>
        <v>3</v>
      </c>
      <c r="O1491" s="9">
        <v>7.7</v>
      </c>
      <c r="P1491" s="9">
        <v>3</v>
      </c>
      <c r="Q1491" s="9" t="s">
        <v>6</v>
      </c>
      <c r="R1491" s="1">
        <v>0</v>
      </c>
      <c r="S1491" s="26"/>
    </row>
    <row r="1492" spans="1:19" ht="16.5" customHeight="1" x14ac:dyDescent="0.25">
      <c r="A1492" s="9"/>
      <c r="B1492" s="49" t="s">
        <v>58</v>
      </c>
      <c r="C1492" s="50"/>
      <c r="D1492" s="50"/>
      <c r="E1492" s="50"/>
      <c r="F1492" s="50"/>
      <c r="G1492" s="51"/>
      <c r="H1492" s="20"/>
      <c r="I1492" s="9">
        <v>1</v>
      </c>
      <c r="J1492" s="9"/>
      <c r="K1492" s="9"/>
      <c r="L1492" s="9"/>
      <c r="M1492" s="9">
        <f t="shared" si="184"/>
        <v>7.7</v>
      </c>
      <c r="N1492" s="9">
        <f t="shared" si="185"/>
        <v>3</v>
      </c>
      <c r="O1492" s="9">
        <v>7.7</v>
      </c>
      <c r="P1492" s="9">
        <v>3</v>
      </c>
      <c r="Q1492" s="9" t="s">
        <v>6</v>
      </c>
      <c r="R1492" s="1">
        <v>0</v>
      </c>
      <c r="S1492" s="26"/>
    </row>
    <row r="1493" spans="1:19" ht="16.5" customHeight="1" x14ac:dyDescent="0.25">
      <c r="A1493" s="9"/>
      <c r="B1493" s="49" t="s">
        <v>61</v>
      </c>
      <c r="C1493" s="50"/>
      <c r="D1493" s="50"/>
      <c r="E1493" s="50"/>
      <c r="F1493" s="50"/>
      <c r="G1493" s="51"/>
      <c r="H1493" s="20"/>
      <c r="I1493" s="9">
        <v>1</v>
      </c>
      <c r="J1493" s="9"/>
      <c r="K1493" s="9"/>
      <c r="L1493" s="9"/>
      <c r="M1493" s="9">
        <f t="shared" si="184"/>
        <v>7.6</v>
      </c>
      <c r="N1493" s="9">
        <f t="shared" si="185"/>
        <v>3</v>
      </c>
      <c r="O1493" s="9">
        <v>7.6</v>
      </c>
      <c r="P1493" s="9">
        <v>3</v>
      </c>
      <c r="Q1493" s="9" t="s">
        <v>6</v>
      </c>
      <c r="R1493" s="1">
        <v>0</v>
      </c>
      <c r="S1493" s="26"/>
    </row>
    <row r="1494" spans="1:19" ht="16.5" customHeight="1" x14ac:dyDescent="0.25">
      <c r="A1494" s="9"/>
      <c r="B1494" s="49" t="s">
        <v>62</v>
      </c>
      <c r="C1494" s="50"/>
      <c r="D1494" s="50"/>
      <c r="E1494" s="50"/>
      <c r="F1494" s="50"/>
      <c r="G1494" s="51"/>
      <c r="H1494" s="20"/>
      <c r="I1494" s="9">
        <v>1</v>
      </c>
      <c r="J1494" s="9"/>
      <c r="K1494" s="9"/>
      <c r="L1494" s="9"/>
      <c r="M1494" s="9">
        <f t="shared" si="184"/>
        <v>7</v>
      </c>
      <c r="N1494" s="9">
        <f t="shared" si="185"/>
        <v>3</v>
      </c>
      <c r="O1494" s="9">
        <v>7</v>
      </c>
      <c r="P1494" s="9">
        <v>3</v>
      </c>
      <c r="Q1494" s="9" t="s">
        <v>6</v>
      </c>
      <c r="R1494" s="1">
        <v>0</v>
      </c>
      <c r="S1494" s="26"/>
    </row>
    <row r="1495" spans="1:19" ht="16.5" hidden="1" customHeight="1" x14ac:dyDescent="0.25">
      <c r="A1495" s="21"/>
      <c r="H1495" s="21"/>
      <c r="I1495" s="21"/>
      <c r="J1495" s="21"/>
      <c r="K1495" s="21"/>
      <c r="L1495" s="21"/>
      <c r="M1495" s="9">
        <f t="shared" si="184"/>
        <v>0</v>
      </c>
      <c r="N1495" s="9">
        <f t="shared" si="185"/>
        <v>0</v>
      </c>
      <c r="O1495" s="21"/>
      <c r="P1495" s="21"/>
      <c r="Q1495" s="21"/>
      <c r="S1495" s="25"/>
    </row>
    <row r="1496" spans="1:19" ht="16.5" customHeight="1" x14ac:dyDescent="0.25">
      <c r="A1496" s="9"/>
      <c r="B1496" s="38" t="s">
        <v>42</v>
      </c>
      <c r="C1496" s="39"/>
      <c r="D1496" s="39"/>
      <c r="E1496" s="39"/>
      <c r="F1496" s="39"/>
      <c r="G1496" s="40"/>
      <c r="H1496" s="23"/>
      <c r="I1496" s="24">
        <f>SUM(I1488:I1495)</f>
        <v>16</v>
      </c>
      <c r="J1496" s="9"/>
      <c r="K1496" s="9"/>
      <c r="L1496" s="9"/>
      <c r="M1496" s="9">
        <f t="shared" si="184"/>
        <v>108</v>
      </c>
      <c r="N1496" s="9">
        <f t="shared" si="185"/>
        <v>42.08</v>
      </c>
      <c r="O1496" s="24">
        <f>ROUND(SUM(M1488:M1495)/I1496,2)</f>
        <v>6.75</v>
      </c>
      <c r="P1496" s="24">
        <f>ROUND(SUM(N1488:N1495)/I1496,2)</f>
        <v>2.63</v>
      </c>
      <c r="Q1496" s="9"/>
      <c r="S1496" s="25"/>
    </row>
    <row r="1497" spans="1:19" ht="20.25" customHeight="1" x14ac:dyDescent="0.25">
      <c r="A1497" s="27" t="s">
        <v>67</v>
      </c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</row>
    <row r="1498" spans="1:19" ht="16.5" customHeight="1" x14ac:dyDescent="0.25">
      <c r="A1498" s="9"/>
      <c r="B1498" s="49" t="s">
        <v>73</v>
      </c>
      <c r="C1498" s="50"/>
      <c r="D1498" s="50"/>
      <c r="E1498" s="50"/>
      <c r="F1498" s="50"/>
      <c r="G1498" s="51"/>
      <c r="H1498" s="20"/>
      <c r="I1498" s="9">
        <v>4</v>
      </c>
      <c r="J1498" s="9"/>
      <c r="K1498" s="9"/>
      <c r="L1498" s="9"/>
      <c r="M1498" s="9">
        <f t="shared" ref="M1498:M1508" si="186">I1498*O1498</f>
        <v>32.799999999999997</v>
      </c>
      <c r="N1498" s="9">
        <f t="shared" ref="N1498:N1508" si="187">I1498*P1498</f>
        <v>14</v>
      </c>
      <c r="O1498" s="9">
        <v>8.1999999999999993</v>
      </c>
      <c r="P1498" s="9">
        <v>3.5</v>
      </c>
      <c r="Q1498" s="9" t="s">
        <v>9</v>
      </c>
      <c r="R1498" s="1">
        <v>0</v>
      </c>
      <c r="S1498" s="26"/>
    </row>
    <row r="1499" spans="1:19" ht="16.5" customHeight="1" x14ac:dyDescent="0.25">
      <c r="A1499" s="9"/>
      <c r="B1499" s="49" t="s">
        <v>68</v>
      </c>
      <c r="C1499" s="50"/>
      <c r="D1499" s="50"/>
      <c r="E1499" s="50"/>
      <c r="F1499" s="50"/>
      <c r="G1499" s="51"/>
      <c r="H1499" s="20"/>
      <c r="I1499" s="9">
        <v>3</v>
      </c>
      <c r="J1499" s="9"/>
      <c r="K1499" s="9"/>
      <c r="L1499" s="9"/>
      <c r="M1499" s="9">
        <f t="shared" si="186"/>
        <v>21.299999999999997</v>
      </c>
      <c r="N1499" s="9">
        <f t="shared" si="187"/>
        <v>9</v>
      </c>
      <c r="O1499" s="9">
        <v>7.1</v>
      </c>
      <c r="P1499" s="9">
        <v>3</v>
      </c>
      <c r="Q1499" s="9" t="s">
        <v>6</v>
      </c>
      <c r="R1499" s="1">
        <v>0</v>
      </c>
      <c r="S1499" s="26"/>
    </row>
    <row r="1500" spans="1:19" ht="16.5" customHeight="1" x14ac:dyDescent="0.25">
      <c r="A1500" s="9"/>
      <c r="B1500" s="49" t="s">
        <v>71</v>
      </c>
      <c r="C1500" s="50"/>
      <c r="D1500" s="50"/>
      <c r="E1500" s="50"/>
      <c r="F1500" s="50"/>
      <c r="G1500" s="51"/>
      <c r="H1500" s="20"/>
      <c r="I1500" s="9">
        <v>1</v>
      </c>
      <c r="J1500" s="9"/>
      <c r="K1500" s="9"/>
      <c r="L1500" s="9"/>
      <c r="M1500" s="9">
        <f t="shared" si="186"/>
        <v>7.3</v>
      </c>
      <c r="N1500" s="9">
        <f t="shared" si="187"/>
        <v>3</v>
      </c>
      <c r="O1500" s="9">
        <v>7.3</v>
      </c>
      <c r="P1500" s="9">
        <v>3</v>
      </c>
      <c r="Q1500" s="9" t="s">
        <v>6</v>
      </c>
      <c r="R1500" s="1">
        <v>0</v>
      </c>
      <c r="S1500" s="26"/>
    </row>
    <row r="1501" spans="1:19" ht="16.5" customHeight="1" x14ac:dyDescent="0.25">
      <c r="A1501" s="9"/>
      <c r="B1501" s="49" t="s">
        <v>70</v>
      </c>
      <c r="C1501" s="50"/>
      <c r="D1501" s="50"/>
      <c r="E1501" s="50"/>
      <c r="F1501" s="50"/>
      <c r="G1501" s="51"/>
      <c r="H1501" s="20"/>
      <c r="I1501" s="9">
        <v>2</v>
      </c>
      <c r="J1501" s="9"/>
      <c r="K1501" s="9"/>
      <c r="L1501" s="9"/>
      <c r="M1501" s="9">
        <f t="shared" si="186"/>
        <v>15.2</v>
      </c>
      <c r="N1501" s="9">
        <f t="shared" si="187"/>
        <v>6</v>
      </c>
      <c r="O1501" s="9">
        <v>7.6</v>
      </c>
      <c r="P1501" s="9">
        <v>3</v>
      </c>
      <c r="Q1501" s="9" t="s">
        <v>6</v>
      </c>
      <c r="R1501" s="1">
        <v>0</v>
      </c>
      <c r="S1501" s="26"/>
    </row>
    <row r="1502" spans="1:19" ht="16.5" customHeight="1" x14ac:dyDescent="0.25">
      <c r="A1502" s="9"/>
      <c r="B1502" s="49" t="s">
        <v>77</v>
      </c>
      <c r="C1502" s="50"/>
      <c r="D1502" s="50"/>
      <c r="E1502" s="50"/>
      <c r="F1502" s="50"/>
      <c r="G1502" s="51"/>
      <c r="H1502" s="20"/>
      <c r="I1502" s="9">
        <v>1</v>
      </c>
      <c r="J1502" s="9"/>
      <c r="K1502" s="9"/>
      <c r="L1502" s="9"/>
      <c r="M1502" s="9">
        <f t="shared" si="186"/>
        <v>4.5999999999999996</v>
      </c>
      <c r="N1502" s="9">
        <f t="shared" si="187"/>
        <v>1</v>
      </c>
      <c r="O1502" s="9">
        <v>4.5999999999999996</v>
      </c>
      <c r="P1502" s="9">
        <v>1</v>
      </c>
      <c r="Q1502" s="9" t="s">
        <v>8</v>
      </c>
      <c r="R1502" s="1">
        <v>0</v>
      </c>
      <c r="S1502" s="26"/>
    </row>
    <row r="1503" spans="1:19" ht="16.5" customHeight="1" x14ac:dyDescent="0.25">
      <c r="A1503" s="9"/>
      <c r="B1503" s="49" t="s">
        <v>72</v>
      </c>
      <c r="C1503" s="50"/>
      <c r="D1503" s="50"/>
      <c r="E1503" s="50"/>
      <c r="F1503" s="50"/>
      <c r="G1503" s="51"/>
      <c r="H1503" s="20"/>
      <c r="I1503" s="9">
        <v>4</v>
      </c>
      <c r="J1503" s="9"/>
      <c r="K1503" s="9"/>
      <c r="L1503" s="9"/>
      <c r="M1503" s="9">
        <f t="shared" si="186"/>
        <v>30.4</v>
      </c>
      <c r="N1503" s="9">
        <f t="shared" si="187"/>
        <v>12</v>
      </c>
      <c r="O1503" s="9">
        <v>7.6</v>
      </c>
      <c r="P1503" s="9">
        <v>3</v>
      </c>
      <c r="Q1503" s="9" t="s">
        <v>6</v>
      </c>
      <c r="R1503" s="1">
        <v>0</v>
      </c>
      <c r="S1503" s="26"/>
    </row>
    <row r="1504" spans="1:19" ht="16.5" customHeight="1" x14ac:dyDescent="0.25">
      <c r="A1504" s="9"/>
      <c r="B1504" s="49" t="s">
        <v>74</v>
      </c>
      <c r="C1504" s="50"/>
      <c r="D1504" s="50"/>
      <c r="E1504" s="50"/>
      <c r="F1504" s="50"/>
      <c r="G1504" s="51"/>
      <c r="H1504" s="20"/>
      <c r="I1504" s="9">
        <v>3</v>
      </c>
      <c r="J1504" s="9"/>
      <c r="K1504" s="9"/>
      <c r="L1504" s="9"/>
      <c r="M1504" s="9">
        <f t="shared" si="186"/>
        <v>20.399999999999999</v>
      </c>
      <c r="N1504" s="9">
        <f t="shared" si="187"/>
        <v>7.5</v>
      </c>
      <c r="O1504" s="9">
        <v>6.8</v>
      </c>
      <c r="P1504" s="9">
        <v>2.5</v>
      </c>
      <c r="Q1504" s="9" t="s">
        <v>5</v>
      </c>
      <c r="R1504" s="1">
        <v>0</v>
      </c>
      <c r="S1504" s="26"/>
    </row>
    <row r="1505" spans="1:19" ht="16.5" customHeight="1" x14ac:dyDescent="0.25">
      <c r="A1505" s="9"/>
      <c r="B1505" s="49" t="s">
        <v>76</v>
      </c>
      <c r="C1505" s="50"/>
      <c r="D1505" s="50"/>
      <c r="E1505" s="50"/>
      <c r="F1505" s="50"/>
      <c r="G1505" s="51"/>
      <c r="H1505" s="20"/>
      <c r="I1505" s="9">
        <v>4</v>
      </c>
      <c r="J1505" s="9"/>
      <c r="K1505" s="9"/>
      <c r="L1505" s="9"/>
      <c r="M1505" s="9">
        <f t="shared" si="186"/>
        <v>29.6</v>
      </c>
      <c r="N1505" s="9">
        <f t="shared" si="187"/>
        <v>12</v>
      </c>
      <c r="O1505" s="9">
        <v>7.4</v>
      </c>
      <c r="P1505" s="9">
        <v>3</v>
      </c>
      <c r="Q1505" s="9" t="s">
        <v>6</v>
      </c>
      <c r="R1505" s="1">
        <v>0</v>
      </c>
      <c r="S1505" s="26"/>
    </row>
    <row r="1506" spans="1:19" ht="16.5" customHeight="1" x14ac:dyDescent="0.25">
      <c r="A1506" s="9"/>
      <c r="B1506" s="49" t="s">
        <v>80</v>
      </c>
      <c r="C1506" s="50"/>
      <c r="D1506" s="50"/>
      <c r="E1506" s="50"/>
      <c r="F1506" s="50"/>
      <c r="G1506" s="51"/>
      <c r="H1506" s="20"/>
      <c r="I1506" s="9">
        <v>4</v>
      </c>
      <c r="J1506" s="9"/>
      <c r="K1506" s="9"/>
      <c r="L1506" s="9"/>
      <c r="M1506" s="9">
        <f t="shared" si="186"/>
        <v>31.2</v>
      </c>
      <c r="N1506" s="9">
        <f t="shared" si="187"/>
        <v>12</v>
      </c>
      <c r="O1506" s="9">
        <v>7.8</v>
      </c>
      <c r="P1506" s="9">
        <v>3</v>
      </c>
      <c r="Q1506" s="9" t="s">
        <v>6</v>
      </c>
      <c r="R1506" s="1">
        <v>0</v>
      </c>
      <c r="S1506" s="26"/>
    </row>
    <row r="1507" spans="1:19" ht="16.5" hidden="1" customHeight="1" x14ac:dyDescent="0.25">
      <c r="A1507" s="21"/>
      <c r="H1507" s="21"/>
      <c r="I1507" s="21"/>
      <c r="J1507" s="21"/>
      <c r="K1507" s="21"/>
      <c r="L1507" s="21"/>
      <c r="M1507" s="9">
        <f t="shared" si="186"/>
        <v>0</v>
      </c>
      <c r="N1507" s="9">
        <f t="shared" si="187"/>
        <v>0</v>
      </c>
      <c r="O1507" s="21"/>
      <c r="P1507" s="21"/>
      <c r="Q1507" s="21"/>
      <c r="S1507" s="25"/>
    </row>
    <row r="1508" spans="1:19" ht="16.5" customHeight="1" x14ac:dyDescent="0.25">
      <c r="A1508" s="9"/>
      <c r="B1508" s="38" t="s">
        <v>42</v>
      </c>
      <c r="C1508" s="39"/>
      <c r="D1508" s="39"/>
      <c r="E1508" s="39"/>
      <c r="F1508" s="39"/>
      <c r="G1508" s="40"/>
      <c r="H1508" s="23"/>
      <c r="I1508" s="24">
        <f>SUM(I1498:I1507)</f>
        <v>26</v>
      </c>
      <c r="J1508" s="9"/>
      <c r="K1508" s="9"/>
      <c r="L1508" s="9"/>
      <c r="M1508" s="9">
        <f t="shared" si="186"/>
        <v>192.92</v>
      </c>
      <c r="N1508" s="9">
        <f t="shared" si="187"/>
        <v>76.44</v>
      </c>
      <c r="O1508" s="24">
        <f>ROUND(SUM(M1498:M1507)/I1508,2)</f>
        <v>7.42</v>
      </c>
      <c r="P1508" s="24">
        <f>ROUND(SUM(N1498:N1507)/I1508,2)</f>
        <v>2.94</v>
      </c>
      <c r="Q1508" s="9"/>
      <c r="S1508" s="25"/>
    </row>
    <row r="1509" spans="1:19" ht="20.25" customHeight="1" x14ac:dyDescent="0.25">
      <c r="A1509" s="27" t="s">
        <v>82</v>
      </c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</row>
    <row r="1510" spans="1:19" ht="16.5" customHeight="1" x14ac:dyDescent="0.25">
      <c r="A1510" s="9"/>
      <c r="B1510" s="49" t="s">
        <v>86</v>
      </c>
      <c r="C1510" s="50"/>
      <c r="D1510" s="50"/>
      <c r="E1510" s="50"/>
      <c r="F1510" s="50"/>
      <c r="G1510" s="51"/>
      <c r="H1510" s="20"/>
      <c r="I1510" s="9">
        <v>3</v>
      </c>
      <c r="J1510" s="9"/>
      <c r="K1510" s="9"/>
      <c r="L1510" s="9"/>
      <c r="M1510" s="9">
        <f>I1510*O1510</f>
        <v>21</v>
      </c>
      <c r="N1510" s="9">
        <f>I1510*P1510</f>
        <v>9</v>
      </c>
      <c r="O1510" s="9">
        <v>7</v>
      </c>
      <c r="P1510" s="9">
        <v>3</v>
      </c>
      <c r="Q1510" s="9" t="s">
        <v>6</v>
      </c>
      <c r="R1510" s="1">
        <v>0</v>
      </c>
      <c r="S1510" s="26"/>
    </row>
    <row r="1511" spans="1:19" ht="16.5" customHeight="1" x14ac:dyDescent="0.25">
      <c r="A1511" s="9"/>
      <c r="B1511" s="49" t="s">
        <v>83</v>
      </c>
      <c r="C1511" s="50"/>
      <c r="D1511" s="50"/>
      <c r="E1511" s="50"/>
      <c r="F1511" s="50"/>
      <c r="G1511" s="51"/>
      <c r="H1511" s="20"/>
      <c r="I1511" s="9">
        <v>1</v>
      </c>
      <c r="J1511" s="9"/>
      <c r="K1511" s="9"/>
      <c r="L1511" s="9"/>
      <c r="M1511" s="9">
        <f>I1511*O1511</f>
        <v>6.9</v>
      </c>
      <c r="N1511" s="9">
        <f>I1511*P1511</f>
        <v>2.5</v>
      </c>
      <c r="O1511" s="9">
        <v>6.9</v>
      </c>
      <c r="P1511" s="9">
        <v>2.5</v>
      </c>
      <c r="Q1511" s="9" t="s">
        <v>5</v>
      </c>
      <c r="R1511" s="1">
        <v>0</v>
      </c>
      <c r="S1511" s="26"/>
    </row>
    <row r="1512" spans="1:19" ht="16.5" customHeight="1" x14ac:dyDescent="0.25">
      <c r="A1512" s="9"/>
      <c r="B1512" s="49" t="s">
        <v>75</v>
      </c>
      <c r="C1512" s="50"/>
      <c r="D1512" s="50"/>
      <c r="E1512" s="50"/>
      <c r="F1512" s="50"/>
      <c r="G1512" s="51"/>
      <c r="H1512" s="20"/>
      <c r="I1512" s="9">
        <v>3</v>
      </c>
      <c r="J1512" s="9"/>
      <c r="K1512" s="9"/>
      <c r="L1512" s="9"/>
      <c r="M1512" s="9">
        <f>I1512*O1512</f>
        <v>19.200000000000003</v>
      </c>
      <c r="N1512" s="9">
        <f>I1512*P1512</f>
        <v>6</v>
      </c>
      <c r="O1512" s="9">
        <v>6.4</v>
      </c>
      <c r="P1512" s="9">
        <v>2</v>
      </c>
      <c r="Q1512" s="9" t="s">
        <v>3</v>
      </c>
      <c r="R1512" s="1">
        <v>0</v>
      </c>
      <c r="S1512" s="26"/>
    </row>
    <row r="1513" spans="1:19" ht="16.5" customHeight="1" x14ac:dyDescent="0.25">
      <c r="A1513" s="9"/>
      <c r="B1513" s="49" t="s">
        <v>93</v>
      </c>
      <c r="C1513" s="50"/>
      <c r="D1513" s="50"/>
      <c r="E1513" s="50"/>
      <c r="F1513" s="50"/>
      <c r="G1513" s="51"/>
      <c r="H1513" s="20"/>
      <c r="I1513" s="9">
        <v>2</v>
      </c>
      <c r="J1513" s="9"/>
      <c r="K1513" s="9"/>
      <c r="L1513" s="9"/>
      <c r="M1513" s="9">
        <f>I1513*O1513</f>
        <v>15.2</v>
      </c>
      <c r="N1513" s="9">
        <f>I1513*P1513</f>
        <v>6</v>
      </c>
      <c r="O1513" s="9">
        <v>7.6</v>
      </c>
      <c r="P1513" s="9">
        <v>3</v>
      </c>
      <c r="Q1513" s="9" t="s">
        <v>6</v>
      </c>
      <c r="R1513" s="1">
        <v>0</v>
      </c>
      <c r="S1513" s="26"/>
    </row>
    <row r="1514" spans="1:19" ht="16.5" customHeight="1" x14ac:dyDescent="0.25">
      <c r="A1514" s="9"/>
      <c r="B1514" s="49" t="s">
        <v>90</v>
      </c>
      <c r="C1514" s="50"/>
      <c r="D1514" s="50"/>
      <c r="E1514" s="50"/>
      <c r="F1514" s="50"/>
      <c r="G1514" s="51"/>
      <c r="H1514" s="20"/>
      <c r="I1514" s="9">
        <v>2</v>
      </c>
      <c r="J1514" s="9"/>
      <c r="K1514" s="9"/>
      <c r="L1514" s="9"/>
      <c r="M1514" s="9">
        <f>I1514*O1514</f>
        <v>14</v>
      </c>
      <c r="N1514" s="9">
        <f>I1514*P1514</f>
        <v>6</v>
      </c>
      <c r="O1514" s="9">
        <v>7</v>
      </c>
      <c r="P1514" s="9">
        <v>3</v>
      </c>
      <c r="Q1514" s="9" t="s">
        <v>6</v>
      </c>
      <c r="R1514" s="1">
        <v>0</v>
      </c>
      <c r="S1514" s="26"/>
    </row>
    <row r="1515" spans="1:19" ht="15" customHeight="1" x14ac:dyDescent="0.25">
      <c r="A1515" s="35" t="s">
        <v>0</v>
      </c>
      <c r="B1515" s="29" t="s">
        <v>1</v>
      </c>
      <c r="C1515" s="30"/>
      <c r="D1515" s="30"/>
      <c r="E1515" s="30"/>
      <c r="F1515" s="30"/>
      <c r="G1515" s="31"/>
      <c r="H1515" s="35" t="s">
        <v>32</v>
      </c>
      <c r="I1515" s="35" t="s">
        <v>39</v>
      </c>
      <c r="J1515" s="53" t="s">
        <v>2</v>
      </c>
      <c r="K1515" s="54"/>
      <c r="L1515" s="54"/>
      <c r="M1515" s="54"/>
      <c r="N1515" s="54"/>
      <c r="O1515" s="54"/>
      <c r="P1515" s="54"/>
      <c r="Q1515" s="55"/>
      <c r="S1515" s="35" t="s">
        <v>38</v>
      </c>
    </row>
    <row r="1516" spans="1:19" ht="24" customHeight="1" x14ac:dyDescent="0.25">
      <c r="A1516" s="36"/>
      <c r="B1516" s="32"/>
      <c r="C1516" s="33"/>
      <c r="D1516" s="33"/>
      <c r="E1516" s="33"/>
      <c r="F1516" s="33"/>
      <c r="G1516" s="34"/>
      <c r="H1516" s="36"/>
      <c r="I1516" s="36"/>
      <c r="J1516" s="7" t="s">
        <v>28</v>
      </c>
      <c r="K1516" s="7" t="s">
        <v>29</v>
      </c>
      <c r="L1516" s="7" t="s">
        <v>30</v>
      </c>
      <c r="M1516" s="7"/>
      <c r="N1516" s="7"/>
      <c r="O1516" s="6" t="s">
        <v>35</v>
      </c>
      <c r="P1516" s="6" t="s">
        <v>36</v>
      </c>
      <c r="Q1516" s="6" t="s">
        <v>37</v>
      </c>
      <c r="S1516" s="36"/>
    </row>
    <row r="1517" spans="1:19" ht="16.5" customHeight="1" x14ac:dyDescent="0.25">
      <c r="A1517" s="9"/>
      <c r="B1517" s="49" t="s">
        <v>95</v>
      </c>
      <c r="C1517" s="50"/>
      <c r="D1517" s="50"/>
      <c r="E1517" s="50"/>
      <c r="F1517" s="50"/>
      <c r="G1517" s="51"/>
      <c r="H1517" s="20"/>
      <c r="I1517" s="9">
        <v>1</v>
      </c>
      <c r="J1517" s="9"/>
      <c r="K1517" s="9"/>
      <c r="L1517" s="9"/>
      <c r="M1517" s="9">
        <f t="shared" ref="M1517:M1523" si="188">I1517*O1517</f>
        <v>7.5</v>
      </c>
      <c r="N1517" s="9">
        <f t="shared" ref="N1517:N1523" si="189">I1517*P1517</f>
        <v>3</v>
      </c>
      <c r="O1517" s="9">
        <v>7.5</v>
      </c>
      <c r="P1517" s="9">
        <v>3</v>
      </c>
      <c r="Q1517" s="9" t="s">
        <v>6</v>
      </c>
      <c r="R1517" s="1">
        <v>0</v>
      </c>
      <c r="S1517" s="26"/>
    </row>
    <row r="1518" spans="1:19" ht="16.5" customHeight="1" x14ac:dyDescent="0.25">
      <c r="A1518" s="9"/>
      <c r="B1518" s="49" t="s">
        <v>88</v>
      </c>
      <c r="C1518" s="50"/>
      <c r="D1518" s="50"/>
      <c r="E1518" s="50"/>
      <c r="F1518" s="50"/>
      <c r="G1518" s="51"/>
      <c r="H1518" s="20"/>
      <c r="I1518" s="9">
        <v>2</v>
      </c>
      <c r="J1518" s="9"/>
      <c r="K1518" s="9"/>
      <c r="L1518" s="9"/>
      <c r="M1518" s="9">
        <f t="shared" si="188"/>
        <v>13.8</v>
      </c>
      <c r="N1518" s="9">
        <f t="shared" si="189"/>
        <v>5</v>
      </c>
      <c r="O1518" s="9">
        <v>6.9</v>
      </c>
      <c r="P1518" s="9">
        <v>2.5</v>
      </c>
      <c r="Q1518" s="9" t="s">
        <v>5</v>
      </c>
      <c r="R1518" s="1">
        <v>0</v>
      </c>
      <c r="S1518" s="26"/>
    </row>
    <row r="1519" spans="1:19" ht="16.5" customHeight="1" x14ac:dyDescent="0.25">
      <c r="A1519" s="9"/>
      <c r="B1519" s="49" t="s">
        <v>89</v>
      </c>
      <c r="C1519" s="50"/>
      <c r="D1519" s="50"/>
      <c r="E1519" s="50"/>
      <c r="F1519" s="50"/>
      <c r="G1519" s="51"/>
      <c r="H1519" s="20"/>
      <c r="I1519" s="9">
        <v>2</v>
      </c>
      <c r="J1519" s="9"/>
      <c r="K1519" s="9"/>
      <c r="L1519" s="9"/>
      <c r="M1519" s="9">
        <f t="shared" si="188"/>
        <v>17</v>
      </c>
      <c r="N1519" s="9">
        <f t="shared" si="189"/>
        <v>7.4</v>
      </c>
      <c r="O1519" s="9">
        <v>8.5</v>
      </c>
      <c r="P1519" s="9">
        <v>3.7</v>
      </c>
      <c r="Q1519" s="9" t="s">
        <v>10</v>
      </c>
      <c r="R1519" s="1">
        <v>0</v>
      </c>
      <c r="S1519" s="26"/>
    </row>
    <row r="1520" spans="1:19" ht="16.5" customHeight="1" x14ac:dyDescent="0.25">
      <c r="A1520" s="9"/>
      <c r="B1520" s="49" t="s">
        <v>92</v>
      </c>
      <c r="C1520" s="50"/>
      <c r="D1520" s="50"/>
      <c r="E1520" s="50"/>
      <c r="F1520" s="50"/>
      <c r="G1520" s="51"/>
      <c r="H1520" s="20"/>
      <c r="I1520" s="9">
        <v>4</v>
      </c>
      <c r="J1520" s="9"/>
      <c r="K1520" s="9"/>
      <c r="L1520" s="9"/>
      <c r="M1520" s="9">
        <f t="shared" si="188"/>
        <v>24</v>
      </c>
      <c r="N1520" s="9">
        <f t="shared" si="189"/>
        <v>8</v>
      </c>
      <c r="O1520" s="9">
        <v>6</v>
      </c>
      <c r="P1520" s="9">
        <v>2</v>
      </c>
      <c r="Q1520" s="9" t="s">
        <v>3</v>
      </c>
      <c r="R1520" s="1">
        <v>0</v>
      </c>
      <c r="S1520" s="26"/>
    </row>
    <row r="1521" spans="1:19" ht="16.5" customHeight="1" x14ac:dyDescent="0.25">
      <c r="A1521" s="9"/>
      <c r="B1521" s="49" t="s">
        <v>84</v>
      </c>
      <c r="C1521" s="50"/>
      <c r="D1521" s="50"/>
      <c r="E1521" s="50"/>
      <c r="F1521" s="50"/>
      <c r="G1521" s="51"/>
      <c r="H1521" s="20"/>
      <c r="I1521" s="9">
        <v>3</v>
      </c>
      <c r="J1521" s="9"/>
      <c r="K1521" s="9"/>
      <c r="L1521" s="9"/>
      <c r="M1521" s="9">
        <f t="shared" si="188"/>
        <v>22.200000000000003</v>
      </c>
      <c r="N1521" s="9">
        <f t="shared" si="189"/>
        <v>9</v>
      </c>
      <c r="O1521" s="9">
        <v>7.4</v>
      </c>
      <c r="P1521" s="9">
        <v>3</v>
      </c>
      <c r="Q1521" s="9" t="s">
        <v>6</v>
      </c>
      <c r="R1521" s="1">
        <v>0</v>
      </c>
      <c r="S1521" s="26"/>
    </row>
    <row r="1522" spans="1:19" ht="16.5" hidden="1" customHeight="1" x14ac:dyDescent="0.25">
      <c r="A1522" s="21"/>
      <c r="H1522" s="21"/>
      <c r="I1522" s="21"/>
      <c r="J1522" s="21"/>
      <c r="K1522" s="21"/>
      <c r="L1522" s="21"/>
      <c r="M1522" s="9">
        <f t="shared" si="188"/>
        <v>0</v>
      </c>
      <c r="N1522" s="9">
        <f t="shared" si="189"/>
        <v>0</v>
      </c>
      <c r="O1522" s="21"/>
      <c r="P1522" s="21"/>
      <c r="Q1522" s="21"/>
      <c r="S1522" s="25"/>
    </row>
    <row r="1523" spans="1:19" ht="16.5" customHeight="1" x14ac:dyDescent="0.25">
      <c r="A1523" s="9"/>
      <c r="B1523" s="38" t="s">
        <v>42</v>
      </c>
      <c r="C1523" s="39"/>
      <c r="D1523" s="39"/>
      <c r="E1523" s="39"/>
      <c r="F1523" s="39"/>
      <c r="G1523" s="40"/>
      <c r="H1523" s="23"/>
      <c r="I1523" s="24">
        <f>SUM(I1510:I1522)</f>
        <v>23</v>
      </c>
      <c r="J1523" s="9"/>
      <c r="K1523" s="9"/>
      <c r="L1523" s="9"/>
      <c r="M1523" s="9">
        <f t="shared" si="188"/>
        <v>160.77000000000001</v>
      </c>
      <c r="N1523" s="9">
        <f t="shared" si="189"/>
        <v>61.87</v>
      </c>
      <c r="O1523" s="24">
        <f>ROUND(SUM(M1510:M1522)/I1523,2)</f>
        <v>6.99</v>
      </c>
      <c r="P1523" s="24">
        <f>ROUND(SUM(N1510:N1522)/I1523,2)</f>
        <v>2.69</v>
      </c>
      <c r="Q1523" s="9"/>
      <c r="S1523" s="25"/>
    </row>
    <row r="1524" spans="1:19" ht="20.25" customHeight="1" x14ac:dyDescent="0.25">
      <c r="A1524" s="27" t="s">
        <v>96</v>
      </c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</row>
    <row r="1525" spans="1:19" ht="16.5" customHeight="1" x14ac:dyDescent="0.25">
      <c r="A1525" s="9"/>
      <c r="B1525" s="49" t="s">
        <v>97</v>
      </c>
      <c r="C1525" s="50"/>
      <c r="D1525" s="50"/>
      <c r="E1525" s="50"/>
      <c r="F1525" s="50"/>
      <c r="G1525" s="51"/>
      <c r="H1525" s="20"/>
      <c r="I1525" s="9">
        <v>2</v>
      </c>
      <c r="J1525" s="9"/>
      <c r="K1525" s="9"/>
      <c r="L1525" s="9"/>
      <c r="M1525" s="9">
        <f t="shared" ref="M1525:M1537" si="190">I1525*O1525</f>
        <v>15.2</v>
      </c>
      <c r="N1525" s="9">
        <f t="shared" ref="N1525:N1537" si="191">I1525*P1525</f>
        <v>6</v>
      </c>
      <c r="O1525" s="9">
        <v>7.6</v>
      </c>
      <c r="P1525" s="9">
        <v>3</v>
      </c>
      <c r="Q1525" s="9" t="s">
        <v>6</v>
      </c>
      <c r="R1525" s="1">
        <v>0</v>
      </c>
      <c r="S1525" s="26"/>
    </row>
    <row r="1526" spans="1:19" ht="16.5" customHeight="1" x14ac:dyDescent="0.25">
      <c r="A1526" s="9"/>
      <c r="B1526" s="49" t="s">
        <v>99</v>
      </c>
      <c r="C1526" s="50"/>
      <c r="D1526" s="50"/>
      <c r="E1526" s="50"/>
      <c r="F1526" s="50"/>
      <c r="G1526" s="51"/>
      <c r="H1526" s="20"/>
      <c r="I1526" s="9">
        <v>2</v>
      </c>
      <c r="J1526" s="9"/>
      <c r="K1526" s="9"/>
      <c r="L1526" s="9"/>
      <c r="M1526" s="9">
        <f t="shared" si="190"/>
        <v>13.2</v>
      </c>
      <c r="N1526" s="9">
        <f t="shared" si="191"/>
        <v>5</v>
      </c>
      <c r="O1526" s="9">
        <v>6.6</v>
      </c>
      <c r="P1526" s="9">
        <v>2.5</v>
      </c>
      <c r="Q1526" s="9" t="s">
        <v>5</v>
      </c>
      <c r="R1526" s="1">
        <v>0</v>
      </c>
      <c r="S1526" s="26"/>
    </row>
    <row r="1527" spans="1:19" ht="16.5" customHeight="1" x14ac:dyDescent="0.25">
      <c r="A1527" s="9"/>
      <c r="B1527" s="49" t="s">
        <v>98</v>
      </c>
      <c r="C1527" s="50"/>
      <c r="D1527" s="50"/>
      <c r="E1527" s="50"/>
      <c r="F1527" s="50"/>
      <c r="G1527" s="51"/>
      <c r="H1527" s="20"/>
      <c r="I1527" s="9">
        <v>3</v>
      </c>
      <c r="J1527" s="9"/>
      <c r="K1527" s="9"/>
      <c r="L1527" s="9"/>
      <c r="M1527" s="9">
        <f t="shared" si="190"/>
        <v>23.4</v>
      </c>
      <c r="N1527" s="9">
        <f t="shared" si="191"/>
        <v>9</v>
      </c>
      <c r="O1527" s="9">
        <v>7.8</v>
      </c>
      <c r="P1527" s="9">
        <v>3</v>
      </c>
      <c r="Q1527" s="9" t="s">
        <v>6</v>
      </c>
      <c r="R1527" s="1">
        <v>0</v>
      </c>
      <c r="S1527" s="26"/>
    </row>
    <row r="1528" spans="1:19" ht="16.5" customHeight="1" x14ac:dyDescent="0.25">
      <c r="A1528" s="9"/>
      <c r="B1528" s="49" t="s">
        <v>79</v>
      </c>
      <c r="C1528" s="50"/>
      <c r="D1528" s="50"/>
      <c r="E1528" s="50"/>
      <c r="F1528" s="50"/>
      <c r="G1528" s="51"/>
      <c r="H1528" s="20"/>
      <c r="I1528" s="9">
        <v>2</v>
      </c>
      <c r="J1528" s="9"/>
      <c r="K1528" s="9"/>
      <c r="L1528" s="9"/>
      <c r="M1528" s="9">
        <f t="shared" si="190"/>
        <v>15.2</v>
      </c>
      <c r="N1528" s="9">
        <f t="shared" si="191"/>
        <v>6</v>
      </c>
      <c r="O1528" s="9">
        <v>7.6</v>
      </c>
      <c r="P1528" s="9">
        <v>3</v>
      </c>
      <c r="Q1528" s="9" t="s">
        <v>6</v>
      </c>
      <c r="R1528" s="1">
        <v>0</v>
      </c>
      <c r="S1528" s="26"/>
    </row>
    <row r="1529" spans="1:19" ht="16.5" customHeight="1" x14ac:dyDescent="0.25">
      <c r="A1529" s="9"/>
      <c r="B1529" s="49" t="s">
        <v>69</v>
      </c>
      <c r="C1529" s="50"/>
      <c r="D1529" s="50"/>
      <c r="E1529" s="50"/>
      <c r="F1529" s="50"/>
      <c r="G1529" s="51"/>
      <c r="H1529" s="20"/>
      <c r="I1529" s="9">
        <v>1</v>
      </c>
      <c r="J1529" s="9"/>
      <c r="K1529" s="9"/>
      <c r="L1529" s="9"/>
      <c r="M1529" s="9">
        <f t="shared" si="190"/>
        <v>6.5</v>
      </c>
      <c r="N1529" s="9">
        <f t="shared" si="191"/>
        <v>2.5</v>
      </c>
      <c r="O1529" s="9">
        <v>6.5</v>
      </c>
      <c r="P1529" s="9">
        <v>2.5</v>
      </c>
      <c r="Q1529" s="9" t="s">
        <v>5</v>
      </c>
      <c r="R1529" s="1">
        <v>0</v>
      </c>
      <c r="S1529" s="26"/>
    </row>
    <row r="1530" spans="1:19" ht="16.5" customHeight="1" x14ac:dyDescent="0.25">
      <c r="A1530" s="9"/>
      <c r="B1530" s="49" t="s">
        <v>105</v>
      </c>
      <c r="C1530" s="50"/>
      <c r="D1530" s="50"/>
      <c r="E1530" s="50"/>
      <c r="F1530" s="50"/>
      <c r="G1530" s="51"/>
      <c r="H1530" s="20"/>
      <c r="I1530" s="9">
        <v>4</v>
      </c>
      <c r="J1530" s="9"/>
      <c r="K1530" s="9"/>
      <c r="L1530" s="9"/>
      <c r="M1530" s="9">
        <f t="shared" si="190"/>
        <v>30.4</v>
      </c>
      <c r="N1530" s="9">
        <f t="shared" si="191"/>
        <v>12</v>
      </c>
      <c r="O1530" s="9">
        <v>7.6</v>
      </c>
      <c r="P1530" s="9">
        <v>3</v>
      </c>
      <c r="Q1530" s="9" t="s">
        <v>6</v>
      </c>
      <c r="R1530" s="1">
        <v>0</v>
      </c>
      <c r="S1530" s="26"/>
    </row>
    <row r="1531" spans="1:19" ht="16.5" customHeight="1" x14ac:dyDescent="0.25">
      <c r="A1531" s="9"/>
      <c r="B1531" s="49" t="s">
        <v>101</v>
      </c>
      <c r="C1531" s="50"/>
      <c r="D1531" s="50"/>
      <c r="E1531" s="50"/>
      <c r="F1531" s="50"/>
      <c r="G1531" s="51"/>
      <c r="H1531" s="20"/>
      <c r="I1531" s="9">
        <v>1</v>
      </c>
      <c r="J1531" s="9"/>
      <c r="K1531" s="9"/>
      <c r="L1531" s="9"/>
      <c r="M1531" s="9">
        <f t="shared" si="190"/>
        <v>7.8</v>
      </c>
      <c r="N1531" s="9">
        <f t="shared" si="191"/>
        <v>3</v>
      </c>
      <c r="O1531" s="9">
        <v>7.8</v>
      </c>
      <c r="P1531" s="9">
        <v>3</v>
      </c>
      <c r="Q1531" s="9" t="s">
        <v>6</v>
      </c>
      <c r="R1531" s="1">
        <v>0</v>
      </c>
      <c r="S1531" s="26"/>
    </row>
    <row r="1532" spans="1:19" ht="16.5" customHeight="1" x14ac:dyDescent="0.25">
      <c r="A1532" s="9"/>
      <c r="B1532" s="49" t="s">
        <v>100</v>
      </c>
      <c r="C1532" s="50"/>
      <c r="D1532" s="50"/>
      <c r="E1532" s="50"/>
      <c r="F1532" s="50"/>
      <c r="G1532" s="51"/>
      <c r="H1532" s="20"/>
      <c r="I1532" s="9">
        <v>1</v>
      </c>
      <c r="J1532" s="9"/>
      <c r="K1532" s="9"/>
      <c r="L1532" s="9"/>
      <c r="M1532" s="9">
        <f t="shared" si="190"/>
        <v>7.7</v>
      </c>
      <c r="N1532" s="9">
        <f t="shared" si="191"/>
        <v>3</v>
      </c>
      <c r="O1532" s="9">
        <v>7.7</v>
      </c>
      <c r="P1532" s="9">
        <v>3</v>
      </c>
      <c r="Q1532" s="9" t="s">
        <v>6</v>
      </c>
      <c r="R1532" s="1">
        <v>0</v>
      </c>
      <c r="S1532" s="26"/>
    </row>
    <row r="1533" spans="1:19" ht="16.5" customHeight="1" x14ac:dyDescent="0.25">
      <c r="A1533" s="9"/>
      <c r="B1533" s="49" t="s">
        <v>104</v>
      </c>
      <c r="C1533" s="50"/>
      <c r="D1533" s="50"/>
      <c r="E1533" s="50"/>
      <c r="F1533" s="50"/>
      <c r="G1533" s="51"/>
      <c r="H1533" s="20"/>
      <c r="I1533" s="9">
        <v>3</v>
      </c>
      <c r="J1533" s="9"/>
      <c r="K1533" s="9"/>
      <c r="L1533" s="9"/>
      <c r="M1533" s="9">
        <f t="shared" si="190"/>
        <v>21.299999999999997</v>
      </c>
      <c r="N1533" s="9">
        <f t="shared" si="191"/>
        <v>9</v>
      </c>
      <c r="O1533" s="9">
        <v>7.1</v>
      </c>
      <c r="P1533" s="9">
        <v>3</v>
      </c>
      <c r="Q1533" s="9" t="s">
        <v>6</v>
      </c>
      <c r="R1533" s="1">
        <v>0</v>
      </c>
      <c r="S1533" s="26"/>
    </row>
    <row r="1534" spans="1:19" ht="16.5" customHeight="1" x14ac:dyDescent="0.25">
      <c r="A1534" s="9"/>
      <c r="B1534" s="49" t="s">
        <v>103</v>
      </c>
      <c r="C1534" s="50"/>
      <c r="D1534" s="50"/>
      <c r="E1534" s="50"/>
      <c r="F1534" s="50"/>
      <c r="G1534" s="51"/>
      <c r="H1534" s="20"/>
      <c r="I1534" s="9">
        <v>2</v>
      </c>
      <c r="J1534" s="9"/>
      <c r="K1534" s="9"/>
      <c r="L1534" s="9"/>
      <c r="M1534" s="9">
        <f t="shared" si="190"/>
        <v>16.600000000000001</v>
      </c>
      <c r="N1534" s="9">
        <f t="shared" si="191"/>
        <v>7</v>
      </c>
      <c r="O1534" s="9">
        <v>8.3000000000000007</v>
      </c>
      <c r="P1534" s="9">
        <v>3.5</v>
      </c>
      <c r="Q1534" s="9" t="s">
        <v>9</v>
      </c>
      <c r="R1534" s="1">
        <v>0</v>
      </c>
      <c r="S1534" s="26"/>
    </row>
    <row r="1535" spans="1:19" ht="16.5" customHeight="1" x14ac:dyDescent="0.25">
      <c r="A1535" s="9"/>
      <c r="B1535" s="49" t="s">
        <v>102</v>
      </c>
      <c r="C1535" s="50"/>
      <c r="D1535" s="50"/>
      <c r="E1535" s="50"/>
      <c r="F1535" s="50"/>
      <c r="G1535" s="51"/>
      <c r="H1535" s="20"/>
      <c r="I1535" s="9">
        <v>2</v>
      </c>
      <c r="J1535" s="9"/>
      <c r="K1535" s="9"/>
      <c r="L1535" s="9"/>
      <c r="M1535" s="9">
        <f t="shared" si="190"/>
        <v>16.399999999999999</v>
      </c>
      <c r="N1535" s="9">
        <f t="shared" si="191"/>
        <v>7</v>
      </c>
      <c r="O1535" s="9">
        <v>8.1999999999999993</v>
      </c>
      <c r="P1535" s="9">
        <v>3.5</v>
      </c>
      <c r="Q1535" s="9" t="s">
        <v>9</v>
      </c>
      <c r="R1535" s="1">
        <v>0</v>
      </c>
      <c r="S1535" s="26"/>
    </row>
    <row r="1536" spans="1:19" ht="16.5" hidden="1" customHeight="1" x14ac:dyDescent="0.25">
      <c r="A1536" s="21"/>
      <c r="H1536" s="21"/>
      <c r="I1536" s="21"/>
      <c r="J1536" s="21"/>
      <c r="K1536" s="21"/>
      <c r="L1536" s="21"/>
      <c r="M1536" s="9">
        <f t="shared" si="190"/>
        <v>0</v>
      </c>
      <c r="N1536" s="9">
        <f t="shared" si="191"/>
        <v>0</v>
      </c>
      <c r="O1536" s="21"/>
      <c r="P1536" s="21"/>
      <c r="Q1536" s="21"/>
      <c r="S1536" s="25"/>
    </row>
    <row r="1537" spans="1:19" ht="16.5" customHeight="1" x14ac:dyDescent="0.25">
      <c r="A1537" s="9"/>
      <c r="B1537" s="38" t="s">
        <v>42</v>
      </c>
      <c r="C1537" s="39"/>
      <c r="D1537" s="39"/>
      <c r="E1537" s="39"/>
      <c r="F1537" s="39"/>
      <c r="G1537" s="40"/>
      <c r="H1537" s="23"/>
      <c r="I1537" s="24">
        <f>SUM(I1525:I1536)</f>
        <v>23</v>
      </c>
      <c r="J1537" s="9"/>
      <c r="K1537" s="9"/>
      <c r="L1537" s="9"/>
      <c r="M1537" s="9">
        <f t="shared" si="190"/>
        <v>173.65</v>
      </c>
      <c r="N1537" s="9">
        <f t="shared" si="191"/>
        <v>69.459999999999994</v>
      </c>
      <c r="O1537" s="24">
        <f>ROUND(SUM(M1525:M1536)/I1537,2)</f>
        <v>7.55</v>
      </c>
      <c r="P1537" s="24">
        <f>ROUND(SUM(N1525:N1536)/I1537,2)</f>
        <v>3.02</v>
      </c>
      <c r="Q1537" s="9"/>
      <c r="S1537" s="25"/>
    </row>
    <row r="1538" spans="1:19" ht="20.25" customHeight="1" x14ac:dyDescent="0.25">
      <c r="A1538" s="27" t="s">
        <v>107</v>
      </c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</row>
    <row r="1539" spans="1:19" ht="16.5" customHeight="1" x14ac:dyDescent="0.25">
      <c r="A1539" s="9"/>
      <c r="B1539" s="49" t="s">
        <v>108</v>
      </c>
      <c r="C1539" s="50"/>
      <c r="D1539" s="50"/>
      <c r="E1539" s="50"/>
      <c r="F1539" s="50"/>
      <c r="G1539" s="51"/>
      <c r="H1539" s="20"/>
      <c r="I1539" s="9">
        <v>1</v>
      </c>
      <c r="J1539" s="9"/>
      <c r="K1539" s="9"/>
      <c r="L1539" s="9"/>
      <c r="M1539" s="9">
        <f t="shared" ref="M1539:M1551" si="192">I1539*O1539</f>
        <v>6.2</v>
      </c>
      <c r="N1539" s="9">
        <f t="shared" ref="N1539:N1551" si="193">I1539*P1539</f>
        <v>2</v>
      </c>
      <c r="O1539" s="9">
        <v>6.2</v>
      </c>
      <c r="P1539" s="9">
        <v>2</v>
      </c>
      <c r="Q1539" s="9" t="s">
        <v>3</v>
      </c>
      <c r="R1539" s="1">
        <v>0</v>
      </c>
      <c r="S1539" s="26"/>
    </row>
    <row r="1540" spans="1:19" ht="16.5" customHeight="1" x14ac:dyDescent="0.25">
      <c r="A1540" s="9"/>
      <c r="B1540" s="49" t="s">
        <v>109</v>
      </c>
      <c r="C1540" s="50"/>
      <c r="D1540" s="50"/>
      <c r="E1540" s="50"/>
      <c r="F1540" s="50"/>
      <c r="G1540" s="51"/>
      <c r="H1540" s="20"/>
      <c r="I1540" s="9">
        <v>2</v>
      </c>
      <c r="J1540" s="9"/>
      <c r="K1540" s="9"/>
      <c r="L1540" s="9"/>
      <c r="M1540" s="9">
        <f t="shared" si="192"/>
        <v>13.6</v>
      </c>
      <c r="N1540" s="9">
        <f t="shared" si="193"/>
        <v>5</v>
      </c>
      <c r="O1540" s="9">
        <v>6.8</v>
      </c>
      <c r="P1540" s="9">
        <v>2.5</v>
      </c>
      <c r="Q1540" s="9" t="s">
        <v>5</v>
      </c>
      <c r="R1540" s="1">
        <v>0</v>
      </c>
      <c r="S1540" s="26"/>
    </row>
    <row r="1541" spans="1:19" ht="16.5" customHeight="1" x14ac:dyDescent="0.25">
      <c r="A1541" s="9"/>
      <c r="B1541" s="49" t="s">
        <v>116</v>
      </c>
      <c r="C1541" s="50"/>
      <c r="D1541" s="50"/>
      <c r="E1541" s="50"/>
      <c r="F1541" s="50"/>
      <c r="G1541" s="51"/>
      <c r="H1541" s="20"/>
      <c r="I1541" s="9">
        <v>2</v>
      </c>
      <c r="J1541" s="9"/>
      <c r="K1541" s="9"/>
      <c r="L1541" s="9"/>
      <c r="M1541" s="9">
        <f t="shared" si="192"/>
        <v>13.8</v>
      </c>
      <c r="N1541" s="9">
        <f t="shared" si="193"/>
        <v>5</v>
      </c>
      <c r="O1541" s="9">
        <v>6.9</v>
      </c>
      <c r="P1541" s="9">
        <v>2.5</v>
      </c>
      <c r="Q1541" s="9" t="s">
        <v>5</v>
      </c>
      <c r="R1541" s="1">
        <v>0</v>
      </c>
      <c r="S1541" s="26"/>
    </row>
    <row r="1542" spans="1:19" ht="16.5" customHeight="1" x14ac:dyDescent="0.25">
      <c r="A1542" s="9"/>
      <c r="B1542" s="49" t="s">
        <v>111</v>
      </c>
      <c r="C1542" s="50"/>
      <c r="D1542" s="50"/>
      <c r="E1542" s="50"/>
      <c r="F1542" s="50"/>
      <c r="G1542" s="51"/>
      <c r="H1542" s="20"/>
      <c r="I1542" s="9">
        <v>3</v>
      </c>
      <c r="J1542" s="9"/>
      <c r="K1542" s="9"/>
      <c r="L1542" s="9"/>
      <c r="M1542" s="9">
        <f t="shared" si="192"/>
        <v>20.399999999999999</v>
      </c>
      <c r="N1542" s="9">
        <f t="shared" si="193"/>
        <v>7.5</v>
      </c>
      <c r="O1542" s="9">
        <v>6.8</v>
      </c>
      <c r="P1542" s="9">
        <v>2.5</v>
      </c>
      <c r="Q1542" s="9" t="s">
        <v>5</v>
      </c>
      <c r="R1542" s="1">
        <v>0</v>
      </c>
      <c r="S1542" s="26"/>
    </row>
    <row r="1543" spans="1:19" ht="16.5" customHeight="1" x14ac:dyDescent="0.25">
      <c r="A1543" s="9"/>
      <c r="B1543" s="49" t="s">
        <v>112</v>
      </c>
      <c r="C1543" s="50"/>
      <c r="D1543" s="50"/>
      <c r="E1543" s="50"/>
      <c r="F1543" s="50"/>
      <c r="G1543" s="51"/>
      <c r="H1543" s="20"/>
      <c r="I1543" s="9">
        <v>4</v>
      </c>
      <c r="J1543" s="9"/>
      <c r="K1543" s="9"/>
      <c r="L1543" s="9"/>
      <c r="M1543" s="9">
        <f t="shared" si="192"/>
        <v>30.8</v>
      </c>
      <c r="N1543" s="9">
        <f t="shared" si="193"/>
        <v>12</v>
      </c>
      <c r="O1543" s="9">
        <v>7.7</v>
      </c>
      <c r="P1543" s="9">
        <v>3</v>
      </c>
      <c r="Q1543" s="9" t="s">
        <v>6</v>
      </c>
      <c r="R1543" s="1">
        <v>0</v>
      </c>
      <c r="S1543" s="26"/>
    </row>
    <row r="1544" spans="1:19" ht="16.5" customHeight="1" x14ac:dyDescent="0.25">
      <c r="A1544" s="9"/>
      <c r="B1544" s="49" t="s">
        <v>113</v>
      </c>
      <c r="C1544" s="50"/>
      <c r="D1544" s="50"/>
      <c r="E1544" s="50"/>
      <c r="F1544" s="50"/>
      <c r="G1544" s="51"/>
      <c r="H1544" s="20"/>
      <c r="I1544" s="9">
        <v>4</v>
      </c>
      <c r="J1544" s="9"/>
      <c r="K1544" s="9"/>
      <c r="L1544" s="9"/>
      <c r="M1544" s="9">
        <f t="shared" si="192"/>
        <v>22</v>
      </c>
      <c r="N1544" s="9">
        <f t="shared" si="193"/>
        <v>8</v>
      </c>
      <c r="O1544" s="9">
        <v>5.5</v>
      </c>
      <c r="P1544" s="9">
        <v>2</v>
      </c>
      <c r="Q1544" s="9" t="s">
        <v>3</v>
      </c>
      <c r="R1544" s="1">
        <v>0</v>
      </c>
      <c r="S1544" s="26"/>
    </row>
    <row r="1545" spans="1:19" ht="16.5" customHeight="1" x14ac:dyDescent="0.25">
      <c r="A1545" s="9"/>
      <c r="B1545" s="49" t="s">
        <v>114</v>
      </c>
      <c r="C1545" s="50"/>
      <c r="D1545" s="50"/>
      <c r="E1545" s="50"/>
      <c r="F1545" s="50"/>
      <c r="G1545" s="51"/>
      <c r="H1545" s="20"/>
      <c r="I1545" s="9">
        <v>3</v>
      </c>
      <c r="J1545" s="9"/>
      <c r="K1545" s="9"/>
      <c r="L1545" s="9"/>
      <c r="M1545" s="9">
        <f t="shared" si="192"/>
        <v>20.100000000000001</v>
      </c>
      <c r="N1545" s="9">
        <f t="shared" si="193"/>
        <v>7.5</v>
      </c>
      <c r="O1545" s="9">
        <v>6.7</v>
      </c>
      <c r="P1545" s="9">
        <v>2.5</v>
      </c>
      <c r="Q1545" s="9" t="s">
        <v>5</v>
      </c>
      <c r="R1545" s="1">
        <v>0</v>
      </c>
      <c r="S1545" s="26"/>
    </row>
    <row r="1546" spans="1:19" ht="16.5" customHeight="1" x14ac:dyDescent="0.25">
      <c r="A1546" s="9"/>
      <c r="B1546" s="49" t="s">
        <v>115</v>
      </c>
      <c r="C1546" s="50"/>
      <c r="D1546" s="50"/>
      <c r="E1546" s="50"/>
      <c r="F1546" s="50"/>
      <c r="G1546" s="51"/>
      <c r="H1546" s="20"/>
      <c r="I1546" s="9">
        <v>2</v>
      </c>
      <c r="J1546" s="9"/>
      <c r="K1546" s="9"/>
      <c r="L1546" s="9"/>
      <c r="M1546" s="9">
        <f t="shared" si="192"/>
        <v>13.2</v>
      </c>
      <c r="N1546" s="9">
        <f t="shared" si="193"/>
        <v>5</v>
      </c>
      <c r="O1546" s="9">
        <v>6.6</v>
      </c>
      <c r="P1546" s="9">
        <v>2.5</v>
      </c>
      <c r="Q1546" s="9" t="s">
        <v>5</v>
      </c>
      <c r="R1546" s="1">
        <v>0</v>
      </c>
      <c r="S1546" s="26"/>
    </row>
    <row r="1547" spans="1:19" ht="16.5" customHeight="1" x14ac:dyDescent="0.25">
      <c r="A1547" s="9"/>
      <c r="B1547" s="49" t="s">
        <v>110</v>
      </c>
      <c r="C1547" s="50"/>
      <c r="D1547" s="50"/>
      <c r="E1547" s="50"/>
      <c r="F1547" s="50"/>
      <c r="G1547" s="51"/>
      <c r="H1547" s="20"/>
      <c r="I1547" s="9">
        <v>3</v>
      </c>
      <c r="J1547" s="9"/>
      <c r="K1547" s="9"/>
      <c r="L1547" s="9"/>
      <c r="M1547" s="9">
        <f t="shared" si="192"/>
        <v>24.900000000000002</v>
      </c>
      <c r="N1547" s="9">
        <f t="shared" si="193"/>
        <v>10.5</v>
      </c>
      <c r="O1547" s="9">
        <v>8.3000000000000007</v>
      </c>
      <c r="P1547" s="9">
        <v>3.5</v>
      </c>
      <c r="Q1547" s="9" t="s">
        <v>9</v>
      </c>
      <c r="R1547" s="1">
        <v>0</v>
      </c>
      <c r="S1547" s="26"/>
    </row>
    <row r="1548" spans="1:19" ht="16.5" customHeight="1" x14ac:dyDescent="0.25">
      <c r="A1548" s="9"/>
      <c r="B1548" s="49" t="s">
        <v>117</v>
      </c>
      <c r="C1548" s="50"/>
      <c r="D1548" s="50"/>
      <c r="E1548" s="50"/>
      <c r="F1548" s="50"/>
      <c r="G1548" s="51"/>
      <c r="H1548" s="20"/>
      <c r="I1548" s="9">
        <v>3</v>
      </c>
      <c r="J1548" s="9"/>
      <c r="K1548" s="9"/>
      <c r="L1548" s="9"/>
      <c r="M1548" s="9">
        <f t="shared" si="192"/>
        <v>24.599999999999998</v>
      </c>
      <c r="N1548" s="9">
        <f t="shared" si="193"/>
        <v>10.5</v>
      </c>
      <c r="O1548" s="9">
        <v>8.1999999999999993</v>
      </c>
      <c r="P1548" s="9">
        <v>3.5</v>
      </c>
      <c r="Q1548" s="9" t="s">
        <v>9</v>
      </c>
      <c r="R1548" s="1">
        <v>0</v>
      </c>
      <c r="S1548" s="26"/>
    </row>
    <row r="1549" spans="1:19" ht="16.5" customHeight="1" x14ac:dyDescent="0.25">
      <c r="A1549" s="9"/>
      <c r="B1549" s="49" t="s">
        <v>118</v>
      </c>
      <c r="C1549" s="50"/>
      <c r="D1549" s="50"/>
      <c r="E1549" s="50"/>
      <c r="F1549" s="50"/>
      <c r="G1549" s="51"/>
      <c r="H1549" s="20"/>
      <c r="I1549" s="9">
        <v>2</v>
      </c>
      <c r="J1549" s="9"/>
      <c r="K1549" s="9"/>
      <c r="L1549" s="9"/>
      <c r="M1549" s="9">
        <f t="shared" si="192"/>
        <v>15.2</v>
      </c>
      <c r="N1549" s="9">
        <f t="shared" si="193"/>
        <v>6</v>
      </c>
      <c r="O1549" s="9">
        <v>7.6</v>
      </c>
      <c r="P1549" s="9">
        <v>3</v>
      </c>
      <c r="Q1549" s="9" t="s">
        <v>6</v>
      </c>
      <c r="R1549" s="1">
        <v>0</v>
      </c>
      <c r="S1549" s="26"/>
    </row>
    <row r="1550" spans="1:19" ht="16.5" hidden="1" customHeight="1" x14ac:dyDescent="0.25">
      <c r="A1550" s="21"/>
      <c r="H1550" s="21"/>
      <c r="I1550" s="21"/>
      <c r="J1550" s="21"/>
      <c r="K1550" s="21"/>
      <c r="L1550" s="21"/>
      <c r="M1550" s="9">
        <f t="shared" si="192"/>
        <v>0</v>
      </c>
      <c r="N1550" s="9">
        <f t="shared" si="193"/>
        <v>0</v>
      </c>
      <c r="O1550" s="21"/>
      <c r="P1550" s="21"/>
      <c r="Q1550" s="21"/>
      <c r="S1550" s="25"/>
    </row>
    <row r="1551" spans="1:19" ht="16.5" customHeight="1" x14ac:dyDescent="0.25">
      <c r="A1551" s="9"/>
      <c r="B1551" s="38" t="s">
        <v>42</v>
      </c>
      <c r="C1551" s="39"/>
      <c r="D1551" s="39"/>
      <c r="E1551" s="39"/>
      <c r="F1551" s="39"/>
      <c r="G1551" s="40"/>
      <c r="H1551" s="23"/>
      <c r="I1551" s="24">
        <f>SUM(I1539:I1550)</f>
        <v>29</v>
      </c>
      <c r="J1551" s="9"/>
      <c r="K1551" s="9"/>
      <c r="L1551" s="9"/>
      <c r="M1551" s="9">
        <f t="shared" si="192"/>
        <v>204.73999999999998</v>
      </c>
      <c r="N1551" s="9">
        <f t="shared" si="193"/>
        <v>78.88000000000001</v>
      </c>
      <c r="O1551" s="24">
        <f>ROUND(SUM(M1539:M1550)/I1551,2)</f>
        <v>7.06</v>
      </c>
      <c r="P1551" s="24">
        <f>ROUND(SUM(N1539:N1550)/I1551,2)</f>
        <v>2.72</v>
      </c>
      <c r="Q1551" s="9"/>
      <c r="S1551" s="25"/>
    </row>
    <row r="1552" spans="1:19" ht="20.25" customHeight="1" x14ac:dyDescent="0.25">
      <c r="A1552" s="27" t="s">
        <v>120</v>
      </c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</row>
    <row r="1553" spans="1:19" ht="16.5" customHeight="1" x14ac:dyDescent="0.25">
      <c r="A1553" s="9"/>
      <c r="B1553" s="49" t="s">
        <v>121</v>
      </c>
      <c r="C1553" s="50"/>
      <c r="D1553" s="50"/>
      <c r="E1553" s="50"/>
      <c r="F1553" s="50"/>
      <c r="G1553" s="51"/>
      <c r="H1553" s="20"/>
      <c r="I1553" s="9">
        <v>3</v>
      </c>
      <c r="J1553" s="9"/>
      <c r="K1553" s="9"/>
      <c r="L1553" s="9"/>
      <c r="M1553" s="9">
        <f t="shared" ref="M1553:M1562" si="194">I1553*O1553</f>
        <v>19.799999999999997</v>
      </c>
      <c r="N1553" s="9">
        <f t="shared" ref="N1553:N1562" si="195">I1553*P1553</f>
        <v>7.5</v>
      </c>
      <c r="O1553" s="9">
        <v>6.6</v>
      </c>
      <c r="P1553" s="9">
        <v>2.5</v>
      </c>
      <c r="Q1553" s="9" t="s">
        <v>5</v>
      </c>
      <c r="R1553" s="1">
        <v>0</v>
      </c>
      <c r="S1553" s="26"/>
    </row>
    <row r="1554" spans="1:19" ht="16.5" customHeight="1" x14ac:dyDescent="0.25">
      <c r="A1554" s="9"/>
      <c r="B1554" s="49" t="s">
        <v>127</v>
      </c>
      <c r="C1554" s="50"/>
      <c r="D1554" s="50"/>
      <c r="E1554" s="50"/>
      <c r="F1554" s="50"/>
      <c r="G1554" s="51"/>
      <c r="H1554" s="20"/>
      <c r="I1554" s="9">
        <v>2</v>
      </c>
      <c r="J1554" s="9"/>
      <c r="K1554" s="9"/>
      <c r="L1554" s="9"/>
      <c r="M1554" s="9">
        <f t="shared" si="194"/>
        <v>12</v>
      </c>
      <c r="N1554" s="9">
        <f t="shared" si="195"/>
        <v>4</v>
      </c>
      <c r="O1554" s="9">
        <v>6</v>
      </c>
      <c r="P1554" s="9">
        <v>2</v>
      </c>
      <c r="Q1554" s="9" t="s">
        <v>3</v>
      </c>
      <c r="R1554" s="1">
        <v>0</v>
      </c>
      <c r="S1554" s="26"/>
    </row>
    <row r="1555" spans="1:19" ht="16.5" customHeight="1" x14ac:dyDescent="0.25">
      <c r="A1555" s="9"/>
      <c r="B1555" s="49" t="s">
        <v>123</v>
      </c>
      <c r="C1555" s="50"/>
      <c r="D1555" s="50"/>
      <c r="E1555" s="50"/>
      <c r="F1555" s="50"/>
      <c r="G1555" s="51"/>
      <c r="H1555" s="20"/>
      <c r="I1555" s="9">
        <v>3</v>
      </c>
      <c r="J1555" s="9"/>
      <c r="K1555" s="9"/>
      <c r="L1555" s="9"/>
      <c r="M1555" s="9">
        <f t="shared" si="194"/>
        <v>23.1</v>
      </c>
      <c r="N1555" s="9">
        <f t="shared" si="195"/>
        <v>9</v>
      </c>
      <c r="O1555" s="9">
        <v>7.7</v>
      </c>
      <c r="P1555" s="9">
        <v>3</v>
      </c>
      <c r="Q1555" s="9" t="s">
        <v>6</v>
      </c>
      <c r="R1555" s="1">
        <v>0</v>
      </c>
      <c r="S1555" s="26"/>
    </row>
    <row r="1556" spans="1:19" ht="16.5" customHeight="1" x14ac:dyDescent="0.25">
      <c r="A1556" s="9"/>
      <c r="B1556" s="49" t="s">
        <v>124</v>
      </c>
      <c r="C1556" s="50"/>
      <c r="D1556" s="50"/>
      <c r="E1556" s="50"/>
      <c r="F1556" s="50"/>
      <c r="G1556" s="51"/>
      <c r="H1556" s="20"/>
      <c r="I1556" s="9">
        <v>3</v>
      </c>
      <c r="J1556" s="9"/>
      <c r="K1556" s="9"/>
      <c r="L1556" s="9"/>
      <c r="M1556" s="9">
        <f t="shared" si="194"/>
        <v>20.700000000000003</v>
      </c>
      <c r="N1556" s="9">
        <f t="shared" si="195"/>
        <v>7.5</v>
      </c>
      <c r="O1556" s="9">
        <v>6.9</v>
      </c>
      <c r="P1556" s="9">
        <v>2.5</v>
      </c>
      <c r="Q1556" s="9" t="s">
        <v>5</v>
      </c>
      <c r="R1556" s="1">
        <v>0</v>
      </c>
      <c r="S1556" s="26"/>
    </row>
    <row r="1557" spans="1:19" ht="16.5" customHeight="1" x14ac:dyDescent="0.25">
      <c r="A1557" s="9"/>
      <c r="B1557" s="49" t="s">
        <v>125</v>
      </c>
      <c r="C1557" s="50"/>
      <c r="D1557" s="50"/>
      <c r="E1557" s="50"/>
      <c r="F1557" s="50"/>
      <c r="G1557" s="51"/>
      <c r="H1557" s="20"/>
      <c r="I1557" s="9">
        <v>3</v>
      </c>
      <c r="J1557" s="9"/>
      <c r="K1557" s="9"/>
      <c r="L1557" s="9"/>
      <c r="M1557" s="9">
        <f t="shared" si="194"/>
        <v>18</v>
      </c>
      <c r="N1557" s="9">
        <f t="shared" si="195"/>
        <v>6</v>
      </c>
      <c r="O1557" s="9">
        <v>6</v>
      </c>
      <c r="P1557" s="9">
        <v>2</v>
      </c>
      <c r="Q1557" s="9" t="s">
        <v>3</v>
      </c>
      <c r="R1557" s="1">
        <v>0</v>
      </c>
      <c r="S1557" s="26"/>
    </row>
    <row r="1558" spans="1:19" ht="16.5" customHeight="1" x14ac:dyDescent="0.25">
      <c r="A1558" s="9"/>
      <c r="B1558" s="49" t="s">
        <v>122</v>
      </c>
      <c r="C1558" s="50"/>
      <c r="D1558" s="50"/>
      <c r="E1558" s="50"/>
      <c r="F1558" s="50"/>
      <c r="G1558" s="51"/>
      <c r="H1558" s="20"/>
      <c r="I1558" s="9">
        <v>1</v>
      </c>
      <c r="J1558" s="9"/>
      <c r="K1558" s="9"/>
      <c r="L1558" s="9"/>
      <c r="M1558" s="9">
        <f t="shared" si="194"/>
        <v>7.3</v>
      </c>
      <c r="N1558" s="9">
        <f t="shared" si="195"/>
        <v>3</v>
      </c>
      <c r="O1558" s="9">
        <v>7.3</v>
      </c>
      <c r="P1558" s="9">
        <v>3</v>
      </c>
      <c r="Q1558" s="9" t="s">
        <v>6</v>
      </c>
      <c r="R1558" s="1">
        <v>0</v>
      </c>
      <c r="S1558" s="26"/>
    </row>
    <row r="1559" spans="1:19" ht="16.5" customHeight="1" x14ac:dyDescent="0.25">
      <c r="A1559" s="9"/>
      <c r="B1559" s="49" t="s">
        <v>126</v>
      </c>
      <c r="C1559" s="50"/>
      <c r="D1559" s="50"/>
      <c r="E1559" s="50"/>
      <c r="F1559" s="50"/>
      <c r="G1559" s="51"/>
      <c r="H1559" s="20"/>
      <c r="I1559" s="9">
        <v>3</v>
      </c>
      <c r="J1559" s="9"/>
      <c r="K1559" s="9"/>
      <c r="L1559" s="9"/>
      <c r="M1559" s="9">
        <f t="shared" si="194"/>
        <v>22.799999999999997</v>
      </c>
      <c r="N1559" s="9">
        <f t="shared" si="195"/>
        <v>9</v>
      </c>
      <c r="O1559" s="9">
        <v>7.6</v>
      </c>
      <c r="P1559" s="9">
        <v>3</v>
      </c>
      <c r="Q1559" s="9" t="s">
        <v>6</v>
      </c>
      <c r="R1559" s="1">
        <v>0</v>
      </c>
      <c r="S1559" s="26"/>
    </row>
    <row r="1560" spans="1:19" ht="16.5" customHeight="1" x14ac:dyDescent="0.25">
      <c r="A1560" s="9"/>
      <c r="B1560" s="49" t="s">
        <v>128</v>
      </c>
      <c r="C1560" s="50"/>
      <c r="D1560" s="50"/>
      <c r="E1560" s="50"/>
      <c r="F1560" s="50"/>
      <c r="G1560" s="51"/>
      <c r="H1560" s="20"/>
      <c r="I1560" s="9">
        <v>2</v>
      </c>
      <c r="J1560" s="9"/>
      <c r="K1560" s="9"/>
      <c r="L1560" s="9"/>
      <c r="M1560" s="9">
        <f t="shared" si="194"/>
        <v>15</v>
      </c>
      <c r="N1560" s="9">
        <f t="shared" si="195"/>
        <v>6</v>
      </c>
      <c r="O1560" s="9">
        <v>7.5</v>
      </c>
      <c r="P1560" s="9">
        <v>3</v>
      </c>
      <c r="Q1560" s="9" t="s">
        <v>6</v>
      </c>
      <c r="R1560" s="1">
        <v>0</v>
      </c>
      <c r="S1560" s="26"/>
    </row>
    <row r="1561" spans="1:19" ht="16.5" hidden="1" customHeight="1" x14ac:dyDescent="0.25">
      <c r="A1561" s="21"/>
      <c r="H1561" s="21"/>
      <c r="I1561" s="21"/>
      <c r="J1561" s="21"/>
      <c r="K1561" s="21"/>
      <c r="L1561" s="21"/>
      <c r="M1561" s="9">
        <f t="shared" si="194"/>
        <v>0</v>
      </c>
      <c r="N1561" s="9">
        <f t="shared" si="195"/>
        <v>0</v>
      </c>
      <c r="O1561" s="21"/>
      <c r="P1561" s="21"/>
      <c r="Q1561" s="21"/>
      <c r="S1561" s="25"/>
    </row>
    <row r="1562" spans="1:19" ht="16.5" customHeight="1" x14ac:dyDescent="0.25">
      <c r="A1562" s="9"/>
      <c r="B1562" s="38" t="s">
        <v>42</v>
      </c>
      <c r="C1562" s="39"/>
      <c r="D1562" s="39"/>
      <c r="E1562" s="39"/>
      <c r="F1562" s="39"/>
      <c r="G1562" s="40"/>
      <c r="H1562" s="23"/>
      <c r="I1562" s="24">
        <f>SUM(I1553:I1561)</f>
        <v>20</v>
      </c>
      <c r="J1562" s="9"/>
      <c r="K1562" s="9"/>
      <c r="L1562" s="9"/>
      <c r="M1562" s="9">
        <f t="shared" si="194"/>
        <v>138.80000000000001</v>
      </c>
      <c r="N1562" s="9">
        <f t="shared" si="195"/>
        <v>52</v>
      </c>
      <c r="O1562" s="24">
        <f>ROUND(SUM(M1553:M1561)/I1562,2)</f>
        <v>6.94</v>
      </c>
      <c r="P1562" s="24">
        <f>ROUND(SUM(N1553:N1561)/I1562,2)</f>
        <v>2.6</v>
      </c>
      <c r="Q1562" s="9"/>
      <c r="S1562" s="25"/>
    </row>
    <row r="1563" spans="1:19" ht="16.5" customHeight="1" x14ac:dyDescent="0.25">
      <c r="A1563" s="21"/>
      <c r="B1563" s="22"/>
      <c r="C1563" s="22"/>
      <c r="D1563" s="22"/>
      <c r="E1563" s="22"/>
      <c r="F1563" s="22"/>
      <c r="G1563" s="22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</row>
    <row r="1565" spans="1:19" ht="18" x14ac:dyDescent="0.25">
      <c r="A1565" s="57" t="s">
        <v>132</v>
      </c>
      <c r="B1565" s="57"/>
      <c r="C1565" s="57"/>
      <c r="D1565" s="57"/>
      <c r="E1565" s="57"/>
      <c r="F1565" s="57"/>
      <c r="G1565" s="57"/>
      <c r="H1565" s="57"/>
      <c r="I1565" s="57"/>
      <c r="J1565" s="57"/>
      <c r="K1565" s="57"/>
      <c r="L1565" s="57"/>
      <c r="M1565" s="57"/>
      <c r="N1565" s="57"/>
      <c r="O1565" s="57"/>
      <c r="P1565" s="57"/>
      <c r="Q1565" s="57"/>
      <c r="R1565" s="57"/>
      <c r="S1565" s="57"/>
    </row>
    <row r="1566" spans="1:19" ht="18" x14ac:dyDescent="0.25">
      <c r="A1566" s="57" t="s">
        <v>195</v>
      </c>
      <c r="B1566" s="57"/>
      <c r="C1566" s="57"/>
      <c r="D1566" s="57"/>
      <c r="E1566" s="57"/>
      <c r="F1566" s="57"/>
      <c r="G1566" s="57"/>
      <c r="H1566" s="57"/>
      <c r="I1566" s="57"/>
      <c r="J1566" s="57"/>
      <c r="K1566" s="57"/>
      <c r="L1566" s="57"/>
      <c r="M1566" s="57"/>
      <c r="N1566" s="57"/>
      <c r="O1566" s="57"/>
      <c r="P1566" s="57"/>
      <c r="Q1566" s="57"/>
      <c r="R1566" s="57"/>
      <c r="S1566" s="57"/>
    </row>
    <row r="1567" spans="1:19" ht="18" x14ac:dyDescent="0.25">
      <c r="A1567" s="57" t="s">
        <v>196</v>
      </c>
      <c r="B1567" s="57"/>
      <c r="C1567" s="57"/>
      <c r="D1567" s="57"/>
      <c r="E1567" s="57"/>
      <c r="F1567" s="57"/>
      <c r="G1567" s="57"/>
      <c r="H1567" s="57"/>
      <c r="I1567" s="57"/>
      <c r="J1567" s="57"/>
      <c r="K1567" s="57"/>
      <c r="L1567" s="57"/>
      <c r="M1567" s="57"/>
      <c r="N1567" s="57"/>
      <c r="O1567" s="57"/>
      <c r="P1567" s="57"/>
      <c r="Q1567" s="57"/>
      <c r="R1567" s="57"/>
      <c r="S1567" s="57"/>
    </row>
    <row r="1568" spans="1:19" ht="18" x14ac:dyDescent="0.25">
      <c r="A1568" s="58" t="s">
        <v>135</v>
      </c>
      <c r="B1568" s="58"/>
      <c r="C1568" s="58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</row>
    <row r="1569" spans="1:20" ht="19.5" customHeight="1" x14ac:dyDescent="0.25">
      <c r="A1569" s="17"/>
      <c r="B1569" s="17"/>
      <c r="C1569" s="8"/>
      <c r="D1569" s="18"/>
      <c r="E1569" s="10"/>
      <c r="F1569" s="11"/>
      <c r="G1569" s="44" t="s">
        <v>49</v>
      </c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</row>
    <row r="1570" spans="1:20" ht="31.5" customHeight="1" x14ac:dyDescent="0.3">
      <c r="A1570" s="8"/>
      <c r="B1570" s="8"/>
      <c r="C1570" s="8"/>
      <c r="D1570" s="8"/>
      <c r="E1570" s="8"/>
      <c r="F1570" s="8"/>
      <c r="G1570" s="8"/>
      <c r="H1570" s="12"/>
      <c r="I1570" s="41" t="s">
        <v>40</v>
      </c>
      <c r="J1570" s="42"/>
      <c r="K1570" s="42"/>
      <c r="L1570" s="42"/>
      <c r="M1570" s="42"/>
      <c r="N1570" s="42"/>
      <c r="O1570" s="42"/>
      <c r="P1570" s="42"/>
      <c r="Q1570" s="42"/>
      <c r="R1570" s="42"/>
      <c r="S1570" s="42"/>
    </row>
    <row r="1571" spans="1:20" ht="16.8" x14ac:dyDescent="0.3">
      <c r="A1571" s="8"/>
      <c r="B1571" s="8"/>
      <c r="C1571" s="8"/>
      <c r="D1571" s="8"/>
      <c r="E1571" s="8"/>
      <c r="F1571" s="8"/>
      <c r="G1571" s="8"/>
      <c r="H1571" s="12"/>
      <c r="I1571" s="12"/>
      <c r="J1571" s="12"/>
      <c r="K1571" s="12"/>
      <c r="L1571" s="8"/>
      <c r="M1571" s="8"/>
      <c r="N1571" s="8"/>
      <c r="O1571" s="8"/>
      <c r="P1571" s="8"/>
      <c r="Q1571" s="8"/>
    </row>
    <row r="1572" spans="1:20" ht="33" customHeight="1" x14ac:dyDescent="0.3">
      <c r="A1572" s="8"/>
      <c r="B1572" s="8"/>
      <c r="C1572" s="8"/>
      <c r="D1572" s="8"/>
      <c r="E1572" s="8"/>
      <c r="F1572" s="8"/>
      <c r="G1572" s="8"/>
      <c r="H1572" s="12"/>
      <c r="I1572" s="12"/>
      <c r="J1572" s="12"/>
      <c r="K1572" s="12"/>
      <c r="L1572" s="8"/>
      <c r="M1572" s="8"/>
      <c r="N1572" s="8"/>
      <c r="O1572" s="8"/>
      <c r="P1572" s="8"/>
      <c r="Q1572" s="8"/>
    </row>
    <row r="1573" spans="1:20" ht="11.25" customHeight="1" x14ac:dyDescent="0.3">
      <c r="A1573" s="8"/>
      <c r="B1573" s="8"/>
      <c r="C1573" s="8"/>
      <c r="D1573" s="8"/>
      <c r="E1573" s="8"/>
      <c r="F1573" s="8"/>
      <c r="G1573" s="8"/>
      <c r="H1573" s="12"/>
      <c r="I1573" s="12"/>
      <c r="J1573" s="12"/>
      <c r="K1573" s="12"/>
      <c r="L1573" s="8"/>
      <c r="M1573" s="8"/>
      <c r="N1573" s="8"/>
      <c r="O1573" s="8"/>
      <c r="P1573" s="8"/>
      <c r="Q1573" s="8"/>
    </row>
    <row r="1574" spans="1:20" ht="17.399999999999999" x14ac:dyDescent="0.3">
      <c r="A1574" s="8"/>
      <c r="B1574" s="8"/>
      <c r="C1574" s="8"/>
      <c r="D1574" s="8"/>
      <c r="E1574" s="8"/>
      <c r="F1574" s="8"/>
      <c r="G1574" s="45" t="s">
        <v>41</v>
      </c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</row>
    <row r="1575" spans="1:20" ht="54" customHeight="1" x14ac:dyDescent="0.25">
      <c r="A1575" s="46" t="s">
        <v>33</v>
      </c>
      <c r="B1575" s="46"/>
      <c r="C1575" s="46"/>
      <c r="D1575" s="46"/>
      <c r="E1575" s="46"/>
      <c r="F1575" s="41" t="s">
        <v>24</v>
      </c>
      <c r="G1575" s="41"/>
      <c r="H1575" s="41"/>
      <c r="I1575" s="41"/>
      <c r="J1575" s="41"/>
      <c r="K1575" s="41"/>
      <c r="L1575" s="41"/>
      <c r="M1575" s="41"/>
      <c r="N1575" s="41"/>
      <c r="O1575" s="41"/>
      <c r="P1575" s="41"/>
      <c r="Q1575" s="41"/>
      <c r="R1575" s="41"/>
      <c r="S1575" s="41"/>
    </row>
    <row r="1576" spans="1:20" ht="17.399999999999999" x14ac:dyDescent="0.25">
      <c r="A1576" s="47" t="s">
        <v>34</v>
      </c>
      <c r="B1576" s="47"/>
      <c r="C1576" s="47"/>
      <c r="D1576" s="47"/>
      <c r="E1576" s="47"/>
      <c r="F1576" s="47"/>
      <c r="G1576" s="47"/>
      <c r="H1576" s="47"/>
      <c r="I1576" s="47"/>
      <c r="J1576" s="47"/>
      <c r="K1576" s="47"/>
      <c r="L1576" s="47"/>
      <c r="M1576" s="47"/>
      <c r="N1576" s="47"/>
      <c r="O1576" s="47"/>
      <c r="P1576" s="47"/>
      <c r="Q1576" s="47"/>
    </row>
    <row r="1577" spans="1:20" ht="4.5" customHeight="1" x14ac:dyDescent="0.25">
      <c r="A1577" s="48"/>
      <c r="B1577" s="48"/>
      <c r="C1577" s="48"/>
      <c r="D1577" s="48"/>
      <c r="E1577" s="48"/>
      <c r="F1577" s="48"/>
      <c r="G1577" s="48"/>
      <c r="H1577" s="48"/>
      <c r="I1577" s="48"/>
      <c r="J1577" s="48"/>
      <c r="K1577" s="48"/>
      <c r="L1577" s="48"/>
      <c r="M1577" s="48"/>
      <c r="N1577" s="48"/>
      <c r="O1577" s="48"/>
      <c r="P1577" s="48"/>
      <c r="Q1577" s="48"/>
    </row>
    <row r="1578" spans="1:20" ht="5.25" customHeight="1" x14ac:dyDescent="0.25">
      <c r="A1578" s="48"/>
      <c r="B1578" s="48"/>
      <c r="C1578" s="48"/>
      <c r="D1578" s="48"/>
      <c r="E1578" s="48"/>
      <c r="F1578" s="48"/>
      <c r="G1578" s="48"/>
      <c r="H1578" s="48"/>
      <c r="I1578" s="48"/>
      <c r="J1578" s="48"/>
      <c r="K1578" s="48"/>
      <c r="L1578" s="48"/>
      <c r="M1578" s="48"/>
      <c r="N1578" s="48"/>
      <c r="O1578" s="48"/>
      <c r="P1578" s="48"/>
      <c r="Q1578" s="48"/>
    </row>
    <row r="1579" spans="1:20" ht="16.5" customHeight="1" x14ac:dyDescent="0.25">
      <c r="A1579" s="52" t="s">
        <v>197</v>
      </c>
      <c r="B1579" s="52"/>
      <c r="C1579" s="52"/>
      <c r="D1579" s="52"/>
      <c r="E1579" s="52"/>
      <c r="F1579" s="52"/>
      <c r="G1579" s="56" t="s">
        <v>198</v>
      </c>
      <c r="H1579" s="56"/>
      <c r="I1579" s="56"/>
      <c r="J1579" s="56"/>
      <c r="K1579" s="56"/>
      <c r="L1579" s="56"/>
      <c r="M1579" s="56"/>
      <c r="N1579" s="56"/>
      <c r="O1579" s="56"/>
      <c r="P1579" s="56"/>
      <c r="Q1579" s="56"/>
      <c r="R1579" s="56"/>
      <c r="S1579" s="56"/>
    </row>
    <row r="1580" spans="1:20" ht="16.5" customHeight="1" x14ac:dyDescent="0.25">
      <c r="A1580" s="52" t="s">
        <v>199</v>
      </c>
      <c r="B1580" s="52"/>
      <c r="C1580" s="52"/>
      <c r="D1580" s="52"/>
      <c r="E1580" s="52"/>
      <c r="F1580" s="52"/>
      <c r="G1580" s="8" t="s">
        <v>46</v>
      </c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T1580" s="2"/>
    </row>
    <row r="1581" spans="1:20" ht="16.5" customHeight="1" x14ac:dyDescent="0.25">
      <c r="A1581" s="52" t="s">
        <v>47</v>
      </c>
      <c r="B1581" s="52"/>
      <c r="C1581" s="52"/>
      <c r="D1581" s="52"/>
      <c r="E1581" s="52"/>
      <c r="F1581" s="52"/>
      <c r="G1581" s="56" t="s">
        <v>48</v>
      </c>
      <c r="H1581" s="56"/>
      <c r="I1581" s="56"/>
      <c r="J1581" s="56"/>
      <c r="K1581" s="56"/>
      <c r="L1581" s="56"/>
      <c r="M1581" s="56"/>
      <c r="N1581" s="56"/>
      <c r="O1581" s="56"/>
      <c r="P1581" s="56"/>
      <c r="Q1581" s="56"/>
      <c r="R1581" s="56"/>
      <c r="S1581" s="56"/>
    </row>
    <row r="1582" spans="1:20" ht="5.25" customHeight="1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19"/>
      <c r="K1582" s="19"/>
      <c r="L1582" s="19"/>
      <c r="M1582" s="19"/>
      <c r="N1582" s="19"/>
      <c r="O1582" s="19"/>
      <c r="P1582" s="19"/>
      <c r="Q1582" s="19"/>
    </row>
    <row r="1583" spans="1:20" ht="15" customHeight="1" x14ac:dyDescent="0.25">
      <c r="A1583" s="35" t="s">
        <v>0</v>
      </c>
      <c r="B1583" s="29" t="s">
        <v>1</v>
      </c>
      <c r="C1583" s="30"/>
      <c r="D1583" s="30"/>
      <c r="E1583" s="30"/>
      <c r="F1583" s="30"/>
      <c r="G1583" s="31"/>
      <c r="H1583" s="35" t="s">
        <v>32</v>
      </c>
      <c r="I1583" s="35" t="s">
        <v>39</v>
      </c>
      <c r="J1583" s="53" t="s">
        <v>2</v>
      </c>
      <c r="K1583" s="54"/>
      <c r="L1583" s="54"/>
      <c r="M1583" s="54"/>
      <c r="N1583" s="54"/>
      <c r="O1583" s="54"/>
      <c r="P1583" s="54"/>
      <c r="Q1583" s="55"/>
      <c r="S1583" s="35" t="s">
        <v>38</v>
      </c>
    </row>
    <row r="1584" spans="1:20" ht="24" customHeight="1" x14ac:dyDescent="0.25">
      <c r="A1584" s="36"/>
      <c r="B1584" s="32"/>
      <c r="C1584" s="33"/>
      <c r="D1584" s="33"/>
      <c r="E1584" s="33"/>
      <c r="F1584" s="33"/>
      <c r="G1584" s="34"/>
      <c r="H1584" s="36"/>
      <c r="I1584" s="36"/>
      <c r="J1584" s="7" t="s">
        <v>28</v>
      </c>
      <c r="K1584" s="7" t="s">
        <v>29</v>
      </c>
      <c r="L1584" s="7" t="s">
        <v>30</v>
      </c>
      <c r="M1584" s="7"/>
      <c r="N1584" s="7"/>
      <c r="O1584" s="6" t="s">
        <v>35</v>
      </c>
      <c r="P1584" s="6" t="s">
        <v>36</v>
      </c>
      <c r="Q1584" s="6" t="s">
        <v>37</v>
      </c>
      <c r="S1584" s="36"/>
    </row>
    <row r="1585" spans="1:19" ht="20.25" customHeight="1" x14ac:dyDescent="0.25">
      <c r="A1585" s="27" t="s">
        <v>50</v>
      </c>
      <c r="B1585" s="28"/>
      <c r="C1585" s="28"/>
      <c r="D1585" s="28"/>
      <c r="E1585" s="28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</row>
    <row r="1586" spans="1:19" ht="16.5" customHeight="1" x14ac:dyDescent="0.25">
      <c r="A1586" s="9"/>
      <c r="B1586" s="49" t="s">
        <v>51</v>
      </c>
      <c r="C1586" s="50"/>
      <c r="D1586" s="50"/>
      <c r="E1586" s="50"/>
      <c r="F1586" s="50"/>
      <c r="G1586" s="51"/>
      <c r="H1586" s="20"/>
      <c r="I1586" s="9">
        <v>1</v>
      </c>
      <c r="J1586" s="9"/>
      <c r="K1586" s="9"/>
      <c r="L1586" s="9"/>
      <c r="M1586" s="9">
        <f t="shared" ref="M1586:M1594" si="196">I1586*O1586</f>
        <v>6.9</v>
      </c>
      <c r="N1586" s="9">
        <f t="shared" ref="N1586:N1594" si="197">I1586*P1586</f>
        <v>2.5</v>
      </c>
      <c r="O1586" s="9">
        <v>6.9</v>
      </c>
      <c r="P1586" s="9">
        <v>2.5</v>
      </c>
      <c r="Q1586" s="9" t="s">
        <v>5</v>
      </c>
      <c r="R1586" s="1">
        <v>0</v>
      </c>
      <c r="S1586" s="26"/>
    </row>
    <row r="1587" spans="1:19" ht="16.5" customHeight="1" x14ac:dyDescent="0.25">
      <c r="A1587" s="9"/>
      <c r="B1587" s="49" t="s">
        <v>78</v>
      </c>
      <c r="C1587" s="50"/>
      <c r="D1587" s="50"/>
      <c r="E1587" s="50"/>
      <c r="F1587" s="50"/>
      <c r="G1587" s="51"/>
      <c r="H1587" s="20"/>
      <c r="I1587" s="9">
        <v>3</v>
      </c>
      <c r="J1587" s="9"/>
      <c r="K1587" s="9"/>
      <c r="L1587" s="9"/>
      <c r="M1587" s="9">
        <f t="shared" si="196"/>
        <v>13.799999999999999</v>
      </c>
      <c r="N1587" s="9">
        <f t="shared" si="197"/>
        <v>3</v>
      </c>
      <c r="O1587" s="9">
        <v>4.5999999999999996</v>
      </c>
      <c r="P1587" s="9">
        <v>1</v>
      </c>
      <c r="Q1587" s="9" t="s">
        <v>8</v>
      </c>
      <c r="R1587" s="1">
        <v>0</v>
      </c>
      <c r="S1587" s="26"/>
    </row>
    <row r="1588" spans="1:19" ht="31.2" customHeight="1" x14ac:dyDescent="0.25">
      <c r="A1588" s="9"/>
      <c r="B1588" s="49" t="s">
        <v>53</v>
      </c>
      <c r="C1588" s="50"/>
      <c r="D1588" s="50"/>
      <c r="E1588" s="50"/>
      <c r="F1588" s="50"/>
      <c r="G1588" s="51"/>
      <c r="H1588" s="20"/>
      <c r="I1588" s="9">
        <v>3</v>
      </c>
      <c r="J1588" s="9"/>
      <c r="K1588" s="9"/>
      <c r="L1588" s="9"/>
      <c r="M1588" s="9">
        <f t="shared" si="196"/>
        <v>21.9</v>
      </c>
      <c r="N1588" s="9">
        <f t="shared" si="197"/>
        <v>9</v>
      </c>
      <c r="O1588" s="9">
        <v>7.3</v>
      </c>
      <c r="P1588" s="9">
        <v>3</v>
      </c>
      <c r="Q1588" s="9" t="s">
        <v>6</v>
      </c>
      <c r="R1588" s="1">
        <v>0</v>
      </c>
      <c r="S1588" s="26"/>
    </row>
    <row r="1589" spans="1:19" ht="16.5" customHeight="1" x14ac:dyDescent="0.25">
      <c r="A1589" s="9"/>
      <c r="B1589" s="49" t="s">
        <v>52</v>
      </c>
      <c r="C1589" s="50"/>
      <c r="D1589" s="50"/>
      <c r="E1589" s="50"/>
      <c r="F1589" s="50"/>
      <c r="G1589" s="51"/>
      <c r="H1589" s="20"/>
      <c r="I1589" s="9">
        <v>1</v>
      </c>
      <c r="J1589" s="9"/>
      <c r="K1589" s="9"/>
      <c r="L1589" s="9"/>
      <c r="M1589" s="9">
        <f t="shared" si="196"/>
        <v>7.1</v>
      </c>
      <c r="N1589" s="9">
        <f t="shared" si="197"/>
        <v>3</v>
      </c>
      <c r="O1589" s="9">
        <v>7.1</v>
      </c>
      <c r="P1589" s="9">
        <v>3</v>
      </c>
      <c r="Q1589" s="9" t="s">
        <v>6</v>
      </c>
      <c r="R1589" s="1">
        <v>0</v>
      </c>
      <c r="S1589" s="26"/>
    </row>
    <row r="1590" spans="1:19" ht="16.5" customHeight="1" x14ac:dyDescent="0.25">
      <c r="A1590" s="9"/>
      <c r="B1590" s="49" t="s">
        <v>55</v>
      </c>
      <c r="C1590" s="50"/>
      <c r="D1590" s="50"/>
      <c r="E1590" s="50"/>
      <c r="F1590" s="50"/>
      <c r="G1590" s="51"/>
      <c r="H1590" s="20"/>
      <c r="I1590" s="9">
        <v>1</v>
      </c>
      <c r="J1590" s="9"/>
      <c r="K1590" s="9"/>
      <c r="L1590" s="9"/>
      <c r="M1590" s="9">
        <f t="shared" si="196"/>
        <v>7.1</v>
      </c>
      <c r="N1590" s="9">
        <f t="shared" si="197"/>
        <v>3</v>
      </c>
      <c r="O1590" s="9">
        <v>7.1</v>
      </c>
      <c r="P1590" s="9">
        <v>3</v>
      </c>
      <c r="Q1590" s="9" t="s">
        <v>6</v>
      </c>
      <c r="R1590" s="1">
        <v>0</v>
      </c>
      <c r="S1590" s="26"/>
    </row>
    <row r="1591" spans="1:19" ht="16.5" customHeight="1" x14ac:dyDescent="0.25">
      <c r="A1591" s="9"/>
      <c r="B1591" s="49" t="s">
        <v>54</v>
      </c>
      <c r="C1591" s="50"/>
      <c r="D1591" s="50"/>
      <c r="E1591" s="50"/>
      <c r="F1591" s="50"/>
      <c r="G1591" s="51"/>
      <c r="H1591" s="20"/>
      <c r="I1591" s="9">
        <v>3</v>
      </c>
      <c r="J1591" s="9"/>
      <c r="K1591" s="9"/>
      <c r="L1591" s="9"/>
      <c r="M1591" s="9">
        <f t="shared" si="196"/>
        <v>21.9</v>
      </c>
      <c r="N1591" s="9">
        <f t="shared" si="197"/>
        <v>9</v>
      </c>
      <c r="O1591" s="9">
        <v>7.3</v>
      </c>
      <c r="P1591" s="9">
        <v>3</v>
      </c>
      <c r="Q1591" s="9" t="s">
        <v>6</v>
      </c>
      <c r="R1591" s="1">
        <v>0</v>
      </c>
      <c r="S1591" s="26"/>
    </row>
    <row r="1592" spans="1:19" ht="16.5" customHeight="1" x14ac:dyDescent="0.25">
      <c r="A1592" s="9"/>
      <c r="B1592" s="49" t="s">
        <v>56</v>
      </c>
      <c r="C1592" s="50"/>
      <c r="D1592" s="50"/>
      <c r="E1592" s="50"/>
      <c r="F1592" s="50"/>
      <c r="G1592" s="51"/>
      <c r="H1592" s="20"/>
      <c r="I1592" s="9">
        <v>2</v>
      </c>
      <c r="J1592" s="9"/>
      <c r="K1592" s="9"/>
      <c r="L1592" s="9"/>
      <c r="M1592" s="9">
        <f t="shared" si="196"/>
        <v>14.8</v>
      </c>
      <c r="N1592" s="9">
        <f t="shared" si="197"/>
        <v>6</v>
      </c>
      <c r="O1592" s="9">
        <v>7.4</v>
      </c>
      <c r="P1592" s="9">
        <v>3</v>
      </c>
      <c r="Q1592" s="9" t="s">
        <v>6</v>
      </c>
      <c r="R1592" s="1">
        <v>0</v>
      </c>
      <c r="S1592" s="26"/>
    </row>
    <row r="1593" spans="1:19" ht="16.5" hidden="1" customHeight="1" x14ac:dyDescent="0.25">
      <c r="A1593" s="21"/>
      <c r="H1593" s="21"/>
      <c r="I1593" s="21"/>
      <c r="J1593" s="21"/>
      <c r="K1593" s="21"/>
      <c r="L1593" s="21"/>
      <c r="M1593" s="9">
        <f t="shared" si="196"/>
        <v>0</v>
      </c>
      <c r="N1593" s="9">
        <f t="shared" si="197"/>
        <v>0</v>
      </c>
      <c r="O1593" s="21"/>
      <c r="P1593" s="21"/>
      <c r="Q1593" s="21"/>
      <c r="S1593" s="25"/>
    </row>
    <row r="1594" spans="1:19" ht="16.5" customHeight="1" x14ac:dyDescent="0.25">
      <c r="A1594" s="9"/>
      <c r="B1594" s="38" t="s">
        <v>42</v>
      </c>
      <c r="C1594" s="39"/>
      <c r="D1594" s="39"/>
      <c r="E1594" s="39"/>
      <c r="F1594" s="39"/>
      <c r="G1594" s="40"/>
      <c r="H1594" s="23"/>
      <c r="I1594" s="24">
        <f>SUM(I1586:I1593)</f>
        <v>14</v>
      </c>
      <c r="J1594" s="9"/>
      <c r="K1594" s="9"/>
      <c r="L1594" s="9"/>
      <c r="M1594" s="9">
        <f t="shared" si="196"/>
        <v>93.52</v>
      </c>
      <c r="N1594" s="9">
        <f t="shared" si="197"/>
        <v>35.56</v>
      </c>
      <c r="O1594" s="24">
        <f>ROUND(SUM(M1586:M1593)/I1594,2)</f>
        <v>6.68</v>
      </c>
      <c r="P1594" s="24">
        <f>ROUND(SUM(N1586:N1593)/I1594,2)</f>
        <v>2.54</v>
      </c>
      <c r="Q1594" s="9"/>
      <c r="S1594" s="25"/>
    </row>
    <row r="1595" spans="1:19" ht="20.25" customHeight="1" x14ac:dyDescent="0.25">
      <c r="A1595" s="27" t="s">
        <v>57</v>
      </c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</row>
    <row r="1596" spans="1:19" ht="16.5" customHeight="1" x14ac:dyDescent="0.25">
      <c r="A1596" s="9"/>
      <c r="B1596" s="49" t="s">
        <v>136</v>
      </c>
      <c r="C1596" s="50"/>
      <c r="D1596" s="50"/>
      <c r="E1596" s="50"/>
      <c r="F1596" s="50"/>
      <c r="G1596" s="51"/>
      <c r="H1596" s="20"/>
      <c r="I1596" s="9">
        <v>4</v>
      </c>
      <c r="J1596" s="9"/>
      <c r="K1596" s="9"/>
      <c r="L1596" s="9"/>
      <c r="M1596" s="9">
        <f t="shared" ref="M1596:M1604" si="198">I1596*O1596</f>
        <v>28</v>
      </c>
      <c r="N1596" s="9">
        <f t="shared" ref="N1596:N1604" si="199">I1596*P1596</f>
        <v>12</v>
      </c>
      <c r="O1596" s="9">
        <v>7</v>
      </c>
      <c r="P1596" s="9">
        <v>3</v>
      </c>
      <c r="Q1596" s="9" t="s">
        <v>6</v>
      </c>
      <c r="R1596" s="1">
        <v>0</v>
      </c>
      <c r="S1596" s="26"/>
    </row>
    <row r="1597" spans="1:19" ht="16.5" customHeight="1" x14ac:dyDescent="0.25">
      <c r="A1597" s="9"/>
      <c r="B1597" s="49" t="s">
        <v>91</v>
      </c>
      <c r="C1597" s="50"/>
      <c r="D1597" s="50"/>
      <c r="E1597" s="50"/>
      <c r="F1597" s="50"/>
      <c r="G1597" s="51"/>
      <c r="H1597" s="20"/>
      <c r="I1597" s="9">
        <v>4</v>
      </c>
      <c r="J1597" s="9"/>
      <c r="K1597" s="9"/>
      <c r="L1597" s="9"/>
      <c r="M1597" s="9">
        <f t="shared" si="198"/>
        <v>30.8</v>
      </c>
      <c r="N1597" s="9">
        <f t="shared" si="199"/>
        <v>12</v>
      </c>
      <c r="O1597" s="9">
        <v>7.7</v>
      </c>
      <c r="P1597" s="9">
        <v>3</v>
      </c>
      <c r="Q1597" s="9" t="s">
        <v>6</v>
      </c>
      <c r="R1597" s="1">
        <v>0</v>
      </c>
      <c r="S1597" s="26"/>
    </row>
    <row r="1598" spans="1:19" ht="16.5" customHeight="1" x14ac:dyDescent="0.25">
      <c r="A1598" s="9"/>
      <c r="B1598" s="49" t="s">
        <v>60</v>
      </c>
      <c r="C1598" s="50"/>
      <c r="D1598" s="50"/>
      <c r="E1598" s="50"/>
      <c r="F1598" s="50"/>
      <c r="G1598" s="51"/>
      <c r="H1598" s="20"/>
      <c r="I1598" s="9">
        <v>4</v>
      </c>
      <c r="J1598" s="9"/>
      <c r="K1598" s="9"/>
      <c r="L1598" s="9"/>
      <c r="M1598" s="9">
        <f t="shared" si="198"/>
        <v>30.8</v>
      </c>
      <c r="N1598" s="9">
        <f t="shared" si="199"/>
        <v>12</v>
      </c>
      <c r="O1598" s="9">
        <v>7.7</v>
      </c>
      <c r="P1598" s="9">
        <v>3</v>
      </c>
      <c r="Q1598" s="9" t="s">
        <v>6</v>
      </c>
      <c r="R1598" s="1">
        <v>0</v>
      </c>
      <c r="S1598" s="26"/>
    </row>
    <row r="1599" spans="1:19" ht="16.5" customHeight="1" x14ac:dyDescent="0.25">
      <c r="A1599" s="9"/>
      <c r="B1599" s="49" t="s">
        <v>59</v>
      </c>
      <c r="C1599" s="50"/>
      <c r="D1599" s="50"/>
      <c r="E1599" s="50"/>
      <c r="F1599" s="50"/>
      <c r="G1599" s="51"/>
      <c r="H1599" s="20"/>
      <c r="I1599" s="9">
        <v>1</v>
      </c>
      <c r="J1599" s="9"/>
      <c r="K1599" s="9"/>
      <c r="L1599" s="9"/>
      <c r="M1599" s="9">
        <f t="shared" si="198"/>
        <v>7.7</v>
      </c>
      <c r="N1599" s="9">
        <f t="shared" si="199"/>
        <v>3</v>
      </c>
      <c r="O1599" s="9">
        <v>7.7</v>
      </c>
      <c r="P1599" s="9">
        <v>3</v>
      </c>
      <c r="Q1599" s="9" t="s">
        <v>6</v>
      </c>
      <c r="R1599" s="1">
        <v>0</v>
      </c>
      <c r="S1599" s="26"/>
    </row>
    <row r="1600" spans="1:19" ht="16.5" customHeight="1" x14ac:dyDescent="0.25">
      <c r="A1600" s="9"/>
      <c r="B1600" s="49" t="s">
        <v>58</v>
      </c>
      <c r="C1600" s="50"/>
      <c r="D1600" s="50"/>
      <c r="E1600" s="50"/>
      <c r="F1600" s="50"/>
      <c r="G1600" s="51"/>
      <c r="H1600" s="20"/>
      <c r="I1600" s="9">
        <v>1</v>
      </c>
      <c r="J1600" s="9"/>
      <c r="K1600" s="9"/>
      <c r="L1600" s="9"/>
      <c r="M1600" s="9">
        <f t="shared" si="198"/>
        <v>7.7</v>
      </c>
      <c r="N1600" s="9">
        <f t="shared" si="199"/>
        <v>3</v>
      </c>
      <c r="O1600" s="9">
        <v>7.7</v>
      </c>
      <c r="P1600" s="9">
        <v>3</v>
      </c>
      <c r="Q1600" s="9" t="s">
        <v>6</v>
      </c>
      <c r="R1600" s="1">
        <v>0</v>
      </c>
      <c r="S1600" s="26"/>
    </row>
    <row r="1601" spans="1:19" ht="16.5" customHeight="1" x14ac:dyDescent="0.25">
      <c r="A1601" s="9"/>
      <c r="B1601" s="49" t="s">
        <v>61</v>
      </c>
      <c r="C1601" s="50"/>
      <c r="D1601" s="50"/>
      <c r="E1601" s="50"/>
      <c r="F1601" s="50"/>
      <c r="G1601" s="51"/>
      <c r="H1601" s="20"/>
      <c r="I1601" s="9">
        <v>1</v>
      </c>
      <c r="J1601" s="9"/>
      <c r="K1601" s="9"/>
      <c r="L1601" s="9"/>
      <c r="M1601" s="9">
        <f t="shared" si="198"/>
        <v>7.8</v>
      </c>
      <c r="N1601" s="9">
        <f t="shared" si="199"/>
        <v>3</v>
      </c>
      <c r="O1601" s="9">
        <v>7.8</v>
      </c>
      <c r="P1601" s="9">
        <v>3</v>
      </c>
      <c r="Q1601" s="9" t="s">
        <v>6</v>
      </c>
      <c r="R1601" s="1">
        <v>0</v>
      </c>
      <c r="S1601" s="26"/>
    </row>
    <row r="1602" spans="1:19" ht="16.5" customHeight="1" x14ac:dyDescent="0.25">
      <c r="A1602" s="9"/>
      <c r="B1602" s="49" t="s">
        <v>62</v>
      </c>
      <c r="C1602" s="50"/>
      <c r="D1602" s="50"/>
      <c r="E1602" s="50"/>
      <c r="F1602" s="50"/>
      <c r="G1602" s="51"/>
      <c r="H1602" s="20"/>
      <c r="I1602" s="9">
        <v>1</v>
      </c>
      <c r="J1602" s="9"/>
      <c r="K1602" s="9"/>
      <c r="L1602" s="9"/>
      <c r="M1602" s="9">
        <f t="shared" si="198"/>
        <v>7.8</v>
      </c>
      <c r="N1602" s="9">
        <f t="shared" si="199"/>
        <v>3</v>
      </c>
      <c r="O1602" s="9">
        <v>7.8</v>
      </c>
      <c r="P1602" s="9">
        <v>3</v>
      </c>
      <c r="Q1602" s="9" t="s">
        <v>6</v>
      </c>
      <c r="R1602" s="1">
        <v>0</v>
      </c>
      <c r="S1602" s="26"/>
    </row>
    <row r="1603" spans="1:19" ht="16.5" hidden="1" customHeight="1" x14ac:dyDescent="0.25">
      <c r="A1603" s="21"/>
      <c r="H1603" s="21"/>
      <c r="I1603" s="21"/>
      <c r="J1603" s="21"/>
      <c r="K1603" s="21"/>
      <c r="L1603" s="21"/>
      <c r="M1603" s="9">
        <f t="shared" si="198"/>
        <v>0</v>
      </c>
      <c r="N1603" s="9">
        <f t="shared" si="199"/>
        <v>0</v>
      </c>
      <c r="O1603" s="21"/>
      <c r="P1603" s="21"/>
      <c r="Q1603" s="21"/>
      <c r="S1603" s="25"/>
    </row>
    <row r="1604" spans="1:19" ht="16.5" customHeight="1" x14ac:dyDescent="0.25">
      <c r="A1604" s="9"/>
      <c r="B1604" s="38" t="s">
        <v>42</v>
      </c>
      <c r="C1604" s="39"/>
      <c r="D1604" s="39"/>
      <c r="E1604" s="39"/>
      <c r="F1604" s="39"/>
      <c r="G1604" s="40"/>
      <c r="H1604" s="23"/>
      <c r="I1604" s="24">
        <f>SUM(I1596:I1603)</f>
        <v>16</v>
      </c>
      <c r="J1604" s="9"/>
      <c r="K1604" s="9"/>
      <c r="L1604" s="9"/>
      <c r="M1604" s="9">
        <f t="shared" si="198"/>
        <v>120.64</v>
      </c>
      <c r="N1604" s="9">
        <f t="shared" si="199"/>
        <v>48</v>
      </c>
      <c r="O1604" s="24">
        <f>ROUND(SUM(M1596:M1603)/I1604,2)</f>
        <v>7.54</v>
      </c>
      <c r="P1604" s="24">
        <f>ROUND(SUM(N1596:N1603)/I1604,2)</f>
        <v>3</v>
      </c>
      <c r="Q1604" s="9"/>
      <c r="S1604" s="25"/>
    </row>
    <row r="1605" spans="1:19" ht="20.25" customHeight="1" x14ac:dyDescent="0.25">
      <c r="A1605" s="27" t="s">
        <v>67</v>
      </c>
      <c r="B1605" s="28"/>
      <c r="C1605" s="28"/>
      <c r="D1605" s="28"/>
      <c r="E1605" s="28"/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</row>
    <row r="1606" spans="1:19" ht="16.5" customHeight="1" x14ac:dyDescent="0.25">
      <c r="A1606" s="9"/>
      <c r="B1606" s="49" t="s">
        <v>73</v>
      </c>
      <c r="C1606" s="50"/>
      <c r="D1606" s="50"/>
      <c r="E1606" s="50"/>
      <c r="F1606" s="50"/>
      <c r="G1606" s="51"/>
      <c r="H1606" s="20"/>
      <c r="I1606" s="9">
        <v>4</v>
      </c>
      <c r="J1606" s="9"/>
      <c r="K1606" s="9"/>
      <c r="L1606" s="9"/>
      <c r="M1606" s="9">
        <f t="shared" ref="M1606:M1616" si="200">I1606*O1606</f>
        <v>31.6</v>
      </c>
      <c r="N1606" s="9">
        <f t="shared" ref="N1606:N1616" si="201">I1606*P1606</f>
        <v>12</v>
      </c>
      <c r="O1606" s="9">
        <v>7.9</v>
      </c>
      <c r="P1606" s="9">
        <v>3</v>
      </c>
      <c r="Q1606" s="9" t="s">
        <v>6</v>
      </c>
      <c r="R1606" s="1">
        <v>0</v>
      </c>
      <c r="S1606" s="26"/>
    </row>
    <row r="1607" spans="1:19" ht="16.5" customHeight="1" x14ac:dyDescent="0.25">
      <c r="A1607" s="9"/>
      <c r="B1607" s="49" t="s">
        <v>68</v>
      </c>
      <c r="C1607" s="50"/>
      <c r="D1607" s="50"/>
      <c r="E1607" s="50"/>
      <c r="F1607" s="50"/>
      <c r="G1607" s="51"/>
      <c r="H1607" s="20"/>
      <c r="I1607" s="9">
        <v>3</v>
      </c>
      <c r="J1607" s="9"/>
      <c r="K1607" s="9"/>
      <c r="L1607" s="9"/>
      <c r="M1607" s="9">
        <f t="shared" si="200"/>
        <v>21.6</v>
      </c>
      <c r="N1607" s="9">
        <f t="shared" si="201"/>
        <v>9</v>
      </c>
      <c r="O1607" s="9">
        <v>7.2</v>
      </c>
      <c r="P1607" s="9">
        <v>3</v>
      </c>
      <c r="Q1607" s="9" t="s">
        <v>6</v>
      </c>
      <c r="R1607" s="1">
        <v>0</v>
      </c>
      <c r="S1607" s="26"/>
    </row>
    <row r="1608" spans="1:19" ht="16.5" customHeight="1" x14ac:dyDescent="0.25">
      <c r="A1608" s="9"/>
      <c r="B1608" s="49" t="s">
        <v>71</v>
      </c>
      <c r="C1608" s="50"/>
      <c r="D1608" s="50"/>
      <c r="E1608" s="50"/>
      <c r="F1608" s="50"/>
      <c r="G1608" s="51"/>
      <c r="H1608" s="20"/>
      <c r="I1608" s="9">
        <v>1</v>
      </c>
      <c r="J1608" s="9"/>
      <c r="K1608" s="9"/>
      <c r="L1608" s="9"/>
      <c r="M1608" s="9">
        <f t="shared" si="200"/>
        <v>7.1</v>
      </c>
      <c r="N1608" s="9">
        <f t="shared" si="201"/>
        <v>3</v>
      </c>
      <c r="O1608" s="9">
        <v>7.1</v>
      </c>
      <c r="P1608" s="9">
        <v>3</v>
      </c>
      <c r="Q1608" s="9" t="s">
        <v>6</v>
      </c>
      <c r="R1608" s="1">
        <v>0</v>
      </c>
      <c r="S1608" s="26"/>
    </row>
    <row r="1609" spans="1:19" ht="16.5" customHeight="1" x14ac:dyDescent="0.25">
      <c r="A1609" s="9"/>
      <c r="B1609" s="49" t="s">
        <v>70</v>
      </c>
      <c r="C1609" s="50"/>
      <c r="D1609" s="50"/>
      <c r="E1609" s="50"/>
      <c r="F1609" s="50"/>
      <c r="G1609" s="51"/>
      <c r="H1609" s="20"/>
      <c r="I1609" s="9">
        <v>2</v>
      </c>
      <c r="J1609" s="9"/>
      <c r="K1609" s="9"/>
      <c r="L1609" s="9"/>
      <c r="M1609" s="9">
        <f t="shared" si="200"/>
        <v>15.2</v>
      </c>
      <c r="N1609" s="9">
        <f t="shared" si="201"/>
        <v>6</v>
      </c>
      <c r="O1609" s="9">
        <v>7.6</v>
      </c>
      <c r="P1609" s="9">
        <v>3</v>
      </c>
      <c r="Q1609" s="9" t="s">
        <v>6</v>
      </c>
      <c r="R1609" s="1">
        <v>0</v>
      </c>
      <c r="S1609" s="26"/>
    </row>
    <row r="1610" spans="1:19" ht="16.5" customHeight="1" x14ac:dyDescent="0.25">
      <c r="A1610" s="9"/>
      <c r="B1610" s="49" t="s">
        <v>77</v>
      </c>
      <c r="C1610" s="50"/>
      <c r="D1610" s="50"/>
      <c r="E1610" s="50"/>
      <c r="F1610" s="50"/>
      <c r="G1610" s="51"/>
      <c r="H1610" s="20"/>
      <c r="I1610" s="9">
        <v>1</v>
      </c>
      <c r="J1610" s="9"/>
      <c r="K1610" s="9"/>
      <c r="L1610" s="9"/>
      <c r="M1610" s="9">
        <f t="shared" si="200"/>
        <v>8.1999999999999993</v>
      </c>
      <c r="N1610" s="9">
        <f t="shared" si="201"/>
        <v>3.5</v>
      </c>
      <c r="O1610" s="9">
        <v>8.1999999999999993</v>
      </c>
      <c r="P1610" s="9">
        <v>3.5</v>
      </c>
      <c r="Q1610" s="9" t="s">
        <v>9</v>
      </c>
      <c r="R1610" s="1">
        <v>0</v>
      </c>
      <c r="S1610" s="26"/>
    </row>
    <row r="1611" spans="1:19" ht="16.5" customHeight="1" x14ac:dyDescent="0.25">
      <c r="A1611" s="9"/>
      <c r="B1611" s="49" t="s">
        <v>72</v>
      </c>
      <c r="C1611" s="50"/>
      <c r="D1611" s="50"/>
      <c r="E1611" s="50"/>
      <c r="F1611" s="50"/>
      <c r="G1611" s="51"/>
      <c r="H1611" s="20"/>
      <c r="I1611" s="9">
        <v>4</v>
      </c>
      <c r="J1611" s="9"/>
      <c r="K1611" s="9"/>
      <c r="L1611" s="9"/>
      <c r="M1611" s="9">
        <f t="shared" si="200"/>
        <v>27.2</v>
      </c>
      <c r="N1611" s="9">
        <f t="shared" si="201"/>
        <v>10</v>
      </c>
      <c r="O1611" s="9">
        <v>6.8</v>
      </c>
      <c r="P1611" s="9">
        <v>2.5</v>
      </c>
      <c r="Q1611" s="9" t="s">
        <v>5</v>
      </c>
      <c r="R1611" s="1">
        <v>0</v>
      </c>
      <c r="S1611" s="26"/>
    </row>
    <row r="1612" spans="1:19" ht="16.5" customHeight="1" x14ac:dyDescent="0.25">
      <c r="A1612" s="9"/>
      <c r="B1612" s="49" t="s">
        <v>74</v>
      </c>
      <c r="C1612" s="50"/>
      <c r="D1612" s="50"/>
      <c r="E1612" s="50"/>
      <c r="F1612" s="50"/>
      <c r="G1612" s="51"/>
      <c r="H1612" s="20"/>
      <c r="I1612" s="9">
        <v>3</v>
      </c>
      <c r="J1612" s="9"/>
      <c r="K1612" s="9"/>
      <c r="L1612" s="9"/>
      <c r="M1612" s="9">
        <f t="shared" si="200"/>
        <v>19.200000000000003</v>
      </c>
      <c r="N1612" s="9">
        <f t="shared" si="201"/>
        <v>6</v>
      </c>
      <c r="O1612" s="9">
        <v>6.4</v>
      </c>
      <c r="P1612" s="9">
        <v>2</v>
      </c>
      <c r="Q1612" s="9" t="s">
        <v>3</v>
      </c>
      <c r="R1612" s="1">
        <v>0</v>
      </c>
      <c r="S1612" s="26"/>
    </row>
    <row r="1613" spans="1:19" ht="16.5" customHeight="1" x14ac:dyDescent="0.25">
      <c r="A1613" s="9"/>
      <c r="B1613" s="49" t="s">
        <v>76</v>
      </c>
      <c r="C1613" s="50"/>
      <c r="D1613" s="50"/>
      <c r="E1613" s="50"/>
      <c r="F1613" s="50"/>
      <c r="G1613" s="51"/>
      <c r="H1613" s="20"/>
      <c r="I1613" s="9">
        <v>4</v>
      </c>
      <c r="J1613" s="9"/>
      <c r="K1613" s="9"/>
      <c r="L1613" s="9"/>
      <c r="M1613" s="9">
        <f t="shared" si="200"/>
        <v>26.8</v>
      </c>
      <c r="N1613" s="9">
        <f t="shared" si="201"/>
        <v>10</v>
      </c>
      <c r="O1613" s="9">
        <v>6.7</v>
      </c>
      <c r="P1613" s="9">
        <v>2.5</v>
      </c>
      <c r="Q1613" s="9" t="s">
        <v>5</v>
      </c>
      <c r="R1613" s="1">
        <v>0</v>
      </c>
      <c r="S1613" s="26"/>
    </row>
    <row r="1614" spans="1:19" ht="16.5" customHeight="1" x14ac:dyDescent="0.25">
      <c r="A1614" s="9"/>
      <c r="B1614" s="49" t="s">
        <v>80</v>
      </c>
      <c r="C1614" s="50"/>
      <c r="D1614" s="50"/>
      <c r="E1614" s="50"/>
      <c r="F1614" s="50"/>
      <c r="G1614" s="51"/>
      <c r="H1614" s="20"/>
      <c r="I1614" s="9">
        <v>4</v>
      </c>
      <c r="J1614" s="9"/>
      <c r="K1614" s="9"/>
      <c r="L1614" s="9"/>
      <c r="M1614" s="9">
        <f t="shared" si="200"/>
        <v>28.8</v>
      </c>
      <c r="N1614" s="9">
        <f t="shared" si="201"/>
        <v>12</v>
      </c>
      <c r="O1614" s="9">
        <v>7.2</v>
      </c>
      <c r="P1614" s="9">
        <v>3</v>
      </c>
      <c r="Q1614" s="9" t="s">
        <v>6</v>
      </c>
      <c r="R1614" s="1">
        <v>0</v>
      </c>
      <c r="S1614" s="26"/>
    </row>
    <row r="1615" spans="1:19" ht="16.5" hidden="1" customHeight="1" x14ac:dyDescent="0.25">
      <c r="A1615" s="21"/>
      <c r="H1615" s="21"/>
      <c r="I1615" s="21"/>
      <c r="J1615" s="21"/>
      <c r="K1615" s="21"/>
      <c r="L1615" s="21"/>
      <c r="M1615" s="9">
        <f t="shared" si="200"/>
        <v>0</v>
      </c>
      <c r="N1615" s="9">
        <f t="shared" si="201"/>
        <v>0</v>
      </c>
      <c r="O1615" s="21"/>
      <c r="P1615" s="21"/>
      <c r="Q1615" s="21"/>
      <c r="S1615" s="25"/>
    </row>
    <row r="1616" spans="1:19" ht="16.5" customHeight="1" x14ac:dyDescent="0.25">
      <c r="A1616" s="9"/>
      <c r="B1616" s="38" t="s">
        <v>42</v>
      </c>
      <c r="C1616" s="39"/>
      <c r="D1616" s="39"/>
      <c r="E1616" s="39"/>
      <c r="F1616" s="39"/>
      <c r="G1616" s="40"/>
      <c r="H1616" s="23"/>
      <c r="I1616" s="24">
        <f>SUM(I1606:I1615)</f>
        <v>26</v>
      </c>
      <c r="J1616" s="9"/>
      <c r="K1616" s="9"/>
      <c r="L1616" s="9"/>
      <c r="M1616" s="9">
        <f t="shared" si="200"/>
        <v>185.64</v>
      </c>
      <c r="N1616" s="9">
        <f t="shared" si="201"/>
        <v>71.5</v>
      </c>
      <c r="O1616" s="24">
        <f>ROUND(SUM(M1606:M1615)/I1616,2)</f>
        <v>7.14</v>
      </c>
      <c r="P1616" s="24">
        <f>ROUND(SUM(N1606:N1615)/I1616,2)</f>
        <v>2.75</v>
      </c>
      <c r="Q1616" s="9"/>
      <c r="S1616" s="25"/>
    </row>
    <row r="1617" spans="1:19" ht="20.25" customHeight="1" x14ac:dyDescent="0.25">
      <c r="A1617" s="27" t="s">
        <v>82</v>
      </c>
      <c r="B1617" s="28"/>
      <c r="C1617" s="28"/>
      <c r="D1617" s="28"/>
      <c r="E1617" s="28"/>
      <c r="F1617" s="28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</row>
    <row r="1618" spans="1:19" ht="16.5" customHeight="1" x14ac:dyDescent="0.25">
      <c r="A1618" s="9"/>
      <c r="B1618" s="49" t="s">
        <v>86</v>
      </c>
      <c r="C1618" s="50"/>
      <c r="D1618" s="50"/>
      <c r="E1618" s="50"/>
      <c r="F1618" s="50"/>
      <c r="G1618" s="51"/>
      <c r="H1618" s="20"/>
      <c r="I1618" s="9">
        <v>3</v>
      </c>
      <c r="J1618" s="9"/>
      <c r="K1618" s="9"/>
      <c r="L1618" s="9"/>
      <c r="M1618" s="9">
        <f>I1618*O1618</f>
        <v>21.6</v>
      </c>
      <c r="N1618" s="9">
        <f>I1618*P1618</f>
        <v>9</v>
      </c>
      <c r="O1618" s="9">
        <v>7.2</v>
      </c>
      <c r="P1618" s="9">
        <v>3</v>
      </c>
      <c r="Q1618" s="9" t="s">
        <v>6</v>
      </c>
      <c r="R1618" s="1">
        <v>0</v>
      </c>
      <c r="S1618" s="26"/>
    </row>
    <row r="1619" spans="1:19" ht="16.5" customHeight="1" x14ac:dyDescent="0.25">
      <c r="A1619" s="9"/>
      <c r="B1619" s="49" t="s">
        <v>83</v>
      </c>
      <c r="C1619" s="50"/>
      <c r="D1619" s="50"/>
      <c r="E1619" s="50"/>
      <c r="F1619" s="50"/>
      <c r="G1619" s="51"/>
      <c r="H1619" s="20"/>
      <c r="I1619" s="9">
        <v>1</v>
      </c>
      <c r="J1619" s="9"/>
      <c r="K1619" s="9"/>
      <c r="L1619" s="9"/>
      <c r="M1619" s="9">
        <f>I1619*O1619</f>
        <v>8.1999999999999993</v>
      </c>
      <c r="N1619" s="9">
        <f>I1619*P1619</f>
        <v>3.5</v>
      </c>
      <c r="O1619" s="9">
        <v>8.1999999999999993</v>
      </c>
      <c r="P1619" s="9">
        <v>3.5</v>
      </c>
      <c r="Q1619" s="9" t="s">
        <v>9</v>
      </c>
      <c r="R1619" s="1">
        <v>0</v>
      </c>
      <c r="S1619" s="26"/>
    </row>
    <row r="1620" spans="1:19" ht="16.5" customHeight="1" x14ac:dyDescent="0.25">
      <c r="A1620" s="9"/>
      <c r="B1620" s="49" t="s">
        <v>75</v>
      </c>
      <c r="C1620" s="50"/>
      <c r="D1620" s="50"/>
      <c r="E1620" s="50"/>
      <c r="F1620" s="50"/>
      <c r="G1620" s="51"/>
      <c r="H1620" s="20"/>
      <c r="I1620" s="9">
        <v>3</v>
      </c>
      <c r="J1620" s="9"/>
      <c r="K1620" s="9"/>
      <c r="L1620" s="9"/>
      <c r="M1620" s="9">
        <f>I1620*O1620</f>
        <v>22.200000000000003</v>
      </c>
      <c r="N1620" s="9">
        <f>I1620*P1620</f>
        <v>9</v>
      </c>
      <c r="O1620" s="9">
        <v>7.4</v>
      </c>
      <c r="P1620" s="9">
        <v>3</v>
      </c>
      <c r="Q1620" s="9" t="s">
        <v>6</v>
      </c>
      <c r="R1620" s="1">
        <v>0</v>
      </c>
      <c r="S1620" s="26"/>
    </row>
    <row r="1621" spans="1:19" ht="16.5" customHeight="1" x14ac:dyDescent="0.25">
      <c r="A1621" s="9"/>
      <c r="B1621" s="49" t="s">
        <v>93</v>
      </c>
      <c r="C1621" s="50"/>
      <c r="D1621" s="50"/>
      <c r="E1621" s="50"/>
      <c r="F1621" s="50"/>
      <c r="G1621" s="51"/>
      <c r="H1621" s="20"/>
      <c r="I1621" s="9">
        <v>2</v>
      </c>
      <c r="J1621" s="9"/>
      <c r="K1621" s="9"/>
      <c r="L1621" s="9"/>
      <c r="M1621" s="9">
        <f>I1621*O1621</f>
        <v>15.8</v>
      </c>
      <c r="N1621" s="9">
        <f>I1621*P1621</f>
        <v>6</v>
      </c>
      <c r="O1621" s="9">
        <v>7.9</v>
      </c>
      <c r="P1621" s="9">
        <v>3</v>
      </c>
      <c r="Q1621" s="9" t="s">
        <v>6</v>
      </c>
      <c r="R1621" s="1">
        <v>0</v>
      </c>
      <c r="S1621" s="26"/>
    </row>
    <row r="1622" spans="1:19" ht="16.5" customHeight="1" x14ac:dyDescent="0.25">
      <c r="A1622" s="9"/>
      <c r="B1622" s="49" t="s">
        <v>90</v>
      </c>
      <c r="C1622" s="50"/>
      <c r="D1622" s="50"/>
      <c r="E1622" s="50"/>
      <c r="F1622" s="50"/>
      <c r="G1622" s="51"/>
      <c r="H1622" s="20"/>
      <c r="I1622" s="9">
        <v>2</v>
      </c>
      <c r="J1622" s="9"/>
      <c r="K1622" s="9"/>
      <c r="L1622" s="9"/>
      <c r="M1622" s="9">
        <f>I1622*O1622</f>
        <v>13.4</v>
      </c>
      <c r="N1622" s="9">
        <f>I1622*P1622</f>
        <v>5</v>
      </c>
      <c r="O1622" s="9">
        <v>6.7</v>
      </c>
      <c r="P1622" s="9">
        <v>2.5</v>
      </c>
      <c r="Q1622" s="9" t="s">
        <v>5</v>
      </c>
      <c r="R1622" s="1">
        <v>0</v>
      </c>
      <c r="S1622" s="26"/>
    </row>
    <row r="1623" spans="1:19" ht="15" customHeight="1" x14ac:dyDescent="0.25">
      <c r="A1623" s="35" t="s">
        <v>0</v>
      </c>
      <c r="B1623" s="29" t="s">
        <v>1</v>
      </c>
      <c r="C1623" s="30"/>
      <c r="D1623" s="30"/>
      <c r="E1623" s="30"/>
      <c r="F1623" s="30"/>
      <c r="G1623" s="31"/>
      <c r="H1623" s="35" t="s">
        <v>32</v>
      </c>
      <c r="I1623" s="35" t="s">
        <v>39</v>
      </c>
      <c r="J1623" s="53" t="s">
        <v>2</v>
      </c>
      <c r="K1623" s="54"/>
      <c r="L1623" s="54"/>
      <c r="M1623" s="54"/>
      <c r="N1623" s="54"/>
      <c r="O1623" s="54"/>
      <c r="P1623" s="54"/>
      <c r="Q1623" s="55"/>
      <c r="S1623" s="35" t="s">
        <v>38</v>
      </c>
    </row>
    <row r="1624" spans="1:19" ht="24" customHeight="1" x14ac:dyDescent="0.25">
      <c r="A1624" s="36"/>
      <c r="B1624" s="32"/>
      <c r="C1624" s="33"/>
      <c r="D1624" s="33"/>
      <c r="E1624" s="33"/>
      <c r="F1624" s="33"/>
      <c r="G1624" s="34"/>
      <c r="H1624" s="36"/>
      <c r="I1624" s="36"/>
      <c r="J1624" s="7" t="s">
        <v>28</v>
      </c>
      <c r="K1624" s="7" t="s">
        <v>29</v>
      </c>
      <c r="L1624" s="7" t="s">
        <v>30</v>
      </c>
      <c r="M1624" s="7"/>
      <c r="N1624" s="7"/>
      <c r="O1624" s="6" t="s">
        <v>35</v>
      </c>
      <c r="P1624" s="6" t="s">
        <v>36</v>
      </c>
      <c r="Q1624" s="6" t="s">
        <v>37</v>
      </c>
      <c r="S1624" s="36"/>
    </row>
    <row r="1625" spans="1:19" ht="16.5" customHeight="1" x14ac:dyDescent="0.25">
      <c r="A1625" s="9"/>
      <c r="B1625" s="49" t="s">
        <v>95</v>
      </c>
      <c r="C1625" s="50"/>
      <c r="D1625" s="50"/>
      <c r="E1625" s="50"/>
      <c r="F1625" s="50"/>
      <c r="G1625" s="51"/>
      <c r="H1625" s="20"/>
      <c r="I1625" s="9">
        <v>1</v>
      </c>
      <c r="J1625" s="9"/>
      <c r="K1625" s="9"/>
      <c r="L1625" s="9"/>
      <c r="M1625" s="9">
        <f t="shared" ref="M1625:M1631" si="202">I1625*O1625</f>
        <v>7.5</v>
      </c>
      <c r="N1625" s="9">
        <f t="shared" ref="N1625:N1631" si="203">I1625*P1625</f>
        <v>3</v>
      </c>
      <c r="O1625" s="9">
        <v>7.5</v>
      </c>
      <c r="P1625" s="9">
        <v>3</v>
      </c>
      <c r="Q1625" s="9" t="s">
        <v>6</v>
      </c>
      <c r="R1625" s="1">
        <v>0</v>
      </c>
      <c r="S1625" s="26"/>
    </row>
    <row r="1626" spans="1:19" ht="16.5" customHeight="1" x14ac:dyDescent="0.25">
      <c r="A1626" s="9"/>
      <c r="B1626" s="49" t="s">
        <v>88</v>
      </c>
      <c r="C1626" s="50"/>
      <c r="D1626" s="50"/>
      <c r="E1626" s="50"/>
      <c r="F1626" s="50"/>
      <c r="G1626" s="51"/>
      <c r="H1626" s="20"/>
      <c r="I1626" s="9">
        <v>2</v>
      </c>
      <c r="J1626" s="9"/>
      <c r="K1626" s="9"/>
      <c r="L1626" s="9"/>
      <c r="M1626" s="9">
        <f t="shared" si="202"/>
        <v>14.4</v>
      </c>
      <c r="N1626" s="9">
        <f t="shared" si="203"/>
        <v>6</v>
      </c>
      <c r="O1626" s="9">
        <v>7.2</v>
      </c>
      <c r="P1626" s="9">
        <v>3</v>
      </c>
      <c r="Q1626" s="9" t="s">
        <v>6</v>
      </c>
      <c r="R1626" s="1">
        <v>0</v>
      </c>
      <c r="S1626" s="26"/>
    </row>
    <row r="1627" spans="1:19" ht="16.5" customHeight="1" x14ac:dyDescent="0.25">
      <c r="A1627" s="9"/>
      <c r="B1627" s="49" t="s">
        <v>89</v>
      </c>
      <c r="C1627" s="50"/>
      <c r="D1627" s="50"/>
      <c r="E1627" s="50"/>
      <c r="F1627" s="50"/>
      <c r="G1627" s="51"/>
      <c r="H1627" s="20"/>
      <c r="I1627" s="9">
        <v>2</v>
      </c>
      <c r="J1627" s="9"/>
      <c r="K1627" s="9"/>
      <c r="L1627" s="9"/>
      <c r="M1627" s="9">
        <f t="shared" si="202"/>
        <v>15.2</v>
      </c>
      <c r="N1627" s="9">
        <f t="shared" si="203"/>
        <v>6</v>
      </c>
      <c r="O1627" s="9">
        <v>7.6</v>
      </c>
      <c r="P1627" s="9">
        <v>3</v>
      </c>
      <c r="Q1627" s="9" t="s">
        <v>6</v>
      </c>
      <c r="R1627" s="1">
        <v>0</v>
      </c>
      <c r="S1627" s="26"/>
    </row>
    <row r="1628" spans="1:19" ht="16.5" customHeight="1" x14ac:dyDescent="0.25">
      <c r="A1628" s="9"/>
      <c r="B1628" s="49" t="s">
        <v>92</v>
      </c>
      <c r="C1628" s="50"/>
      <c r="D1628" s="50"/>
      <c r="E1628" s="50"/>
      <c r="F1628" s="50"/>
      <c r="G1628" s="51"/>
      <c r="H1628" s="20"/>
      <c r="I1628" s="9">
        <v>4</v>
      </c>
      <c r="J1628" s="9"/>
      <c r="K1628" s="9"/>
      <c r="L1628" s="9"/>
      <c r="M1628" s="9">
        <f t="shared" si="202"/>
        <v>29.2</v>
      </c>
      <c r="N1628" s="9">
        <f t="shared" si="203"/>
        <v>12</v>
      </c>
      <c r="O1628" s="9">
        <v>7.3</v>
      </c>
      <c r="P1628" s="9">
        <v>3</v>
      </c>
      <c r="Q1628" s="9" t="s">
        <v>6</v>
      </c>
      <c r="R1628" s="1">
        <v>0</v>
      </c>
      <c r="S1628" s="26"/>
    </row>
    <row r="1629" spans="1:19" ht="16.5" customHeight="1" x14ac:dyDescent="0.25">
      <c r="A1629" s="9"/>
      <c r="B1629" s="49" t="s">
        <v>84</v>
      </c>
      <c r="C1629" s="50"/>
      <c r="D1629" s="50"/>
      <c r="E1629" s="50"/>
      <c r="F1629" s="50"/>
      <c r="G1629" s="51"/>
      <c r="H1629" s="20"/>
      <c r="I1629" s="9">
        <v>3</v>
      </c>
      <c r="J1629" s="9"/>
      <c r="K1629" s="9"/>
      <c r="L1629" s="9"/>
      <c r="M1629" s="9">
        <f t="shared" si="202"/>
        <v>20.100000000000001</v>
      </c>
      <c r="N1629" s="9">
        <f t="shared" si="203"/>
        <v>7.5</v>
      </c>
      <c r="O1629" s="9">
        <v>6.7</v>
      </c>
      <c r="P1629" s="9">
        <v>2.5</v>
      </c>
      <c r="Q1629" s="9" t="s">
        <v>5</v>
      </c>
      <c r="R1629" s="1">
        <v>0</v>
      </c>
      <c r="S1629" s="26"/>
    </row>
    <row r="1630" spans="1:19" ht="16.5" hidden="1" customHeight="1" x14ac:dyDescent="0.25">
      <c r="A1630" s="21"/>
      <c r="H1630" s="21"/>
      <c r="I1630" s="21"/>
      <c r="J1630" s="21"/>
      <c r="K1630" s="21"/>
      <c r="L1630" s="21"/>
      <c r="M1630" s="9">
        <f t="shared" si="202"/>
        <v>0</v>
      </c>
      <c r="N1630" s="9">
        <f t="shared" si="203"/>
        <v>0</v>
      </c>
      <c r="O1630" s="21"/>
      <c r="P1630" s="21"/>
      <c r="Q1630" s="21"/>
      <c r="S1630" s="25"/>
    </row>
    <row r="1631" spans="1:19" ht="16.5" customHeight="1" x14ac:dyDescent="0.25">
      <c r="A1631" s="9"/>
      <c r="B1631" s="38" t="s">
        <v>42</v>
      </c>
      <c r="C1631" s="39"/>
      <c r="D1631" s="39"/>
      <c r="E1631" s="39"/>
      <c r="F1631" s="39"/>
      <c r="G1631" s="40"/>
      <c r="H1631" s="23"/>
      <c r="I1631" s="24">
        <f>SUM(I1618:I1630)</f>
        <v>23</v>
      </c>
      <c r="J1631" s="9"/>
      <c r="K1631" s="9"/>
      <c r="L1631" s="9"/>
      <c r="M1631" s="9">
        <f t="shared" si="202"/>
        <v>167.67</v>
      </c>
      <c r="N1631" s="9">
        <f t="shared" si="203"/>
        <v>66.930000000000007</v>
      </c>
      <c r="O1631" s="24">
        <f>ROUND(SUM(M1618:M1630)/I1631,2)</f>
        <v>7.29</v>
      </c>
      <c r="P1631" s="24">
        <f>ROUND(SUM(N1618:N1630)/I1631,2)</f>
        <v>2.91</v>
      </c>
      <c r="Q1631" s="9"/>
      <c r="S1631" s="25"/>
    </row>
    <row r="1632" spans="1:19" ht="20.25" customHeight="1" x14ac:dyDescent="0.25">
      <c r="A1632" s="27" t="s">
        <v>96</v>
      </c>
      <c r="B1632" s="28"/>
      <c r="C1632" s="28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</row>
    <row r="1633" spans="1:19" ht="16.5" customHeight="1" x14ac:dyDescent="0.25">
      <c r="A1633" s="9"/>
      <c r="B1633" s="49" t="s">
        <v>97</v>
      </c>
      <c r="C1633" s="50"/>
      <c r="D1633" s="50"/>
      <c r="E1633" s="50"/>
      <c r="F1633" s="50"/>
      <c r="G1633" s="51"/>
      <c r="H1633" s="20"/>
      <c r="I1633" s="9">
        <v>2</v>
      </c>
      <c r="J1633" s="9"/>
      <c r="K1633" s="9"/>
      <c r="L1633" s="9"/>
      <c r="M1633" s="9">
        <f t="shared" ref="M1633:M1645" si="204">I1633*O1633</f>
        <v>14.6</v>
      </c>
      <c r="N1633" s="9">
        <f t="shared" ref="N1633:N1645" si="205">I1633*P1633</f>
        <v>6</v>
      </c>
      <c r="O1633" s="9">
        <v>7.3</v>
      </c>
      <c r="P1633" s="9">
        <v>3</v>
      </c>
      <c r="Q1633" s="9" t="s">
        <v>6</v>
      </c>
      <c r="R1633" s="1">
        <v>0</v>
      </c>
      <c r="S1633" s="26"/>
    </row>
    <row r="1634" spans="1:19" ht="16.5" customHeight="1" x14ac:dyDescent="0.25">
      <c r="A1634" s="9"/>
      <c r="B1634" s="49" t="s">
        <v>99</v>
      </c>
      <c r="C1634" s="50"/>
      <c r="D1634" s="50"/>
      <c r="E1634" s="50"/>
      <c r="F1634" s="50"/>
      <c r="G1634" s="51"/>
      <c r="H1634" s="20"/>
      <c r="I1634" s="9">
        <v>2</v>
      </c>
      <c r="J1634" s="9"/>
      <c r="K1634" s="9"/>
      <c r="L1634" s="9"/>
      <c r="M1634" s="9">
        <f t="shared" si="204"/>
        <v>14.8</v>
      </c>
      <c r="N1634" s="9">
        <f t="shared" si="205"/>
        <v>6</v>
      </c>
      <c r="O1634" s="9">
        <v>7.4</v>
      </c>
      <c r="P1634" s="9">
        <v>3</v>
      </c>
      <c r="Q1634" s="9" t="s">
        <v>6</v>
      </c>
      <c r="R1634" s="1">
        <v>0</v>
      </c>
      <c r="S1634" s="26"/>
    </row>
    <row r="1635" spans="1:19" ht="16.5" customHeight="1" x14ac:dyDescent="0.25">
      <c r="A1635" s="9"/>
      <c r="B1635" s="49" t="s">
        <v>98</v>
      </c>
      <c r="C1635" s="50"/>
      <c r="D1635" s="50"/>
      <c r="E1635" s="50"/>
      <c r="F1635" s="50"/>
      <c r="G1635" s="51"/>
      <c r="H1635" s="20"/>
      <c r="I1635" s="9">
        <v>3</v>
      </c>
      <c r="J1635" s="9"/>
      <c r="K1635" s="9"/>
      <c r="L1635" s="9"/>
      <c r="M1635" s="9">
        <f t="shared" si="204"/>
        <v>19.200000000000003</v>
      </c>
      <c r="N1635" s="9">
        <f t="shared" si="205"/>
        <v>6</v>
      </c>
      <c r="O1635" s="9">
        <v>6.4</v>
      </c>
      <c r="P1635" s="9">
        <v>2</v>
      </c>
      <c r="Q1635" s="9" t="s">
        <v>3</v>
      </c>
      <c r="R1635" s="1">
        <v>0</v>
      </c>
      <c r="S1635" s="26"/>
    </row>
    <row r="1636" spans="1:19" ht="16.5" customHeight="1" x14ac:dyDescent="0.25">
      <c r="A1636" s="9"/>
      <c r="B1636" s="49" t="s">
        <v>79</v>
      </c>
      <c r="C1636" s="50"/>
      <c r="D1636" s="50"/>
      <c r="E1636" s="50"/>
      <c r="F1636" s="50"/>
      <c r="G1636" s="51"/>
      <c r="H1636" s="20"/>
      <c r="I1636" s="9">
        <v>2</v>
      </c>
      <c r="J1636" s="9"/>
      <c r="K1636" s="9"/>
      <c r="L1636" s="9"/>
      <c r="M1636" s="9">
        <f t="shared" si="204"/>
        <v>13.6</v>
      </c>
      <c r="N1636" s="9">
        <f t="shared" si="205"/>
        <v>5</v>
      </c>
      <c r="O1636" s="9">
        <v>6.8</v>
      </c>
      <c r="P1636" s="9">
        <v>2.5</v>
      </c>
      <c r="Q1636" s="9" t="s">
        <v>5</v>
      </c>
      <c r="R1636" s="1">
        <v>0</v>
      </c>
      <c r="S1636" s="26"/>
    </row>
    <row r="1637" spans="1:19" ht="16.5" customHeight="1" x14ac:dyDescent="0.25">
      <c r="A1637" s="9"/>
      <c r="B1637" s="49" t="s">
        <v>69</v>
      </c>
      <c r="C1637" s="50"/>
      <c r="D1637" s="50"/>
      <c r="E1637" s="50"/>
      <c r="F1637" s="50"/>
      <c r="G1637" s="51"/>
      <c r="H1637" s="20"/>
      <c r="I1637" s="9">
        <v>1</v>
      </c>
      <c r="J1637" s="9"/>
      <c r="K1637" s="9"/>
      <c r="L1637" s="9"/>
      <c r="M1637" s="9">
        <f t="shared" si="204"/>
        <v>6.5</v>
      </c>
      <c r="N1637" s="9">
        <f t="shared" si="205"/>
        <v>2.5</v>
      </c>
      <c r="O1637" s="9">
        <v>6.5</v>
      </c>
      <c r="P1637" s="9">
        <v>2.5</v>
      </c>
      <c r="Q1637" s="9" t="s">
        <v>5</v>
      </c>
      <c r="R1637" s="1">
        <v>0</v>
      </c>
      <c r="S1637" s="26"/>
    </row>
    <row r="1638" spans="1:19" ht="16.5" customHeight="1" x14ac:dyDescent="0.25">
      <c r="A1638" s="9"/>
      <c r="B1638" s="49" t="s">
        <v>105</v>
      </c>
      <c r="C1638" s="50"/>
      <c r="D1638" s="50"/>
      <c r="E1638" s="50"/>
      <c r="F1638" s="50"/>
      <c r="G1638" s="51"/>
      <c r="H1638" s="20"/>
      <c r="I1638" s="9">
        <v>4</v>
      </c>
      <c r="J1638" s="9"/>
      <c r="K1638" s="9"/>
      <c r="L1638" s="9"/>
      <c r="M1638" s="9">
        <f t="shared" si="204"/>
        <v>32.799999999999997</v>
      </c>
      <c r="N1638" s="9">
        <f t="shared" si="205"/>
        <v>14</v>
      </c>
      <c r="O1638" s="9">
        <v>8.1999999999999993</v>
      </c>
      <c r="P1638" s="9">
        <v>3.5</v>
      </c>
      <c r="Q1638" s="9" t="s">
        <v>9</v>
      </c>
      <c r="R1638" s="1">
        <v>0</v>
      </c>
      <c r="S1638" s="26"/>
    </row>
    <row r="1639" spans="1:19" ht="16.5" customHeight="1" x14ac:dyDescent="0.25">
      <c r="A1639" s="9"/>
      <c r="B1639" s="49" t="s">
        <v>101</v>
      </c>
      <c r="C1639" s="50"/>
      <c r="D1639" s="50"/>
      <c r="E1639" s="50"/>
      <c r="F1639" s="50"/>
      <c r="G1639" s="51"/>
      <c r="H1639" s="20"/>
      <c r="I1639" s="9">
        <v>1</v>
      </c>
      <c r="J1639" s="9"/>
      <c r="K1639" s="9"/>
      <c r="L1639" s="9"/>
      <c r="M1639" s="9">
        <f t="shared" si="204"/>
        <v>7.8</v>
      </c>
      <c r="N1639" s="9">
        <f t="shared" si="205"/>
        <v>3</v>
      </c>
      <c r="O1639" s="9">
        <v>7.8</v>
      </c>
      <c r="P1639" s="9">
        <v>3</v>
      </c>
      <c r="Q1639" s="9" t="s">
        <v>6</v>
      </c>
      <c r="R1639" s="1">
        <v>0</v>
      </c>
      <c r="S1639" s="26"/>
    </row>
    <row r="1640" spans="1:19" ht="16.5" customHeight="1" x14ac:dyDescent="0.25">
      <c r="A1640" s="9"/>
      <c r="B1640" s="49" t="s">
        <v>100</v>
      </c>
      <c r="C1640" s="50"/>
      <c r="D1640" s="50"/>
      <c r="E1640" s="50"/>
      <c r="F1640" s="50"/>
      <c r="G1640" s="51"/>
      <c r="H1640" s="20"/>
      <c r="I1640" s="9">
        <v>1</v>
      </c>
      <c r="J1640" s="9"/>
      <c r="K1640" s="9"/>
      <c r="L1640" s="9"/>
      <c r="M1640" s="9">
        <f t="shared" si="204"/>
        <v>7.7</v>
      </c>
      <c r="N1640" s="9">
        <f t="shared" si="205"/>
        <v>3</v>
      </c>
      <c r="O1640" s="9">
        <v>7.7</v>
      </c>
      <c r="P1640" s="9">
        <v>3</v>
      </c>
      <c r="Q1640" s="9" t="s">
        <v>6</v>
      </c>
      <c r="R1640" s="1">
        <v>0</v>
      </c>
      <c r="S1640" s="26"/>
    </row>
    <row r="1641" spans="1:19" ht="16.5" customHeight="1" x14ac:dyDescent="0.25">
      <c r="A1641" s="9"/>
      <c r="B1641" s="49" t="s">
        <v>104</v>
      </c>
      <c r="C1641" s="50"/>
      <c r="D1641" s="50"/>
      <c r="E1641" s="50"/>
      <c r="F1641" s="50"/>
      <c r="G1641" s="51"/>
      <c r="H1641" s="20"/>
      <c r="I1641" s="9">
        <v>3</v>
      </c>
      <c r="J1641" s="9"/>
      <c r="K1641" s="9"/>
      <c r="L1641" s="9"/>
      <c r="M1641" s="9">
        <f t="shared" si="204"/>
        <v>21.9</v>
      </c>
      <c r="N1641" s="9">
        <f t="shared" si="205"/>
        <v>9</v>
      </c>
      <c r="O1641" s="9">
        <v>7.3</v>
      </c>
      <c r="P1641" s="9">
        <v>3</v>
      </c>
      <c r="Q1641" s="9" t="s">
        <v>6</v>
      </c>
      <c r="R1641" s="1">
        <v>0</v>
      </c>
      <c r="S1641" s="26"/>
    </row>
    <row r="1642" spans="1:19" ht="16.5" customHeight="1" x14ac:dyDescent="0.25">
      <c r="A1642" s="9"/>
      <c r="B1642" s="49" t="s">
        <v>103</v>
      </c>
      <c r="C1642" s="50"/>
      <c r="D1642" s="50"/>
      <c r="E1642" s="50"/>
      <c r="F1642" s="50"/>
      <c r="G1642" s="51"/>
      <c r="H1642" s="20"/>
      <c r="I1642" s="9">
        <v>2</v>
      </c>
      <c r="J1642" s="9"/>
      <c r="K1642" s="9"/>
      <c r="L1642" s="9"/>
      <c r="M1642" s="9">
        <f t="shared" si="204"/>
        <v>14.8</v>
      </c>
      <c r="N1642" s="9">
        <f t="shared" si="205"/>
        <v>6</v>
      </c>
      <c r="O1642" s="9">
        <v>7.4</v>
      </c>
      <c r="P1642" s="9">
        <v>3</v>
      </c>
      <c r="Q1642" s="9" t="s">
        <v>6</v>
      </c>
      <c r="R1642" s="1">
        <v>0</v>
      </c>
      <c r="S1642" s="26"/>
    </row>
    <row r="1643" spans="1:19" ht="16.5" customHeight="1" x14ac:dyDescent="0.25">
      <c r="A1643" s="9"/>
      <c r="B1643" s="49" t="s">
        <v>102</v>
      </c>
      <c r="C1643" s="50"/>
      <c r="D1643" s="50"/>
      <c r="E1643" s="50"/>
      <c r="F1643" s="50"/>
      <c r="G1643" s="51"/>
      <c r="H1643" s="20"/>
      <c r="I1643" s="9">
        <v>2</v>
      </c>
      <c r="J1643" s="9"/>
      <c r="K1643" s="9"/>
      <c r="L1643" s="9"/>
      <c r="M1643" s="9">
        <f t="shared" si="204"/>
        <v>14.2</v>
      </c>
      <c r="N1643" s="9">
        <f t="shared" si="205"/>
        <v>6</v>
      </c>
      <c r="O1643" s="9">
        <v>7.1</v>
      </c>
      <c r="P1643" s="9">
        <v>3</v>
      </c>
      <c r="Q1643" s="9" t="s">
        <v>6</v>
      </c>
      <c r="R1643" s="1">
        <v>0</v>
      </c>
      <c r="S1643" s="26"/>
    </row>
    <row r="1644" spans="1:19" ht="16.5" hidden="1" customHeight="1" x14ac:dyDescent="0.25">
      <c r="A1644" s="21"/>
      <c r="H1644" s="21"/>
      <c r="I1644" s="21"/>
      <c r="J1644" s="21"/>
      <c r="K1644" s="21"/>
      <c r="L1644" s="21"/>
      <c r="M1644" s="9">
        <f t="shared" si="204"/>
        <v>0</v>
      </c>
      <c r="N1644" s="9">
        <f t="shared" si="205"/>
        <v>0</v>
      </c>
      <c r="O1644" s="21"/>
      <c r="P1644" s="21"/>
      <c r="Q1644" s="21"/>
      <c r="S1644" s="25"/>
    </row>
    <row r="1645" spans="1:19" ht="16.5" customHeight="1" x14ac:dyDescent="0.25">
      <c r="A1645" s="9"/>
      <c r="B1645" s="38" t="s">
        <v>42</v>
      </c>
      <c r="C1645" s="39"/>
      <c r="D1645" s="39"/>
      <c r="E1645" s="39"/>
      <c r="F1645" s="39"/>
      <c r="G1645" s="40"/>
      <c r="H1645" s="23"/>
      <c r="I1645" s="24">
        <f>SUM(I1633:I1644)</f>
        <v>23</v>
      </c>
      <c r="J1645" s="9"/>
      <c r="K1645" s="9"/>
      <c r="L1645" s="9"/>
      <c r="M1645" s="9">
        <f t="shared" si="204"/>
        <v>167.9</v>
      </c>
      <c r="N1645" s="9">
        <f t="shared" si="205"/>
        <v>66.47</v>
      </c>
      <c r="O1645" s="24">
        <f>ROUND(SUM(M1633:M1644)/I1645,2)</f>
        <v>7.3</v>
      </c>
      <c r="P1645" s="24">
        <f>ROUND(SUM(N1633:N1644)/I1645,2)</f>
        <v>2.89</v>
      </c>
      <c r="Q1645" s="9"/>
      <c r="S1645" s="25"/>
    </row>
    <row r="1646" spans="1:19" ht="20.25" customHeight="1" x14ac:dyDescent="0.25">
      <c r="A1646" s="27" t="s">
        <v>107</v>
      </c>
      <c r="B1646" s="28"/>
      <c r="C1646" s="28"/>
      <c r="D1646" s="28"/>
      <c r="E1646" s="28"/>
      <c r="F1646" s="28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</row>
    <row r="1647" spans="1:19" ht="16.5" customHeight="1" x14ac:dyDescent="0.25">
      <c r="A1647" s="9"/>
      <c r="B1647" s="49" t="s">
        <v>108</v>
      </c>
      <c r="C1647" s="50"/>
      <c r="D1647" s="50"/>
      <c r="E1647" s="50"/>
      <c r="F1647" s="50"/>
      <c r="G1647" s="51"/>
      <c r="H1647" s="20"/>
      <c r="I1647" s="9">
        <v>1</v>
      </c>
      <c r="J1647" s="9"/>
      <c r="K1647" s="9"/>
      <c r="L1647" s="9"/>
      <c r="M1647" s="9">
        <f t="shared" ref="M1647:M1659" si="206">I1647*O1647</f>
        <v>6.8</v>
      </c>
      <c r="N1647" s="9">
        <f t="shared" ref="N1647:N1659" si="207">I1647*P1647</f>
        <v>2.5</v>
      </c>
      <c r="O1647" s="9">
        <v>6.8</v>
      </c>
      <c r="P1647" s="9">
        <v>2.5</v>
      </c>
      <c r="Q1647" s="9" t="s">
        <v>5</v>
      </c>
      <c r="R1647" s="1">
        <v>0</v>
      </c>
      <c r="S1647" s="26"/>
    </row>
    <row r="1648" spans="1:19" ht="16.5" customHeight="1" x14ac:dyDescent="0.25">
      <c r="A1648" s="9"/>
      <c r="B1648" s="49" t="s">
        <v>109</v>
      </c>
      <c r="C1648" s="50"/>
      <c r="D1648" s="50"/>
      <c r="E1648" s="50"/>
      <c r="F1648" s="50"/>
      <c r="G1648" s="51"/>
      <c r="H1648" s="20"/>
      <c r="I1648" s="9">
        <v>2</v>
      </c>
      <c r="J1648" s="9"/>
      <c r="K1648" s="9"/>
      <c r="L1648" s="9"/>
      <c r="M1648" s="9">
        <f t="shared" si="206"/>
        <v>13.6</v>
      </c>
      <c r="N1648" s="9">
        <f t="shared" si="207"/>
        <v>5</v>
      </c>
      <c r="O1648" s="9">
        <v>6.8</v>
      </c>
      <c r="P1648" s="9">
        <v>2.5</v>
      </c>
      <c r="Q1648" s="9" t="s">
        <v>5</v>
      </c>
      <c r="R1648" s="1">
        <v>0</v>
      </c>
      <c r="S1648" s="26"/>
    </row>
    <row r="1649" spans="1:19" ht="16.5" customHeight="1" x14ac:dyDescent="0.25">
      <c r="A1649" s="9"/>
      <c r="B1649" s="49" t="s">
        <v>110</v>
      </c>
      <c r="C1649" s="50"/>
      <c r="D1649" s="50"/>
      <c r="E1649" s="50"/>
      <c r="F1649" s="50"/>
      <c r="G1649" s="51"/>
      <c r="H1649" s="20"/>
      <c r="I1649" s="9">
        <v>3</v>
      </c>
      <c r="J1649" s="9"/>
      <c r="K1649" s="9"/>
      <c r="L1649" s="9"/>
      <c r="M1649" s="9">
        <f t="shared" si="206"/>
        <v>24.900000000000002</v>
      </c>
      <c r="N1649" s="9">
        <f t="shared" si="207"/>
        <v>10.5</v>
      </c>
      <c r="O1649" s="9">
        <v>8.3000000000000007</v>
      </c>
      <c r="P1649" s="9">
        <v>3.5</v>
      </c>
      <c r="Q1649" s="9" t="s">
        <v>9</v>
      </c>
      <c r="R1649" s="1">
        <v>0</v>
      </c>
      <c r="S1649" s="26"/>
    </row>
    <row r="1650" spans="1:19" ht="16.5" customHeight="1" x14ac:dyDescent="0.25">
      <c r="A1650" s="9"/>
      <c r="B1650" s="49" t="s">
        <v>111</v>
      </c>
      <c r="C1650" s="50"/>
      <c r="D1650" s="50"/>
      <c r="E1650" s="50"/>
      <c r="F1650" s="50"/>
      <c r="G1650" s="51"/>
      <c r="H1650" s="20"/>
      <c r="I1650" s="9">
        <v>3</v>
      </c>
      <c r="J1650" s="9"/>
      <c r="K1650" s="9"/>
      <c r="L1650" s="9"/>
      <c r="M1650" s="9">
        <f t="shared" si="206"/>
        <v>19.200000000000003</v>
      </c>
      <c r="N1650" s="9">
        <f t="shared" si="207"/>
        <v>6</v>
      </c>
      <c r="O1650" s="9">
        <v>6.4</v>
      </c>
      <c r="P1650" s="9">
        <v>2</v>
      </c>
      <c r="Q1650" s="9" t="s">
        <v>3</v>
      </c>
      <c r="R1650" s="1">
        <v>0</v>
      </c>
      <c r="S1650" s="26"/>
    </row>
    <row r="1651" spans="1:19" ht="16.5" customHeight="1" x14ac:dyDescent="0.25">
      <c r="A1651" s="9"/>
      <c r="B1651" s="49" t="s">
        <v>112</v>
      </c>
      <c r="C1651" s="50"/>
      <c r="D1651" s="50"/>
      <c r="E1651" s="50"/>
      <c r="F1651" s="50"/>
      <c r="G1651" s="51"/>
      <c r="H1651" s="20"/>
      <c r="I1651" s="9">
        <v>4</v>
      </c>
      <c r="J1651" s="9"/>
      <c r="K1651" s="9"/>
      <c r="L1651" s="9"/>
      <c r="M1651" s="9">
        <f t="shared" si="206"/>
        <v>29.6</v>
      </c>
      <c r="N1651" s="9">
        <f t="shared" si="207"/>
        <v>12</v>
      </c>
      <c r="O1651" s="9">
        <v>7.4</v>
      </c>
      <c r="P1651" s="9">
        <v>3</v>
      </c>
      <c r="Q1651" s="9" t="s">
        <v>6</v>
      </c>
      <c r="R1651" s="1">
        <v>0</v>
      </c>
      <c r="S1651" s="26"/>
    </row>
    <row r="1652" spans="1:19" ht="16.5" customHeight="1" x14ac:dyDescent="0.25">
      <c r="A1652" s="9"/>
      <c r="B1652" s="49" t="s">
        <v>113</v>
      </c>
      <c r="C1652" s="50"/>
      <c r="D1652" s="50"/>
      <c r="E1652" s="50"/>
      <c r="F1652" s="50"/>
      <c r="G1652" s="51"/>
      <c r="H1652" s="20"/>
      <c r="I1652" s="9">
        <v>4</v>
      </c>
      <c r="J1652" s="9"/>
      <c r="K1652" s="9"/>
      <c r="L1652" s="9"/>
      <c r="M1652" s="9">
        <f t="shared" si="206"/>
        <v>29.6</v>
      </c>
      <c r="N1652" s="9">
        <f t="shared" si="207"/>
        <v>12</v>
      </c>
      <c r="O1652" s="9">
        <v>7.4</v>
      </c>
      <c r="P1652" s="9">
        <v>3</v>
      </c>
      <c r="Q1652" s="9" t="s">
        <v>6</v>
      </c>
      <c r="R1652" s="1">
        <v>0</v>
      </c>
      <c r="S1652" s="26"/>
    </row>
    <row r="1653" spans="1:19" ht="16.5" customHeight="1" x14ac:dyDescent="0.25">
      <c r="A1653" s="9"/>
      <c r="B1653" s="49" t="s">
        <v>114</v>
      </c>
      <c r="C1653" s="50"/>
      <c r="D1653" s="50"/>
      <c r="E1653" s="50"/>
      <c r="F1653" s="50"/>
      <c r="G1653" s="51"/>
      <c r="H1653" s="20"/>
      <c r="I1653" s="9">
        <v>3</v>
      </c>
      <c r="J1653" s="9"/>
      <c r="K1653" s="9"/>
      <c r="L1653" s="9"/>
      <c r="M1653" s="9">
        <f t="shared" si="206"/>
        <v>21</v>
      </c>
      <c r="N1653" s="9">
        <f t="shared" si="207"/>
        <v>9</v>
      </c>
      <c r="O1653" s="9">
        <v>7</v>
      </c>
      <c r="P1653" s="9">
        <v>3</v>
      </c>
      <c r="Q1653" s="9" t="s">
        <v>6</v>
      </c>
      <c r="R1653" s="1">
        <v>0</v>
      </c>
      <c r="S1653" s="26"/>
    </row>
    <row r="1654" spans="1:19" ht="16.5" customHeight="1" x14ac:dyDescent="0.25">
      <c r="A1654" s="9"/>
      <c r="B1654" s="49" t="s">
        <v>115</v>
      </c>
      <c r="C1654" s="50"/>
      <c r="D1654" s="50"/>
      <c r="E1654" s="50"/>
      <c r="F1654" s="50"/>
      <c r="G1654" s="51"/>
      <c r="H1654" s="20"/>
      <c r="I1654" s="9">
        <v>2</v>
      </c>
      <c r="J1654" s="9"/>
      <c r="K1654" s="9"/>
      <c r="L1654" s="9"/>
      <c r="M1654" s="9">
        <f t="shared" si="206"/>
        <v>12</v>
      </c>
      <c r="N1654" s="9">
        <f t="shared" si="207"/>
        <v>4</v>
      </c>
      <c r="O1654" s="9">
        <v>6</v>
      </c>
      <c r="P1654" s="9">
        <v>2</v>
      </c>
      <c r="Q1654" s="9" t="s">
        <v>3</v>
      </c>
      <c r="R1654" s="1">
        <v>0</v>
      </c>
      <c r="S1654" s="26"/>
    </row>
    <row r="1655" spans="1:19" ht="16.5" customHeight="1" x14ac:dyDescent="0.25">
      <c r="A1655" s="9"/>
      <c r="B1655" s="49" t="s">
        <v>116</v>
      </c>
      <c r="C1655" s="50"/>
      <c r="D1655" s="50"/>
      <c r="E1655" s="50"/>
      <c r="F1655" s="50"/>
      <c r="G1655" s="51"/>
      <c r="H1655" s="20"/>
      <c r="I1655" s="9">
        <v>2</v>
      </c>
      <c r="J1655" s="9"/>
      <c r="K1655" s="9"/>
      <c r="L1655" s="9"/>
      <c r="M1655" s="9">
        <f t="shared" si="206"/>
        <v>11.2</v>
      </c>
      <c r="N1655" s="9">
        <f t="shared" si="207"/>
        <v>4</v>
      </c>
      <c r="O1655" s="9">
        <v>5.6</v>
      </c>
      <c r="P1655" s="9">
        <v>2</v>
      </c>
      <c r="Q1655" s="9" t="s">
        <v>3</v>
      </c>
      <c r="R1655" s="1">
        <v>0</v>
      </c>
      <c r="S1655" s="26"/>
    </row>
    <row r="1656" spans="1:19" ht="16.5" customHeight="1" x14ac:dyDescent="0.25">
      <c r="A1656" s="9"/>
      <c r="B1656" s="49" t="s">
        <v>118</v>
      </c>
      <c r="C1656" s="50"/>
      <c r="D1656" s="50"/>
      <c r="E1656" s="50"/>
      <c r="F1656" s="50"/>
      <c r="G1656" s="51"/>
      <c r="H1656" s="20"/>
      <c r="I1656" s="9">
        <v>2</v>
      </c>
      <c r="J1656" s="9"/>
      <c r="K1656" s="9"/>
      <c r="L1656" s="9"/>
      <c r="M1656" s="9">
        <f t="shared" si="206"/>
        <v>15.2</v>
      </c>
      <c r="N1656" s="9">
        <f t="shared" si="207"/>
        <v>6</v>
      </c>
      <c r="O1656" s="9">
        <v>7.6</v>
      </c>
      <c r="P1656" s="9">
        <v>3</v>
      </c>
      <c r="Q1656" s="9" t="s">
        <v>6</v>
      </c>
      <c r="R1656" s="1">
        <v>0</v>
      </c>
      <c r="S1656" s="26"/>
    </row>
    <row r="1657" spans="1:19" ht="16.5" customHeight="1" x14ac:dyDescent="0.25">
      <c r="A1657" s="9"/>
      <c r="B1657" s="49" t="s">
        <v>117</v>
      </c>
      <c r="C1657" s="50"/>
      <c r="D1657" s="50"/>
      <c r="E1657" s="50"/>
      <c r="F1657" s="50"/>
      <c r="G1657" s="51"/>
      <c r="H1657" s="20"/>
      <c r="I1657" s="9">
        <v>3</v>
      </c>
      <c r="J1657" s="9"/>
      <c r="K1657" s="9"/>
      <c r="L1657" s="9"/>
      <c r="M1657" s="9">
        <f t="shared" si="206"/>
        <v>24.599999999999998</v>
      </c>
      <c r="N1657" s="9">
        <f t="shared" si="207"/>
        <v>10.5</v>
      </c>
      <c r="O1657" s="9">
        <v>8.1999999999999993</v>
      </c>
      <c r="P1657" s="9">
        <v>3.5</v>
      </c>
      <c r="Q1657" s="9" t="s">
        <v>9</v>
      </c>
      <c r="R1657" s="1">
        <v>0</v>
      </c>
      <c r="S1657" s="26"/>
    </row>
    <row r="1658" spans="1:19" ht="16.5" hidden="1" customHeight="1" x14ac:dyDescent="0.25">
      <c r="A1658" s="21"/>
      <c r="H1658" s="21"/>
      <c r="I1658" s="21"/>
      <c r="J1658" s="21"/>
      <c r="K1658" s="21"/>
      <c r="L1658" s="21"/>
      <c r="M1658" s="9">
        <f t="shared" si="206"/>
        <v>0</v>
      </c>
      <c r="N1658" s="9">
        <f t="shared" si="207"/>
        <v>0</v>
      </c>
      <c r="O1658" s="21"/>
      <c r="P1658" s="21"/>
      <c r="Q1658" s="21"/>
      <c r="S1658" s="25"/>
    </row>
    <row r="1659" spans="1:19" ht="16.5" customHeight="1" x14ac:dyDescent="0.25">
      <c r="A1659" s="9"/>
      <c r="B1659" s="38" t="s">
        <v>42</v>
      </c>
      <c r="C1659" s="39"/>
      <c r="D1659" s="39"/>
      <c r="E1659" s="39"/>
      <c r="F1659" s="39"/>
      <c r="G1659" s="40"/>
      <c r="H1659" s="23"/>
      <c r="I1659" s="24">
        <f>SUM(I1647:I1658)</f>
        <v>29</v>
      </c>
      <c r="J1659" s="9"/>
      <c r="K1659" s="9"/>
      <c r="L1659" s="9"/>
      <c r="M1659" s="9">
        <f t="shared" si="206"/>
        <v>207.64000000000001</v>
      </c>
      <c r="N1659" s="9">
        <f t="shared" si="207"/>
        <v>81.489999999999995</v>
      </c>
      <c r="O1659" s="24">
        <f>ROUND(SUM(M1647:M1658)/I1659,2)</f>
        <v>7.16</v>
      </c>
      <c r="P1659" s="24">
        <f>ROUND(SUM(N1647:N1658)/I1659,2)</f>
        <v>2.81</v>
      </c>
      <c r="Q1659" s="9"/>
      <c r="S1659" s="25"/>
    </row>
    <row r="1660" spans="1:19" ht="20.25" customHeight="1" x14ac:dyDescent="0.25">
      <c r="A1660" s="27" t="s">
        <v>120</v>
      </c>
      <c r="B1660" s="28"/>
      <c r="C1660" s="28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</row>
    <row r="1661" spans="1:19" ht="16.5" customHeight="1" x14ac:dyDescent="0.25">
      <c r="A1661" s="9"/>
      <c r="B1661" s="49" t="s">
        <v>121</v>
      </c>
      <c r="C1661" s="50"/>
      <c r="D1661" s="50"/>
      <c r="E1661" s="50"/>
      <c r="F1661" s="50"/>
      <c r="G1661" s="51"/>
      <c r="H1661" s="20"/>
      <c r="I1661" s="9">
        <v>3</v>
      </c>
      <c r="J1661" s="9"/>
      <c r="K1661" s="9"/>
      <c r="L1661" s="9"/>
      <c r="M1661" s="9">
        <f t="shared" ref="M1661:M1670" si="208">I1661*O1661</f>
        <v>18</v>
      </c>
      <c r="N1661" s="9">
        <f t="shared" ref="N1661:N1670" si="209">I1661*P1661</f>
        <v>6</v>
      </c>
      <c r="O1661" s="9">
        <v>6</v>
      </c>
      <c r="P1661" s="9">
        <v>2</v>
      </c>
      <c r="Q1661" s="9" t="s">
        <v>3</v>
      </c>
      <c r="R1661" s="1">
        <v>0</v>
      </c>
      <c r="S1661" s="26"/>
    </row>
    <row r="1662" spans="1:19" ht="16.5" customHeight="1" x14ac:dyDescent="0.25">
      <c r="A1662" s="9"/>
      <c r="B1662" s="49" t="s">
        <v>127</v>
      </c>
      <c r="C1662" s="50"/>
      <c r="D1662" s="50"/>
      <c r="E1662" s="50"/>
      <c r="F1662" s="50"/>
      <c r="G1662" s="51"/>
      <c r="H1662" s="20"/>
      <c r="I1662" s="9">
        <v>2</v>
      </c>
      <c r="J1662" s="9"/>
      <c r="K1662" s="9"/>
      <c r="L1662" s="9"/>
      <c r="M1662" s="9">
        <f t="shared" si="208"/>
        <v>10</v>
      </c>
      <c r="N1662" s="9">
        <f t="shared" si="209"/>
        <v>3</v>
      </c>
      <c r="O1662" s="9">
        <v>5</v>
      </c>
      <c r="P1662" s="9">
        <v>1.5</v>
      </c>
      <c r="Q1662" s="9" t="s">
        <v>4</v>
      </c>
      <c r="R1662" s="1">
        <v>0</v>
      </c>
      <c r="S1662" s="26"/>
    </row>
    <row r="1663" spans="1:19" ht="16.5" customHeight="1" x14ac:dyDescent="0.25">
      <c r="A1663" s="9"/>
      <c r="B1663" s="49" t="s">
        <v>123</v>
      </c>
      <c r="C1663" s="50"/>
      <c r="D1663" s="50"/>
      <c r="E1663" s="50"/>
      <c r="F1663" s="50"/>
      <c r="G1663" s="51"/>
      <c r="H1663" s="20"/>
      <c r="I1663" s="9">
        <v>3</v>
      </c>
      <c r="J1663" s="9"/>
      <c r="K1663" s="9"/>
      <c r="L1663" s="9"/>
      <c r="M1663" s="9">
        <f t="shared" si="208"/>
        <v>18.600000000000001</v>
      </c>
      <c r="N1663" s="9">
        <f t="shared" si="209"/>
        <v>6</v>
      </c>
      <c r="O1663" s="9">
        <v>6.2</v>
      </c>
      <c r="P1663" s="9">
        <v>2</v>
      </c>
      <c r="Q1663" s="9" t="s">
        <v>3</v>
      </c>
      <c r="R1663" s="1">
        <v>0</v>
      </c>
      <c r="S1663" s="26"/>
    </row>
    <row r="1664" spans="1:19" ht="16.5" customHeight="1" x14ac:dyDescent="0.25">
      <c r="A1664" s="9"/>
      <c r="B1664" s="49" t="s">
        <v>124</v>
      </c>
      <c r="C1664" s="50"/>
      <c r="D1664" s="50"/>
      <c r="E1664" s="50"/>
      <c r="F1664" s="50"/>
      <c r="G1664" s="51"/>
      <c r="H1664" s="20"/>
      <c r="I1664" s="9">
        <v>3</v>
      </c>
      <c r="J1664" s="9"/>
      <c r="K1664" s="9"/>
      <c r="L1664" s="9"/>
      <c r="M1664" s="9">
        <f t="shared" si="208"/>
        <v>22.5</v>
      </c>
      <c r="N1664" s="9">
        <f t="shared" si="209"/>
        <v>9</v>
      </c>
      <c r="O1664" s="9">
        <v>7.5</v>
      </c>
      <c r="P1664" s="9">
        <v>3</v>
      </c>
      <c r="Q1664" s="9" t="s">
        <v>6</v>
      </c>
      <c r="R1664" s="1">
        <v>0</v>
      </c>
      <c r="S1664" s="26"/>
    </row>
    <row r="1665" spans="1:19" ht="16.5" customHeight="1" x14ac:dyDescent="0.25">
      <c r="A1665" s="9"/>
      <c r="B1665" s="49" t="s">
        <v>125</v>
      </c>
      <c r="C1665" s="50"/>
      <c r="D1665" s="50"/>
      <c r="E1665" s="50"/>
      <c r="F1665" s="50"/>
      <c r="G1665" s="51"/>
      <c r="H1665" s="20"/>
      <c r="I1665" s="9">
        <v>3</v>
      </c>
      <c r="J1665" s="9"/>
      <c r="K1665" s="9"/>
      <c r="L1665" s="9"/>
      <c r="M1665" s="9">
        <f t="shared" si="208"/>
        <v>20.100000000000001</v>
      </c>
      <c r="N1665" s="9">
        <f t="shared" si="209"/>
        <v>7.5</v>
      </c>
      <c r="O1665" s="9">
        <v>6.7</v>
      </c>
      <c r="P1665" s="9">
        <v>2.5</v>
      </c>
      <c r="Q1665" s="9" t="s">
        <v>5</v>
      </c>
      <c r="R1665" s="1">
        <v>0</v>
      </c>
      <c r="S1665" s="26"/>
    </row>
    <row r="1666" spans="1:19" ht="16.5" customHeight="1" x14ac:dyDescent="0.25">
      <c r="A1666" s="9"/>
      <c r="B1666" s="49" t="s">
        <v>126</v>
      </c>
      <c r="C1666" s="50"/>
      <c r="D1666" s="50"/>
      <c r="E1666" s="50"/>
      <c r="F1666" s="50"/>
      <c r="G1666" s="51"/>
      <c r="H1666" s="20"/>
      <c r="I1666" s="9">
        <v>3</v>
      </c>
      <c r="J1666" s="9"/>
      <c r="K1666" s="9"/>
      <c r="L1666" s="9"/>
      <c r="M1666" s="9">
        <f t="shared" si="208"/>
        <v>21.9</v>
      </c>
      <c r="N1666" s="9">
        <f t="shared" si="209"/>
        <v>9</v>
      </c>
      <c r="O1666" s="9">
        <v>7.3</v>
      </c>
      <c r="P1666" s="9">
        <v>3</v>
      </c>
      <c r="Q1666" s="9" t="s">
        <v>6</v>
      </c>
      <c r="R1666" s="1">
        <v>0</v>
      </c>
      <c r="S1666" s="26"/>
    </row>
    <row r="1667" spans="1:19" ht="16.5" customHeight="1" x14ac:dyDescent="0.25">
      <c r="A1667" s="9"/>
      <c r="B1667" s="49" t="s">
        <v>128</v>
      </c>
      <c r="C1667" s="50"/>
      <c r="D1667" s="50"/>
      <c r="E1667" s="50"/>
      <c r="F1667" s="50"/>
      <c r="G1667" s="51"/>
      <c r="H1667" s="20"/>
      <c r="I1667" s="9">
        <v>2</v>
      </c>
      <c r="J1667" s="9"/>
      <c r="K1667" s="9"/>
      <c r="L1667" s="9"/>
      <c r="M1667" s="9">
        <f t="shared" si="208"/>
        <v>15</v>
      </c>
      <c r="N1667" s="9">
        <f t="shared" si="209"/>
        <v>6</v>
      </c>
      <c r="O1667" s="9">
        <v>7.5</v>
      </c>
      <c r="P1667" s="9">
        <v>3</v>
      </c>
      <c r="Q1667" s="9" t="s">
        <v>6</v>
      </c>
      <c r="R1667" s="1">
        <v>0</v>
      </c>
      <c r="S1667" s="26"/>
    </row>
    <row r="1668" spans="1:19" ht="16.5" customHeight="1" x14ac:dyDescent="0.25">
      <c r="A1668" s="9"/>
      <c r="B1668" s="49" t="s">
        <v>122</v>
      </c>
      <c r="C1668" s="50"/>
      <c r="D1668" s="50"/>
      <c r="E1668" s="50"/>
      <c r="F1668" s="50"/>
      <c r="G1668" s="51"/>
      <c r="H1668" s="20"/>
      <c r="I1668" s="9">
        <v>1</v>
      </c>
      <c r="J1668" s="9"/>
      <c r="K1668" s="9"/>
      <c r="L1668" s="9"/>
      <c r="M1668" s="9">
        <f t="shared" si="208"/>
        <v>7.6</v>
      </c>
      <c r="N1668" s="9">
        <f t="shared" si="209"/>
        <v>3</v>
      </c>
      <c r="O1668" s="9">
        <v>7.6</v>
      </c>
      <c r="P1668" s="9">
        <v>3</v>
      </c>
      <c r="Q1668" s="9" t="s">
        <v>6</v>
      </c>
      <c r="R1668" s="1">
        <v>0</v>
      </c>
      <c r="S1668" s="26"/>
    </row>
    <row r="1669" spans="1:19" ht="16.5" hidden="1" customHeight="1" x14ac:dyDescent="0.25">
      <c r="A1669" s="21"/>
      <c r="H1669" s="21"/>
      <c r="I1669" s="21"/>
      <c r="J1669" s="21"/>
      <c r="K1669" s="21"/>
      <c r="L1669" s="21"/>
      <c r="M1669" s="9">
        <f t="shared" si="208"/>
        <v>0</v>
      </c>
      <c r="N1669" s="9">
        <f t="shared" si="209"/>
        <v>0</v>
      </c>
      <c r="O1669" s="21"/>
      <c r="P1669" s="21"/>
      <c r="Q1669" s="21"/>
      <c r="S1669" s="25"/>
    </row>
    <row r="1670" spans="1:19" ht="16.5" customHeight="1" x14ac:dyDescent="0.25">
      <c r="A1670" s="9"/>
      <c r="B1670" s="38" t="s">
        <v>42</v>
      </c>
      <c r="C1670" s="39"/>
      <c r="D1670" s="39"/>
      <c r="E1670" s="39"/>
      <c r="F1670" s="39"/>
      <c r="G1670" s="40"/>
      <c r="H1670" s="23"/>
      <c r="I1670" s="24">
        <f>SUM(I1661:I1669)</f>
        <v>20</v>
      </c>
      <c r="J1670" s="9"/>
      <c r="K1670" s="9"/>
      <c r="L1670" s="9"/>
      <c r="M1670" s="9">
        <f t="shared" si="208"/>
        <v>133.80000000000001</v>
      </c>
      <c r="N1670" s="9">
        <f t="shared" si="209"/>
        <v>49.6</v>
      </c>
      <c r="O1670" s="24">
        <f>ROUND(SUM(M1661:M1669)/I1670,2)</f>
        <v>6.69</v>
      </c>
      <c r="P1670" s="24">
        <f>ROUND(SUM(N1661:N1669)/I1670,2)</f>
        <v>2.48</v>
      </c>
      <c r="Q1670" s="9"/>
      <c r="S1670" s="25"/>
    </row>
    <row r="1671" spans="1:19" ht="16.5" customHeight="1" x14ac:dyDescent="0.25">
      <c r="A1671" s="21"/>
      <c r="B1671" s="22"/>
      <c r="C1671" s="22"/>
      <c r="D1671" s="22"/>
      <c r="E1671" s="22"/>
      <c r="F1671" s="22"/>
      <c r="G1671" s="22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</row>
    <row r="1673" spans="1:19" ht="18" x14ac:dyDescent="0.25">
      <c r="A1673" s="57" t="s">
        <v>132</v>
      </c>
      <c r="B1673" s="57"/>
      <c r="C1673" s="57"/>
      <c r="D1673" s="57"/>
      <c r="E1673" s="57"/>
      <c r="F1673" s="57"/>
      <c r="G1673" s="57"/>
      <c r="H1673" s="57"/>
      <c r="I1673" s="57"/>
      <c r="J1673" s="57"/>
      <c r="K1673" s="57"/>
      <c r="L1673" s="57"/>
      <c r="M1673" s="57"/>
      <c r="N1673" s="57"/>
      <c r="O1673" s="57"/>
      <c r="P1673" s="57"/>
      <c r="Q1673" s="57"/>
      <c r="R1673" s="57"/>
      <c r="S1673" s="57"/>
    </row>
    <row r="1674" spans="1:19" ht="18" x14ac:dyDescent="0.25">
      <c r="A1674" s="57" t="s">
        <v>200</v>
      </c>
      <c r="B1674" s="57"/>
      <c r="C1674" s="57"/>
      <c r="D1674" s="57"/>
      <c r="E1674" s="57"/>
      <c r="F1674" s="57"/>
      <c r="G1674" s="57"/>
      <c r="H1674" s="57"/>
      <c r="I1674" s="57"/>
      <c r="J1674" s="57"/>
      <c r="K1674" s="57"/>
      <c r="L1674" s="57"/>
      <c r="M1674" s="57"/>
      <c r="N1674" s="57"/>
      <c r="O1674" s="57"/>
      <c r="P1674" s="57"/>
      <c r="Q1674" s="57"/>
      <c r="R1674" s="57"/>
      <c r="S1674" s="57"/>
    </row>
    <row r="1675" spans="1:19" ht="18" x14ac:dyDescent="0.25">
      <c r="A1675" s="57" t="s">
        <v>201</v>
      </c>
      <c r="B1675" s="57"/>
      <c r="C1675" s="57"/>
      <c r="D1675" s="57"/>
      <c r="E1675" s="57"/>
      <c r="F1675" s="57"/>
      <c r="G1675" s="57"/>
      <c r="H1675" s="57"/>
      <c r="I1675" s="57"/>
      <c r="J1675" s="57"/>
      <c r="K1675" s="57"/>
      <c r="L1675" s="57"/>
      <c r="M1675" s="57"/>
      <c r="N1675" s="57"/>
      <c r="O1675" s="57"/>
      <c r="P1675" s="57"/>
      <c r="Q1675" s="57"/>
      <c r="R1675" s="57"/>
      <c r="S1675" s="57"/>
    </row>
    <row r="1676" spans="1:19" ht="18" x14ac:dyDescent="0.25">
      <c r="A1676" s="58" t="s">
        <v>135</v>
      </c>
      <c r="B1676" s="58"/>
      <c r="C1676" s="58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58"/>
      <c r="P1676" s="58"/>
      <c r="Q1676" s="58"/>
      <c r="R1676" s="58"/>
      <c r="S1676" s="58"/>
    </row>
    <row r="1677" spans="1:19" ht="19.5" customHeight="1" x14ac:dyDescent="0.25">
      <c r="A1677" s="17"/>
      <c r="B1677" s="17"/>
      <c r="C1677" s="8"/>
      <c r="D1677" s="18"/>
      <c r="E1677" s="10"/>
      <c r="F1677" s="11"/>
      <c r="G1677" s="44" t="s">
        <v>49</v>
      </c>
      <c r="H1677" s="44"/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</row>
    <row r="1678" spans="1:19" ht="31.5" customHeight="1" x14ac:dyDescent="0.3">
      <c r="A1678" s="8"/>
      <c r="B1678" s="8"/>
      <c r="C1678" s="8"/>
      <c r="D1678" s="8"/>
      <c r="E1678" s="8"/>
      <c r="F1678" s="8"/>
      <c r="G1678" s="8"/>
      <c r="H1678" s="12"/>
      <c r="I1678" s="41" t="s">
        <v>40</v>
      </c>
      <c r="J1678" s="42"/>
      <c r="K1678" s="42"/>
      <c r="L1678" s="42"/>
      <c r="M1678" s="42"/>
      <c r="N1678" s="42"/>
      <c r="O1678" s="42"/>
      <c r="P1678" s="42"/>
      <c r="Q1678" s="42"/>
      <c r="R1678" s="42"/>
      <c r="S1678" s="42"/>
    </row>
    <row r="1679" spans="1:19" ht="16.8" x14ac:dyDescent="0.3">
      <c r="A1679" s="8"/>
      <c r="B1679" s="8"/>
      <c r="C1679" s="8"/>
      <c r="D1679" s="8"/>
      <c r="E1679" s="8"/>
      <c r="F1679" s="8"/>
      <c r="G1679" s="8"/>
      <c r="H1679" s="12"/>
      <c r="I1679" s="12"/>
      <c r="J1679" s="12"/>
      <c r="K1679" s="12"/>
      <c r="L1679" s="8"/>
      <c r="M1679" s="8"/>
      <c r="N1679" s="8"/>
      <c r="O1679" s="8"/>
      <c r="P1679" s="8"/>
      <c r="Q1679" s="8"/>
    </row>
    <row r="1680" spans="1:19" ht="33" customHeight="1" x14ac:dyDescent="0.3">
      <c r="A1680" s="8"/>
      <c r="B1680" s="8"/>
      <c r="C1680" s="8"/>
      <c r="D1680" s="8"/>
      <c r="E1680" s="8"/>
      <c r="F1680" s="8"/>
      <c r="G1680" s="8"/>
      <c r="H1680" s="12"/>
      <c r="I1680" s="12"/>
      <c r="J1680" s="12"/>
      <c r="K1680" s="12"/>
      <c r="L1680" s="8"/>
      <c r="M1680" s="8"/>
      <c r="N1680" s="8"/>
      <c r="O1680" s="8"/>
      <c r="P1680" s="8"/>
      <c r="Q1680" s="8"/>
    </row>
    <row r="1681" spans="1:20" ht="11.25" customHeight="1" x14ac:dyDescent="0.3">
      <c r="A1681" s="8"/>
      <c r="B1681" s="8"/>
      <c r="C1681" s="8"/>
      <c r="D1681" s="8"/>
      <c r="E1681" s="8"/>
      <c r="F1681" s="8"/>
      <c r="G1681" s="8"/>
      <c r="H1681" s="12"/>
      <c r="I1681" s="12"/>
      <c r="J1681" s="12"/>
      <c r="K1681" s="12"/>
      <c r="L1681" s="8"/>
      <c r="M1681" s="8"/>
      <c r="N1681" s="8"/>
      <c r="O1681" s="8"/>
      <c r="P1681" s="8"/>
      <c r="Q1681" s="8"/>
    </row>
    <row r="1682" spans="1:20" ht="17.399999999999999" x14ac:dyDescent="0.3">
      <c r="A1682" s="8"/>
      <c r="B1682" s="8"/>
      <c r="C1682" s="8"/>
      <c r="D1682" s="8"/>
      <c r="E1682" s="8"/>
      <c r="F1682" s="8"/>
      <c r="G1682" s="45" t="s">
        <v>41</v>
      </c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</row>
    <row r="1683" spans="1:20" ht="54" customHeight="1" x14ac:dyDescent="0.25">
      <c r="A1683" s="46" t="s">
        <v>33</v>
      </c>
      <c r="B1683" s="46"/>
      <c r="C1683" s="46"/>
      <c r="D1683" s="46"/>
      <c r="E1683" s="46"/>
      <c r="F1683" s="41" t="s">
        <v>24</v>
      </c>
      <c r="G1683" s="41"/>
      <c r="H1683" s="41"/>
      <c r="I1683" s="41"/>
      <c r="J1683" s="41"/>
      <c r="K1683" s="41"/>
      <c r="L1683" s="41"/>
      <c r="M1683" s="41"/>
      <c r="N1683" s="41"/>
      <c r="O1683" s="41"/>
      <c r="P1683" s="41"/>
      <c r="Q1683" s="41"/>
      <c r="R1683" s="41"/>
      <c r="S1683" s="41"/>
    </row>
    <row r="1684" spans="1:20" ht="17.399999999999999" x14ac:dyDescent="0.25">
      <c r="A1684" s="47" t="s">
        <v>34</v>
      </c>
      <c r="B1684" s="47"/>
      <c r="C1684" s="47"/>
      <c r="D1684" s="47"/>
      <c r="E1684" s="47"/>
      <c r="F1684" s="47"/>
      <c r="G1684" s="47"/>
      <c r="H1684" s="47"/>
      <c r="I1684" s="47"/>
      <c r="J1684" s="47"/>
      <c r="K1684" s="47"/>
      <c r="L1684" s="47"/>
      <c r="M1684" s="47"/>
      <c r="N1684" s="47"/>
      <c r="O1684" s="47"/>
      <c r="P1684" s="47"/>
      <c r="Q1684" s="47"/>
    </row>
    <row r="1685" spans="1:20" ht="4.5" customHeight="1" x14ac:dyDescent="0.25">
      <c r="A1685" s="48"/>
      <c r="B1685" s="48"/>
      <c r="C1685" s="48"/>
      <c r="D1685" s="48"/>
      <c r="E1685" s="48"/>
      <c r="F1685" s="48"/>
      <c r="G1685" s="48"/>
      <c r="H1685" s="48"/>
      <c r="I1685" s="48"/>
      <c r="J1685" s="48"/>
      <c r="K1685" s="48"/>
      <c r="L1685" s="48"/>
      <c r="M1685" s="48"/>
      <c r="N1685" s="48"/>
      <c r="O1685" s="48"/>
      <c r="P1685" s="48"/>
      <c r="Q1685" s="48"/>
    </row>
    <row r="1686" spans="1:20" ht="5.25" customHeight="1" x14ac:dyDescent="0.25">
      <c r="A1686" s="48"/>
      <c r="B1686" s="48"/>
      <c r="C1686" s="48"/>
      <c r="D1686" s="48"/>
      <c r="E1686" s="48"/>
      <c r="F1686" s="48"/>
      <c r="G1686" s="48"/>
      <c r="H1686" s="48"/>
      <c r="I1686" s="48"/>
      <c r="J1686" s="48"/>
      <c r="K1686" s="48"/>
      <c r="L1686" s="48"/>
      <c r="M1686" s="48"/>
      <c r="N1686" s="48"/>
      <c r="O1686" s="48"/>
      <c r="P1686" s="48"/>
      <c r="Q1686" s="48"/>
    </row>
    <row r="1687" spans="1:20" ht="16.5" customHeight="1" x14ac:dyDescent="0.25">
      <c r="A1687" s="52" t="s">
        <v>202</v>
      </c>
      <c r="B1687" s="52"/>
      <c r="C1687" s="52"/>
      <c r="D1687" s="52"/>
      <c r="E1687" s="52"/>
      <c r="F1687" s="52"/>
      <c r="G1687" s="56" t="s">
        <v>203</v>
      </c>
      <c r="H1687" s="56"/>
      <c r="I1687" s="56"/>
      <c r="J1687" s="56"/>
      <c r="K1687" s="56"/>
      <c r="L1687" s="56"/>
      <c r="M1687" s="56"/>
      <c r="N1687" s="56"/>
      <c r="O1687" s="56"/>
      <c r="P1687" s="56"/>
      <c r="Q1687" s="56"/>
      <c r="R1687" s="56"/>
      <c r="S1687" s="56"/>
    </row>
    <row r="1688" spans="1:20" ht="16.5" customHeight="1" x14ac:dyDescent="0.25">
      <c r="A1688" s="52" t="s">
        <v>204</v>
      </c>
      <c r="B1688" s="52"/>
      <c r="C1688" s="52"/>
      <c r="D1688" s="52"/>
      <c r="E1688" s="52"/>
      <c r="F1688" s="52"/>
      <c r="G1688" s="8" t="s">
        <v>46</v>
      </c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T1688" s="2"/>
    </row>
    <row r="1689" spans="1:20" ht="16.5" customHeight="1" x14ac:dyDescent="0.25">
      <c r="A1689" s="52" t="s">
        <v>47</v>
      </c>
      <c r="B1689" s="52"/>
      <c r="C1689" s="52"/>
      <c r="D1689" s="52"/>
      <c r="E1689" s="52"/>
      <c r="F1689" s="52"/>
      <c r="G1689" s="56" t="s">
        <v>48</v>
      </c>
      <c r="H1689" s="56"/>
      <c r="I1689" s="56"/>
      <c r="J1689" s="56"/>
      <c r="K1689" s="56"/>
      <c r="L1689" s="56"/>
      <c r="M1689" s="56"/>
      <c r="N1689" s="56"/>
      <c r="O1689" s="56"/>
      <c r="P1689" s="56"/>
      <c r="Q1689" s="56"/>
      <c r="R1689" s="56"/>
      <c r="S1689" s="56"/>
    </row>
    <row r="1690" spans="1:20" ht="5.25" customHeight="1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19"/>
      <c r="K1690" s="19"/>
      <c r="L1690" s="19"/>
      <c r="M1690" s="19"/>
      <c r="N1690" s="19"/>
      <c r="O1690" s="19"/>
      <c r="P1690" s="19"/>
      <c r="Q1690" s="19"/>
    </row>
    <row r="1691" spans="1:20" ht="15" customHeight="1" x14ac:dyDescent="0.25">
      <c r="A1691" s="35" t="s">
        <v>0</v>
      </c>
      <c r="B1691" s="29" t="s">
        <v>1</v>
      </c>
      <c r="C1691" s="30"/>
      <c r="D1691" s="30"/>
      <c r="E1691" s="30"/>
      <c r="F1691" s="30"/>
      <c r="G1691" s="31"/>
      <c r="H1691" s="35" t="s">
        <v>32</v>
      </c>
      <c r="I1691" s="35" t="s">
        <v>39</v>
      </c>
      <c r="J1691" s="53" t="s">
        <v>2</v>
      </c>
      <c r="K1691" s="54"/>
      <c r="L1691" s="54"/>
      <c r="M1691" s="54"/>
      <c r="N1691" s="54"/>
      <c r="O1691" s="54"/>
      <c r="P1691" s="54"/>
      <c r="Q1691" s="55"/>
      <c r="S1691" s="35" t="s">
        <v>38</v>
      </c>
    </row>
    <row r="1692" spans="1:20" ht="24" customHeight="1" x14ac:dyDescent="0.25">
      <c r="A1692" s="36"/>
      <c r="B1692" s="32"/>
      <c r="C1692" s="33"/>
      <c r="D1692" s="33"/>
      <c r="E1692" s="33"/>
      <c r="F1692" s="33"/>
      <c r="G1692" s="34"/>
      <c r="H1692" s="36"/>
      <c r="I1692" s="36"/>
      <c r="J1692" s="7" t="s">
        <v>28</v>
      </c>
      <c r="K1692" s="7" t="s">
        <v>29</v>
      </c>
      <c r="L1692" s="7" t="s">
        <v>30</v>
      </c>
      <c r="M1692" s="7"/>
      <c r="N1692" s="7"/>
      <c r="O1692" s="6" t="s">
        <v>35</v>
      </c>
      <c r="P1692" s="6" t="s">
        <v>36</v>
      </c>
      <c r="Q1692" s="6" t="s">
        <v>37</v>
      </c>
      <c r="S1692" s="36"/>
    </row>
    <row r="1693" spans="1:20" ht="20.25" customHeight="1" x14ac:dyDescent="0.25">
      <c r="A1693" s="27" t="s">
        <v>50</v>
      </c>
      <c r="B1693" s="28"/>
      <c r="C1693" s="28"/>
      <c r="D1693" s="28"/>
      <c r="E1693" s="28"/>
      <c r="F1693" s="28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</row>
    <row r="1694" spans="1:20" ht="16.5" customHeight="1" x14ac:dyDescent="0.25">
      <c r="A1694" s="9"/>
      <c r="B1694" s="49" t="s">
        <v>56</v>
      </c>
      <c r="C1694" s="50"/>
      <c r="D1694" s="50"/>
      <c r="E1694" s="50"/>
      <c r="F1694" s="50"/>
      <c r="G1694" s="51"/>
      <c r="H1694" s="20"/>
      <c r="I1694" s="9">
        <v>2</v>
      </c>
      <c r="J1694" s="9"/>
      <c r="K1694" s="9"/>
      <c r="L1694" s="9"/>
      <c r="M1694" s="9">
        <f t="shared" ref="M1694:M1702" si="210">I1694*O1694</f>
        <v>15.4</v>
      </c>
      <c r="N1694" s="9">
        <f t="shared" ref="N1694:N1702" si="211">I1694*P1694</f>
        <v>6</v>
      </c>
      <c r="O1694" s="9">
        <v>7.7</v>
      </c>
      <c r="P1694" s="9">
        <v>3</v>
      </c>
      <c r="Q1694" s="9" t="s">
        <v>6</v>
      </c>
      <c r="R1694" s="1">
        <v>0</v>
      </c>
      <c r="S1694" s="26"/>
    </row>
    <row r="1695" spans="1:20" ht="16.5" customHeight="1" x14ac:dyDescent="0.25">
      <c r="A1695" s="9"/>
      <c r="B1695" s="49" t="s">
        <v>78</v>
      </c>
      <c r="C1695" s="50"/>
      <c r="D1695" s="50"/>
      <c r="E1695" s="50"/>
      <c r="F1695" s="50"/>
      <c r="G1695" s="51"/>
      <c r="H1695" s="20"/>
      <c r="I1695" s="9">
        <v>3</v>
      </c>
      <c r="J1695" s="9"/>
      <c r="K1695" s="9"/>
      <c r="L1695" s="9"/>
      <c r="M1695" s="9">
        <f t="shared" si="210"/>
        <v>7.5</v>
      </c>
      <c r="N1695" s="9">
        <f t="shared" si="211"/>
        <v>0</v>
      </c>
      <c r="O1695" s="9">
        <v>2.5</v>
      </c>
      <c r="P1695" s="9">
        <v>0</v>
      </c>
      <c r="Q1695" s="9" t="s">
        <v>7</v>
      </c>
      <c r="R1695" s="1">
        <v>0</v>
      </c>
      <c r="S1695" s="26"/>
    </row>
    <row r="1696" spans="1:20" ht="31.2" customHeight="1" x14ac:dyDescent="0.25">
      <c r="A1696" s="9"/>
      <c r="B1696" s="49" t="s">
        <v>53</v>
      </c>
      <c r="C1696" s="50"/>
      <c r="D1696" s="50"/>
      <c r="E1696" s="50"/>
      <c r="F1696" s="50"/>
      <c r="G1696" s="51"/>
      <c r="H1696" s="20"/>
      <c r="I1696" s="9">
        <v>3</v>
      </c>
      <c r="J1696" s="9"/>
      <c r="K1696" s="9"/>
      <c r="L1696" s="9"/>
      <c r="M1696" s="9">
        <f t="shared" si="210"/>
        <v>23.4</v>
      </c>
      <c r="N1696" s="9">
        <f t="shared" si="211"/>
        <v>9</v>
      </c>
      <c r="O1696" s="9">
        <v>7.8</v>
      </c>
      <c r="P1696" s="9">
        <v>3</v>
      </c>
      <c r="Q1696" s="9" t="s">
        <v>6</v>
      </c>
      <c r="R1696" s="1">
        <v>0</v>
      </c>
      <c r="S1696" s="26"/>
    </row>
    <row r="1697" spans="1:19" ht="16.5" customHeight="1" x14ac:dyDescent="0.25">
      <c r="A1697" s="9"/>
      <c r="B1697" s="49" t="s">
        <v>52</v>
      </c>
      <c r="C1697" s="50"/>
      <c r="D1697" s="50"/>
      <c r="E1697" s="50"/>
      <c r="F1697" s="50"/>
      <c r="G1697" s="51"/>
      <c r="H1697" s="20"/>
      <c r="I1697" s="9">
        <v>1</v>
      </c>
      <c r="J1697" s="9"/>
      <c r="K1697" s="9"/>
      <c r="L1697" s="9"/>
      <c r="M1697" s="9">
        <f t="shared" si="210"/>
        <v>7.9</v>
      </c>
      <c r="N1697" s="9">
        <f t="shared" si="211"/>
        <v>3</v>
      </c>
      <c r="O1697" s="9">
        <v>7.9</v>
      </c>
      <c r="P1697" s="9">
        <v>3</v>
      </c>
      <c r="Q1697" s="9" t="s">
        <v>6</v>
      </c>
      <c r="R1697" s="1">
        <v>0</v>
      </c>
      <c r="S1697" s="26"/>
    </row>
    <row r="1698" spans="1:19" ht="16.5" customHeight="1" x14ac:dyDescent="0.25">
      <c r="A1698" s="9"/>
      <c r="B1698" s="49" t="s">
        <v>55</v>
      </c>
      <c r="C1698" s="50"/>
      <c r="D1698" s="50"/>
      <c r="E1698" s="50"/>
      <c r="F1698" s="50"/>
      <c r="G1698" s="51"/>
      <c r="H1698" s="20"/>
      <c r="I1698" s="9">
        <v>1</v>
      </c>
      <c r="J1698" s="9"/>
      <c r="K1698" s="9"/>
      <c r="L1698" s="9"/>
      <c r="M1698" s="9">
        <f t="shared" si="210"/>
        <v>7.7</v>
      </c>
      <c r="N1698" s="9">
        <f t="shared" si="211"/>
        <v>3</v>
      </c>
      <c r="O1698" s="9">
        <v>7.7</v>
      </c>
      <c r="P1698" s="9">
        <v>3</v>
      </c>
      <c r="Q1698" s="9" t="s">
        <v>6</v>
      </c>
      <c r="R1698" s="1">
        <v>0</v>
      </c>
      <c r="S1698" s="26"/>
    </row>
    <row r="1699" spans="1:19" ht="16.5" customHeight="1" x14ac:dyDescent="0.25">
      <c r="A1699" s="9"/>
      <c r="B1699" s="49" t="s">
        <v>54</v>
      </c>
      <c r="C1699" s="50"/>
      <c r="D1699" s="50"/>
      <c r="E1699" s="50"/>
      <c r="F1699" s="50"/>
      <c r="G1699" s="51"/>
      <c r="H1699" s="20"/>
      <c r="I1699" s="9">
        <v>3</v>
      </c>
      <c r="J1699" s="9"/>
      <c r="K1699" s="9"/>
      <c r="L1699" s="9"/>
      <c r="M1699" s="9">
        <f t="shared" si="210"/>
        <v>24.599999999999998</v>
      </c>
      <c r="N1699" s="9">
        <f t="shared" si="211"/>
        <v>10.5</v>
      </c>
      <c r="O1699" s="9">
        <v>8.1999999999999993</v>
      </c>
      <c r="P1699" s="9">
        <v>3.5</v>
      </c>
      <c r="Q1699" s="9" t="s">
        <v>9</v>
      </c>
      <c r="R1699" s="1">
        <v>0</v>
      </c>
      <c r="S1699" s="26"/>
    </row>
    <row r="1700" spans="1:19" ht="16.5" customHeight="1" x14ac:dyDescent="0.25">
      <c r="A1700" s="9"/>
      <c r="B1700" s="49" t="s">
        <v>51</v>
      </c>
      <c r="C1700" s="50"/>
      <c r="D1700" s="50"/>
      <c r="E1700" s="50"/>
      <c r="F1700" s="50"/>
      <c r="G1700" s="51"/>
      <c r="H1700" s="20"/>
      <c r="I1700" s="9">
        <v>1</v>
      </c>
      <c r="J1700" s="9"/>
      <c r="K1700" s="9"/>
      <c r="L1700" s="9"/>
      <c r="M1700" s="9">
        <f t="shared" si="210"/>
        <v>0</v>
      </c>
      <c r="N1700" s="9">
        <f t="shared" si="211"/>
        <v>0</v>
      </c>
      <c r="O1700" s="9"/>
      <c r="P1700" s="9"/>
      <c r="Q1700" s="9"/>
      <c r="R1700" s="1">
        <v>0</v>
      </c>
      <c r="S1700" s="26"/>
    </row>
    <row r="1701" spans="1:19" ht="16.5" hidden="1" customHeight="1" x14ac:dyDescent="0.25">
      <c r="A1701" s="21"/>
      <c r="H1701" s="21"/>
      <c r="I1701" s="21"/>
      <c r="J1701" s="21"/>
      <c r="K1701" s="21"/>
      <c r="L1701" s="21"/>
      <c r="M1701" s="9">
        <f t="shared" si="210"/>
        <v>0</v>
      </c>
      <c r="N1701" s="9">
        <f t="shared" si="211"/>
        <v>0</v>
      </c>
      <c r="O1701" s="21"/>
      <c r="P1701" s="21"/>
      <c r="Q1701" s="21"/>
      <c r="S1701" s="25"/>
    </row>
    <row r="1702" spans="1:19" ht="16.5" customHeight="1" x14ac:dyDescent="0.25">
      <c r="A1702" s="9"/>
      <c r="B1702" s="38" t="s">
        <v>42</v>
      </c>
      <c r="C1702" s="39"/>
      <c r="D1702" s="39"/>
      <c r="E1702" s="39"/>
      <c r="F1702" s="39"/>
      <c r="G1702" s="40"/>
      <c r="H1702" s="23"/>
      <c r="I1702" s="24">
        <f>SUM(I1694:I1701)</f>
        <v>14</v>
      </c>
      <c r="J1702" s="9"/>
      <c r="K1702" s="9"/>
      <c r="L1702" s="9"/>
      <c r="M1702" s="9">
        <f t="shared" si="210"/>
        <v>86.52</v>
      </c>
      <c r="N1702" s="9">
        <f t="shared" si="211"/>
        <v>31.5</v>
      </c>
      <c r="O1702" s="24">
        <f>ROUND(SUM(M1694:M1701)/I1702,2)</f>
        <v>6.18</v>
      </c>
      <c r="P1702" s="24">
        <f>ROUND(SUM(N1694:N1701)/I1702,2)</f>
        <v>2.25</v>
      </c>
      <c r="Q1702" s="9"/>
      <c r="S1702" s="25"/>
    </row>
    <row r="1703" spans="1:19" ht="20.25" customHeight="1" x14ac:dyDescent="0.25">
      <c r="A1703" s="27" t="s">
        <v>57</v>
      </c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</row>
    <row r="1704" spans="1:19" ht="16.5" customHeight="1" x14ac:dyDescent="0.25">
      <c r="A1704" s="9"/>
      <c r="B1704" s="49" t="s">
        <v>136</v>
      </c>
      <c r="C1704" s="50"/>
      <c r="D1704" s="50"/>
      <c r="E1704" s="50"/>
      <c r="F1704" s="50"/>
      <c r="G1704" s="51"/>
      <c r="H1704" s="20"/>
      <c r="I1704" s="9">
        <v>4</v>
      </c>
      <c r="J1704" s="9"/>
      <c r="K1704" s="9"/>
      <c r="L1704" s="9"/>
      <c r="M1704" s="9">
        <f t="shared" ref="M1704:M1712" si="212">I1704*O1704</f>
        <v>23.6</v>
      </c>
      <c r="N1704" s="9">
        <f t="shared" ref="N1704:N1712" si="213">I1704*P1704</f>
        <v>8</v>
      </c>
      <c r="O1704" s="9">
        <v>5.9</v>
      </c>
      <c r="P1704" s="9">
        <v>2</v>
      </c>
      <c r="Q1704" s="9" t="s">
        <v>3</v>
      </c>
      <c r="R1704" s="1">
        <v>0</v>
      </c>
      <c r="S1704" s="26"/>
    </row>
    <row r="1705" spans="1:19" ht="16.5" customHeight="1" x14ac:dyDescent="0.25">
      <c r="A1705" s="9"/>
      <c r="B1705" s="49" t="s">
        <v>91</v>
      </c>
      <c r="C1705" s="50"/>
      <c r="D1705" s="50"/>
      <c r="E1705" s="50"/>
      <c r="F1705" s="50"/>
      <c r="G1705" s="51"/>
      <c r="H1705" s="20"/>
      <c r="I1705" s="9">
        <v>4</v>
      </c>
      <c r="J1705" s="9"/>
      <c r="K1705" s="9"/>
      <c r="L1705" s="9"/>
      <c r="M1705" s="9">
        <f t="shared" si="212"/>
        <v>10</v>
      </c>
      <c r="N1705" s="9">
        <f t="shared" si="213"/>
        <v>0</v>
      </c>
      <c r="O1705" s="9">
        <v>2.5</v>
      </c>
      <c r="P1705" s="9">
        <v>0</v>
      </c>
      <c r="Q1705" s="9" t="s">
        <v>7</v>
      </c>
      <c r="R1705" s="1">
        <v>0</v>
      </c>
      <c r="S1705" s="26"/>
    </row>
    <row r="1706" spans="1:19" ht="16.5" customHeight="1" x14ac:dyDescent="0.25">
      <c r="A1706" s="9"/>
      <c r="B1706" s="49" t="s">
        <v>60</v>
      </c>
      <c r="C1706" s="50"/>
      <c r="D1706" s="50"/>
      <c r="E1706" s="50"/>
      <c r="F1706" s="50"/>
      <c r="G1706" s="51"/>
      <c r="H1706" s="20"/>
      <c r="I1706" s="9">
        <v>4</v>
      </c>
      <c r="J1706" s="9"/>
      <c r="K1706" s="9"/>
      <c r="L1706" s="9"/>
      <c r="M1706" s="9">
        <f t="shared" si="212"/>
        <v>29.6</v>
      </c>
      <c r="N1706" s="9">
        <f t="shared" si="213"/>
        <v>12</v>
      </c>
      <c r="O1706" s="9">
        <v>7.4</v>
      </c>
      <c r="P1706" s="9">
        <v>3</v>
      </c>
      <c r="Q1706" s="9" t="s">
        <v>6</v>
      </c>
      <c r="R1706" s="1">
        <v>0</v>
      </c>
      <c r="S1706" s="26"/>
    </row>
    <row r="1707" spans="1:19" ht="16.5" customHeight="1" x14ac:dyDescent="0.25">
      <c r="A1707" s="9"/>
      <c r="B1707" s="49" t="s">
        <v>59</v>
      </c>
      <c r="C1707" s="50"/>
      <c r="D1707" s="50"/>
      <c r="E1707" s="50"/>
      <c r="F1707" s="50"/>
      <c r="G1707" s="51"/>
      <c r="H1707" s="20"/>
      <c r="I1707" s="9">
        <v>1</v>
      </c>
      <c r="J1707" s="9"/>
      <c r="K1707" s="9"/>
      <c r="L1707" s="9"/>
      <c r="M1707" s="9">
        <f t="shared" si="212"/>
        <v>8</v>
      </c>
      <c r="N1707" s="9">
        <f t="shared" si="213"/>
        <v>3.5</v>
      </c>
      <c r="O1707" s="9">
        <v>8</v>
      </c>
      <c r="P1707" s="9">
        <v>3.5</v>
      </c>
      <c r="Q1707" s="9" t="s">
        <v>9</v>
      </c>
      <c r="R1707" s="1">
        <v>0</v>
      </c>
      <c r="S1707" s="26"/>
    </row>
    <row r="1708" spans="1:19" ht="16.5" customHeight="1" x14ac:dyDescent="0.25">
      <c r="A1708" s="9"/>
      <c r="B1708" s="49" t="s">
        <v>58</v>
      </c>
      <c r="C1708" s="50"/>
      <c r="D1708" s="50"/>
      <c r="E1708" s="50"/>
      <c r="F1708" s="50"/>
      <c r="G1708" s="51"/>
      <c r="H1708" s="20"/>
      <c r="I1708" s="9">
        <v>1</v>
      </c>
      <c r="J1708" s="9"/>
      <c r="K1708" s="9"/>
      <c r="L1708" s="9"/>
      <c r="M1708" s="9">
        <f t="shared" si="212"/>
        <v>8</v>
      </c>
      <c r="N1708" s="9">
        <f t="shared" si="213"/>
        <v>3.5</v>
      </c>
      <c r="O1708" s="9">
        <v>8</v>
      </c>
      <c r="P1708" s="9">
        <v>3.5</v>
      </c>
      <c r="Q1708" s="9" t="s">
        <v>9</v>
      </c>
      <c r="R1708" s="1">
        <v>0</v>
      </c>
      <c r="S1708" s="26"/>
    </row>
    <row r="1709" spans="1:19" ht="16.5" customHeight="1" x14ac:dyDescent="0.25">
      <c r="A1709" s="9"/>
      <c r="B1709" s="49" t="s">
        <v>62</v>
      </c>
      <c r="C1709" s="50"/>
      <c r="D1709" s="50"/>
      <c r="E1709" s="50"/>
      <c r="F1709" s="50"/>
      <c r="G1709" s="51"/>
      <c r="H1709" s="20"/>
      <c r="I1709" s="9">
        <v>1</v>
      </c>
      <c r="J1709" s="9"/>
      <c r="K1709" s="9"/>
      <c r="L1709" s="9"/>
      <c r="M1709" s="9">
        <f t="shared" si="212"/>
        <v>8.1</v>
      </c>
      <c r="N1709" s="9">
        <f t="shared" si="213"/>
        <v>3.5</v>
      </c>
      <c r="O1709" s="9">
        <v>8.1</v>
      </c>
      <c r="P1709" s="9">
        <v>3.5</v>
      </c>
      <c r="Q1709" s="9" t="s">
        <v>9</v>
      </c>
      <c r="R1709" s="1">
        <v>0</v>
      </c>
      <c r="S1709" s="26"/>
    </row>
    <row r="1710" spans="1:19" ht="16.5" customHeight="1" x14ac:dyDescent="0.25">
      <c r="A1710" s="9"/>
      <c r="B1710" s="49" t="s">
        <v>61</v>
      </c>
      <c r="C1710" s="50"/>
      <c r="D1710" s="50"/>
      <c r="E1710" s="50"/>
      <c r="F1710" s="50"/>
      <c r="G1710" s="51"/>
      <c r="H1710" s="20"/>
      <c r="I1710" s="9">
        <v>1</v>
      </c>
      <c r="J1710" s="9"/>
      <c r="K1710" s="9"/>
      <c r="L1710" s="9"/>
      <c r="M1710" s="9">
        <f t="shared" si="212"/>
        <v>7.9</v>
      </c>
      <c r="N1710" s="9">
        <f t="shared" si="213"/>
        <v>3</v>
      </c>
      <c r="O1710" s="9">
        <v>7.9</v>
      </c>
      <c r="P1710" s="9">
        <v>3</v>
      </c>
      <c r="Q1710" s="9" t="s">
        <v>6</v>
      </c>
      <c r="R1710" s="1">
        <v>0</v>
      </c>
      <c r="S1710" s="26"/>
    </row>
    <row r="1711" spans="1:19" ht="16.5" hidden="1" customHeight="1" x14ac:dyDescent="0.25">
      <c r="A1711" s="21"/>
      <c r="H1711" s="21"/>
      <c r="I1711" s="21"/>
      <c r="J1711" s="21"/>
      <c r="K1711" s="21"/>
      <c r="L1711" s="21"/>
      <c r="M1711" s="9">
        <f t="shared" si="212"/>
        <v>0</v>
      </c>
      <c r="N1711" s="9">
        <f t="shared" si="213"/>
        <v>0</v>
      </c>
      <c r="O1711" s="21"/>
      <c r="P1711" s="21"/>
      <c r="Q1711" s="21"/>
      <c r="S1711" s="25"/>
    </row>
    <row r="1712" spans="1:19" ht="16.5" customHeight="1" x14ac:dyDescent="0.25">
      <c r="A1712" s="9"/>
      <c r="B1712" s="38" t="s">
        <v>42</v>
      </c>
      <c r="C1712" s="39"/>
      <c r="D1712" s="39"/>
      <c r="E1712" s="39"/>
      <c r="F1712" s="39"/>
      <c r="G1712" s="40"/>
      <c r="H1712" s="23"/>
      <c r="I1712" s="24">
        <f>SUM(I1704:I1711)</f>
        <v>16</v>
      </c>
      <c r="J1712" s="9"/>
      <c r="K1712" s="9"/>
      <c r="L1712" s="9"/>
      <c r="M1712" s="9">
        <f t="shared" si="212"/>
        <v>95.2</v>
      </c>
      <c r="N1712" s="9">
        <f t="shared" si="213"/>
        <v>33.44</v>
      </c>
      <c r="O1712" s="24">
        <f>ROUND(SUM(M1704:M1711)/I1712,2)</f>
        <v>5.95</v>
      </c>
      <c r="P1712" s="24">
        <f>ROUND(SUM(N1704:N1711)/I1712,2)</f>
        <v>2.09</v>
      </c>
      <c r="Q1712" s="9"/>
      <c r="S1712" s="25"/>
    </row>
    <row r="1713" spans="1:19" ht="20.25" customHeight="1" x14ac:dyDescent="0.25">
      <c r="A1713" s="27" t="s">
        <v>205</v>
      </c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</row>
    <row r="1714" spans="1:19" ht="16.5" customHeight="1" x14ac:dyDescent="0.25">
      <c r="A1714" s="9"/>
      <c r="B1714" s="49" t="s">
        <v>78</v>
      </c>
      <c r="C1714" s="50"/>
      <c r="D1714" s="50"/>
      <c r="E1714" s="50"/>
      <c r="F1714" s="50"/>
      <c r="G1714" s="51"/>
      <c r="H1714" s="20"/>
      <c r="I1714" s="9">
        <v>3</v>
      </c>
      <c r="J1714" s="9"/>
      <c r="K1714" s="9"/>
      <c r="L1714" s="9"/>
      <c r="M1714" s="9">
        <f>I1714*O1714</f>
        <v>14.100000000000001</v>
      </c>
      <c r="N1714" s="9">
        <f>I1714*P1714</f>
        <v>3</v>
      </c>
      <c r="O1714" s="9">
        <v>4.7</v>
      </c>
      <c r="P1714" s="9">
        <v>1</v>
      </c>
      <c r="Q1714" s="9" t="s">
        <v>8</v>
      </c>
      <c r="R1714" s="1">
        <v>6</v>
      </c>
      <c r="S1714" s="26" t="s">
        <v>64</v>
      </c>
    </row>
    <row r="1715" spans="1:19" ht="16.5" hidden="1" customHeight="1" x14ac:dyDescent="0.25">
      <c r="A1715" s="21"/>
      <c r="H1715" s="21"/>
      <c r="I1715" s="21"/>
      <c r="J1715" s="21"/>
      <c r="K1715" s="21"/>
      <c r="L1715" s="21"/>
      <c r="M1715" s="9">
        <f>I1715*O1715</f>
        <v>0</v>
      </c>
      <c r="N1715" s="9">
        <f>I1715*P1715</f>
        <v>0</v>
      </c>
      <c r="O1715" s="21"/>
      <c r="P1715" s="21"/>
      <c r="Q1715" s="21"/>
      <c r="S1715" s="25"/>
    </row>
    <row r="1716" spans="1:19" ht="16.5" customHeight="1" x14ac:dyDescent="0.25">
      <c r="A1716" s="9"/>
      <c r="B1716" s="38" t="s">
        <v>42</v>
      </c>
      <c r="C1716" s="39"/>
      <c r="D1716" s="39"/>
      <c r="E1716" s="39"/>
      <c r="F1716" s="39"/>
      <c r="G1716" s="40"/>
      <c r="H1716" s="23"/>
      <c r="I1716" s="24">
        <f>SUM(I1714:I1715)</f>
        <v>3</v>
      </c>
      <c r="J1716" s="9"/>
      <c r="K1716" s="9"/>
      <c r="L1716" s="9"/>
      <c r="M1716" s="9">
        <f>I1716*O1716</f>
        <v>14.100000000000001</v>
      </c>
      <c r="N1716" s="9">
        <f>I1716*P1716</f>
        <v>3</v>
      </c>
      <c r="O1716" s="24">
        <f>ROUND(SUM(M1714:M1715)/I1716,2)</f>
        <v>4.7</v>
      </c>
      <c r="P1716" s="24">
        <f>ROUND(SUM(N1714:N1715)/I1716,2)</f>
        <v>1</v>
      </c>
      <c r="Q1716" s="9"/>
      <c r="S1716" s="25"/>
    </row>
    <row r="1717" spans="1:19" ht="20.25" customHeight="1" x14ac:dyDescent="0.25">
      <c r="A1717" s="27" t="s">
        <v>63</v>
      </c>
      <c r="B1717" s="28"/>
      <c r="C1717" s="28"/>
      <c r="D1717" s="28"/>
      <c r="E1717" s="28"/>
      <c r="F1717" s="28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</row>
    <row r="1718" spans="1:19" ht="16.5" customHeight="1" x14ac:dyDescent="0.25">
      <c r="A1718" s="9"/>
      <c r="B1718" s="49" t="s">
        <v>51</v>
      </c>
      <c r="C1718" s="50"/>
      <c r="D1718" s="50"/>
      <c r="E1718" s="50"/>
      <c r="F1718" s="50"/>
      <c r="G1718" s="51"/>
      <c r="H1718" s="20"/>
      <c r="I1718" s="9">
        <v>1</v>
      </c>
      <c r="J1718" s="9"/>
      <c r="K1718" s="9"/>
      <c r="L1718" s="9"/>
      <c r="M1718" s="9">
        <f>I1718*O1718</f>
        <v>6</v>
      </c>
      <c r="N1718" s="9">
        <f>I1718*P1718</f>
        <v>2</v>
      </c>
      <c r="O1718" s="9">
        <v>6</v>
      </c>
      <c r="P1718" s="9">
        <v>2</v>
      </c>
      <c r="Q1718" s="9" t="s">
        <v>3</v>
      </c>
      <c r="R1718" s="1">
        <v>0</v>
      </c>
      <c r="S1718" s="26"/>
    </row>
    <row r="1719" spans="1:19" ht="16.5" hidden="1" customHeight="1" x14ac:dyDescent="0.25">
      <c r="A1719" s="21"/>
      <c r="H1719" s="21"/>
      <c r="I1719" s="21"/>
      <c r="J1719" s="21"/>
      <c r="K1719" s="21"/>
      <c r="L1719" s="21"/>
      <c r="M1719" s="9">
        <f>I1719*O1719</f>
        <v>0</v>
      </c>
      <c r="N1719" s="9">
        <f>I1719*P1719</f>
        <v>0</v>
      </c>
      <c r="O1719" s="21"/>
      <c r="P1719" s="21"/>
      <c r="Q1719" s="21"/>
      <c r="S1719" s="25"/>
    </row>
    <row r="1720" spans="1:19" ht="16.5" customHeight="1" x14ac:dyDescent="0.25">
      <c r="A1720" s="9"/>
      <c r="B1720" s="38" t="s">
        <v>42</v>
      </c>
      <c r="C1720" s="39"/>
      <c r="D1720" s="39"/>
      <c r="E1720" s="39"/>
      <c r="F1720" s="39"/>
      <c r="G1720" s="40"/>
      <c r="H1720" s="23"/>
      <c r="I1720" s="24">
        <f>SUM(I1718:I1719)</f>
        <v>1</v>
      </c>
      <c r="J1720" s="9"/>
      <c r="K1720" s="9"/>
      <c r="L1720" s="9"/>
      <c r="M1720" s="9">
        <f>I1720*O1720</f>
        <v>6</v>
      </c>
      <c r="N1720" s="9">
        <f>I1720*P1720</f>
        <v>2</v>
      </c>
      <c r="O1720" s="24">
        <f>ROUND(SUM(M1718:M1719)/I1720,2)</f>
        <v>6</v>
      </c>
      <c r="P1720" s="24">
        <f>ROUND(SUM(N1718:N1719)/I1720,2)</f>
        <v>2</v>
      </c>
      <c r="Q1720" s="9"/>
      <c r="S1720" s="25"/>
    </row>
    <row r="1721" spans="1:19" ht="20.25" customHeight="1" x14ac:dyDescent="0.25">
      <c r="A1721" s="27" t="s">
        <v>65</v>
      </c>
      <c r="B1721" s="28"/>
      <c r="C1721" s="28"/>
      <c r="D1721" s="28"/>
      <c r="E1721" s="28"/>
      <c r="F1721" s="28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</row>
    <row r="1722" spans="1:19" ht="16.5" customHeight="1" x14ac:dyDescent="0.25">
      <c r="A1722" s="9"/>
      <c r="B1722" s="49" t="s">
        <v>91</v>
      </c>
      <c r="C1722" s="50"/>
      <c r="D1722" s="50"/>
      <c r="E1722" s="50"/>
      <c r="F1722" s="50"/>
      <c r="G1722" s="51"/>
      <c r="H1722" s="20"/>
      <c r="I1722" s="9">
        <v>4</v>
      </c>
      <c r="J1722" s="9"/>
      <c r="K1722" s="9"/>
      <c r="L1722" s="9"/>
      <c r="M1722" s="9">
        <f>I1722*O1722</f>
        <v>21.6</v>
      </c>
      <c r="N1722" s="9">
        <f>I1722*P1722</f>
        <v>6</v>
      </c>
      <c r="O1722" s="9">
        <v>5.4</v>
      </c>
      <c r="P1722" s="9">
        <v>1.5</v>
      </c>
      <c r="Q1722" s="9" t="s">
        <v>4</v>
      </c>
      <c r="S1722" s="26" t="s">
        <v>85</v>
      </c>
    </row>
    <row r="1723" spans="1:19" ht="16.5" hidden="1" customHeight="1" x14ac:dyDescent="0.25">
      <c r="A1723" s="21"/>
      <c r="H1723" s="21"/>
      <c r="I1723" s="21"/>
      <c r="J1723" s="21"/>
      <c r="K1723" s="21"/>
      <c r="L1723" s="21"/>
      <c r="M1723" s="9">
        <f>I1723*O1723</f>
        <v>0</v>
      </c>
      <c r="N1723" s="9">
        <f>I1723*P1723</f>
        <v>0</v>
      </c>
      <c r="O1723" s="21"/>
      <c r="P1723" s="21"/>
      <c r="Q1723" s="21"/>
      <c r="S1723" s="25"/>
    </row>
    <row r="1724" spans="1:19" ht="16.5" customHeight="1" x14ac:dyDescent="0.25">
      <c r="A1724" s="9"/>
      <c r="B1724" s="38" t="s">
        <v>42</v>
      </c>
      <c r="C1724" s="39"/>
      <c r="D1724" s="39"/>
      <c r="E1724" s="39"/>
      <c r="F1724" s="39"/>
      <c r="G1724" s="40"/>
      <c r="H1724" s="23"/>
      <c r="I1724" s="24">
        <f>SUM(I1722:I1723)</f>
        <v>4</v>
      </c>
      <c r="J1724" s="9"/>
      <c r="K1724" s="9"/>
      <c r="L1724" s="9"/>
      <c r="M1724" s="9">
        <f>I1724*O1724</f>
        <v>21.6</v>
      </c>
      <c r="N1724" s="9">
        <f>I1724*P1724</f>
        <v>6</v>
      </c>
      <c r="O1724" s="24">
        <f>ROUND(SUM(M1722:M1723)/I1724,2)</f>
        <v>5.4</v>
      </c>
      <c r="P1724" s="24">
        <f>ROUND(SUM(N1722:N1723)/I1724,2)</f>
        <v>1.5</v>
      </c>
      <c r="Q1724" s="9"/>
      <c r="S1724" s="25"/>
    </row>
    <row r="1725" spans="1:19" ht="20.25" customHeight="1" x14ac:dyDescent="0.25">
      <c r="A1725" s="27" t="s">
        <v>67</v>
      </c>
      <c r="B1725" s="28"/>
      <c r="C1725" s="28"/>
      <c r="D1725" s="28"/>
      <c r="E1725" s="28"/>
      <c r="F1725" s="28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</row>
    <row r="1726" spans="1:19" ht="16.5" customHeight="1" x14ac:dyDescent="0.25">
      <c r="A1726" s="9"/>
      <c r="B1726" s="49" t="s">
        <v>70</v>
      </c>
      <c r="C1726" s="50"/>
      <c r="D1726" s="50"/>
      <c r="E1726" s="50"/>
      <c r="F1726" s="50"/>
      <c r="G1726" s="51"/>
      <c r="H1726" s="20"/>
      <c r="I1726" s="9">
        <v>2</v>
      </c>
      <c r="J1726" s="9"/>
      <c r="K1726" s="9"/>
      <c r="L1726" s="9"/>
      <c r="M1726" s="9">
        <f>I1726*O1726</f>
        <v>14.4</v>
      </c>
      <c r="N1726" s="9">
        <f>I1726*P1726</f>
        <v>6</v>
      </c>
      <c r="O1726" s="9">
        <v>7.2</v>
      </c>
      <c r="P1726" s="9">
        <v>3</v>
      </c>
      <c r="Q1726" s="9" t="s">
        <v>6</v>
      </c>
      <c r="S1726" s="26" t="s">
        <v>85</v>
      </c>
    </row>
    <row r="1727" spans="1:19" ht="16.5" customHeight="1" x14ac:dyDescent="0.25">
      <c r="A1727" s="9"/>
      <c r="B1727" s="49" t="s">
        <v>71</v>
      </c>
      <c r="C1727" s="50"/>
      <c r="D1727" s="50"/>
      <c r="E1727" s="50"/>
      <c r="F1727" s="50"/>
      <c r="G1727" s="51"/>
      <c r="H1727" s="20"/>
      <c r="I1727" s="9">
        <v>1</v>
      </c>
      <c r="J1727" s="9"/>
      <c r="K1727" s="9"/>
      <c r="L1727" s="9"/>
      <c r="M1727" s="9">
        <f>I1727*O1727</f>
        <v>7.2</v>
      </c>
      <c r="N1727" s="9">
        <f>I1727*P1727</f>
        <v>3</v>
      </c>
      <c r="O1727" s="9">
        <v>7.2</v>
      </c>
      <c r="P1727" s="9">
        <v>3</v>
      </c>
      <c r="Q1727" s="9" t="s">
        <v>6</v>
      </c>
      <c r="S1727" s="26" t="s">
        <v>85</v>
      </c>
    </row>
    <row r="1728" spans="1:19" ht="16.5" customHeight="1" x14ac:dyDescent="0.25">
      <c r="A1728" s="9"/>
      <c r="B1728" s="49" t="s">
        <v>68</v>
      </c>
      <c r="C1728" s="50"/>
      <c r="D1728" s="50"/>
      <c r="E1728" s="50"/>
      <c r="F1728" s="50"/>
      <c r="G1728" s="51"/>
      <c r="H1728" s="20"/>
      <c r="I1728" s="9">
        <v>3</v>
      </c>
      <c r="J1728" s="9"/>
      <c r="K1728" s="9"/>
      <c r="L1728" s="9"/>
      <c r="M1728" s="9">
        <f>I1728*O1728</f>
        <v>24</v>
      </c>
      <c r="N1728" s="9">
        <f>I1728*P1728</f>
        <v>10.5</v>
      </c>
      <c r="O1728" s="9">
        <v>8</v>
      </c>
      <c r="P1728" s="9">
        <v>3.5</v>
      </c>
      <c r="Q1728" s="9" t="s">
        <v>9</v>
      </c>
      <c r="S1728" s="26" t="s">
        <v>85</v>
      </c>
    </row>
    <row r="1729" spans="1:19" ht="16.5" customHeight="1" x14ac:dyDescent="0.25">
      <c r="A1729" s="9"/>
      <c r="B1729" s="49" t="s">
        <v>73</v>
      </c>
      <c r="C1729" s="50"/>
      <c r="D1729" s="50"/>
      <c r="E1729" s="50"/>
      <c r="F1729" s="50"/>
      <c r="G1729" s="51"/>
      <c r="H1729" s="20"/>
      <c r="I1729" s="9">
        <v>4</v>
      </c>
      <c r="J1729" s="9"/>
      <c r="K1729" s="9"/>
      <c r="L1729" s="9"/>
      <c r="M1729" s="9">
        <f>I1729*O1729</f>
        <v>20.8</v>
      </c>
      <c r="N1729" s="9">
        <f>I1729*P1729</f>
        <v>6</v>
      </c>
      <c r="O1729" s="9">
        <v>5.2</v>
      </c>
      <c r="P1729" s="9">
        <v>1.5</v>
      </c>
      <c r="Q1729" s="9" t="s">
        <v>4</v>
      </c>
      <c r="S1729" s="26" t="s">
        <v>85</v>
      </c>
    </row>
    <row r="1730" spans="1:19" ht="16.5" customHeight="1" x14ac:dyDescent="0.25">
      <c r="A1730" s="9"/>
      <c r="B1730" s="49" t="s">
        <v>74</v>
      </c>
      <c r="C1730" s="50"/>
      <c r="D1730" s="50"/>
      <c r="E1730" s="50"/>
      <c r="F1730" s="50"/>
      <c r="G1730" s="51"/>
      <c r="H1730" s="20"/>
      <c r="I1730" s="9">
        <v>3</v>
      </c>
      <c r="J1730" s="9"/>
      <c r="K1730" s="9"/>
      <c r="L1730" s="9"/>
      <c r="M1730" s="9">
        <f>I1730*O1730</f>
        <v>19.200000000000003</v>
      </c>
      <c r="N1730" s="9">
        <f>I1730*P1730</f>
        <v>6</v>
      </c>
      <c r="O1730" s="9">
        <v>6.4</v>
      </c>
      <c r="P1730" s="9">
        <v>2</v>
      </c>
      <c r="Q1730" s="9" t="s">
        <v>3</v>
      </c>
      <c r="S1730" s="26" t="s">
        <v>85</v>
      </c>
    </row>
    <row r="1731" spans="1:19" ht="15" customHeight="1" x14ac:dyDescent="0.25">
      <c r="A1731" s="35" t="s">
        <v>0</v>
      </c>
      <c r="B1731" s="29" t="s">
        <v>1</v>
      </c>
      <c r="C1731" s="30"/>
      <c r="D1731" s="30"/>
      <c r="E1731" s="30"/>
      <c r="F1731" s="30"/>
      <c r="G1731" s="31"/>
      <c r="H1731" s="35" t="s">
        <v>32</v>
      </c>
      <c r="I1731" s="35" t="s">
        <v>39</v>
      </c>
      <c r="J1731" s="53" t="s">
        <v>2</v>
      </c>
      <c r="K1731" s="54"/>
      <c r="L1731" s="54"/>
      <c r="M1731" s="54"/>
      <c r="N1731" s="54"/>
      <c r="O1731" s="54"/>
      <c r="P1731" s="54"/>
      <c r="Q1731" s="55"/>
      <c r="S1731" s="35" t="s">
        <v>38</v>
      </c>
    </row>
    <row r="1732" spans="1:19" ht="24" customHeight="1" x14ac:dyDescent="0.25">
      <c r="A1732" s="36"/>
      <c r="B1732" s="32"/>
      <c r="C1732" s="33"/>
      <c r="D1732" s="33"/>
      <c r="E1732" s="33"/>
      <c r="F1732" s="33"/>
      <c r="G1732" s="34"/>
      <c r="H1732" s="36"/>
      <c r="I1732" s="36"/>
      <c r="J1732" s="7" t="s">
        <v>28</v>
      </c>
      <c r="K1732" s="7" t="s">
        <v>29</v>
      </c>
      <c r="L1732" s="7" t="s">
        <v>30</v>
      </c>
      <c r="M1732" s="7"/>
      <c r="N1732" s="7"/>
      <c r="O1732" s="6" t="s">
        <v>35</v>
      </c>
      <c r="P1732" s="6" t="s">
        <v>36</v>
      </c>
      <c r="Q1732" s="6" t="s">
        <v>37</v>
      </c>
      <c r="S1732" s="36"/>
    </row>
    <row r="1733" spans="1:19" ht="16.5" customHeight="1" x14ac:dyDescent="0.25">
      <c r="A1733" s="9"/>
      <c r="B1733" s="49" t="s">
        <v>77</v>
      </c>
      <c r="C1733" s="50"/>
      <c r="D1733" s="50"/>
      <c r="E1733" s="50"/>
      <c r="F1733" s="50"/>
      <c r="G1733" s="51"/>
      <c r="H1733" s="20"/>
      <c r="I1733" s="9">
        <v>1</v>
      </c>
      <c r="J1733" s="9"/>
      <c r="K1733" s="9"/>
      <c r="L1733" s="9"/>
      <c r="M1733" s="9">
        <f t="shared" ref="M1733:M1738" si="214">I1733*O1733</f>
        <v>8.1999999999999993</v>
      </c>
      <c r="N1733" s="9">
        <f t="shared" ref="N1733:N1738" si="215">I1733*P1733</f>
        <v>3.5</v>
      </c>
      <c r="O1733" s="9">
        <v>8.1999999999999993</v>
      </c>
      <c r="P1733" s="9">
        <v>3.5</v>
      </c>
      <c r="Q1733" s="9" t="s">
        <v>9</v>
      </c>
      <c r="S1733" s="26" t="s">
        <v>85</v>
      </c>
    </row>
    <row r="1734" spans="1:19" ht="16.5" customHeight="1" x14ac:dyDescent="0.25">
      <c r="A1734" s="9"/>
      <c r="B1734" s="49" t="s">
        <v>72</v>
      </c>
      <c r="C1734" s="50"/>
      <c r="D1734" s="50"/>
      <c r="E1734" s="50"/>
      <c r="F1734" s="50"/>
      <c r="G1734" s="51"/>
      <c r="H1734" s="20"/>
      <c r="I1734" s="9">
        <v>4</v>
      </c>
      <c r="J1734" s="9"/>
      <c r="K1734" s="9"/>
      <c r="L1734" s="9"/>
      <c r="M1734" s="9">
        <f t="shared" si="214"/>
        <v>23.6</v>
      </c>
      <c r="N1734" s="9">
        <f t="shared" si="215"/>
        <v>8</v>
      </c>
      <c r="O1734" s="9">
        <v>5.9</v>
      </c>
      <c r="P1734" s="9">
        <v>2</v>
      </c>
      <c r="Q1734" s="9" t="s">
        <v>3</v>
      </c>
      <c r="S1734" s="26" t="s">
        <v>85</v>
      </c>
    </row>
    <row r="1735" spans="1:19" ht="16.5" customHeight="1" x14ac:dyDescent="0.25">
      <c r="A1735" s="9"/>
      <c r="B1735" s="49" t="s">
        <v>76</v>
      </c>
      <c r="C1735" s="50"/>
      <c r="D1735" s="50"/>
      <c r="E1735" s="50"/>
      <c r="F1735" s="50"/>
      <c r="G1735" s="51"/>
      <c r="H1735" s="20"/>
      <c r="I1735" s="9">
        <v>4</v>
      </c>
      <c r="J1735" s="9"/>
      <c r="K1735" s="9"/>
      <c r="L1735" s="9"/>
      <c r="M1735" s="9">
        <f t="shared" si="214"/>
        <v>30.8</v>
      </c>
      <c r="N1735" s="9">
        <f t="shared" si="215"/>
        <v>12</v>
      </c>
      <c r="O1735" s="9">
        <v>7.7</v>
      </c>
      <c r="P1735" s="9">
        <v>3</v>
      </c>
      <c r="Q1735" s="9" t="s">
        <v>6</v>
      </c>
      <c r="S1735" s="26" t="s">
        <v>85</v>
      </c>
    </row>
    <row r="1736" spans="1:19" ht="16.5" customHeight="1" x14ac:dyDescent="0.25">
      <c r="A1736" s="9"/>
      <c r="B1736" s="49" t="s">
        <v>80</v>
      </c>
      <c r="C1736" s="50"/>
      <c r="D1736" s="50"/>
      <c r="E1736" s="50"/>
      <c r="F1736" s="50"/>
      <c r="G1736" s="51"/>
      <c r="H1736" s="20"/>
      <c r="I1736" s="9">
        <v>4</v>
      </c>
      <c r="J1736" s="9"/>
      <c r="K1736" s="9"/>
      <c r="L1736" s="9"/>
      <c r="M1736" s="9">
        <f t="shared" si="214"/>
        <v>27.6</v>
      </c>
      <c r="N1736" s="9">
        <f t="shared" si="215"/>
        <v>10</v>
      </c>
      <c r="O1736" s="9">
        <v>6.9</v>
      </c>
      <c r="P1736" s="9">
        <v>2.5</v>
      </c>
      <c r="Q1736" s="9" t="s">
        <v>5</v>
      </c>
      <c r="S1736" s="26" t="s">
        <v>85</v>
      </c>
    </row>
    <row r="1737" spans="1:19" ht="16.5" hidden="1" customHeight="1" x14ac:dyDescent="0.25">
      <c r="A1737" s="21"/>
      <c r="H1737" s="21"/>
      <c r="I1737" s="21"/>
      <c r="J1737" s="21"/>
      <c r="K1737" s="21"/>
      <c r="L1737" s="21"/>
      <c r="M1737" s="9">
        <f t="shared" si="214"/>
        <v>0</v>
      </c>
      <c r="N1737" s="9">
        <f t="shared" si="215"/>
        <v>0</v>
      </c>
      <c r="O1737" s="21"/>
      <c r="P1737" s="21"/>
      <c r="Q1737" s="21"/>
      <c r="S1737" s="25"/>
    </row>
    <row r="1738" spans="1:19" ht="16.5" customHeight="1" x14ac:dyDescent="0.25">
      <c r="A1738" s="9"/>
      <c r="B1738" s="38" t="s">
        <v>42</v>
      </c>
      <c r="C1738" s="39"/>
      <c r="D1738" s="39"/>
      <c r="E1738" s="39"/>
      <c r="F1738" s="39"/>
      <c r="G1738" s="40"/>
      <c r="H1738" s="23"/>
      <c r="I1738" s="24">
        <f>SUM(I1726:I1737)</f>
        <v>26</v>
      </c>
      <c r="J1738" s="9"/>
      <c r="K1738" s="9"/>
      <c r="L1738" s="9"/>
      <c r="M1738" s="9">
        <f t="shared" si="214"/>
        <v>175.76</v>
      </c>
      <c r="N1738" s="9">
        <f t="shared" si="215"/>
        <v>65</v>
      </c>
      <c r="O1738" s="24">
        <f>ROUND(SUM(M1726:M1737)/I1738,2)</f>
        <v>6.76</v>
      </c>
      <c r="P1738" s="24">
        <f>ROUND(SUM(N1726:N1737)/I1738,2)</f>
        <v>2.5</v>
      </c>
      <c r="Q1738" s="9"/>
      <c r="S1738" s="25"/>
    </row>
    <row r="1739" spans="1:19" ht="20.25" customHeight="1" x14ac:dyDescent="0.25">
      <c r="A1739" s="27" t="s">
        <v>82</v>
      </c>
      <c r="B1739" s="28"/>
      <c r="C1739" s="28"/>
      <c r="D1739" s="28"/>
      <c r="E1739" s="28"/>
      <c r="F1739" s="28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</row>
    <row r="1740" spans="1:19" ht="16.5" customHeight="1" x14ac:dyDescent="0.25">
      <c r="A1740" s="9"/>
      <c r="B1740" s="49" t="s">
        <v>86</v>
      </c>
      <c r="C1740" s="50"/>
      <c r="D1740" s="50"/>
      <c r="E1740" s="50"/>
      <c r="F1740" s="50"/>
      <c r="G1740" s="51"/>
      <c r="H1740" s="20"/>
      <c r="I1740" s="9">
        <v>3</v>
      </c>
      <c r="J1740" s="9"/>
      <c r="K1740" s="9"/>
      <c r="L1740" s="9"/>
      <c r="M1740" s="9">
        <f t="shared" ref="M1740:M1751" si="216">I1740*O1740</f>
        <v>20.399999999999999</v>
      </c>
      <c r="N1740" s="9">
        <f t="shared" ref="N1740:N1751" si="217">I1740*P1740</f>
        <v>7.5</v>
      </c>
      <c r="O1740" s="9">
        <v>6.8</v>
      </c>
      <c r="P1740" s="9">
        <v>2.5</v>
      </c>
      <c r="Q1740" s="9" t="s">
        <v>5</v>
      </c>
      <c r="S1740" s="26" t="s">
        <v>85</v>
      </c>
    </row>
    <row r="1741" spans="1:19" ht="16.5" customHeight="1" x14ac:dyDescent="0.25">
      <c r="A1741" s="9"/>
      <c r="B1741" s="49" t="s">
        <v>83</v>
      </c>
      <c r="C1741" s="50"/>
      <c r="D1741" s="50"/>
      <c r="E1741" s="50"/>
      <c r="F1741" s="50"/>
      <c r="G1741" s="51"/>
      <c r="H1741" s="20"/>
      <c r="I1741" s="9">
        <v>1</v>
      </c>
      <c r="J1741" s="9"/>
      <c r="K1741" s="9"/>
      <c r="L1741" s="9"/>
      <c r="M1741" s="9">
        <f t="shared" si="216"/>
        <v>7.3</v>
      </c>
      <c r="N1741" s="9">
        <f t="shared" si="217"/>
        <v>3</v>
      </c>
      <c r="O1741" s="9">
        <v>7.3</v>
      </c>
      <c r="P1741" s="9">
        <v>3</v>
      </c>
      <c r="Q1741" s="9" t="s">
        <v>6</v>
      </c>
      <c r="S1741" s="26" t="s">
        <v>85</v>
      </c>
    </row>
    <row r="1742" spans="1:19" ht="16.5" customHeight="1" x14ac:dyDescent="0.25">
      <c r="A1742" s="9"/>
      <c r="B1742" s="49" t="s">
        <v>75</v>
      </c>
      <c r="C1742" s="50"/>
      <c r="D1742" s="50"/>
      <c r="E1742" s="50"/>
      <c r="F1742" s="50"/>
      <c r="G1742" s="51"/>
      <c r="H1742" s="20"/>
      <c r="I1742" s="9">
        <v>3</v>
      </c>
      <c r="J1742" s="9"/>
      <c r="K1742" s="9"/>
      <c r="L1742" s="9"/>
      <c r="M1742" s="9">
        <f t="shared" si="216"/>
        <v>21.299999999999997</v>
      </c>
      <c r="N1742" s="9">
        <f t="shared" si="217"/>
        <v>9</v>
      </c>
      <c r="O1742" s="9">
        <v>7.1</v>
      </c>
      <c r="P1742" s="9">
        <v>3</v>
      </c>
      <c r="Q1742" s="9" t="s">
        <v>6</v>
      </c>
      <c r="S1742" s="26" t="s">
        <v>85</v>
      </c>
    </row>
    <row r="1743" spans="1:19" ht="16.5" customHeight="1" x14ac:dyDescent="0.25">
      <c r="A1743" s="9"/>
      <c r="B1743" s="49" t="s">
        <v>93</v>
      </c>
      <c r="C1743" s="50"/>
      <c r="D1743" s="50"/>
      <c r="E1743" s="50"/>
      <c r="F1743" s="50"/>
      <c r="G1743" s="51"/>
      <c r="H1743" s="20"/>
      <c r="I1743" s="9">
        <v>2</v>
      </c>
      <c r="J1743" s="9"/>
      <c r="K1743" s="9"/>
      <c r="L1743" s="9"/>
      <c r="M1743" s="9">
        <f t="shared" si="216"/>
        <v>14.8</v>
      </c>
      <c r="N1743" s="9">
        <f t="shared" si="217"/>
        <v>6</v>
      </c>
      <c r="O1743" s="9">
        <v>7.4</v>
      </c>
      <c r="P1743" s="9">
        <v>3</v>
      </c>
      <c r="Q1743" s="9" t="s">
        <v>6</v>
      </c>
      <c r="S1743" s="26" t="s">
        <v>85</v>
      </c>
    </row>
    <row r="1744" spans="1:19" ht="16.5" customHeight="1" x14ac:dyDescent="0.25">
      <c r="A1744" s="9"/>
      <c r="B1744" s="49" t="s">
        <v>90</v>
      </c>
      <c r="C1744" s="50"/>
      <c r="D1744" s="50"/>
      <c r="E1744" s="50"/>
      <c r="F1744" s="50"/>
      <c r="G1744" s="51"/>
      <c r="H1744" s="20"/>
      <c r="I1744" s="9">
        <v>2</v>
      </c>
      <c r="J1744" s="9"/>
      <c r="K1744" s="9"/>
      <c r="L1744" s="9"/>
      <c r="M1744" s="9">
        <f t="shared" si="216"/>
        <v>14</v>
      </c>
      <c r="N1744" s="9">
        <f t="shared" si="217"/>
        <v>6</v>
      </c>
      <c r="O1744" s="9">
        <v>7</v>
      </c>
      <c r="P1744" s="9">
        <v>3</v>
      </c>
      <c r="Q1744" s="9" t="s">
        <v>6</v>
      </c>
      <c r="S1744" s="26" t="s">
        <v>85</v>
      </c>
    </row>
    <row r="1745" spans="1:19" ht="16.5" customHeight="1" x14ac:dyDescent="0.25">
      <c r="A1745" s="9"/>
      <c r="B1745" s="49" t="s">
        <v>95</v>
      </c>
      <c r="C1745" s="50"/>
      <c r="D1745" s="50"/>
      <c r="E1745" s="50"/>
      <c r="F1745" s="50"/>
      <c r="G1745" s="51"/>
      <c r="H1745" s="20"/>
      <c r="I1745" s="9">
        <v>1</v>
      </c>
      <c r="J1745" s="9"/>
      <c r="K1745" s="9"/>
      <c r="L1745" s="9"/>
      <c r="M1745" s="9">
        <f t="shared" si="216"/>
        <v>8</v>
      </c>
      <c r="N1745" s="9">
        <f t="shared" si="217"/>
        <v>3.5</v>
      </c>
      <c r="O1745" s="9">
        <v>8</v>
      </c>
      <c r="P1745" s="9">
        <v>3.5</v>
      </c>
      <c r="Q1745" s="9" t="s">
        <v>9</v>
      </c>
      <c r="S1745" s="26" t="s">
        <v>85</v>
      </c>
    </row>
    <row r="1746" spans="1:19" ht="16.5" customHeight="1" x14ac:dyDescent="0.25">
      <c r="A1746" s="9"/>
      <c r="B1746" s="49" t="s">
        <v>88</v>
      </c>
      <c r="C1746" s="50"/>
      <c r="D1746" s="50"/>
      <c r="E1746" s="50"/>
      <c r="F1746" s="50"/>
      <c r="G1746" s="51"/>
      <c r="H1746" s="20"/>
      <c r="I1746" s="9">
        <v>2</v>
      </c>
      <c r="J1746" s="9"/>
      <c r="K1746" s="9"/>
      <c r="L1746" s="9"/>
      <c r="M1746" s="9">
        <f t="shared" si="216"/>
        <v>13.8</v>
      </c>
      <c r="N1746" s="9">
        <f t="shared" si="217"/>
        <v>5</v>
      </c>
      <c r="O1746" s="9">
        <v>6.9</v>
      </c>
      <c r="P1746" s="9">
        <v>2.5</v>
      </c>
      <c r="Q1746" s="9" t="s">
        <v>5</v>
      </c>
      <c r="S1746" s="26" t="s">
        <v>85</v>
      </c>
    </row>
    <row r="1747" spans="1:19" ht="16.5" customHeight="1" x14ac:dyDescent="0.25">
      <c r="A1747" s="9"/>
      <c r="B1747" s="49" t="s">
        <v>89</v>
      </c>
      <c r="C1747" s="50"/>
      <c r="D1747" s="50"/>
      <c r="E1747" s="50"/>
      <c r="F1747" s="50"/>
      <c r="G1747" s="51"/>
      <c r="H1747" s="20"/>
      <c r="I1747" s="9">
        <v>2</v>
      </c>
      <c r="J1747" s="9"/>
      <c r="K1747" s="9"/>
      <c r="L1747" s="9"/>
      <c r="M1747" s="9">
        <f t="shared" si="216"/>
        <v>16.2</v>
      </c>
      <c r="N1747" s="9">
        <f t="shared" si="217"/>
        <v>7</v>
      </c>
      <c r="O1747" s="9">
        <v>8.1</v>
      </c>
      <c r="P1747" s="9">
        <v>3.5</v>
      </c>
      <c r="Q1747" s="9" t="s">
        <v>9</v>
      </c>
      <c r="S1747" s="26" t="s">
        <v>85</v>
      </c>
    </row>
    <row r="1748" spans="1:19" ht="16.5" customHeight="1" x14ac:dyDescent="0.25">
      <c r="A1748" s="9"/>
      <c r="B1748" s="49" t="s">
        <v>92</v>
      </c>
      <c r="C1748" s="50"/>
      <c r="D1748" s="50"/>
      <c r="E1748" s="50"/>
      <c r="F1748" s="50"/>
      <c r="G1748" s="51"/>
      <c r="H1748" s="20"/>
      <c r="I1748" s="9">
        <v>4</v>
      </c>
      <c r="J1748" s="9"/>
      <c r="K1748" s="9"/>
      <c r="L1748" s="9"/>
      <c r="M1748" s="9">
        <f t="shared" si="216"/>
        <v>22.8</v>
      </c>
      <c r="N1748" s="9">
        <f t="shared" si="217"/>
        <v>8</v>
      </c>
      <c r="O1748" s="9">
        <v>5.7</v>
      </c>
      <c r="P1748" s="9">
        <v>2</v>
      </c>
      <c r="Q1748" s="9" t="s">
        <v>3</v>
      </c>
      <c r="S1748" s="26" t="s">
        <v>85</v>
      </c>
    </row>
    <row r="1749" spans="1:19" ht="16.5" customHeight="1" x14ac:dyDescent="0.25">
      <c r="A1749" s="9"/>
      <c r="B1749" s="49" t="s">
        <v>84</v>
      </c>
      <c r="C1749" s="50"/>
      <c r="D1749" s="50"/>
      <c r="E1749" s="50"/>
      <c r="F1749" s="50"/>
      <c r="G1749" s="51"/>
      <c r="H1749" s="20"/>
      <c r="I1749" s="9">
        <v>3</v>
      </c>
      <c r="J1749" s="9"/>
      <c r="K1749" s="9"/>
      <c r="L1749" s="9"/>
      <c r="M1749" s="9">
        <f t="shared" si="216"/>
        <v>20.399999999999999</v>
      </c>
      <c r="N1749" s="9">
        <f t="shared" si="217"/>
        <v>7.5</v>
      </c>
      <c r="O1749" s="9">
        <v>6.8</v>
      </c>
      <c r="P1749" s="9">
        <v>2.5</v>
      </c>
      <c r="Q1749" s="9" t="s">
        <v>5</v>
      </c>
      <c r="S1749" s="26" t="s">
        <v>85</v>
      </c>
    </row>
    <row r="1750" spans="1:19" ht="16.5" hidden="1" customHeight="1" x14ac:dyDescent="0.25">
      <c r="A1750" s="21"/>
      <c r="H1750" s="21"/>
      <c r="I1750" s="21"/>
      <c r="J1750" s="21"/>
      <c r="K1750" s="21"/>
      <c r="L1750" s="21"/>
      <c r="M1750" s="9">
        <f t="shared" si="216"/>
        <v>0</v>
      </c>
      <c r="N1750" s="9">
        <f t="shared" si="217"/>
        <v>0</v>
      </c>
      <c r="O1750" s="21"/>
      <c r="P1750" s="21"/>
      <c r="Q1750" s="21"/>
      <c r="S1750" s="25"/>
    </row>
    <row r="1751" spans="1:19" ht="16.5" customHeight="1" x14ac:dyDescent="0.25">
      <c r="A1751" s="9"/>
      <c r="B1751" s="38" t="s">
        <v>42</v>
      </c>
      <c r="C1751" s="39"/>
      <c r="D1751" s="39"/>
      <c r="E1751" s="39"/>
      <c r="F1751" s="39"/>
      <c r="G1751" s="40"/>
      <c r="H1751" s="23"/>
      <c r="I1751" s="24">
        <f>SUM(I1740:I1750)</f>
        <v>23</v>
      </c>
      <c r="J1751" s="9"/>
      <c r="K1751" s="9"/>
      <c r="L1751" s="9"/>
      <c r="M1751" s="9">
        <f t="shared" si="216"/>
        <v>158.93</v>
      </c>
      <c r="N1751" s="9">
        <f t="shared" si="217"/>
        <v>62.56</v>
      </c>
      <c r="O1751" s="24">
        <f>ROUND(SUM(M1740:M1750)/I1751,2)</f>
        <v>6.91</v>
      </c>
      <c r="P1751" s="24">
        <f>ROUND(SUM(N1740:N1750)/I1751,2)</f>
        <v>2.72</v>
      </c>
      <c r="Q1751" s="9"/>
      <c r="S1751" s="25"/>
    </row>
    <row r="1752" spans="1:19" ht="20.25" customHeight="1" x14ac:dyDescent="0.25">
      <c r="A1752" s="27" t="s">
        <v>96</v>
      </c>
      <c r="B1752" s="28"/>
      <c r="C1752" s="28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</row>
    <row r="1753" spans="1:19" ht="16.5" customHeight="1" x14ac:dyDescent="0.25">
      <c r="A1753" s="9"/>
      <c r="B1753" s="49" t="s">
        <v>97</v>
      </c>
      <c r="C1753" s="50"/>
      <c r="D1753" s="50"/>
      <c r="E1753" s="50"/>
      <c r="F1753" s="50"/>
      <c r="G1753" s="51"/>
      <c r="H1753" s="20"/>
      <c r="I1753" s="9">
        <v>2</v>
      </c>
      <c r="J1753" s="9"/>
      <c r="K1753" s="9"/>
      <c r="L1753" s="9"/>
      <c r="M1753" s="9">
        <f t="shared" ref="M1753:M1765" si="218">I1753*O1753</f>
        <v>14.6</v>
      </c>
      <c r="N1753" s="9">
        <f t="shared" ref="N1753:N1765" si="219">I1753*P1753</f>
        <v>6</v>
      </c>
      <c r="O1753" s="9">
        <v>7.3</v>
      </c>
      <c r="P1753" s="9">
        <v>3</v>
      </c>
      <c r="Q1753" s="9" t="s">
        <v>6</v>
      </c>
      <c r="S1753" s="26" t="s">
        <v>85</v>
      </c>
    </row>
    <row r="1754" spans="1:19" ht="16.5" customHeight="1" x14ac:dyDescent="0.25">
      <c r="A1754" s="9"/>
      <c r="B1754" s="49" t="s">
        <v>99</v>
      </c>
      <c r="C1754" s="50"/>
      <c r="D1754" s="50"/>
      <c r="E1754" s="50"/>
      <c r="F1754" s="50"/>
      <c r="G1754" s="51"/>
      <c r="H1754" s="20"/>
      <c r="I1754" s="9">
        <v>2</v>
      </c>
      <c r="J1754" s="9"/>
      <c r="K1754" s="9"/>
      <c r="L1754" s="9"/>
      <c r="M1754" s="9">
        <f t="shared" si="218"/>
        <v>16.2</v>
      </c>
      <c r="N1754" s="9">
        <f t="shared" si="219"/>
        <v>7</v>
      </c>
      <c r="O1754" s="9">
        <v>8.1</v>
      </c>
      <c r="P1754" s="9">
        <v>3.5</v>
      </c>
      <c r="Q1754" s="9" t="s">
        <v>9</v>
      </c>
      <c r="S1754" s="26" t="s">
        <v>85</v>
      </c>
    </row>
    <row r="1755" spans="1:19" ht="16.5" customHeight="1" x14ac:dyDescent="0.25">
      <c r="A1755" s="9"/>
      <c r="B1755" s="49" t="s">
        <v>98</v>
      </c>
      <c r="C1755" s="50"/>
      <c r="D1755" s="50"/>
      <c r="E1755" s="50"/>
      <c r="F1755" s="50"/>
      <c r="G1755" s="51"/>
      <c r="H1755" s="20"/>
      <c r="I1755" s="9">
        <v>3</v>
      </c>
      <c r="J1755" s="9"/>
      <c r="K1755" s="9"/>
      <c r="L1755" s="9"/>
      <c r="M1755" s="9">
        <f t="shared" si="218"/>
        <v>18.899999999999999</v>
      </c>
      <c r="N1755" s="9">
        <f t="shared" si="219"/>
        <v>6</v>
      </c>
      <c r="O1755" s="9">
        <v>6.3</v>
      </c>
      <c r="P1755" s="9">
        <v>2</v>
      </c>
      <c r="Q1755" s="9" t="s">
        <v>3</v>
      </c>
      <c r="S1755" s="26" t="s">
        <v>85</v>
      </c>
    </row>
    <row r="1756" spans="1:19" ht="16.5" customHeight="1" x14ac:dyDescent="0.25">
      <c r="A1756" s="9"/>
      <c r="B1756" s="49" t="s">
        <v>103</v>
      </c>
      <c r="C1756" s="50"/>
      <c r="D1756" s="50"/>
      <c r="E1756" s="50"/>
      <c r="F1756" s="50"/>
      <c r="G1756" s="51"/>
      <c r="H1756" s="20"/>
      <c r="I1756" s="9">
        <v>2</v>
      </c>
      <c r="J1756" s="9"/>
      <c r="K1756" s="9"/>
      <c r="L1756" s="9"/>
      <c r="M1756" s="9">
        <f t="shared" si="218"/>
        <v>13.8</v>
      </c>
      <c r="N1756" s="9">
        <f t="shared" si="219"/>
        <v>5</v>
      </c>
      <c r="O1756" s="9">
        <v>6.9</v>
      </c>
      <c r="P1756" s="9">
        <v>2.5</v>
      </c>
      <c r="Q1756" s="9" t="s">
        <v>5</v>
      </c>
      <c r="S1756" s="26" t="s">
        <v>85</v>
      </c>
    </row>
    <row r="1757" spans="1:19" ht="16.5" customHeight="1" x14ac:dyDescent="0.25">
      <c r="A1757" s="9"/>
      <c r="B1757" s="49" t="s">
        <v>69</v>
      </c>
      <c r="C1757" s="50"/>
      <c r="D1757" s="50"/>
      <c r="E1757" s="50"/>
      <c r="F1757" s="50"/>
      <c r="G1757" s="51"/>
      <c r="H1757" s="20"/>
      <c r="I1757" s="9">
        <v>1</v>
      </c>
      <c r="J1757" s="9"/>
      <c r="K1757" s="9"/>
      <c r="L1757" s="9"/>
      <c r="M1757" s="9">
        <f t="shared" si="218"/>
        <v>7.3</v>
      </c>
      <c r="N1757" s="9">
        <f t="shared" si="219"/>
        <v>3</v>
      </c>
      <c r="O1757" s="9">
        <v>7.3</v>
      </c>
      <c r="P1757" s="9">
        <v>3</v>
      </c>
      <c r="Q1757" s="9" t="s">
        <v>6</v>
      </c>
      <c r="S1757" s="26" t="s">
        <v>85</v>
      </c>
    </row>
    <row r="1758" spans="1:19" ht="16.5" customHeight="1" x14ac:dyDescent="0.25">
      <c r="A1758" s="9"/>
      <c r="B1758" s="49" t="s">
        <v>105</v>
      </c>
      <c r="C1758" s="50"/>
      <c r="D1758" s="50"/>
      <c r="E1758" s="50"/>
      <c r="F1758" s="50"/>
      <c r="G1758" s="51"/>
      <c r="H1758" s="20"/>
      <c r="I1758" s="9">
        <v>4</v>
      </c>
      <c r="J1758" s="9"/>
      <c r="K1758" s="9"/>
      <c r="L1758" s="9"/>
      <c r="M1758" s="9">
        <f t="shared" si="218"/>
        <v>24.8</v>
      </c>
      <c r="N1758" s="9">
        <f t="shared" si="219"/>
        <v>8</v>
      </c>
      <c r="O1758" s="9">
        <v>6.2</v>
      </c>
      <c r="P1758" s="9">
        <v>2</v>
      </c>
      <c r="Q1758" s="9" t="s">
        <v>3</v>
      </c>
      <c r="S1758" s="26" t="s">
        <v>85</v>
      </c>
    </row>
    <row r="1759" spans="1:19" ht="16.5" customHeight="1" x14ac:dyDescent="0.25">
      <c r="A1759" s="9"/>
      <c r="B1759" s="49" t="s">
        <v>101</v>
      </c>
      <c r="C1759" s="50"/>
      <c r="D1759" s="50"/>
      <c r="E1759" s="50"/>
      <c r="F1759" s="50"/>
      <c r="G1759" s="51"/>
      <c r="H1759" s="20"/>
      <c r="I1759" s="9">
        <v>1</v>
      </c>
      <c r="J1759" s="9"/>
      <c r="K1759" s="9"/>
      <c r="L1759" s="9"/>
      <c r="M1759" s="9">
        <f t="shared" si="218"/>
        <v>8.4</v>
      </c>
      <c r="N1759" s="9">
        <f t="shared" si="219"/>
        <v>3.5</v>
      </c>
      <c r="O1759" s="9">
        <v>8.4</v>
      </c>
      <c r="P1759" s="9">
        <v>3.5</v>
      </c>
      <c r="Q1759" s="9" t="s">
        <v>9</v>
      </c>
      <c r="S1759" s="26" t="s">
        <v>85</v>
      </c>
    </row>
    <row r="1760" spans="1:19" ht="16.5" customHeight="1" x14ac:dyDescent="0.25">
      <c r="A1760" s="9"/>
      <c r="B1760" s="49" t="s">
        <v>100</v>
      </c>
      <c r="C1760" s="50"/>
      <c r="D1760" s="50"/>
      <c r="E1760" s="50"/>
      <c r="F1760" s="50"/>
      <c r="G1760" s="51"/>
      <c r="H1760" s="20"/>
      <c r="I1760" s="9">
        <v>1</v>
      </c>
      <c r="J1760" s="9"/>
      <c r="K1760" s="9"/>
      <c r="L1760" s="9"/>
      <c r="M1760" s="9">
        <f t="shared" si="218"/>
        <v>8.6999999999999993</v>
      </c>
      <c r="N1760" s="9">
        <f t="shared" si="219"/>
        <v>3.7</v>
      </c>
      <c r="O1760" s="9">
        <v>8.6999999999999993</v>
      </c>
      <c r="P1760" s="9">
        <v>3.7</v>
      </c>
      <c r="Q1760" s="9" t="s">
        <v>10</v>
      </c>
      <c r="S1760" s="26" t="s">
        <v>85</v>
      </c>
    </row>
    <row r="1761" spans="1:19" ht="16.5" customHeight="1" x14ac:dyDescent="0.25">
      <c r="A1761" s="9"/>
      <c r="B1761" s="49" t="s">
        <v>104</v>
      </c>
      <c r="C1761" s="50"/>
      <c r="D1761" s="50"/>
      <c r="E1761" s="50"/>
      <c r="F1761" s="50"/>
      <c r="G1761" s="51"/>
      <c r="H1761" s="20"/>
      <c r="I1761" s="9">
        <v>3</v>
      </c>
      <c r="J1761" s="9"/>
      <c r="K1761" s="9"/>
      <c r="L1761" s="9"/>
      <c r="M1761" s="9">
        <f t="shared" si="218"/>
        <v>22.200000000000003</v>
      </c>
      <c r="N1761" s="9">
        <f t="shared" si="219"/>
        <v>9</v>
      </c>
      <c r="O1761" s="9">
        <v>7.4</v>
      </c>
      <c r="P1761" s="9">
        <v>3</v>
      </c>
      <c r="Q1761" s="9" t="s">
        <v>6</v>
      </c>
      <c r="S1761" s="26" t="s">
        <v>85</v>
      </c>
    </row>
    <row r="1762" spans="1:19" ht="16.5" customHeight="1" x14ac:dyDescent="0.25">
      <c r="A1762" s="9"/>
      <c r="B1762" s="49" t="s">
        <v>79</v>
      </c>
      <c r="C1762" s="50"/>
      <c r="D1762" s="50"/>
      <c r="E1762" s="50"/>
      <c r="F1762" s="50"/>
      <c r="G1762" s="51"/>
      <c r="H1762" s="20"/>
      <c r="I1762" s="9">
        <v>2</v>
      </c>
      <c r="J1762" s="9"/>
      <c r="K1762" s="9"/>
      <c r="L1762" s="9"/>
      <c r="M1762" s="9">
        <f t="shared" si="218"/>
        <v>11.8</v>
      </c>
      <c r="N1762" s="9">
        <f t="shared" si="219"/>
        <v>4</v>
      </c>
      <c r="O1762" s="9">
        <v>5.9</v>
      </c>
      <c r="P1762" s="9">
        <v>2</v>
      </c>
      <c r="Q1762" s="9" t="s">
        <v>3</v>
      </c>
      <c r="S1762" s="26" t="s">
        <v>85</v>
      </c>
    </row>
    <row r="1763" spans="1:19" ht="16.5" customHeight="1" x14ac:dyDescent="0.25">
      <c r="A1763" s="9"/>
      <c r="B1763" s="49" t="s">
        <v>102</v>
      </c>
      <c r="C1763" s="50"/>
      <c r="D1763" s="50"/>
      <c r="E1763" s="50"/>
      <c r="F1763" s="50"/>
      <c r="G1763" s="51"/>
      <c r="H1763" s="20"/>
      <c r="I1763" s="9">
        <v>2</v>
      </c>
      <c r="J1763" s="9"/>
      <c r="K1763" s="9"/>
      <c r="L1763" s="9"/>
      <c r="M1763" s="9">
        <f t="shared" si="218"/>
        <v>14.6</v>
      </c>
      <c r="N1763" s="9">
        <f t="shared" si="219"/>
        <v>6</v>
      </c>
      <c r="O1763" s="9">
        <v>7.3</v>
      </c>
      <c r="P1763" s="9">
        <v>3</v>
      </c>
      <c r="Q1763" s="9" t="s">
        <v>6</v>
      </c>
      <c r="S1763" s="26" t="s">
        <v>85</v>
      </c>
    </row>
    <row r="1764" spans="1:19" ht="16.5" hidden="1" customHeight="1" x14ac:dyDescent="0.25">
      <c r="A1764" s="21"/>
      <c r="H1764" s="21"/>
      <c r="I1764" s="21"/>
      <c r="J1764" s="21"/>
      <c r="K1764" s="21"/>
      <c r="L1764" s="21"/>
      <c r="M1764" s="9">
        <f t="shared" si="218"/>
        <v>0</v>
      </c>
      <c r="N1764" s="9">
        <f t="shared" si="219"/>
        <v>0</v>
      </c>
      <c r="O1764" s="21"/>
      <c r="P1764" s="21"/>
      <c r="Q1764" s="21"/>
      <c r="S1764" s="25"/>
    </row>
    <row r="1765" spans="1:19" ht="16.5" customHeight="1" x14ac:dyDescent="0.25">
      <c r="A1765" s="9"/>
      <c r="B1765" s="38" t="s">
        <v>42</v>
      </c>
      <c r="C1765" s="39"/>
      <c r="D1765" s="39"/>
      <c r="E1765" s="39"/>
      <c r="F1765" s="39"/>
      <c r="G1765" s="40"/>
      <c r="H1765" s="23"/>
      <c r="I1765" s="24">
        <f>SUM(I1753:I1764)</f>
        <v>23</v>
      </c>
      <c r="J1765" s="9"/>
      <c r="K1765" s="9"/>
      <c r="L1765" s="9"/>
      <c r="M1765" s="9">
        <f t="shared" si="218"/>
        <v>161.22999999999999</v>
      </c>
      <c r="N1765" s="9">
        <f t="shared" si="219"/>
        <v>61.180000000000007</v>
      </c>
      <c r="O1765" s="24">
        <f>ROUND(SUM(M1753:M1764)/I1765,2)</f>
        <v>7.01</v>
      </c>
      <c r="P1765" s="24">
        <f>ROUND(SUM(N1753:N1764)/I1765,2)</f>
        <v>2.66</v>
      </c>
      <c r="Q1765" s="9"/>
      <c r="S1765" s="25"/>
    </row>
    <row r="1766" spans="1:19" ht="20.25" customHeight="1" x14ac:dyDescent="0.25">
      <c r="A1766" s="27" t="s">
        <v>107</v>
      </c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</row>
    <row r="1767" spans="1:19" ht="16.5" customHeight="1" x14ac:dyDescent="0.25">
      <c r="A1767" s="9"/>
      <c r="B1767" s="49" t="s">
        <v>108</v>
      </c>
      <c r="C1767" s="50"/>
      <c r="D1767" s="50"/>
      <c r="E1767" s="50"/>
      <c r="F1767" s="50"/>
      <c r="G1767" s="51"/>
      <c r="H1767" s="20"/>
      <c r="I1767" s="9">
        <v>1</v>
      </c>
      <c r="J1767" s="9"/>
      <c r="K1767" s="9"/>
      <c r="L1767" s="9"/>
      <c r="M1767" s="9">
        <f t="shared" ref="M1767:M1779" si="220">I1767*O1767</f>
        <v>7.9</v>
      </c>
      <c r="N1767" s="9">
        <f t="shared" ref="N1767:N1779" si="221">I1767*P1767</f>
        <v>3</v>
      </c>
      <c r="O1767" s="9">
        <v>7.9</v>
      </c>
      <c r="P1767" s="9">
        <v>3</v>
      </c>
      <c r="Q1767" s="9" t="s">
        <v>6</v>
      </c>
      <c r="S1767" s="26" t="s">
        <v>85</v>
      </c>
    </row>
    <row r="1768" spans="1:19" ht="16.5" customHeight="1" x14ac:dyDescent="0.25">
      <c r="A1768" s="9"/>
      <c r="B1768" s="49" t="s">
        <v>109</v>
      </c>
      <c r="C1768" s="50"/>
      <c r="D1768" s="50"/>
      <c r="E1768" s="50"/>
      <c r="F1768" s="50"/>
      <c r="G1768" s="51"/>
      <c r="H1768" s="20"/>
      <c r="I1768" s="9">
        <v>2</v>
      </c>
      <c r="J1768" s="9"/>
      <c r="K1768" s="9"/>
      <c r="L1768" s="9"/>
      <c r="M1768" s="9">
        <f t="shared" si="220"/>
        <v>15.2</v>
      </c>
      <c r="N1768" s="9">
        <f t="shared" si="221"/>
        <v>6</v>
      </c>
      <c r="O1768" s="9">
        <v>7.6</v>
      </c>
      <c r="P1768" s="9">
        <v>3</v>
      </c>
      <c r="Q1768" s="9" t="s">
        <v>6</v>
      </c>
      <c r="S1768" s="26" t="s">
        <v>85</v>
      </c>
    </row>
    <row r="1769" spans="1:19" ht="16.5" customHeight="1" x14ac:dyDescent="0.25">
      <c r="A1769" s="9"/>
      <c r="B1769" s="49" t="s">
        <v>116</v>
      </c>
      <c r="C1769" s="50"/>
      <c r="D1769" s="50"/>
      <c r="E1769" s="50"/>
      <c r="F1769" s="50"/>
      <c r="G1769" s="51"/>
      <c r="H1769" s="20"/>
      <c r="I1769" s="9">
        <v>2</v>
      </c>
      <c r="J1769" s="9"/>
      <c r="K1769" s="9"/>
      <c r="L1769" s="9"/>
      <c r="M1769" s="9">
        <f t="shared" si="220"/>
        <v>11.2</v>
      </c>
      <c r="N1769" s="9">
        <f t="shared" si="221"/>
        <v>4</v>
      </c>
      <c r="O1769" s="9">
        <v>5.6</v>
      </c>
      <c r="P1769" s="9">
        <v>2</v>
      </c>
      <c r="Q1769" s="9" t="s">
        <v>3</v>
      </c>
      <c r="S1769" s="26" t="s">
        <v>85</v>
      </c>
    </row>
    <row r="1770" spans="1:19" ht="16.5" customHeight="1" x14ac:dyDescent="0.25">
      <c r="A1770" s="9"/>
      <c r="B1770" s="49" t="s">
        <v>111</v>
      </c>
      <c r="C1770" s="50"/>
      <c r="D1770" s="50"/>
      <c r="E1770" s="50"/>
      <c r="F1770" s="50"/>
      <c r="G1770" s="51"/>
      <c r="H1770" s="20"/>
      <c r="I1770" s="9">
        <v>3</v>
      </c>
      <c r="J1770" s="9"/>
      <c r="K1770" s="9"/>
      <c r="L1770" s="9"/>
      <c r="M1770" s="9">
        <f t="shared" si="220"/>
        <v>22.799999999999997</v>
      </c>
      <c r="N1770" s="9">
        <f t="shared" si="221"/>
        <v>9</v>
      </c>
      <c r="O1770" s="9">
        <v>7.6</v>
      </c>
      <c r="P1770" s="9">
        <v>3</v>
      </c>
      <c r="Q1770" s="9" t="s">
        <v>6</v>
      </c>
      <c r="S1770" s="26" t="s">
        <v>85</v>
      </c>
    </row>
    <row r="1771" spans="1:19" ht="16.5" customHeight="1" x14ac:dyDescent="0.25">
      <c r="A1771" s="9"/>
      <c r="B1771" s="49" t="s">
        <v>112</v>
      </c>
      <c r="C1771" s="50"/>
      <c r="D1771" s="50"/>
      <c r="E1771" s="50"/>
      <c r="F1771" s="50"/>
      <c r="G1771" s="51"/>
      <c r="H1771" s="20"/>
      <c r="I1771" s="9">
        <v>4</v>
      </c>
      <c r="J1771" s="9"/>
      <c r="K1771" s="9"/>
      <c r="L1771" s="9"/>
      <c r="M1771" s="9">
        <f t="shared" si="220"/>
        <v>36.799999999999997</v>
      </c>
      <c r="N1771" s="9">
        <f t="shared" si="221"/>
        <v>16</v>
      </c>
      <c r="O1771" s="9">
        <v>9.1999999999999993</v>
      </c>
      <c r="P1771" s="9">
        <v>4</v>
      </c>
      <c r="Q1771" s="9" t="s">
        <v>12</v>
      </c>
      <c r="S1771" s="26" t="s">
        <v>85</v>
      </c>
    </row>
    <row r="1772" spans="1:19" ht="16.5" customHeight="1" x14ac:dyDescent="0.25">
      <c r="A1772" s="9"/>
      <c r="B1772" s="49" t="s">
        <v>113</v>
      </c>
      <c r="C1772" s="50"/>
      <c r="D1772" s="50"/>
      <c r="E1772" s="50"/>
      <c r="F1772" s="50"/>
      <c r="G1772" s="51"/>
      <c r="H1772" s="20"/>
      <c r="I1772" s="9">
        <v>4</v>
      </c>
      <c r="J1772" s="9"/>
      <c r="K1772" s="9"/>
      <c r="L1772" s="9"/>
      <c r="M1772" s="9">
        <f t="shared" si="220"/>
        <v>26.8</v>
      </c>
      <c r="N1772" s="9">
        <f t="shared" si="221"/>
        <v>10</v>
      </c>
      <c r="O1772" s="9">
        <v>6.7</v>
      </c>
      <c r="P1772" s="9">
        <v>2.5</v>
      </c>
      <c r="Q1772" s="9" t="s">
        <v>5</v>
      </c>
      <c r="S1772" s="26" t="s">
        <v>85</v>
      </c>
    </row>
    <row r="1773" spans="1:19" ht="16.5" customHeight="1" x14ac:dyDescent="0.25">
      <c r="A1773" s="9"/>
      <c r="B1773" s="49" t="s">
        <v>114</v>
      </c>
      <c r="C1773" s="50"/>
      <c r="D1773" s="50"/>
      <c r="E1773" s="50"/>
      <c r="F1773" s="50"/>
      <c r="G1773" s="51"/>
      <c r="H1773" s="20"/>
      <c r="I1773" s="9">
        <v>3</v>
      </c>
      <c r="J1773" s="9"/>
      <c r="K1773" s="9"/>
      <c r="L1773" s="9"/>
      <c r="M1773" s="9">
        <f t="shared" si="220"/>
        <v>26.400000000000002</v>
      </c>
      <c r="N1773" s="9">
        <f t="shared" si="221"/>
        <v>11.100000000000001</v>
      </c>
      <c r="O1773" s="9">
        <v>8.8000000000000007</v>
      </c>
      <c r="P1773" s="9">
        <v>3.7</v>
      </c>
      <c r="Q1773" s="9" t="s">
        <v>10</v>
      </c>
      <c r="S1773" s="26" t="s">
        <v>85</v>
      </c>
    </row>
    <row r="1774" spans="1:19" ht="16.5" customHeight="1" x14ac:dyDescent="0.25">
      <c r="A1774" s="9"/>
      <c r="B1774" s="49" t="s">
        <v>115</v>
      </c>
      <c r="C1774" s="50"/>
      <c r="D1774" s="50"/>
      <c r="E1774" s="50"/>
      <c r="F1774" s="50"/>
      <c r="G1774" s="51"/>
      <c r="H1774" s="20"/>
      <c r="I1774" s="9">
        <v>2</v>
      </c>
      <c r="J1774" s="9"/>
      <c r="K1774" s="9"/>
      <c r="L1774" s="9"/>
      <c r="M1774" s="9">
        <f t="shared" si="220"/>
        <v>14.8</v>
      </c>
      <c r="N1774" s="9">
        <f t="shared" si="221"/>
        <v>6</v>
      </c>
      <c r="O1774" s="9">
        <v>7.4</v>
      </c>
      <c r="P1774" s="9">
        <v>3</v>
      </c>
      <c r="Q1774" s="9" t="s">
        <v>6</v>
      </c>
      <c r="S1774" s="26" t="s">
        <v>85</v>
      </c>
    </row>
    <row r="1775" spans="1:19" ht="16.5" customHeight="1" x14ac:dyDescent="0.25">
      <c r="A1775" s="9"/>
      <c r="B1775" s="49" t="s">
        <v>110</v>
      </c>
      <c r="C1775" s="50"/>
      <c r="D1775" s="50"/>
      <c r="E1775" s="50"/>
      <c r="F1775" s="50"/>
      <c r="G1775" s="51"/>
      <c r="H1775" s="20"/>
      <c r="I1775" s="9">
        <v>3</v>
      </c>
      <c r="J1775" s="9"/>
      <c r="K1775" s="9"/>
      <c r="L1775" s="9"/>
      <c r="M1775" s="9">
        <f t="shared" si="220"/>
        <v>24</v>
      </c>
      <c r="N1775" s="9">
        <f t="shared" si="221"/>
        <v>10.5</v>
      </c>
      <c r="O1775" s="9">
        <v>8</v>
      </c>
      <c r="P1775" s="9">
        <v>3.5</v>
      </c>
      <c r="Q1775" s="9" t="s">
        <v>9</v>
      </c>
      <c r="S1775" s="26" t="s">
        <v>85</v>
      </c>
    </row>
    <row r="1776" spans="1:19" ht="16.5" customHeight="1" x14ac:dyDescent="0.25">
      <c r="A1776" s="9"/>
      <c r="B1776" s="49" t="s">
        <v>117</v>
      </c>
      <c r="C1776" s="50"/>
      <c r="D1776" s="50"/>
      <c r="E1776" s="50"/>
      <c r="F1776" s="50"/>
      <c r="G1776" s="51"/>
      <c r="H1776" s="20"/>
      <c r="I1776" s="9">
        <v>3</v>
      </c>
      <c r="J1776" s="9"/>
      <c r="K1776" s="9"/>
      <c r="L1776" s="9"/>
      <c r="M1776" s="9">
        <f t="shared" si="220"/>
        <v>22.799999999999997</v>
      </c>
      <c r="N1776" s="9">
        <f t="shared" si="221"/>
        <v>9</v>
      </c>
      <c r="O1776" s="9">
        <v>7.6</v>
      </c>
      <c r="P1776" s="9">
        <v>3</v>
      </c>
      <c r="Q1776" s="9" t="s">
        <v>6</v>
      </c>
      <c r="S1776" s="26" t="s">
        <v>85</v>
      </c>
    </row>
    <row r="1777" spans="1:19" ht="16.5" customHeight="1" x14ac:dyDescent="0.25">
      <c r="A1777" s="9"/>
      <c r="B1777" s="49" t="s">
        <v>118</v>
      </c>
      <c r="C1777" s="50"/>
      <c r="D1777" s="50"/>
      <c r="E1777" s="50"/>
      <c r="F1777" s="50"/>
      <c r="G1777" s="51"/>
      <c r="H1777" s="20"/>
      <c r="I1777" s="9">
        <v>2</v>
      </c>
      <c r="J1777" s="9"/>
      <c r="K1777" s="9"/>
      <c r="L1777" s="9"/>
      <c r="M1777" s="9">
        <f t="shared" si="220"/>
        <v>16.2</v>
      </c>
      <c r="N1777" s="9">
        <f t="shared" si="221"/>
        <v>7</v>
      </c>
      <c r="O1777" s="9">
        <v>8.1</v>
      </c>
      <c r="P1777" s="9">
        <v>3.5</v>
      </c>
      <c r="Q1777" s="9" t="s">
        <v>9</v>
      </c>
      <c r="S1777" s="26" t="s">
        <v>85</v>
      </c>
    </row>
    <row r="1778" spans="1:19" ht="16.5" hidden="1" customHeight="1" x14ac:dyDescent="0.25">
      <c r="A1778" s="21"/>
      <c r="H1778" s="21"/>
      <c r="I1778" s="21"/>
      <c r="J1778" s="21"/>
      <c r="K1778" s="21"/>
      <c r="L1778" s="21"/>
      <c r="M1778" s="9">
        <f t="shared" si="220"/>
        <v>0</v>
      </c>
      <c r="N1778" s="9">
        <f t="shared" si="221"/>
        <v>0</v>
      </c>
      <c r="O1778" s="21"/>
      <c r="P1778" s="21"/>
      <c r="Q1778" s="21"/>
      <c r="S1778" s="25"/>
    </row>
    <row r="1779" spans="1:19" ht="16.5" customHeight="1" x14ac:dyDescent="0.25">
      <c r="A1779" s="9"/>
      <c r="B1779" s="38" t="s">
        <v>42</v>
      </c>
      <c r="C1779" s="39"/>
      <c r="D1779" s="39"/>
      <c r="E1779" s="39"/>
      <c r="F1779" s="39"/>
      <c r="G1779" s="40"/>
      <c r="H1779" s="23"/>
      <c r="I1779" s="24">
        <f>SUM(I1767:I1778)</f>
        <v>29</v>
      </c>
      <c r="J1779" s="9"/>
      <c r="K1779" s="9"/>
      <c r="L1779" s="9"/>
      <c r="M1779" s="9">
        <f t="shared" si="220"/>
        <v>225.04</v>
      </c>
      <c r="N1779" s="9">
        <f t="shared" si="221"/>
        <v>91.64</v>
      </c>
      <c r="O1779" s="24">
        <f>ROUND(SUM(M1767:M1778)/I1779,2)</f>
        <v>7.76</v>
      </c>
      <c r="P1779" s="24">
        <f>ROUND(SUM(N1767:N1778)/I1779,2)</f>
        <v>3.16</v>
      </c>
      <c r="Q1779" s="9"/>
      <c r="S1779" s="25"/>
    </row>
    <row r="1780" spans="1:19" ht="20.25" customHeight="1" x14ac:dyDescent="0.25">
      <c r="A1780" s="27" t="s">
        <v>120</v>
      </c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</row>
    <row r="1781" spans="1:19" ht="16.5" customHeight="1" x14ac:dyDescent="0.25">
      <c r="A1781" s="9"/>
      <c r="B1781" s="49" t="s">
        <v>121</v>
      </c>
      <c r="C1781" s="50"/>
      <c r="D1781" s="50"/>
      <c r="E1781" s="50"/>
      <c r="F1781" s="50"/>
      <c r="G1781" s="51"/>
      <c r="H1781" s="20"/>
      <c r="I1781" s="9">
        <v>3</v>
      </c>
      <c r="J1781" s="9"/>
      <c r="K1781" s="9"/>
      <c r="L1781" s="9"/>
      <c r="M1781" s="9">
        <f t="shared" ref="M1781:M1790" si="222">I1781*O1781</f>
        <v>16.200000000000003</v>
      </c>
      <c r="N1781" s="9">
        <f t="shared" ref="N1781:N1790" si="223">I1781*P1781</f>
        <v>4.5</v>
      </c>
      <c r="O1781" s="9">
        <v>5.4</v>
      </c>
      <c r="P1781" s="9">
        <v>1.5</v>
      </c>
      <c r="Q1781" s="9" t="s">
        <v>4</v>
      </c>
      <c r="S1781" s="26" t="s">
        <v>85</v>
      </c>
    </row>
    <row r="1782" spans="1:19" ht="16.5" customHeight="1" x14ac:dyDescent="0.25">
      <c r="A1782" s="9"/>
      <c r="B1782" s="49" t="s">
        <v>126</v>
      </c>
      <c r="C1782" s="50"/>
      <c r="D1782" s="50"/>
      <c r="E1782" s="50"/>
      <c r="F1782" s="50"/>
      <c r="G1782" s="51"/>
      <c r="H1782" s="20"/>
      <c r="I1782" s="9">
        <v>3</v>
      </c>
      <c r="J1782" s="9"/>
      <c r="K1782" s="9"/>
      <c r="L1782" s="9"/>
      <c r="M1782" s="9">
        <f t="shared" si="222"/>
        <v>23.1</v>
      </c>
      <c r="N1782" s="9">
        <f t="shared" si="223"/>
        <v>9</v>
      </c>
      <c r="O1782" s="9">
        <v>7.7</v>
      </c>
      <c r="P1782" s="9">
        <v>3</v>
      </c>
      <c r="Q1782" s="9" t="s">
        <v>6</v>
      </c>
      <c r="S1782" s="26" t="s">
        <v>85</v>
      </c>
    </row>
    <row r="1783" spans="1:19" ht="16.5" customHeight="1" x14ac:dyDescent="0.25">
      <c r="A1783" s="9"/>
      <c r="B1783" s="49" t="s">
        <v>123</v>
      </c>
      <c r="C1783" s="50"/>
      <c r="D1783" s="50"/>
      <c r="E1783" s="50"/>
      <c r="F1783" s="50"/>
      <c r="G1783" s="51"/>
      <c r="H1783" s="20"/>
      <c r="I1783" s="9">
        <v>3</v>
      </c>
      <c r="J1783" s="9"/>
      <c r="K1783" s="9"/>
      <c r="L1783" s="9"/>
      <c r="M1783" s="9">
        <f t="shared" si="222"/>
        <v>26.099999999999998</v>
      </c>
      <c r="N1783" s="9">
        <f t="shared" si="223"/>
        <v>11.100000000000001</v>
      </c>
      <c r="O1783" s="9">
        <v>8.6999999999999993</v>
      </c>
      <c r="P1783" s="9">
        <v>3.7</v>
      </c>
      <c r="Q1783" s="9" t="s">
        <v>10</v>
      </c>
      <c r="S1783" s="26" t="s">
        <v>85</v>
      </c>
    </row>
    <row r="1784" spans="1:19" ht="16.5" customHeight="1" x14ac:dyDescent="0.25">
      <c r="A1784" s="9"/>
      <c r="B1784" s="49" t="s">
        <v>124</v>
      </c>
      <c r="C1784" s="50"/>
      <c r="D1784" s="50"/>
      <c r="E1784" s="50"/>
      <c r="F1784" s="50"/>
      <c r="G1784" s="51"/>
      <c r="H1784" s="20"/>
      <c r="I1784" s="9">
        <v>3</v>
      </c>
      <c r="J1784" s="9"/>
      <c r="K1784" s="9"/>
      <c r="L1784" s="9"/>
      <c r="M1784" s="9">
        <f t="shared" si="222"/>
        <v>21</v>
      </c>
      <c r="N1784" s="9">
        <f t="shared" si="223"/>
        <v>9</v>
      </c>
      <c r="O1784" s="9">
        <v>7</v>
      </c>
      <c r="P1784" s="9">
        <v>3</v>
      </c>
      <c r="Q1784" s="9" t="s">
        <v>6</v>
      </c>
      <c r="S1784" s="26" t="s">
        <v>85</v>
      </c>
    </row>
    <row r="1785" spans="1:19" ht="16.5" customHeight="1" x14ac:dyDescent="0.25">
      <c r="A1785" s="9"/>
      <c r="B1785" s="49" t="s">
        <v>125</v>
      </c>
      <c r="C1785" s="50"/>
      <c r="D1785" s="50"/>
      <c r="E1785" s="50"/>
      <c r="F1785" s="50"/>
      <c r="G1785" s="51"/>
      <c r="H1785" s="20"/>
      <c r="I1785" s="9">
        <v>3</v>
      </c>
      <c r="J1785" s="9"/>
      <c r="K1785" s="9"/>
      <c r="L1785" s="9"/>
      <c r="M1785" s="9">
        <f t="shared" si="222"/>
        <v>14.700000000000001</v>
      </c>
      <c r="N1785" s="9">
        <f t="shared" si="223"/>
        <v>3</v>
      </c>
      <c r="O1785" s="9">
        <v>4.9000000000000004</v>
      </c>
      <c r="P1785" s="9">
        <v>1</v>
      </c>
      <c r="Q1785" s="9" t="s">
        <v>8</v>
      </c>
      <c r="S1785" s="26" t="s">
        <v>85</v>
      </c>
    </row>
    <row r="1786" spans="1:19" ht="16.5" customHeight="1" x14ac:dyDescent="0.25">
      <c r="A1786" s="9"/>
      <c r="B1786" s="49" t="s">
        <v>122</v>
      </c>
      <c r="C1786" s="50"/>
      <c r="D1786" s="50"/>
      <c r="E1786" s="50"/>
      <c r="F1786" s="50"/>
      <c r="G1786" s="51"/>
      <c r="H1786" s="20"/>
      <c r="I1786" s="9">
        <v>1</v>
      </c>
      <c r="J1786" s="9"/>
      <c r="K1786" s="9"/>
      <c r="L1786" s="9"/>
      <c r="M1786" s="9">
        <f t="shared" si="222"/>
        <v>7.8</v>
      </c>
      <c r="N1786" s="9">
        <f t="shared" si="223"/>
        <v>3</v>
      </c>
      <c r="O1786" s="9">
        <v>7.8</v>
      </c>
      <c r="P1786" s="9">
        <v>3</v>
      </c>
      <c r="Q1786" s="9" t="s">
        <v>6</v>
      </c>
      <c r="S1786" s="26" t="s">
        <v>85</v>
      </c>
    </row>
    <row r="1787" spans="1:19" ht="16.5" customHeight="1" x14ac:dyDescent="0.25">
      <c r="A1787" s="9"/>
      <c r="B1787" s="49" t="s">
        <v>127</v>
      </c>
      <c r="C1787" s="50"/>
      <c r="D1787" s="50"/>
      <c r="E1787" s="50"/>
      <c r="F1787" s="50"/>
      <c r="G1787" s="51"/>
      <c r="H1787" s="20"/>
      <c r="I1787" s="9">
        <v>2</v>
      </c>
      <c r="J1787" s="9"/>
      <c r="K1787" s="9"/>
      <c r="L1787" s="9"/>
      <c r="M1787" s="9">
        <f t="shared" si="222"/>
        <v>12</v>
      </c>
      <c r="N1787" s="9">
        <f t="shared" si="223"/>
        <v>4</v>
      </c>
      <c r="O1787" s="9">
        <v>6</v>
      </c>
      <c r="P1787" s="9">
        <v>2</v>
      </c>
      <c r="Q1787" s="9" t="s">
        <v>3</v>
      </c>
      <c r="S1787" s="26" t="s">
        <v>85</v>
      </c>
    </row>
    <row r="1788" spans="1:19" ht="16.5" customHeight="1" x14ac:dyDescent="0.25">
      <c r="A1788" s="9"/>
      <c r="B1788" s="49" t="s">
        <v>128</v>
      </c>
      <c r="C1788" s="50"/>
      <c r="D1788" s="50"/>
      <c r="E1788" s="50"/>
      <c r="F1788" s="50"/>
      <c r="G1788" s="51"/>
      <c r="H1788" s="20"/>
      <c r="I1788" s="9">
        <v>2</v>
      </c>
      <c r="J1788" s="9"/>
      <c r="K1788" s="9"/>
      <c r="L1788" s="9"/>
      <c r="M1788" s="9">
        <f t="shared" si="222"/>
        <v>16.2</v>
      </c>
      <c r="N1788" s="9">
        <f t="shared" si="223"/>
        <v>7</v>
      </c>
      <c r="O1788" s="9">
        <v>8.1</v>
      </c>
      <c r="P1788" s="9">
        <v>3.5</v>
      </c>
      <c r="Q1788" s="9" t="s">
        <v>9</v>
      </c>
      <c r="S1788" s="26" t="s">
        <v>85</v>
      </c>
    </row>
    <row r="1789" spans="1:19" ht="16.5" hidden="1" customHeight="1" x14ac:dyDescent="0.25">
      <c r="A1789" s="21"/>
      <c r="H1789" s="21"/>
      <c r="I1789" s="21"/>
      <c r="J1789" s="21"/>
      <c r="K1789" s="21"/>
      <c r="L1789" s="21"/>
      <c r="M1789" s="9">
        <f t="shared" si="222"/>
        <v>0</v>
      </c>
      <c r="N1789" s="9">
        <f t="shared" si="223"/>
        <v>0</v>
      </c>
      <c r="O1789" s="21"/>
      <c r="P1789" s="21"/>
      <c r="Q1789" s="21"/>
      <c r="S1789" s="25"/>
    </row>
    <row r="1790" spans="1:19" ht="16.5" customHeight="1" x14ac:dyDescent="0.25">
      <c r="A1790" s="9"/>
      <c r="B1790" s="38" t="s">
        <v>42</v>
      </c>
      <c r="C1790" s="39"/>
      <c r="D1790" s="39"/>
      <c r="E1790" s="39"/>
      <c r="F1790" s="39"/>
      <c r="G1790" s="40"/>
      <c r="H1790" s="23"/>
      <c r="I1790" s="24">
        <f>SUM(I1781:I1789)</f>
        <v>20</v>
      </c>
      <c r="J1790" s="9"/>
      <c r="K1790" s="9"/>
      <c r="L1790" s="9"/>
      <c r="M1790" s="9">
        <f t="shared" si="222"/>
        <v>137.20000000000002</v>
      </c>
      <c r="N1790" s="9">
        <f t="shared" si="223"/>
        <v>50.599999999999994</v>
      </c>
      <c r="O1790" s="24">
        <f>ROUND(SUM(M1781:M1789)/I1790,2)</f>
        <v>6.86</v>
      </c>
      <c r="P1790" s="24">
        <f>ROUND(SUM(N1781:N1789)/I1790,2)</f>
        <v>2.5299999999999998</v>
      </c>
      <c r="Q1790" s="9"/>
      <c r="S1790" s="25"/>
    </row>
    <row r="1791" spans="1:19" ht="16.5" customHeight="1" x14ac:dyDescent="0.25">
      <c r="A1791" s="21"/>
      <c r="B1791" s="22"/>
      <c r="C1791" s="22"/>
      <c r="D1791" s="22"/>
      <c r="E1791" s="22"/>
      <c r="F1791" s="22"/>
      <c r="G1791" s="22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</row>
    <row r="1793" spans="1:19" ht="19.5" customHeight="1" x14ac:dyDescent="0.25">
      <c r="A1793" s="17"/>
      <c r="B1793" s="17"/>
      <c r="C1793" s="8"/>
      <c r="D1793" s="18"/>
      <c r="E1793" s="10"/>
      <c r="F1793" s="11"/>
      <c r="G1793" s="44" t="s">
        <v>49</v>
      </c>
      <c r="H1793" s="44"/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</row>
    <row r="1794" spans="1:19" ht="31.5" customHeight="1" x14ac:dyDescent="0.3">
      <c r="A1794" s="8"/>
      <c r="B1794" s="8"/>
      <c r="C1794" s="8"/>
      <c r="D1794" s="8"/>
      <c r="E1794" s="8"/>
      <c r="F1794" s="8"/>
      <c r="G1794" s="8"/>
      <c r="H1794" s="12"/>
      <c r="I1794" s="41" t="s">
        <v>40</v>
      </c>
      <c r="J1794" s="42"/>
      <c r="K1794" s="42"/>
      <c r="L1794" s="42"/>
      <c r="M1794" s="42"/>
      <c r="N1794" s="42"/>
      <c r="O1794" s="42"/>
      <c r="P1794" s="42"/>
      <c r="Q1794" s="42"/>
      <c r="R1794" s="42"/>
      <c r="S1794" s="42"/>
    </row>
    <row r="1795" spans="1:19" ht="16.8" x14ac:dyDescent="0.3">
      <c r="A1795" s="8"/>
      <c r="B1795" s="8"/>
      <c r="C1795" s="8"/>
      <c r="D1795" s="8"/>
      <c r="E1795" s="8"/>
      <c r="F1795" s="8"/>
      <c r="G1795" s="8"/>
      <c r="H1795" s="12"/>
      <c r="I1795" s="12"/>
      <c r="J1795" s="12"/>
      <c r="K1795" s="12"/>
      <c r="L1795" s="8"/>
      <c r="M1795" s="8"/>
      <c r="N1795" s="8"/>
      <c r="O1795" s="8"/>
      <c r="P1795" s="8"/>
      <c r="Q1795" s="8"/>
    </row>
    <row r="1796" spans="1:19" ht="33" customHeight="1" x14ac:dyDescent="0.3">
      <c r="A1796" s="8"/>
      <c r="B1796" s="8"/>
      <c r="C1796" s="8"/>
      <c r="D1796" s="8"/>
      <c r="E1796" s="8"/>
      <c r="F1796" s="8"/>
      <c r="G1796" s="8"/>
      <c r="H1796" s="12"/>
      <c r="I1796" s="12"/>
      <c r="J1796" s="12"/>
      <c r="K1796" s="12"/>
      <c r="L1796" s="8"/>
      <c r="M1796" s="8"/>
      <c r="N1796" s="8"/>
      <c r="O1796" s="8"/>
      <c r="P1796" s="8"/>
      <c r="Q1796" s="8"/>
    </row>
    <row r="1797" spans="1:19" ht="11.25" customHeight="1" x14ac:dyDescent="0.3">
      <c r="A1797" s="8"/>
      <c r="B1797" s="8"/>
      <c r="C1797" s="8"/>
      <c r="D1797" s="8"/>
      <c r="E1797" s="8"/>
      <c r="F1797" s="8"/>
      <c r="G1797" s="8"/>
      <c r="H1797" s="12"/>
      <c r="I1797" s="12"/>
      <c r="J1797" s="12"/>
      <c r="K1797" s="12"/>
      <c r="L1797" s="8"/>
      <c r="M1797" s="8"/>
      <c r="N1797" s="8"/>
      <c r="O1797" s="8"/>
      <c r="P1797" s="8"/>
      <c r="Q1797" s="8"/>
    </row>
    <row r="1798" spans="1:19" ht="17.399999999999999" x14ac:dyDescent="0.3">
      <c r="A1798" s="8"/>
      <c r="B1798" s="8"/>
      <c r="C1798" s="8"/>
      <c r="D1798" s="8"/>
      <c r="E1798" s="8"/>
      <c r="F1798" s="8"/>
      <c r="G1798" s="45" t="s">
        <v>41</v>
      </c>
      <c r="H1798" s="45"/>
      <c r="I1798" s="45"/>
      <c r="J1798" s="45"/>
      <c r="K1798" s="45"/>
      <c r="L1798" s="45"/>
      <c r="M1798" s="45"/>
      <c r="N1798" s="45"/>
      <c r="O1798" s="45"/>
      <c r="P1798" s="45"/>
      <c r="Q1798" s="45"/>
      <c r="R1798" s="45"/>
      <c r="S1798" s="45"/>
    </row>
    <row r="1799" spans="1:19" ht="16.5" hidden="1" customHeight="1" x14ac:dyDescent="0.3">
      <c r="A1799" s="8"/>
      <c r="B1799" s="13" t="s">
        <v>27</v>
      </c>
      <c r="C1799" s="13" t="s">
        <v>31</v>
      </c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</row>
    <row r="1800" spans="1:19" ht="13.5" hidden="1" customHeight="1" x14ac:dyDescent="0.3">
      <c r="A1800" s="12"/>
      <c r="B1800" s="13"/>
      <c r="C1800" s="43" t="s">
        <v>26</v>
      </c>
      <c r="D1800" s="43"/>
      <c r="E1800" s="43"/>
      <c r="F1800" s="43"/>
      <c r="G1800" s="43"/>
      <c r="H1800" s="43"/>
      <c r="I1800" s="43"/>
      <c r="J1800" s="43"/>
      <c r="K1800" s="43"/>
      <c r="L1800" s="43"/>
      <c r="M1800" s="43"/>
      <c r="N1800" s="43"/>
      <c r="O1800" s="43"/>
      <c r="P1800" s="43"/>
      <c r="Q1800" s="43"/>
    </row>
    <row r="1801" spans="1:19" ht="13.5" hidden="1" customHeight="1" x14ac:dyDescent="0.25">
      <c r="A1801" s="37" t="s">
        <v>11</v>
      </c>
      <c r="B1801" s="37"/>
      <c r="C1801" s="14" t="s">
        <v>12</v>
      </c>
      <c r="D1801" s="14" t="s">
        <v>10</v>
      </c>
      <c r="E1801" s="14" t="s">
        <v>9</v>
      </c>
      <c r="F1801" s="14" t="s">
        <v>6</v>
      </c>
      <c r="G1801" s="14" t="s">
        <v>5</v>
      </c>
      <c r="H1801" s="14" t="s">
        <v>3</v>
      </c>
      <c r="I1801" s="14" t="s">
        <v>4</v>
      </c>
      <c r="J1801" s="14" t="s">
        <v>8</v>
      </c>
      <c r="K1801" s="14" t="s">
        <v>7</v>
      </c>
      <c r="L1801" s="14" t="s">
        <v>4</v>
      </c>
      <c r="M1801" s="14"/>
      <c r="N1801" s="14"/>
      <c r="O1801" s="14" t="s">
        <v>8</v>
      </c>
      <c r="P1801" s="14" t="s">
        <v>7</v>
      </c>
      <c r="Q1801" s="8"/>
    </row>
    <row r="1802" spans="1:19" ht="13.5" hidden="1" customHeight="1" x14ac:dyDescent="0.25">
      <c r="A1802" s="37" t="s">
        <v>13</v>
      </c>
      <c r="B1802" s="37"/>
      <c r="C1802" s="14">
        <v>4</v>
      </c>
      <c r="D1802" s="14">
        <v>3.7</v>
      </c>
      <c r="E1802" s="14">
        <v>3.5</v>
      </c>
      <c r="F1802" s="14">
        <v>3</v>
      </c>
      <c r="G1802" s="14">
        <v>2.5</v>
      </c>
      <c r="H1802" s="14">
        <v>2</v>
      </c>
      <c r="I1802" s="14">
        <v>1.5</v>
      </c>
      <c r="J1802" s="14">
        <v>1</v>
      </c>
      <c r="K1802" s="14">
        <v>0</v>
      </c>
      <c r="L1802" s="14">
        <v>1.5</v>
      </c>
      <c r="M1802" s="14"/>
      <c r="N1802" s="14"/>
      <c r="O1802" s="14">
        <v>1</v>
      </c>
      <c r="P1802" s="14">
        <v>0</v>
      </c>
      <c r="Q1802" s="8"/>
      <c r="R1802" s="5"/>
      <c r="S1802" s="5"/>
    </row>
    <row r="1803" spans="1:19" ht="13.5" hidden="1" customHeight="1" x14ac:dyDescent="0.25">
      <c r="A1803" s="37" t="s">
        <v>14</v>
      </c>
      <c r="B1803" s="37"/>
      <c r="C1803" s="15" t="s">
        <v>23</v>
      </c>
      <c r="D1803" s="14" t="s">
        <v>15</v>
      </c>
      <c r="E1803" s="14" t="s">
        <v>16</v>
      </c>
      <c r="F1803" s="14" t="s">
        <v>17</v>
      </c>
      <c r="G1803" s="14" t="s">
        <v>18</v>
      </c>
      <c r="H1803" s="14" t="s">
        <v>19</v>
      </c>
      <c r="I1803" s="14" t="s">
        <v>20</v>
      </c>
      <c r="J1803" s="14" t="s">
        <v>21</v>
      </c>
      <c r="K1803" s="14" t="s">
        <v>22</v>
      </c>
      <c r="L1803" s="14" t="s">
        <v>20</v>
      </c>
      <c r="M1803" s="14"/>
      <c r="N1803" s="14"/>
      <c r="O1803" s="14" t="s">
        <v>21</v>
      </c>
      <c r="P1803" s="14" t="s">
        <v>22</v>
      </c>
      <c r="Q1803" s="8"/>
      <c r="R1803" s="5"/>
      <c r="S1803" s="5"/>
    </row>
    <row r="1804" spans="1:19" ht="13.5" hidden="1" customHeight="1" x14ac:dyDescent="0.25">
      <c r="A1804" s="16"/>
      <c r="B1804" s="37" t="s">
        <v>25</v>
      </c>
      <c r="C1804" s="37"/>
      <c r="D1804" s="37"/>
      <c r="E1804" s="37"/>
      <c r="F1804" s="37"/>
      <c r="G1804" s="37"/>
      <c r="H1804" s="37"/>
      <c r="I1804" s="37"/>
      <c r="J1804" s="37"/>
      <c r="K1804" s="37"/>
      <c r="L1804" s="37"/>
      <c r="M1804" s="37"/>
      <c r="N1804" s="37"/>
      <c r="O1804" s="37"/>
      <c r="P1804" s="37"/>
      <c r="Q1804" s="37"/>
      <c r="R1804" s="4"/>
      <c r="S1804" s="4"/>
    </row>
    <row r="1805" spans="1:19" ht="13.5" hidden="1" customHeight="1" x14ac:dyDescent="0.25">
      <c r="A1805" s="16"/>
      <c r="B1805" s="37"/>
      <c r="C1805" s="37"/>
      <c r="D1805" s="37"/>
      <c r="E1805" s="37"/>
      <c r="F1805" s="37"/>
      <c r="G1805" s="37"/>
      <c r="H1805" s="37"/>
      <c r="I1805" s="37"/>
      <c r="J1805" s="37"/>
      <c r="K1805" s="37"/>
      <c r="L1805" s="37"/>
      <c r="M1805" s="37"/>
      <c r="N1805" s="37"/>
      <c r="O1805" s="37"/>
      <c r="P1805" s="37"/>
      <c r="Q1805" s="37"/>
      <c r="R1805" s="4"/>
      <c r="S1805" s="4"/>
    </row>
    <row r="1806" spans="1:19" ht="16.8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</row>
  </sheetData>
  <sheetProtection selectLockedCells="1" selectUnlockedCells="1"/>
  <mergeCells count="1752">
    <mergeCell ref="S1731:S1732"/>
    <mergeCell ref="I1731:I1732"/>
    <mergeCell ref="A1731:A1732"/>
    <mergeCell ref="J1731:Q1731"/>
    <mergeCell ref="H1731:H1732"/>
    <mergeCell ref="H1515:H1516"/>
    <mergeCell ref="B1623:G1624"/>
    <mergeCell ref="S1623:S1624"/>
    <mergeCell ref="I1623:I1624"/>
    <mergeCell ref="A1623:A1624"/>
    <mergeCell ref="J1623:Q1623"/>
    <mergeCell ref="H1623:H1624"/>
    <mergeCell ref="S1407:S1408"/>
    <mergeCell ref="I1407:I1408"/>
    <mergeCell ref="A1407:A1408"/>
    <mergeCell ref="J1407:Q1407"/>
    <mergeCell ref="H1407:H1408"/>
    <mergeCell ref="B1515:G1516"/>
    <mergeCell ref="S1515:S1516"/>
    <mergeCell ref="I1515:I1516"/>
    <mergeCell ref="A1515:A1516"/>
    <mergeCell ref="J1515:Q1515"/>
    <mergeCell ref="H1191:H1192"/>
    <mergeCell ref="B1299:G1300"/>
    <mergeCell ref="S1299:S1300"/>
    <mergeCell ref="I1299:I1300"/>
    <mergeCell ref="A1299:A1300"/>
    <mergeCell ref="J1299:Q1299"/>
    <mergeCell ref="H1299:H1300"/>
    <mergeCell ref="S1083:S1084"/>
    <mergeCell ref="I1083:I1084"/>
    <mergeCell ref="A1083:A1084"/>
    <mergeCell ref="J1083:Q1083"/>
    <mergeCell ref="H1083:H1084"/>
    <mergeCell ref="B1191:G1192"/>
    <mergeCell ref="S1191:S1192"/>
    <mergeCell ref="I1191:I1192"/>
    <mergeCell ref="A1191:A1192"/>
    <mergeCell ref="J1191:Q1191"/>
    <mergeCell ref="H854:H855"/>
    <mergeCell ref="B967:G968"/>
    <mergeCell ref="S967:S968"/>
    <mergeCell ref="I967:I968"/>
    <mergeCell ref="A967:A968"/>
    <mergeCell ref="J967:Q967"/>
    <mergeCell ref="H967:H968"/>
    <mergeCell ref="S734:S735"/>
    <mergeCell ref="I734:I735"/>
    <mergeCell ref="A734:A735"/>
    <mergeCell ref="J734:Q734"/>
    <mergeCell ref="H734:H735"/>
    <mergeCell ref="B854:G855"/>
    <mergeCell ref="S854:S855"/>
    <mergeCell ref="I854:I855"/>
    <mergeCell ref="A854:A855"/>
    <mergeCell ref="J854:Q854"/>
    <mergeCell ref="H514:H515"/>
    <mergeCell ref="B626:G627"/>
    <mergeCell ref="S626:S627"/>
    <mergeCell ref="I626:I627"/>
    <mergeCell ref="A626:A627"/>
    <mergeCell ref="J626:Q626"/>
    <mergeCell ref="H626:H627"/>
    <mergeCell ref="S402:S403"/>
    <mergeCell ref="I402:I403"/>
    <mergeCell ref="A402:A403"/>
    <mergeCell ref="J402:Q402"/>
    <mergeCell ref="H402:H403"/>
    <mergeCell ref="B514:G515"/>
    <mergeCell ref="S514:S515"/>
    <mergeCell ref="I514:I515"/>
    <mergeCell ref="A514:A515"/>
    <mergeCell ref="J514:Q514"/>
    <mergeCell ref="A182:A183"/>
    <mergeCell ref="J182:Q182"/>
    <mergeCell ref="H182:H183"/>
    <mergeCell ref="B290:G291"/>
    <mergeCell ref="S290:S291"/>
    <mergeCell ref="I290:I291"/>
    <mergeCell ref="A290:A291"/>
    <mergeCell ref="J290:Q290"/>
    <mergeCell ref="H290:H291"/>
    <mergeCell ref="B1788:G1788"/>
    <mergeCell ref="B49:G50"/>
    <mergeCell ref="S49:S50"/>
    <mergeCell ref="I49:I50"/>
    <mergeCell ref="A49:A50"/>
    <mergeCell ref="J49:Q49"/>
    <mergeCell ref="H49:H50"/>
    <mergeCell ref="B182:G183"/>
    <mergeCell ref="S182:S183"/>
    <mergeCell ref="I182:I183"/>
    <mergeCell ref="B1782:G1782"/>
    <mergeCell ref="B1783:G1783"/>
    <mergeCell ref="B1784:G1784"/>
    <mergeCell ref="B1785:G1785"/>
    <mergeCell ref="B1786:G1786"/>
    <mergeCell ref="B1787:G1787"/>
    <mergeCell ref="B1772:G1772"/>
    <mergeCell ref="B1773:G1773"/>
    <mergeCell ref="B1774:G1774"/>
    <mergeCell ref="B1775:G1775"/>
    <mergeCell ref="B1776:G1776"/>
    <mergeCell ref="B1777:G1777"/>
    <mergeCell ref="B1762:G1762"/>
    <mergeCell ref="B1763:G1763"/>
    <mergeCell ref="B1768:G1768"/>
    <mergeCell ref="B1769:G1769"/>
    <mergeCell ref="B1770:G1770"/>
    <mergeCell ref="B1771:G1771"/>
    <mergeCell ref="B1756:G1756"/>
    <mergeCell ref="B1757:G1757"/>
    <mergeCell ref="B1758:G1758"/>
    <mergeCell ref="B1759:G1759"/>
    <mergeCell ref="B1760:G1760"/>
    <mergeCell ref="B1761:G1761"/>
    <mergeCell ref="B1746:G1746"/>
    <mergeCell ref="B1747:G1747"/>
    <mergeCell ref="B1748:G1748"/>
    <mergeCell ref="B1749:G1749"/>
    <mergeCell ref="B1754:G1754"/>
    <mergeCell ref="B1755:G1755"/>
    <mergeCell ref="B1736:G1736"/>
    <mergeCell ref="B1741:G1741"/>
    <mergeCell ref="B1742:G1742"/>
    <mergeCell ref="B1743:G1743"/>
    <mergeCell ref="B1744:G1744"/>
    <mergeCell ref="B1745:G1745"/>
    <mergeCell ref="B1728:G1728"/>
    <mergeCell ref="B1729:G1729"/>
    <mergeCell ref="B1730:G1730"/>
    <mergeCell ref="B1733:G1733"/>
    <mergeCell ref="B1734:G1734"/>
    <mergeCell ref="B1735:G1735"/>
    <mergeCell ref="B1731:G1732"/>
    <mergeCell ref="B1781:G1781"/>
    <mergeCell ref="B1695:G1695"/>
    <mergeCell ref="B1696:G1696"/>
    <mergeCell ref="B1697:G1697"/>
    <mergeCell ref="B1698:G1698"/>
    <mergeCell ref="B1699:G1699"/>
    <mergeCell ref="B1700:G1700"/>
    <mergeCell ref="B1705:G1705"/>
    <mergeCell ref="B1706:G1706"/>
    <mergeCell ref="B1707:G1707"/>
    <mergeCell ref="B1779:G1779"/>
    <mergeCell ref="B1790:G1790"/>
    <mergeCell ref="B1704:G1704"/>
    <mergeCell ref="B1714:G1714"/>
    <mergeCell ref="B1718:G1718"/>
    <mergeCell ref="B1722:G1722"/>
    <mergeCell ref="B1726:G1726"/>
    <mergeCell ref="B1740:G1740"/>
    <mergeCell ref="B1753:G1753"/>
    <mergeCell ref="B1767:G1767"/>
    <mergeCell ref="A1752:S1752"/>
    <mergeCell ref="A1766:S1766"/>
    <mergeCell ref="A1780:S1780"/>
    <mergeCell ref="B1712:G1712"/>
    <mergeCell ref="B1716:G1716"/>
    <mergeCell ref="B1720:G1720"/>
    <mergeCell ref="B1724:G1724"/>
    <mergeCell ref="B1738:G1738"/>
    <mergeCell ref="B1751:G1751"/>
    <mergeCell ref="B1765:G1765"/>
    <mergeCell ref="A1703:S1703"/>
    <mergeCell ref="A1713:S1713"/>
    <mergeCell ref="A1717:S1717"/>
    <mergeCell ref="A1721:S1721"/>
    <mergeCell ref="A1725:S1725"/>
    <mergeCell ref="A1739:S1739"/>
    <mergeCell ref="B1708:G1708"/>
    <mergeCell ref="B1709:G1709"/>
    <mergeCell ref="B1710:G1710"/>
    <mergeCell ref="B1727:G1727"/>
    <mergeCell ref="B1663:G1663"/>
    <mergeCell ref="B1664:G1664"/>
    <mergeCell ref="B1665:G1665"/>
    <mergeCell ref="B1666:G1666"/>
    <mergeCell ref="B1667:G1667"/>
    <mergeCell ref="B1668:G1668"/>
    <mergeCell ref="B1653:G1653"/>
    <mergeCell ref="B1654:G1654"/>
    <mergeCell ref="B1655:G1655"/>
    <mergeCell ref="B1656:G1656"/>
    <mergeCell ref="B1657:G1657"/>
    <mergeCell ref="B1662:G1662"/>
    <mergeCell ref="B1643:G1643"/>
    <mergeCell ref="B1648:G1648"/>
    <mergeCell ref="B1649:G1649"/>
    <mergeCell ref="B1650:G1650"/>
    <mergeCell ref="B1651:G1651"/>
    <mergeCell ref="B1652:G1652"/>
    <mergeCell ref="B1637:G1637"/>
    <mergeCell ref="B1638:G1638"/>
    <mergeCell ref="B1639:G1639"/>
    <mergeCell ref="B1640:G1640"/>
    <mergeCell ref="B1641:G1641"/>
    <mergeCell ref="B1642:G1642"/>
    <mergeCell ref="B1627:G1627"/>
    <mergeCell ref="B1628:G1628"/>
    <mergeCell ref="B1629:G1629"/>
    <mergeCell ref="B1634:G1634"/>
    <mergeCell ref="B1635:G1635"/>
    <mergeCell ref="B1636:G1636"/>
    <mergeCell ref="B1619:G1619"/>
    <mergeCell ref="B1620:G1620"/>
    <mergeCell ref="B1621:G1621"/>
    <mergeCell ref="B1622:G1622"/>
    <mergeCell ref="B1625:G1625"/>
    <mergeCell ref="B1626:G1626"/>
    <mergeCell ref="B1609:G1609"/>
    <mergeCell ref="B1610:G1610"/>
    <mergeCell ref="B1611:G1611"/>
    <mergeCell ref="B1612:G1612"/>
    <mergeCell ref="B1613:G1613"/>
    <mergeCell ref="B1614:G1614"/>
    <mergeCell ref="B1599:G1599"/>
    <mergeCell ref="B1600:G1600"/>
    <mergeCell ref="B1601:G1601"/>
    <mergeCell ref="B1602:G1602"/>
    <mergeCell ref="B1607:G1607"/>
    <mergeCell ref="B1608:G1608"/>
    <mergeCell ref="B1587:G1587"/>
    <mergeCell ref="B1588:G1588"/>
    <mergeCell ref="B1589:G1589"/>
    <mergeCell ref="B1590:G1590"/>
    <mergeCell ref="B1591:G1591"/>
    <mergeCell ref="B1592:G1592"/>
    <mergeCell ref="B1659:G1659"/>
    <mergeCell ref="B1670:G1670"/>
    <mergeCell ref="B1596:G1596"/>
    <mergeCell ref="B1606:G1606"/>
    <mergeCell ref="B1618:G1618"/>
    <mergeCell ref="B1633:G1633"/>
    <mergeCell ref="B1647:G1647"/>
    <mergeCell ref="B1661:G1661"/>
    <mergeCell ref="B1597:G1597"/>
    <mergeCell ref="B1598:G1598"/>
    <mergeCell ref="A1595:S1595"/>
    <mergeCell ref="A1605:S1605"/>
    <mergeCell ref="A1617:S1617"/>
    <mergeCell ref="A1632:S1632"/>
    <mergeCell ref="A1646:S1646"/>
    <mergeCell ref="A1660:S1660"/>
    <mergeCell ref="B1604:G1604"/>
    <mergeCell ref="B1616:G1616"/>
    <mergeCell ref="B1631:G1631"/>
    <mergeCell ref="B1645:G1645"/>
    <mergeCell ref="B1555:G1555"/>
    <mergeCell ref="B1556:G1556"/>
    <mergeCell ref="B1557:G1557"/>
    <mergeCell ref="B1558:G1558"/>
    <mergeCell ref="B1559:G1559"/>
    <mergeCell ref="B1560:G1560"/>
    <mergeCell ref="B1545:G1545"/>
    <mergeCell ref="B1546:G1546"/>
    <mergeCell ref="B1547:G1547"/>
    <mergeCell ref="B1548:G1548"/>
    <mergeCell ref="B1549:G1549"/>
    <mergeCell ref="B1554:G1554"/>
    <mergeCell ref="B1535:G1535"/>
    <mergeCell ref="B1540:G1540"/>
    <mergeCell ref="B1541:G1541"/>
    <mergeCell ref="B1542:G1542"/>
    <mergeCell ref="B1543:G1543"/>
    <mergeCell ref="B1544:G1544"/>
    <mergeCell ref="B1529:G1529"/>
    <mergeCell ref="B1530:G1530"/>
    <mergeCell ref="B1531:G1531"/>
    <mergeCell ref="B1532:G1532"/>
    <mergeCell ref="B1533:G1533"/>
    <mergeCell ref="B1534:G1534"/>
    <mergeCell ref="B1519:G1519"/>
    <mergeCell ref="B1520:G1520"/>
    <mergeCell ref="B1521:G1521"/>
    <mergeCell ref="B1526:G1526"/>
    <mergeCell ref="B1527:G1527"/>
    <mergeCell ref="B1528:G1528"/>
    <mergeCell ref="B1511:G1511"/>
    <mergeCell ref="B1512:G1512"/>
    <mergeCell ref="B1513:G1513"/>
    <mergeCell ref="B1514:G1514"/>
    <mergeCell ref="B1517:G1517"/>
    <mergeCell ref="B1518:G1518"/>
    <mergeCell ref="B1501:G1501"/>
    <mergeCell ref="B1502:G1502"/>
    <mergeCell ref="B1503:G1503"/>
    <mergeCell ref="B1504:G1504"/>
    <mergeCell ref="B1505:G1505"/>
    <mergeCell ref="B1506:G1506"/>
    <mergeCell ref="B1491:G1491"/>
    <mergeCell ref="B1492:G1492"/>
    <mergeCell ref="B1493:G1493"/>
    <mergeCell ref="B1494:G1494"/>
    <mergeCell ref="B1499:G1499"/>
    <mergeCell ref="B1500:G1500"/>
    <mergeCell ref="B1479:G1479"/>
    <mergeCell ref="B1480:G1480"/>
    <mergeCell ref="B1481:G1481"/>
    <mergeCell ref="B1482:G1482"/>
    <mergeCell ref="B1483:G1483"/>
    <mergeCell ref="B1484:G1484"/>
    <mergeCell ref="B1551:G1551"/>
    <mergeCell ref="B1562:G1562"/>
    <mergeCell ref="B1488:G1488"/>
    <mergeCell ref="B1498:G1498"/>
    <mergeCell ref="B1510:G1510"/>
    <mergeCell ref="B1525:G1525"/>
    <mergeCell ref="B1539:G1539"/>
    <mergeCell ref="B1553:G1553"/>
    <mergeCell ref="B1489:G1489"/>
    <mergeCell ref="B1490:G1490"/>
    <mergeCell ref="A1487:S1487"/>
    <mergeCell ref="A1497:S1497"/>
    <mergeCell ref="A1509:S1509"/>
    <mergeCell ref="A1524:S1524"/>
    <mergeCell ref="A1538:S1538"/>
    <mergeCell ref="A1552:S1552"/>
    <mergeCell ref="B1496:G1496"/>
    <mergeCell ref="B1508:G1508"/>
    <mergeCell ref="B1523:G1523"/>
    <mergeCell ref="B1537:G1537"/>
    <mergeCell ref="B1447:G1447"/>
    <mergeCell ref="B1448:G1448"/>
    <mergeCell ref="B1449:G1449"/>
    <mergeCell ref="B1450:G1450"/>
    <mergeCell ref="B1451:G1451"/>
    <mergeCell ref="B1452:G1452"/>
    <mergeCell ref="B1437:G1437"/>
    <mergeCell ref="B1438:G1438"/>
    <mergeCell ref="B1439:G1439"/>
    <mergeCell ref="B1440:G1440"/>
    <mergeCell ref="B1441:G1441"/>
    <mergeCell ref="B1446:G1446"/>
    <mergeCell ref="B1427:G1427"/>
    <mergeCell ref="B1432:G1432"/>
    <mergeCell ref="B1433:G1433"/>
    <mergeCell ref="B1434:G1434"/>
    <mergeCell ref="B1435:G1435"/>
    <mergeCell ref="B1436:G1436"/>
    <mergeCell ref="B1421:G1421"/>
    <mergeCell ref="B1422:G1422"/>
    <mergeCell ref="B1423:G1423"/>
    <mergeCell ref="B1424:G1424"/>
    <mergeCell ref="B1425:G1425"/>
    <mergeCell ref="B1426:G1426"/>
    <mergeCell ref="B1411:G1411"/>
    <mergeCell ref="B1412:G1412"/>
    <mergeCell ref="B1413:G1413"/>
    <mergeCell ref="B1418:G1418"/>
    <mergeCell ref="B1419:G1419"/>
    <mergeCell ref="B1420:G1420"/>
    <mergeCell ref="B1403:G1403"/>
    <mergeCell ref="B1404:G1404"/>
    <mergeCell ref="B1405:G1405"/>
    <mergeCell ref="B1406:G1406"/>
    <mergeCell ref="B1409:G1409"/>
    <mergeCell ref="B1410:G1410"/>
    <mergeCell ref="B1407:G1408"/>
    <mergeCell ref="B1393:G1393"/>
    <mergeCell ref="B1394:G1394"/>
    <mergeCell ref="B1395:G1395"/>
    <mergeCell ref="B1396:G1396"/>
    <mergeCell ref="B1397:G1397"/>
    <mergeCell ref="B1398:G1398"/>
    <mergeCell ref="B1375:G1375"/>
    <mergeCell ref="B1376:G1376"/>
    <mergeCell ref="B1381:G1381"/>
    <mergeCell ref="B1382:G1382"/>
    <mergeCell ref="B1383:G1383"/>
    <mergeCell ref="B1384:G1384"/>
    <mergeCell ref="B1454:G1454"/>
    <mergeCell ref="B1380:G1380"/>
    <mergeCell ref="B1390:G1390"/>
    <mergeCell ref="B1402:G1402"/>
    <mergeCell ref="B1417:G1417"/>
    <mergeCell ref="B1431:G1431"/>
    <mergeCell ref="B1445:G1445"/>
    <mergeCell ref="B1385:G1385"/>
    <mergeCell ref="B1386:G1386"/>
    <mergeCell ref="B1391:G1391"/>
    <mergeCell ref="A1401:S1401"/>
    <mergeCell ref="A1416:S1416"/>
    <mergeCell ref="A1430:S1430"/>
    <mergeCell ref="A1444:S1444"/>
    <mergeCell ref="B1388:G1388"/>
    <mergeCell ref="B1400:G1400"/>
    <mergeCell ref="B1415:G1415"/>
    <mergeCell ref="B1429:G1429"/>
    <mergeCell ref="B1443:G1443"/>
    <mergeCell ref="B1392:G1392"/>
    <mergeCell ref="B1341:G1341"/>
    <mergeCell ref="B1342:G1342"/>
    <mergeCell ref="B1343:G1343"/>
    <mergeCell ref="B1344:G1344"/>
    <mergeCell ref="A1379:S1379"/>
    <mergeCell ref="A1389:S1389"/>
    <mergeCell ref="B1371:G1371"/>
    <mergeCell ref="B1372:G1372"/>
    <mergeCell ref="B1373:G1373"/>
    <mergeCell ref="B1374:G1374"/>
    <mergeCell ref="B1331:G1331"/>
    <mergeCell ref="B1332:G1332"/>
    <mergeCell ref="B1333:G1333"/>
    <mergeCell ref="B1338:G1338"/>
    <mergeCell ref="B1339:G1339"/>
    <mergeCell ref="B1340:G1340"/>
    <mergeCell ref="B1325:G1325"/>
    <mergeCell ref="B1326:G1326"/>
    <mergeCell ref="B1327:G1327"/>
    <mergeCell ref="B1328:G1328"/>
    <mergeCell ref="B1329:G1329"/>
    <mergeCell ref="B1330:G1330"/>
    <mergeCell ref="B1315:G1315"/>
    <mergeCell ref="B1316:G1316"/>
    <mergeCell ref="B1317:G1317"/>
    <mergeCell ref="B1318:G1318"/>
    <mergeCell ref="B1319:G1319"/>
    <mergeCell ref="B1324:G1324"/>
    <mergeCell ref="B1305:G1305"/>
    <mergeCell ref="B1310:G1310"/>
    <mergeCell ref="B1311:G1311"/>
    <mergeCell ref="B1312:G1312"/>
    <mergeCell ref="B1313:G1313"/>
    <mergeCell ref="B1314:G1314"/>
    <mergeCell ref="B1297:G1297"/>
    <mergeCell ref="B1298:G1298"/>
    <mergeCell ref="B1301:G1301"/>
    <mergeCell ref="B1302:G1302"/>
    <mergeCell ref="B1303:G1303"/>
    <mergeCell ref="B1304:G1304"/>
    <mergeCell ref="B1287:G1287"/>
    <mergeCell ref="B1288:G1288"/>
    <mergeCell ref="B1289:G1289"/>
    <mergeCell ref="B1290:G1290"/>
    <mergeCell ref="B1295:G1295"/>
    <mergeCell ref="B1296:G1296"/>
    <mergeCell ref="B1267:G1267"/>
    <mergeCell ref="B1268:G1268"/>
    <mergeCell ref="B1273:G1273"/>
    <mergeCell ref="B1274:G1274"/>
    <mergeCell ref="B1275:G1275"/>
    <mergeCell ref="B1276:G1276"/>
    <mergeCell ref="B1346:G1346"/>
    <mergeCell ref="B1272:G1272"/>
    <mergeCell ref="B1282:G1282"/>
    <mergeCell ref="B1294:G1294"/>
    <mergeCell ref="B1309:G1309"/>
    <mergeCell ref="B1323:G1323"/>
    <mergeCell ref="B1337:G1337"/>
    <mergeCell ref="B1277:G1277"/>
    <mergeCell ref="B1278:G1278"/>
    <mergeCell ref="B1283:G1283"/>
    <mergeCell ref="A1322:S1322"/>
    <mergeCell ref="A1336:S1336"/>
    <mergeCell ref="B1280:G1280"/>
    <mergeCell ref="B1292:G1292"/>
    <mergeCell ref="B1307:G1307"/>
    <mergeCell ref="B1321:G1321"/>
    <mergeCell ref="B1335:G1335"/>
    <mergeCell ref="B1284:G1284"/>
    <mergeCell ref="B1285:G1285"/>
    <mergeCell ref="B1286:G1286"/>
    <mergeCell ref="B1235:G1235"/>
    <mergeCell ref="B1236:G1236"/>
    <mergeCell ref="A1271:S1271"/>
    <mergeCell ref="A1281:S1281"/>
    <mergeCell ref="A1293:S1293"/>
    <mergeCell ref="A1308:S1308"/>
    <mergeCell ref="B1263:G1263"/>
    <mergeCell ref="B1264:G1264"/>
    <mergeCell ref="B1265:G1265"/>
    <mergeCell ref="B1266:G1266"/>
    <mergeCell ref="B1225:G1225"/>
    <mergeCell ref="B1230:G1230"/>
    <mergeCell ref="B1231:G1231"/>
    <mergeCell ref="B1232:G1232"/>
    <mergeCell ref="B1233:G1233"/>
    <mergeCell ref="B1234:G1234"/>
    <mergeCell ref="B1219:G1219"/>
    <mergeCell ref="B1220:G1220"/>
    <mergeCell ref="B1221:G1221"/>
    <mergeCell ref="B1222:G1222"/>
    <mergeCell ref="B1223:G1223"/>
    <mergeCell ref="B1224:G1224"/>
    <mergeCell ref="B1209:G1209"/>
    <mergeCell ref="B1210:G1210"/>
    <mergeCell ref="B1211:G1211"/>
    <mergeCell ref="B1216:G1216"/>
    <mergeCell ref="B1217:G1217"/>
    <mergeCell ref="B1218:G1218"/>
    <mergeCell ref="B1203:G1203"/>
    <mergeCell ref="B1204:G1204"/>
    <mergeCell ref="B1205:G1205"/>
    <mergeCell ref="B1206:G1206"/>
    <mergeCell ref="B1207:G1207"/>
    <mergeCell ref="B1208:G1208"/>
    <mergeCell ref="B1193:G1193"/>
    <mergeCell ref="B1194:G1194"/>
    <mergeCell ref="B1195:G1195"/>
    <mergeCell ref="B1196:G1196"/>
    <mergeCell ref="B1197:G1197"/>
    <mergeCell ref="B1202:G1202"/>
    <mergeCell ref="B1181:G1181"/>
    <mergeCell ref="B1182:G1182"/>
    <mergeCell ref="B1187:G1187"/>
    <mergeCell ref="B1188:G1188"/>
    <mergeCell ref="B1189:G1189"/>
    <mergeCell ref="B1190:G1190"/>
    <mergeCell ref="B1175:G1175"/>
    <mergeCell ref="B1176:G1176"/>
    <mergeCell ref="B1177:G1177"/>
    <mergeCell ref="B1178:G1178"/>
    <mergeCell ref="B1179:G1179"/>
    <mergeCell ref="B1180:G1180"/>
    <mergeCell ref="B1229:G1229"/>
    <mergeCell ref="B1155:G1155"/>
    <mergeCell ref="B1156:G1156"/>
    <mergeCell ref="B1157:G1157"/>
    <mergeCell ref="B1158:G1158"/>
    <mergeCell ref="B1159:G1159"/>
    <mergeCell ref="B1160:G1160"/>
    <mergeCell ref="B1165:G1165"/>
    <mergeCell ref="B1166:G1166"/>
    <mergeCell ref="B1167:G1167"/>
    <mergeCell ref="B1184:G1184"/>
    <mergeCell ref="B1199:G1199"/>
    <mergeCell ref="B1213:G1213"/>
    <mergeCell ref="B1227:G1227"/>
    <mergeCell ref="B1238:G1238"/>
    <mergeCell ref="B1164:G1164"/>
    <mergeCell ref="B1174:G1174"/>
    <mergeCell ref="B1186:G1186"/>
    <mergeCell ref="B1201:G1201"/>
    <mergeCell ref="B1215:G1215"/>
    <mergeCell ref="B1125:G1125"/>
    <mergeCell ref="B1126:G1126"/>
    <mergeCell ref="B1127:G1127"/>
    <mergeCell ref="B1128:G1128"/>
    <mergeCell ref="A1163:S1163"/>
    <mergeCell ref="A1173:S1173"/>
    <mergeCell ref="B1172:G1172"/>
    <mergeCell ref="B1168:G1168"/>
    <mergeCell ref="B1169:G1169"/>
    <mergeCell ref="B1170:G1170"/>
    <mergeCell ref="B1115:G1115"/>
    <mergeCell ref="B1116:G1116"/>
    <mergeCell ref="B1117:G1117"/>
    <mergeCell ref="B1122:G1122"/>
    <mergeCell ref="B1123:G1123"/>
    <mergeCell ref="B1124:G1124"/>
    <mergeCell ref="B1109:G1109"/>
    <mergeCell ref="B1110:G1110"/>
    <mergeCell ref="B1111:G1111"/>
    <mergeCell ref="B1112:G1112"/>
    <mergeCell ref="B1113:G1113"/>
    <mergeCell ref="B1114:G1114"/>
    <mergeCell ref="B1099:G1099"/>
    <mergeCell ref="B1100:G1100"/>
    <mergeCell ref="B1101:G1101"/>
    <mergeCell ref="B1102:G1102"/>
    <mergeCell ref="B1103:G1103"/>
    <mergeCell ref="B1108:G1108"/>
    <mergeCell ref="B1089:G1089"/>
    <mergeCell ref="B1094:G1094"/>
    <mergeCell ref="B1095:G1095"/>
    <mergeCell ref="B1096:G1096"/>
    <mergeCell ref="B1097:G1097"/>
    <mergeCell ref="B1098:G1098"/>
    <mergeCell ref="B1081:G1081"/>
    <mergeCell ref="B1082:G1082"/>
    <mergeCell ref="B1085:G1085"/>
    <mergeCell ref="B1086:G1086"/>
    <mergeCell ref="B1087:G1087"/>
    <mergeCell ref="B1088:G1088"/>
    <mergeCell ref="B1083:G1084"/>
    <mergeCell ref="B1071:G1071"/>
    <mergeCell ref="B1072:G1072"/>
    <mergeCell ref="B1073:G1073"/>
    <mergeCell ref="B1074:G1074"/>
    <mergeCell ref="B1079:G1079"/>
    <mergeCell ref="B1080:G1080"/>
    <mergeCell ref="B1061:G1061"/>
    <mergeCell ref="B1062:G1062"/>
    <mergeCell ref="B1067:G1067"/>
    <mergeCell ref="B1068:G1068"/>
    <mergeCell ref="B1069:G1069"/>
    <mergeCell ref="B1070:G1070"/>
    <mergeCell ref="B1048:G1048"/>
    <mergeCell ref="B1049:G1049"/>
    <mergeCell ref="B1050:G1050"/>
    <mergeCell ref="B1051:G1051"/>
    <mergeCell ref="B1052:G1052"/>
    <mergeCell ref="B1057:G1057"/>
    <mergeCell ref="B1130:G1130"/>
    <mergeCell ref="B1056:G1056"/>
    <mergeCell ref="B1066:G1066"/>
    <mergeCell ref="B1078:G1078"/>
    <mergeCell ref="B1093:G1093"/>
    <mergeCell ref="B1107:G1107"/>
    <mergeCell ref="B1121:G1121"/>
    <mergeCell ref="B1058:G1058"/>
    <mergeCell ref="B1059:G1059"/>
    <mergeCell ref="B1060:G1060"/>
    <mergeCell ref="B1019:G1019"/>
    <mergeCell ref="B1020:G1020"/>
    <mergeCell ref="A1055:S1055"/>
    <mergeCell ref="A1065:S1065"/>
    <mergeCell ref="A1077:S1077"/>
    <mergeCell ref="A1092:S1092"/>
    <mergeCell ref="B1064:G1064"/>
    <mergeCell ref="B1076:G1076"/>
    <mergeCell ref="B1091:G1091"/>
    <mergeCell ref="B1047:G1047"/>
    <mergeCell ref="B1009:G1009"/>
    <mergeCell ref="B1014:G1014"/>
    <mergeCell ref="B1015:G1015"/>
    <mergeCell ref="B1016:G1016"/>
    <mergeCell ref="B1017:G1017"/>
    <mergeCell ref="B1018:G1018"/>
    <mergeCell ref="B1003:G1003"/>
    <mergeCell ref="B1004:G1004"/>
    <mergeCell ref="B1005:G1005"/>
    <mergeCell ref="B1006:G1006"/>
    <mergeCell ref="B1007:G1007"/>
    <mergeCell ref="B1008:G1008"/>
    <mergeCell ref="B989:G989"/>
    <mergeCell ref="B990:G990"/>
    <mergeCell ref="B991:G991"/>
    <mergeCell ref="B1000:G1000"/>
    <mergeCell ref="B1001:G1001"/>
    <mergeCell ref="B1002:G1002"/>
    <mergeCell ref="B983:G983"/>
    <mergeCell ref="B984:G984"/>
    <mergeCell ref="B985:G985"/>
    <mergeCell ref="B986:G986"/>
    <mergeCell ref="B987:G987"/>
    <mergeCell ref="B988:G988"/>
    <mergeCell ref="B973:G973"/>
    <mergeCell ref="B974:G974"/>
    <mergeCell ref="B975:G975"/>
    <mergeCell ref="B976:G976"/>
    <mergeCell ref="B977:G977"/>
    <mergeCell ref="B982:G982"/>
    <mergeCell ref="B945:G945"/>
    <mergeCell ref="B946:G946"/>
    <mergeCell ref="B955:G955"/>
    <mergeCell ref="B956:G956"/>
    <mergeCell ref="B957:G957"/>
    <mergeCell ref="B958:G958"/>
    <mergeCell ref="B934:G934"/>
    <mergeCell ref="B935:G935"/>
    <mergeCell ref="B936:G936"/>
    <mergeCell ref="B941:G941"/>
    <mergeCell ref="B942:G942"/>
    <mergeCell ref="B943:G943"/>
    <mergeCell ref="B1022:G1022"/>
    <mergeCell ref="B940:G940"/>
    <mergeCell ref="B950:G950"/>
    <mergeCell ref="B954:G954"/>
    <mergeCell ref="B966:G966"/>
    <mergeCell ref="B981:G981"/>
    <mergeCell ref="B995:G995"/>
    <mergeCell ref="B999:G999"/>
    <mergeCell ref="B1013:G1013"/>
    <mergeCell ref="B944:G944"/>
    <mergeCell ref="B952:G952"/>
    <mergeCell ref="B964:G964"/>
    <mergeCell ref="B979:G979"/>
    <mergeCell ref="B993:G993"/>
    <mergeCell ref="B997:G997"/>
    <mergeCell ref="B1011:G1011"/>
    <mergeCell ref="B959:G959"/>
    <mergeCell ref="B960:G960"/>
    <mergeCell ref="B961:G961"/>
    <mergeCell ref="B962:G962"/>
    <mergeCell ref="A953:S953"/>
    <mergeCell ref="A965:S965"/>
    <mergeCell ref="A980:S980"/>
    <mergeCell ref="A994:S994"/>
    <mergeCell ref="A998:S998"/>
    <mergeCell ref="A1012:S1012"/>
    <mergeCell ref="B969:G969"/>
    <mergeCell ref="B970:G970"/>
    <mergeCell ref="B971:G971"/>
    <mergeCell ref="B972:G972"/>
    <mergeCell ref="B905:G905"/>
    <mergeCell ref="B906:G906"/>
    <mergeCell ref="B907:G907"/>
    <mergeCell ref="B908:G908"/>
    <mergeCell ref="A939:S939"/>
    <mergeCell ref="A949:S949"/>
    <mergeCell ref="B948:G948"/>
    <mergeCell ref="B931:G931"/>
    <mergeCell ref="B932:G932"/>
    <mergeCell ref="B933:G933"/>
    <mergeCell ref="B891:G891"/>
    <mergeCell ref="B892:G892"/>
    <mergeCell ref="B893:G893"/>
    <mergeCell ref="B902:G902"/>
    <mergeCell ref="B903:G903"/>
    <mergeCell ref="B904:G904"/>
    <mergeCell ref="B885:G885"/>
    <mergeCell ref="B886:G886"/>
    <mergeCell ref="B887:G887"/>
    <mergeCell ref="B888:G888"/>
    <mergeCell ref="B889:G889"/>
    <mergeCell ref="B890:G890"/>
    <mergeCell ref="B875:G875"/>
    <mergeCell ref="B876:G876"/>
    <mergeCell ref="B877:G877"/>
    <mergeCell ref="B878:G878"/>
    <mergeCell ref="B879:G879"/>
    <mergeCell ref="B884:G884"/>
    <mergeCell ref="B865:G865"/>
    <mergeCell ref="B870:G870"/>
    <mergeCell ref="B871:G871"/>
    <mergeCell ref="B872:G872"/>
    <mergeCell ref="B873:G873"/>
    <mergeCell ref="B874:G874"/>
    <mergeCell ref="B859:G859"/>
    <mergeCell ref="B860:G860"/>
    <mergeCell ref="B861:G861"/>
    <mergeCell ref="B862:G862"/>
    <mergeCell ref="B863:G863"/>
    <mergeCell ref="B864:G864"/>
    <mergeCell ref="B843:G843"/>
    <mergeCell ref="B844:G844"/>
    <mergeCell ref="B845:G845"/>
    <mergeCell ref="B850:G850"/>
    <mergeCell ref="B857:G857"/>
    <mergeCell ref="B858:G858"/>
    <mergeCell ref="B833:G833"/>
    <mergeCell ref="B838:G838"/>
    <mergeCell ref="B839:G839"/>
    <mergeCell ref="B840:G840"/>
    <mergeCell ref="B841:G841"/>
    <mergeCell ref="B842:G842"/>
    <mergeCell ref="B822:G822"/>
    <mergeCell ref="B823:G823"/>
    <mergeCell ref="B828:G828"/>
    <mergeCell ref="B829:G829"/>
    <mergeCell ref="B830:G830"/>
    <mergeCell ref="B831:G831"/>
    <mergeCell ref="B910:G910"/>
    <mergeCell ref="B827:G827"/>
    <mergeCell ref="B837:G837"/>
    <mergeCell ref="B849:G849"/>
    <mergeCell ref="B856:G856"/>
    <mergeCell ref="B869:G869"/>
    <mergeCell ref="B883:G883"/>
    <mergeCell ref="B897:G897"/>
    <mergeCell ref="B901:G901"/>
    <mergeCell ref="B832:G832"/>
    <mergeCell ref="A882:S882"/>
    <mergeCell ref="A896:S896"/>
    <mergeCell ref="A900:S900"/>
    <mergeCell ref="B835:G835"/>
    <mergeCell ref="B847:G847"/>
    <mergeCell ref="B852:G852"/>
    <mergeCell ref="B867:G867"/>
    <mergeCell ref="B881:G881"/>
    <mergeCell ref="B895:G895"/>
    <mergeCell ref="B899:G899"/>
    <mergeCell ref="B791:G791"/>
    <mergeCell ref="A826:S826"/>
    <mergeCell ref="A836:S836"/>
    <mergeCell ref="A848:S848"/>
    <mergeCell ref="A853:S853"/>
    <mergeCell ref="A868:S868"/>
    <mergeCell ref="B818:G818"/>
    <mergeCell ref="B819:G819"/>
    <mergeCell ref="B820:G820"/>
    <mergeCell ref="B821:G821"/>
    <mergeCell ref="B785:G785"/>
    <mergeCell ref="B786:G786"/>
    <mergeCell ref="B787:G787"/>
    <mergeCell ref="B788:G788"/>
    <mergeCell ref="B789:G789"/>
    <mergeCell ref="B790:G790"/>
    <mergeCell ref="B771:G771"/>
    <mergeCell ref="B772:G772"/>
    <mergeCell ref="B773:G773"/>
    <mergeCell ref="B774:G774"/>
    <mergeCell ref="B775:G775"/>
    <mergeCell ref="B776:G776"/>
    <mergeCell ref="B761:G761"/>
    <mergeCell ref="B762:G762"/>
    <mergeCell ref="B767:G767"/>
    <mergeCell ref="B768:G768"/>
    <mergeCell ref="B769:G769"/>
    <mergeCell ref="B770:G770"/>
    <mergeCell ref="B755:G755"/>
    <mergeCell ref="B756:G756"/>
    <mergeCell ref="B757:G757"/>
    <mergeCell ref="B758:G758"/>
    <mergeCell ref="B759:G759"/>
    <mergeCell ref="B760:G760"/>
    <mergeCell ref="B741:G741"/>
    <mergeCell ref="B742:G742"/>
    <mergeCell ref="B743:G743"/>
    <mergeCell ref="B744:G744"/>
    <mergeCell ref="B753:G753"/>
    <mergeCell ref="B754:G754"/>
    <mergeCell ref="B725:G725"/>
    <mergeCell ref="B736:G736"/>
    <mergeCell ref="B737:G737"/>
    <mergeCell ref="B738:G738"/>
    <mergeCell ref="B739:G739"/>
    <mergeCell ref="B740:G740"/>
    <mergeCell ref="B734:G735"/>
    <mergeCell ref="B719:G719"/>
    <mergeCell ref="B720:G720"/>
    <mergeCell ref="B721:G721"/>
    <mergeCell ref="B722:G722"/>
    <mergeCell ref="B723:G723"/>
    <mergeCell ref="B724:G724"/>
    <mergeCell ref="B784:G784"/>
    <mergeCell ref="B698:G698"/>
    <mergeCell ref="B699:G699"/>
    <mergeCell ref="B700:G700"/>
    <mergeCell ref="B701:G701"/>
    <mergeCell ref="B702:G702"/>
    <mergeCell ref="B703:G703"/>
    <mergeCell ref="B708:G708"/>
    <mergeCell ref="B709:G709"/>
    <mergeCell ref="B710:G710"/>
    <mergeCell ref="B782:G782"/>
    <mergeCell ref="B793:G793"/>
    <mergeCell ref="B707:G707"/>
    <mergeCell ref="B717:G717"/>
    <mergeCell ref="B729:G729"/>
    <mergeCell ref="B733:G733"/>
    <mergeCell ref="B748:G748"/>
    <mergeCell ref="B752:G752"/>
    <mergeCell ref="B766:G766"/>
    <mergeCell ref="B780:G780"/>
    <mergeCell ref="A765:S765"/>
    <mergeCell ref="A779:S779"/>
    <mergeCell ref="A783:S783"/>
    <mergeCell ref="B715:G715"/>
    <mergeCell ref="B727:G727"/>
    <mergeCell ref="B731:G731"/>
    <mergeCell ref="B746:G746"/>
    <mergeCell ref="B750:G750"/>
    <mergeCell ref="B764:G764"/>
    <mergeCell ref="B778:G778"/>
    <mergeCell ref="A706:S706"/>
    <mergeCell ref="A716:S716"/>
    <mergeCell ref="A728:S728"/>
    <mergeCell ref="A732:S732"/>
    <mergeCell ref="A747:S747"/>
    <mergeCell ref="A751:S751"/>
    <mergeCell ref="B711:G711"/>
    <mergeCell ref="B712:G712"/>
    <mergeCell ref="B713:G713"/>
    <mergeCell ref="B718:G718"/>
    <mergeCell ref="B666:G666"/>
    <mergeCell ref="B667:G667"/>
    <mergeCell ref="B668:G668"/>
    <mergeCell ref="B669:G669"/>
    <mergeCell ref="B670:G670"/>
    <mergeCell ref="B671:G671"/>
    <mergeCell ref="B656:G656"/>
    <mergeCell ref="B657:G657"/>
    <mergeCell ref="B658:G658"/>
    <mergeCell ref="B659:G659"/>
    <mergeCell ref="B660:G660"/>
    <mergeCell ref="B665:G665"/>
    <mergeCell ref="B646:G646"/>
    <mergeCell ref="B651:G651"/>
    <mergeCell ref="B652:G652"/>
    <mergeCell ref="B653:G653"/>
    <mergeCell ref="B654:G654"/>
    <mergeCell ref="B655:G655"/>
    <mergeCell ref="B640:G640"/>
    <mergeCell ref="B641:G641"/>
    <mergeCell ref="B642:G642"/>
    <mergeCell ref="B643:G643"/>
    <mergeCell ref="B644:G644"/>
    <mergeCell ref="B645:G645"/>
    <mergeCell ref="B630:G630"/>
    <mergeCell ref="B631:G631"/>
    <mergeCell ref="B632:G632"/>
    <mergeCell ref="B637:G637"/>
    <mergeCell ref="B638:G638"/>
    <mergeCell ref="B639:G639"/>
    <mergeCell ref="B622:G622"/>
    <mergeCell ref="B623:G623"/>
    <mergeCell ref="B624:G624"/>
    <mergeCell ref="B625:G625"/>
    <mergeCell ref="B628:G628"/>
    <mergeCell ref="B629:G629"/>
    <mergeCell ref="B612:G612"/>
    <mergeCell ref="B613:G613"/>
    <mergeCell ref="B614:G614"/>
    <mergeCell ref="B615:G615"/>
    <mergeCell ref="B616:G616"/>
    <mergeCell ref="B617:G617"/>
    <mergeCell ref="B602:G602"/>
    <mergeCell ref="B603:G603"/>
    <mergeCell ref="B604:G604"/>
    <mergeCell ref="B605:G605"/>
    <mergeCell ref="B610:G610"/>
    <mergeCell ref="B611:G611"/>
    <mergeCell ref="B590:G590"/>
    <mergeCell ref="B591:G591"/>
    <mergeCell ref="B592:G592"/>
    <mergeCell ref="B593:G593"/>
    <mergeCell ref="B594:G594"/>
    <mergeCell ref="B595:G595"/>
    <mergeCell ref="B662:G662"/>
    <mergeCell ref="B673:G673"/>
    <mergeCell ref="B599:G599"/>
    <mergeCell ref="B609:G609"/>
    <mergeCell ref="B621:G621"/>
    <mergeCell ref="B636:G636"/>
    <mergeCell ref="B650:G650"/>
    <mergeCell ref="B664:G664"/>
    <mergeCell ref="B600:G600"/>
    <mergeCell ref="B601:G601"/>
    <mergeCell ref="A598:S598"/>
    <mergeCell ref="A608:S608"/>
    <mergeCell ref="A620:S620"/>
    <mergeCell ref="A635:S635"/>
    <mergeCell ref="A649:S649"/>
    <mergeCell ref="A663:S663"/>
    <mergeCell ref="B607:G607"/>
    <mergeCell ref="B619:G619"/>
    <mergeCell ref="B634:G634"/>
    <mergeCell ref="B648:G648"/>
    <mergeCell ref="B558:G558"/>
    <mergeCell ref="B559:G559"/>
    <mergeCell ref="B560:G560"/>
    <mergeCell ref="B561:G561"/>
    <mergeCell ref="B562:G562"/>
    <mergeCell ref="B563:G563"/>
    <mergeCell ref="B548:G548"/>
    <mergeCell ref="B549:G549"/>
    <mergeCell ref="B550:G550"/>
    <mergeCell ref="B551:G551"/>
    <mergeCell ref="B552:G552"/>
    <mergeCell ref="B557:G557"/>
    <mergeCell ref="B538:G538"/>
    <mergeCell ref="B543:G543"/>
    <mergeCell ref="B544:G544"/>
    <mergeCell ref="B545:G545"/>
    <mergeCell ref="B546:G546"/>
    <mergeCell ref="B547:G547"/>
    <mergeCell ref="B532:G532"/>
    <mergeCell ref="B533:G533"/>
    <mergeCell ref="B534:G534"/>
    <mergeCell ref="B535:G535"/>
    <mergeCell ref="B536:G536"/>
    <mergeCell ref="B537:G537"/>
    <mergeCell ref="B522:G522"/>
    <mergeCell ref="B523:G523"/>
    <mergeCell ref="B524:G524"/>
    <mergeCell ref="B529:G529"/>
    <mergeCell ref="B530:G530"/>
    <mergeCell ref="B531:G531"/>
    <mergeCell ref="B516:G516"/>
    <mergeCell ref="B517:G517"/>
    <mergeCell ref="B518:G518"/>
    <mergeCell ref="B519:G519"/>
    <mergeCell ref="B520:G520"/>
    <mergeCell ref="B521:G521"/>
    <mergeCell ref="B482:G482"/>
    <mergeCell ref="B483:G483"/>
    <mergeCell ref="B488:G488"/>
    <mergeCell ref="B489:G489"/>
    <mergeCell ref="B490:G490"/>
    <mergeCell ref="B491:G491"/>
    <mergeCell ref="B565:G565"/>
    <mergeCell ref="B487:G487"/>
    <mergeCell ref="B497:G497"/>
    <mergeCell ref="B501:G501"/>
    <mergeCell ref="B513:G513"/>
    <mergeCell ref="B528:G528"/>
    <mergeCell ref="B542:G542"/>
    <mergeCell ref="B556:G556"/>
    <mergeCell ref="B492:G492"/>
    <mergeCell ref="B493:G493"/>
    <mergeCell ref="B495:G495"/>
    <mergeCell ref="B499:G499"/>
    <mergeCell ref="B511:G511"/>
    <mergeCell ref="B526:G526"/>
    <mergeCell ref="B540:G540"/>
    <mergeCell ref="B554:G554"/>
    <mergeCell ref="B502:G502"/>
    <mergeCell ref="B503:G503"/>
    <mergeCell ref="B504:G504"/>
    <mergeCell ref="B505:G505"/>
    <mergeCell ref="A496:S496"/>
    <mergeCell ref="A500:S500"/>
    <mergeCell ref="A512:S512"/>
    <mergeCell ref="A527:S527"/>
    <mergeCell ref="A541:S541"/>
    <mergeCell ref="A555:S555"/>
    <mergeCell ref="B506:G506"/>
    <mergeCell ref="B507:G507"/>
    <mergeCell ref="B508:G508"/>
    <mergeCell ref="B509:G509"/>
    <mergeCell ref="B447:G447"/>
    <mergeCell ref="B448:G448"/>
    <mergeCell ref="B449:G449"/>
    <mergeCell ref="B450:G450"/>
    <mergeCell ref="B451:G451"/>
    <mergeCell ref="A486:S486"/>
    <mergeCell ref="B478:G478"/>
    <mergeCell ref="B479:G479"/>
    <mergeCell ref="B480:G480"/>
    <mergeCell ref="B481:G481"/>
    <mergeCell ref="B437:G437"/>
    <mergeCell ref="B438:G438"/>
    <mergeCell ref="B439:G439"/>
    <mergeCell ref="B440:G440"/>
    <mergeCell ref="B445:G445"/>
    <mergeCell ref="B446:G446"/>
    <mergeCell ref="B431:G431"/>
    <mergeCell ref="B432:G432"/>
    <mergeCell ref="B433:G433"/>
    <mergeCell ref="B434:G434"/>
    <mergeCell ref="B435:G435"/>
    <mergeCell ref="B436:G436"/>
    <mergeCell ref="B421:G421"/>
    <mergeCell ref="B422:G422"/>
    <mergeCell ref="B423:G423"/>
    <mergeCell ref="B424:G424"/>
    <mergeCell ref="B425:G425"/>
    <mergeCell ref="B426:G426"/>
    <mergeCell ref="B411:G411"/>
    <mergeCell ref="B412:G412"/>
    <mergeCell ref="B417:G417"/>
    <mergeCell ref="B418:G418"/>
    <mergeCell ref="B419:G419"/>
    <mergeCell ref="B420:G420"/>
    <mergeCell ref="B405:G405"/>
    <mergeCell ref="B406:G406"/>
    <mergeCell ref="B407:G407"/>
    <mergeCell ref="B408:G408"/>
    <mergeCell ref="B409:G409"/>
    <mergeCell ref="B410:G410"/>
    <mergeCell ref="B393:G393"/>
    <mergeCell ref="B394:G394"/>
    <mergeCell ref="B395:G395"/>
    <mergeCell ref="B396:G396"/>
    <mergeCell ref="B397:G397"/>
    <mergeCell ref="B404:G404"/>
    <mergeCell ref="B402:G403"/>
    <mergeCell ref="B366:G366"/>
    <mergeCell ref="B367:G367"/>
    <mergeCell ref="B368:G368"/>
    <mergeCell ref="B369:G369"/>
    <mergeCell ref="B370:G370"/>
    <mergeCell ref="B371:G371"/>
    <mergeCell ref="B453:G453"/>
    <mergeCell ref="B375:G375"/>
    <mergeCell ref="B385:G385"/>
    <mergeCell ref="B389:G389"/>
    <mergeCell ref="B401:G401"/>
    <mergeCell ref="B416:G416"/>
    <mergeCell ref="B430:G430"/>
    <mergeCell ref="B444:G444"/>
    <mergeCell ref="B376:G376"/>
    <mergeCell ref="B377:G377"/>
    <mergeCell ref="A443:S443"/>
    <mergeCell ref="B383:G383"/>
    <mergeCell ref="B387:G387"/>
    <mergeCell ref="B399:G399"/>
    <mergeCell ref="B414:G414"/>
    <mergeCell ref="B428:G428"/>
    <mergeCell ref="B442:G442"/>
    <mergeCell ref="B390:G390"/>
    <mergeCell ref="B391:G391"/>
    <mergeCell ref="B392:G392"/>
    <mergeCell ref="A374:S374"/>
    <mergeCell ref="A384:S384"/>
    <mergeCell ref="A388:S388"/>
    <mergeCell ref="A400:S400"/>
    <mergeCell ref="A415:S415"/>
    <mergeCell ref="A429:S429"/>
    <mergeCell ref="B378:G378"/>
    <mergeCell ref="B379:G379"/>
    <mergeCell ref="B380:G380"/>
    <mergeCell ref="B381:G381"/>
    <mergeCell ref="B334:G334"/>
    <mergeCell ref="B335:G335"/>
    <mergeCell ref="B336:G336"/>
    <mergeCell ref="B337:G337"/>
    <mergeCell ref="B338:G338"/>
    <mergeCell ref="B339:G339"/>
    <mergeCell ref="B324:G324"/>
    <mergeCell ref="B325:G325"/>
    <mergeCell ref="B326:G326"/>
    <mergeCell ref="B327:G327"/>
    <mergeCell ref="B328:G328"/>
    <mergeCell ref="B333:G333"/>
    <mergeCell ref="B314:G314"/>
    <mergeCell ref="B319:G319"/>
    <mergeCell ref="B320:G320"/>
    <mergeCell ref="B321:G321"/>
    <mergeCell ref="B322:G322"/>
    <mergeCell ref="B323:G323"/>
    <mergeCell ref="B308:G308"/>
    <mergeCell ref="B309:G309"/>
    <mergeCell ref="B310:G310"/>
    <mergeCell ref="B311:G311"/>
    <mergeCell ref="B312:G312"/>
    <mergeCell ref="B313:G313"/>
    <mergeCell ref="B294:G294"/>
    <mergeCell ref="B295:G295"/>
    <mergeCell ref="B296:G296"/>
    <mergeCell ref="B305:G305"/>
    <mergeCell ref="B306:G306"/>
    <mergeCell ref="B307:G307"/>
    <mergeCell ref="B286:G286"/>
    <mergeCell ref="B287:G287"/>
    <mergeCell ref="B288:G288"/>
    <mergeCell ref="B289:G289"/>
    <mergeCell ref="B292:G292"/>
    <mergeCell ref="B293:G293"/>
    <mergeCell ref="B276:G276"/>
    <mergeCell ref="B277:G277"/>
    <mergeCell ref="B278:G278"/>
    <mergeCell ref="B279:G279"/>
    <mergeCell ref="B280:G280"/>
    <mergeCell ref="B281:G281"/>
    <mergeCell ref="B258:G258"/>
    <mergeCell ref="B259:G259"/>
    <mergeCell ref="B264:G264"/>
    <mergeCell ref="B265:G265"/>
    <mergeCell ref="B266:G266"/>
    <mergeCell ref="B267:G267"/>
    <mergeCell ref="B341:G341"/>
    <mergeCell ref="B263:G263"/>
    <mergeCell ref="B273:G273"/>
    <mergeCell ref="B285:G285"/>
    <mergeCell ref="B300:G300"/>
    <mergeCell ref="B304:G304"/>
    <mergeCell ref="B318:G318"/>
    <mergeCell ref="B332:G332"/>
    <mergeCell ref="B268:G268"/>
    <mergeCell ref="B269:G269"/>
    <mergeCell ref="A317:S317"/>
    <mergeCell ref="A331:S331"/>
    <mergeCell ref="B271:G271"/>
    <mergeCell ref="B283:G283"/>
    <mergeCell ref="B298:G298"/>
    <mergeCell ref="B302:G302"/>
    <mergeCell ref="B316:G316"/>
    <mergeCell ref="B330:G330"/>
    <mergeCell ref="B274:G274"/>
    <mergeCell ref="B275:G275"/>
    <mergeCell ref="B227:G227"/>
    <mergeCell ref="A262:S262"/>
    <mergeCell ref="A272:S272"/>
    <mergeCell ref="A284:S284"/>
    <mergeCell ref="A299:S299"/>
    <mergeCell ref="A303:S303"/>
    <mergeCell ref="B254:G254"/>
    <mergeCell ref="B255:G255"/>
    <mergeCell ref="B256:G256"/>
    <mergeCell ref="B257:G257"/>
    <mergeCell ref="B221:G221"/>
    <mergeCell ref="B222:G222"/>
    <mergeCell ref="B223:G223"/>
    <mergeCell ref="B224:G224"/>
    <mergeCell ref="B225:G225"/>
    <mergeCell ref="B226:G226"/>
    <mergeCell ref="B211:G211"/>
    <mergeCell ref="B212:G212"/>
    <mergeCell ref="B213:G213"/>
    <mergeCell ref="B214:G214"/>
    <mergeCell ref="B215:G215"/>
    <mergeCell ref="B216:G216"/>
    <mergeCell ref="B201:G201"/>
    <mergeCell ref="B202:G202"/>
    <mergeCell ref="B207:G207"/>
    <mergeCell ref="B208:G208"/>
    <mergeCell ref="B209:G209"/>
    <mergeCell ref="B210:G210"/>
    <mergeCell ref="B195:G195"/>
    <mergeCell ref="B196:G196"/>
    <mergeCell ref="B197:G197"/>
    <mergeCell ref="B198:G198"/>
    <mergeCell ref="B199:G199"/>
    <mergeCell ref="B200:G200"/>
    <mergeCell ref="B185:G185"/>
    <mergeCell ref="B186:G186"/>
    <mergeCell ref="B187:G187"/>
    <mergeCell ref="B188:G188"/>
    <mergeCell ref="B193:G193"/>
    <mergeCell ref="B194:G194"/>
    <mergeCell ref="B173:G173"/>
    <mergeCell ref="B178:G178"/>
    <mergeCell ref="B179:G179"/>
    <mergeCell ref="B180:G180"/>
    <mergeCell ref="B181:G181"/>
    <mergeCell ref="B184:G184"/>
    <mergeCell ref="B167:G167"/>
    <mergeCell ref="B168:G168"/>
    <mergeCell ref="B169:G169"/>
    <mergeCell ref="B170:G170"/>
    <mergeCell ref="B171:G171"/>
    <mergeCell ref="B172:G172"/>
    <mergeCell ref="B150:G150"/>
    <mergeCell ref="B151:G151"/>
    <mergeCell ref="B156:G156"/>
    <mergeCell ref="B157:G157"/>
    <mergeCell ref="B158:G158"/>
    <mergeCell ref="B159:G159"/>
    <mergeCell ref="B229:G229"/>
    <mergeCell ref="B155:G155"/>
    <mergeCell ref="B165:G165"/>
    <mergeCell ref="B177:G177"/>
    <mergeCell ref="B192:G192"/>
    <mergeCell ref="B206:G206"/>
    <mergeCell ref="B220:G220"/>
    <mergeCell ref="B160:G160"/>
    <mergeCell ref="B161:G161"/>
    <mergeCell ref="B166:G166"/>
    <mergeCell ref="A164:S164"/>
    <mergeCell ref="A176:S176"/>
    <mergeCell ref="A191:S191"/>
    <mergeCell ref="A205:S205"/>
    <mergeCell ref="A219:S219"/>
    <mergeCell ref="B163:G163"/>
    <mergeCell ref="B175:G175"/>
    <mergeCell ref="B190:G190"/>
    <mergeCell ref="B204:G204"/>
    <mergeCell ref="B218:G218"/>
    <mergeCell ref="B119:G119"/>
    <mergeCell ref="B120:G120"/>
    <mergeCell ref="B121:G121"/>
    <mergeCell ref="B122:G122"/>
    <mergeCell ref="B123:G123"/>
    <mergeCell ref="A154:S154"/>
    <mergeCell ref="B146:G146"/>
    <mergeCell ref="B147:G147"/>
    <mergeCell ref="B148:G148"/>
    <mergeCell ref="B149:G149"/>
    <mergeCell ref="B105:G105"/>
    <mergeCell ref="B106:G106"/>
    <mergeCell ref="B111:G111"/>
    <mergeCell ref="B116:G116"/>
    <mergeCell ref="B117:G117"/>
    <mergeCell ref="B118:G118"/>
    <mergeCell ref="B99:G99"/>
    <mergeCell ref="B100:G100"/>
    <mergeCell ref="B101:G101"/>
    <mergeCell ref="B102:G102"/>
    <mergeCell ref="B103:G103"/>
    <mergeCell ref="B104:G104"/>
    <mergeCell ref="B85:G85"/>
    <mergeCell ref="B86:G86"/>
    <mergeCell ref="B87:G87"/>
    <mergeCell ref="B88:G88"/>
    <mergeCell ref="B97:G97"/>
    <mergeCell ref="B98:G98"/>
    <mergeCell ref="B69:G69"/>
    <mergeCell ref="B74:G74"/>
    <mergeCell ref="B79:G79"/>
    <mergeCell ref="B80:G80"/>
    <mergeCell ref="B81:G81"/>
    <mergeCell ref="B82:G82"/>
    <mergeCell ref="B63:G63"/>
    <mergeCell ref="B64:G64"/>
    <mergeCell ref="B65:G65"/>
    <mergeCell ref="B66:G66"/>
    <mergeCell ref="B67:G67"/>
    <mergeCell ref="B68:G68"/>
    <mergeCell ref="B44:G44"/>
    <mergeCell ref="B45:G45"/>
    <mergeCell ref="B46:G46"/>
    <mergeCell ref="B47:G47"/>
    <mergeCell ref="B48:G48"/>
    <mergeCell ref="B51:G51"/>
    <mergeCell ref="B38:G38"/>
    <mergeCell ref="B39:G39"/>
    <mergeCell ref="B40:G40"/>
    <mergeCell ref="B41:G41"/>
    <mergeCell ref="B42:G42"/>
    <mergeCell ref="B43:G43"/>
    <mergeCell ref="B115:G115"/>
    <mergeCell ref="B13:G13"/>
    <mergeCell ref="B14:G14"/>
    <mergeCell ref="B15:G15"/>
    <mergeCell ref="B16:G16"/>
    <mergeCell ref="B17:G17"/>
    <mergeCell ref="B22:G22"/>
    <mergeCell ref="B23:G23"/>
    <mergeCell ref="B24:G24"/>
    <mergeCell ref="B25:G25"/>
    <mergeCell ref="B125:G125"/>
    <mergeCell ref="B21:G21"/>
    <mergeCell ref="B29:G29"/>
    <mergeCell ref="B33:G33"/>
    <mergeCell ref="B37:G37"/>
    <mergeCell ref="B55:G55"/>
    <mergeCell ref="B59:G59"/>
    <mergeCell ref="B73:G73"/>
    <mergeCell ref="B78:G78"/>
    <mergeCell ref="B92:G92"/>
    <mergeCell ref="B57:G57"/>
    <mergeCell ref="B71:G71"/>
    <mergeCell ref="B76:G76"/>
    <mergeCell ref="B90:G90"/>
    <mergeCell ref="B94:G94"/>
    <mergeCell ref="B108:G108"/>
    <mergeCell ref="B96:G96"/>
    <mergeCell ref="B60:G60"/>
    <mergeCell ref="B61:G61"/>
    <mergeCell ref="B62:G62"/>
    <mergeCell ref="A72:S72"/>
    <mergeCell ref="A77:S77"/>
    <mergeCell ref="A91:S91"/>
    <mergeCell ref="A95:S95"/>
    <mergeCell ref="A109:S109"/>
    <mergeCell ref="A114:S114"/>
    <mergeCell ref="B113:G113"/>
    <mergeCell ref="B110:G110"/>
    <mergeCell ref="B83:G83"/>
    <mergeCell ref="B84:G84"/>
    <mergeCell ref="A20:S20"/>
    <mergeCell ref="A28:S28"/>
    <mergeCell ref="A32:S32"/>
    <mergeCell ref="A36:S36"/>
    <mergeCell ref="A54:S54"/>
    <mergeCell ref="A58:S58"/>
    <mergeCell ref="B27:G27"/>
    <mergeCell ref="B31:G31"/>
    <mergeCell ref="B35:G35"/>
    <mergeCell ref="B53:G53"/>
    <mergeCell ref="A1148:F1148"/>
    <mergeCell ref="A1256:F1256"/>
    <mergeCell ref="A1364:F1364"/>
    <mergeCell ref="A1472:F1472"/>
    <mergeCell ref="A1580:F1580"/>
    <mergeCell ref="A1688:F1688"/>
    <mergeCell ref="A1185:S1185"/>
    <mergeCell ref="A1200:S1200"/>
    <mergeCell ref="A1214:S1214"/>
    <mergeCell ref="A1228:S1228"/>
    <mergeCell ref="G1689:S1689"/>
    <mergeCell ref="A139:F139"/>
    <mergeCell ref="A247:F247"/>
    <mergeCell ref="A359:F359"/>
    <mergeCell ref="A471:F471"/>
    <mergeCell ref="A583:F583"/>
    <mergeCell ref="A691:F691"/>
    <mergeCell ref="A811:F811"/>
    <mergeCell ref="A924:F924"/>
    <mergeCell ref="A1040:F1040"/>
    <mergeCell ref="G1041:S1041"/>
    <mergeCell ref="G1149:S1149"/>
    <mergeCell ref="G1257:S1257"/>
    <mergeCell ref="G1365:S1365"/>
    <mergeCell ref="G1473:S1473"/>
    <mergeCell ref="G1581:S1581"/>
    <mergeCell ref="A1106:S1106"/>
    <mergeCell ref="A1120:S1120"/>
    <mergeCell ref="B1105:G1105"/>
    <mergeCell ref="B1119:G1119"/>
    <mergeCell ref="G1579:S1579"/>
    <mergeCell ref="G1687:S1687"/>
    <mergeCell ref="G140:S140"/>
    <mergeCell ref="G248:S248"/>
    <mergeCell ref="G360:S360"/>
    <mergeCell ref="G472:S472"/>
    <mergeCell ref="G584:S584"/>
    <mergeCell ref="G692:S692"/>
    <mergeCell ref="G812:S812"/>
    <mergeCell ref="G925:S925"/>
    <mergeCell ref="H1691:H1692"/>
    <mergeCell ref="G138:S138"/>
    <mergeCell ref="G246:S246"/>
    <mergeCell ref="G358:S358"/>
    <mergeCell ref="G470:S470"/>
    <mergeCell ref="G582:S582"/>
    <mergeCell ref="G690:S690"/>
    <mergeCell ref="G810:S810"/>
    <mergeCell ref="G923:S923"/>
    <mergeCell ref="G1039:S1039"/>
    <mergeCell ref="H1043:H1044"/>
    <mergeCell ref="H1151:H1152"/>
    <mergeCell ref="H1259:H1260"/>
    <mergeCell ref="H1367:H1368"/>
    <mergeCell ref="H1475:H1476"/>
    <mergeCell ref="H1583:H1584"/>
    <mergeCell ref="G1147:S1147"/>
    <mergeCell ref="G1255:S1255"/>
    <mergeCell ref="G1363:S1363"/>
    <mergeCell ref="G1471:S1471"/>
    <mergeCell ref="A1581:F1581"/>
    <mergeCell ref="A1689:F1689"/>
    <mergeCell ref="H142:H143"/>
    <mergeCell ref="H250:H251"/>
    <mergeCell ref="H362:H363"/>
    <mergeCell ref="H474:H475"/>
    <mergeCell ref="H586:H587"/>
    <mergeCell ref="H694:H695"/>
    <mergeCell ref="H814:H815"/>
    <mergeCell ref="H927:H928"/>
    <mergeCell ref="A1686:Q1686"/>
    <mergeCell ref="A140:F140"/>
    <mergeCell ref="A248:F248"/>
    <mergeCell ref="A360:F360"/>
    <mergeCell ref="A472:F472"/>
    <mergeCell ref="A584:F584"/>
    <mergeCell ref="A692:F692"/>
    <mergeCell ref="A812:F812"/>
    <mergeCell ref="A925:F925"/>
    <mergeCell ref="A1041:F1041"/>
    <mergeCell ref="A1038:Q1038"/>
    <mergeCell ref="A1146:Q1146"/>
    <mergeCell ref="A1254:Q1254"/>
    <mergeCell ref="A1362:Q1362"/>
    <mergeCell ref="A1470:Q1470"/>
    <mergeCell ref="A1578:Q1578"/>
    <mergeCell ref="A1149:F1149"/>
    <mergeCell ref="A1257:F1257"/>
    <mergeCell ref="A1365:F1365"/>
    <mergeCell ref="A1473:F1473"/>
    <mergeCell ref="J1583:Q1583"/>
    <mergeCell ref="J1691:Q1691"/>
    <mergeCell ref="A137:Q137"/>
    <mergeCell ref="A245:Q245"/>
    <mergeCell ref="A357:Q357"/>
    <mergeCell ref="A469:Q469"/>
    <mergeCell ref="A581:Q581"/>
    <mergeCell ref="A689:Q689"/>
    <mergeCell ref="A809:Q809"/>
    <mergeCell ref="A922:Q922"/>
    <mergeCell ref="F1683:S1683"/>
    <mergeCell ref="J142:Q142"/>
    <mergeCell ref="J250:Q250"/>
    <mergeCell ref="J362:Q362"/>
    <mergeCell ref="J474:Q474"/>
    <mergeCell ref="J586:Q586"/>
    <mergeCell ref="J694:Q694"/>
    <mergeCell ref="J814:Q814"/>
    <mergeCell ref="J927:Q927"/>
    <mergeCell ref="J1043:Q1043"/>
    <mergeCell ref="F1035:S1035"/>
    <mergeCell ref="F1143:S1143"/>
    <mergeCell ref="F1251:S1251"/>
    <mergeCell ref="F1359:S1359"/>
    <mergeCell ref="F1467:S1467"/>
    <mergeCell ref="F1575:S1575"/>
    <mergeCell ref="J1151:Q1151"/>
    <mergeCell ref="J1259:Q1259"/>
    <mergeCell ref="J1367:Q1367"/>
    <mergeCell ref="J1475:Q1475"/>
    <mergeCell ref="A1579:F1579"/>
    <mergeCell ref="A1687:F1687"/>
    <mergeCell ref="F134:S134"/>
    <mergeCell ref="F242:S242"/>
    <mergeCell ref="F354:S354"/>
    <mergeCell ref="F466:S466"/>
    <mergeCell ref="F578:S578"/>
    <mergeCell ref="F686:S686"/>
    <mergeCell ref="F806:S806"/>
    <mergeCell ref="F919:S919"/>
    <mergeCell ref="A1691:A1692"/>
    <mergeCell ref="A138:F138"/>
    <mergeCell ref="A246:F246"/>
    <mergeCell ref="A358:F358"/>
    <mergeCell ref="A470:F470"/>
    <mergeCell ref="A582:F582"/>
    <mergeCell ref="A690:F690"/>
    <mergeCell ref="A810:F810"/>
    <mergeCell ref="A923:F923"/>
    <mergeCell ref="A1039:F1039"/>
    <mergeCell ref="A1043:A1044"/>
    <mergeCell ref="A1151:A1152"/>
    <mergeCell ref="A1259:A1260"/>
    <mergeCell ref="A1367:A1368"/>
    <mergeCell ref="A1475:A1476"/>
    <mergeCell ref="A1583:A1584"/>
    <mergeCell ref="A1147:F1147"/>
    <mergeCell ref="A1255:F1255"/>
    <mergeCell ref="A1363:F1363"/>
    <mergeCell ref="A1471:F1471"/>
    <mergeCell ref="B1586:G1586"/>
    <mergeCell ref="B1694:G1694"/>
    <mergeCell ref="A142:A143"/>
    <mergeCell ref="A250:A251"/>
    <mergeCell ref="A362:A363"/>
    <mergeCell ref="A474:A475"/>
    <mergeCell ref="A586:A587"/>
    <mergeCell ref="A694:A695"/>
    <mergeCell ref="A814:A815"/>
    <mergeCell ref="A927:A928"/>
    <mergeCell ref="A1685:Q1685"/>
    <mergeCell ref="B145:G145"/>
    <mergeCell ref="B253:G253"/>
    <mergeCell ref="B365:G365"/>
    <mergeCell ref="B477:G477"/>
    <mergeCell ref="B589:G589"/>
    <mergeCell ref="B697:G697"/>
    <mergeCell ref="B817:G817"/>
    <mergeCell ref="B930:G930"/>
    <mergeCell ref="B1046:G1046"/>
    <mergeCell ref="A1037:Q1037"/>
    <mergeCell ref="A1145:Q1145"/>
    <mergeCell ref="A1253:Q1253"/>
    <mergeCell ref="A1361:Q1361"/>
    <mergeCell ref="A1469:Q1469"/>
    <mergeCell ref="A1577:Q1577"/>
    <mergeCell ref="B1154:G1154"/>
    <mergeCell ref="B1262:G1262"/>
    <mergeCell ref="B1370:G1370"/>
    <mergeCell ref="B1478:G1478"/>
    <mergeCell ref="A1252:Q1252"/>
    <mergeCell ref="A1360:Q1360"/>
    <mergeCell ref="A1468:Q1468"/>
    <mergeCell ref="A1576:Q1576"/>
    <mergeCell ref="A1684:Q1684"/>
    <mergeCell ref="A136:Q136"/>
    <mergeCell ref="A244:Q244"/>
    <mergeCell ref="A356:Q356"/>
    <mergeCell ref="A468:Q468"/>
    <mergeCell ref="A580:Q580"/>
    <mergeCell ref="A1359:E1359"/>
    <mergeCell ref="A1467:E1467"/>
    <mergeCell ref="A1575:E1575"/>
    <mergeCell ref="A1683:E1683"/>
    <mergeCell ref="A135:Q135"/>
    <mergeCell ref="A243:Q243"/>
    <mergeCell ref="A355:Q355"/>
    <mergeCell ref="A467:Q467"/>
    <mergeCell ref="A579:Q579"/>
    <mergeCell ref="A687:Q687"/>
    <mergeCell ref="A686:E686"/>
    <mergeCell ref="A806:E806"/>
    <mergeCell ref="A919:E919"/>
    <mergeCell ref="A1035:E1035"/>
    <mergeCell ref="A1143:E1143"/>
    <mergeCell ref="A1251:E1251"/>
    <mergeCell ref="A807:Q807"/>
    <mergeCell ref="A920:Q920"/>
    <mergeCell ref="A1036:Q1036"/>
    <mergeCell ref="A1144:Q1144"/>
    <mergeCell ref="I1259:I1260"/>
    <mergeCell ref="I1367:I1368"/>
    <mergeCell ref="I1475:I1476"/>
    <mergeCell ref="I1583:I1584"/>
    <mergeCell ref="I1691:I1692"/>
    <mergeCell ref="A134:E134"/>
    <mergeCell ref="A242:E242"/>
    <mergeCell ref="A354:E354"/>
    <mergeCell ref="A466:E466"/>
    <mergeCell ref="A578:E578"/>
    <mergeCell ref="G1798:S1798"/>
    <mergeCell ref="I142:I143"/>
    <mergeCell ref="I250:I251"/>
    <mergeCell ref="I362:I363"/>
    <mergeCell ref="I474:I475"/>
    <mergeCell ref="I586:I587"/>
    <mergeCell ref="I694:I695"/>
    <mergeCell ref="I814:I815"/>
    <mergeCell ref="I927:I928"/>
    <mergeCell ref="I1043:I1044"/>
    <mergeCell ref="G685:S685"/>
    <mergeCell ref="G805:S805"/>
    <mergeCell ref="G918:S918"/>
    <mergeCell ref="G1034:S1034"/>
    <mergeCell ref="G1142:S1142"/>
    <mergeCell ref="G1250:S1250"/>
    <mergeCell ref="I1151:I1152"/>
    <mergeCell ref="A688:Q688"/>
    <mergeCell ref="A808:Q808"/>
    <mergeCell ref="A921:Q921"/>
    <mergeCell ref="G1245:S1245"/>
    <mergeCell ref="G1353:S1353"/>
    <mergeCell ref="G1461:S1461"/>
    <mergeCell ref="G1569:S1569"/>
    <mergeCell ref="G1677:S1677"/>
    <mergeCell ref="G1793:S1793"/>
    <mergeCell ref="G1358:S1358"/>
    <mergeCell ref="G1466:S1466"/>
    <mergeCell ref="G1574:S1574"/>
    <mergeCell ref="G1682:S1682"/>
    <mergeCell ref="A1676:S1676"/>
    <mergeCell ref="G236:S236"/>
    <mergeCell ref="G348:S348"/>
    <mergeCell ref="G460:S460"/>
    <mergeCell ref="G572:S572"/>
    <mergeCell ref="G680:S680"/>
    <mergeCell ref="G800:S800"/>
    <mergeCell ref="G913:S913"/>
    <mergeCell ref="G1029:S1029"/>
    <mergeCell ref="G1137:S1137"/>
    <mergeCell ref="I1678:S1678"/>
    <mergeCell ref="I1794:S1794"/>
    <mergeCell ref="A235:S235"/>
    <mergeCell ref="A347:S347"/>
    <mergeCell ref="A459:S459"/>
    <mergeCell ref="A571:S571"/>
    <mergeCell ref="A679:S679"/>
    <mergeCell ref="A799:S799"/>
    <mergeCell ref="A1028:S1028"/>
    <mergeCell ref="A1136:S1136"/>
    <mergeCell ref="I1030:S1030"/>
    <mergeCell ref="I1138:S1138"/>
    <mergeCell ref="I1246:S1246"/>
    <mergeCell ref="I1354:S1354"/>
    <mergeCell ref="I1462:S1462"/>
    <mergeCell ref="I1570:S1570"/>
    <mergeCell ref="A1244:S1244"/>
    <mergeCell ref="A1352:S1352"/>
    <mergeCell ref="A1460:S1460"/>
    <mergeCell ref="A1568:S1568"/>
    <mergeCell ref="B1486:G1486"/>
    <mergeCell ref="B1594:G1594"/>
    <mergeCell ref="B1702:G1702"/>
    <mergeCell ref="I237:S237"/>
    <mergeCell ref="I349:S349"/>
    <mergeCell ref="I461:S461"/>
    <mergeCell ref="I573:S573"/>
    <mergeCell ref="I681:S681"/>
    <mergeCell ref="I801:S801"/>
    <mergeCell ref="I914:S914"/>
    <mergeCell ref="A1565:S1565"/>
    <mergeCell ref="A1673:S1673"/>
    <mergeCell ref="B153:G153"/>
    <mergeCell ref="B261:G261"/>
    <mergeCell ref="B373:G373"/>
    <mergeCell ref="B485:G485"/>
    <mergeCell ref="B597:G597"/>
    <mergeCell ref="B705:G705"/>
    <mergeCell ref="B825:G825"/>
    <mergeCell ref="B938:G938"/>
    <mergeCell ref="A796:S796"/>
    <mergeCell ref="A1025:S1025"/>
    <mergeCell ref="A1133:S1133"/>
    <mergeCell ref="A1241:S1241"/>
    <mergeCell ref="A1349:S1349"/>
    <mergeCell ref="A1457:S1457"/>
    <mergeCell ref="B1054:G1054"/>
    <mergeCell ref="B1162:G1162"/>
    <mergeCell ref="B1270:G1270"/>
    <mergeCell ref="B1378:G1378"/>
    <mergeCell ref="S1259:S1260"/>
    <mergeCell ref="S1367:S1368"/>
    <mergeCell ref="S1475:S1476"/>
    <mergeCell ref="S1583:S1584"/>
    <mergeCell ref="S1691:S1692"/>
    <mergeCell ref="A232:S232"/>
    <mergeCell ref="A344:S344"/>
    <mergeCell ref="A456:S456"/>
    <mergeCell ref="A568:S568"/>
    <mergeCell ref="A676:S676"/>
    <mergeCell ref="A1674:S1674"/>
    <mergeCell ref="S142:S143"/>
    <mergeCell ref="S250:S251"/>
    <mergeCell ref="S362:S363"/>
    <mergeCell ref="S474:S475"/>
    <mergeCell ref="S586:S587"/>
    <mergeCell ref="S694:S695"/>
    <mergeCell ref="S814:S815"/>
    <mergeCell ref="S927:S928"/>
    <mergeCell ref="S1043:S1044"/>
    <mergeCell ref="A1675:S1675"/>
    <mergeCell ref="A233:S233"/>
    <mergeCell ref="A345:S345"/>
    <mergeCell ref="A457:S457"/>
    <mergeCell ref="A569:S569"/>
    <mergeCell ref="A677:S677"/>
    <mergeCell ref="A797:S797"/>
    <mergeCell ref="A1026:S1026"/>
    <mergeCell ref="A1134:S1134"/>
    <mergeCell ref="A1242:S1242"/>
    <mergeCell ref="A1027:S1027"/>
    <mergeCell ref="A1135:S1135"/>
    <mergeCell ref="A1243:S1243"/>
    <mergeCell ref="A1351:S1351"/>
    <mergeCell ref="A1459:S1459"/>
    <mergeCell ref="A1567:S1567"/>
    <mergeCell ref="A1350:S1350"/>
    <mergeCell ref="A1458:S1458"/>
    <mergeCell ref="A1566:S1566"/>
    <mergeCell ref="S1151:S1152"/>
    <mergeCell ref="B1367:G1368"/>
    <mergeCell ref="B1475:G1476"/>
    <mergeCell ref="B1583:G1584"/>
    <mergeCell ref="B1691:G1692"/>
    <mergeCell ref="A234:S234"/>
    <mergeCell ref="A346:S346"/>
    <mergeCell ref="A458:S458"/>
    <mergeCell ref="A570:S570"/>
    <mergeCell ref="A678:S678"/>
    <mergeCell ref="A798:S798"/>
    <mergeCell ref="A1477:S1477"/>
    <mergeCell ref="A1585:S1585"/>
    <mergeCell ref="A1693:S1693"/>
    <mergeCell ref="B142:G143"/>
    <mergeCell ref="B250:G251"/>
    <mergeCell ref="B362:G363"/>
    <mergeCell ref="B474:G475"/>
    <mergeCell ref="B586:G587"/>
    <mergeCell ref="B694:G695"/>
    <mergeCell ref="B814:G815"/>
    <mergeCell ref="A816:S816"/>
    <mergeCell ref="A929:S929"/>
    <mergeCell ref="A1045:S1045"/>
    <mergeCell ref="A1153:S1153"/>
    <mergeCell ref="A1261:S1261"/>
    <mergeCell ref="A1369:S1369"/>
    <mergeCell ref="B927:G928"/>
    <mergeCell ref="B1043:G1044"/>
    <mergeCell ref="B1151:G1152"/>
    <mergeCell ref="B1259:G1260"/>
    <mergeCell ref="A144:S144"/>
    <mergeCell ref="A252:S252"/>
    <mergeCell ref="A364:S364"/>
    <mergeCell ref="A476:S476"/>
    <mergeCell ref="A588:S588"/>
    <mergeCell ref="A696:S696"/>
    <mergeCell ref="G241:S241"/>
    <mergeCell ref="G353:S353"/>
    <mergeCell ref="G465:S465"/>
    <mergeCell ref="G577:S577"/>
    <mergeCell ref="J9:Q9"/>
    <mergeCell ref="A4:Q4"/>
    <mergeCell ref="A7:F7"/>
    <mergeCell ref="H9:H10"/>
    <mergeCell ref="G5:S5"/>
    <mergeCell ref="G7:S7"/>
    <mergeCell ref="A6:F6"/>
    <mergeCell ref="G128:S128"/>
    <mergeCell ref="G133:S133"/>
    <mergeCell ref="I9:I10"/>
    <mergeCell ref="A1:E1"/>
    <mergeCell ref="A2:Q2"/>
    <mergeCell ref="A3:Q3"/>
    <mergeCell ref="B12:G12"/>
    <mergeCell ref="A9:A10"/>
    <mergeCell ref="A5:F5"/>
    <mergeCell ref="F1:S1"/>
    <mergeCell ref="A11:S11"/>
    <mergeCell ref="B9:G10"/>
    <mergeCell ref="S9:S10"/>
    <mergeCell ref="B1804:Q1805"/>
    <mergeCell ref="A1801:B1801"/>
    <mergeCell ref="A1803:B1803"/>
    <mergeCell ref="B19:G19"/>
    <mergeCell ref="I129:S129"/>
    <mergeCell ref="A1802:B1802"/>
    <mergeCell ref="C1800:Q1800"/>
  </mergeCells>
  <phoneticPr fontId="7" type="noConversion"/>
  <conditionalFormatting sqref="B12:G17 B145:G151 B253:G259 B365:G371 B477:G483 B589:G595 B697:G703 B817:G823 B930:G936 B1046:G1052 B1154:G1160 B1262:G1268 B1370:G1376 B1478:G1484 B1586:G1592 B1694:G1700 B21:G25 B29:G29 B33:G33 B37:G51 B55:G55 B59:G69 B73:G74 B78:G88 B92:G92 B96:G106 B110:G111 B115:G123 B155:G161 B165:G173 B177:G188 B192:G202 B206:G216 B220:G227 B263:G269 B273:G281 B285:G296 B300:G300 B304:G314 B318:G328 B332:G339 B375:G381 B385:G385 B389:G397 B401:G412 B416:G426 B430:G440 B444:G451 B487:G493 B497:G497 B501:G509 B513:G524 B528:G538 B542:G552 B556:G563 B599:G605 B609:G617 B621:G632 B636:G646 B650:G660 B664:G671 B707:G713 B717:G725 B729:G729 B733:G744 B748:G748 B752:G762 B766:G776 B780:G780 B784:G791 B827:G833 B837:G845 B849:G850 B856:G865 B869:G879 B883:G893 B897:G897 B901:G908 B940:G946 B950:G950 B954:G962 B966:G977 B981:G991 B995:G995 B999:G1009 B1013:G1020 B1056:G1062 B1066:G1074 B1078:G1089 B1093:G1103 B1107:G1117 B1121:G1128 B1164:G1170 B1174:G1182 B1186:G1197 B1201:G1211 B1215:G1225 B1229:G1236 B1272:G1278 B1282:G1290 B1294:G1305 B1309:G1319 B1323:G1333 B1337:G1344 B1380:G1386 B1390:G1398 B1402:G1413 B1417:G1427 B1431:G1441 B1445:G1452 B1488:G1494 B1498:G1506 B1510:G1521 B1525:G1535 B1539:G1549 B1553:G1560 B1596:G1602 B1606:G1614 B1618:G1629 B1633:G1643 B1647:G1657 B1661:G1668 B1704:G1710 B1714:G1714 B1718:G1718 B1722:G1722 B1726:G1736 B1740:G1749 B1753:G1763 B1767:G1777 B1781:G1788">
    <cfRule type="expression" dxfId="4" priority="1" stopIfTrue="1">
      <formula>$R12=5</formula>
    </cfRule>
    <cfRule type="expression" dxfId="3" priority="2" stopIfTrue="1">
      <formula>$R12=4</formula>
    </cfRule>
    <cfRule type="expression" dxfId="2" priority="3" stopIfTrue="1">
      <formula>$R12=3</formula>
    </cfRule>
    <cfRule type="expression" dxfId="1" priority="4" stopIfTrue="1">
      <formula>$R12=2</formula>
    </cfRule>
    <cfRule type="expression" dxfId="0" priority="5" stopIfTrue="1">
      <formula>$R12=1</formula>
    </cfRule>
  </conditionalFormatting>
  <printOptions horizontalCentered="1"/>
  <pageMargins left="0.51181102362204722" right="0.51181102362204722" top="0.51181102362204722" bottom="0.51181102362204722" header="0" footer="0"/>
  <pageSetup paperSize="9" fitToWidth="0" fitToHeight="0" orientation="portrait" horizontalDpi="200" verticalDpi="200" r:id="rId1"/>
  <rowBreaks count="31" manualBreakCount="31">
    <brk id="48" max="16383" man="1"/>
    <brk id="133" max="16383" man="1"/>
    <brk id="181" max="16383" man="1"/>
    <brk id="241" max="16383" man="1"/>
    <brk id="289" max="16383" man="1"/>
    <brk id="353" max="16383" man="1"/>
    <brk id="401" max="16383" man="1"/>
    <brk id="465" max="16383" man="1"/>
    <brk id="513" max="16383" man="1"/>
    <brk id="577" max="16383" man="1"/>
    <brk id="625" max="16383" man="1"/>
    <brk id="685" max="16383" man="1"/>
    <brk id="733" max="16383" man="1"/>
    <brk id="805" max="16383" man="1"/>
    <brk id="853" max="16383" man="1"/>
    <brk id="918" max="16383" man="1"/>
    <brk id="966" max="16383" man="1"/>
    <brk id="1034" max="16383" man="1"/>
    <brk id="1082" max="16383" man="1"/>
    <brk id="1142" max="16383" man="1"/>
    <brk id="1190" max="16383" man="1"/>
    <brk id="1250" max="16383" man="1"/>
    <brk id="1298" max="16383" man="1"/>
    <brk id="1358" max="16383" man="1"/>
    <brk id="1406" max="16383" man="1"/>
    <brk id="1466" max="16383" man="1"/>
    <brk id="1514" max="16383" man="1"/>
    <brk id="1574" max="16383" man="1"/>
    <brk id="1622" max="16383" man="1"/>
    <brk id="1682" max="16383" man="1"/>
    <brk id="17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BangDiem</vt:lpstr>
      <vt:lpstr>__Diem__</vt:lpstr>
      <vt:lpstr>__HocKy__</vt:lpstr>
      <vt:lpstr>__SV__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HOANGHIEN</dc:creator>
  <cp:lastModifiedBy>Admin</cp:lastModifiedBy>
  <cp:lastPrinted>2022-03-29T15:18:22Z</cp:lastPrinted>
  <dcterms:created xsi:type="dcterms:W3CDTF">2014-05-20T16:15:47Z</dcterms:created>
  <dcterms:modified xsi:type="dcterms:W3CDTF">2026-06-23T02:13:58Z</dcterms:modified>
</cp:coreProperties>
</file>