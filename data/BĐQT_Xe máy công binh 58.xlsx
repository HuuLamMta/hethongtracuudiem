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ảng điểm quá trình\"/>
    </mc:Choice>
  </mc:AlternateContent>
  <xr:revisionPtr revIDLastSave="0" documentId="8_{35E8AE09-C427-4E98-ABBA-1418CD1178B2}" xr6:coauthVersionLast="47" xr6:coauthVersionMax="47" xr10:uidLastSave="{00000000-0000-0000-0000-000000000000}"/>
  <bookViews>
    <workbookView xWindow="-108" yWindow="-108" windowWidth="23256" windowHeight="12576" xr2:uid="{83E5331D-EA1A-4A3C-814F-C69A9A7F975D}"/>
  </bookViews>
  <sheets>
    <sheet name="BangDiem" sheetId="1" r:id="rId1"/>
  </sheets>
  <definedNames>
    <definedName name="__Diem__">BangDiem!$A$12:$Q$12</definedName>
    <definedName name="__DTB__">BangDiem!$A$99:$S$102</definedName>
    <definedName name="__HocKy__">BangDiem!$A$11:$Q$20</definedName>
    <definedName name="__SV__">BangDiem!$A$1:$T$108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I20" i="1"/>
  <c r="O20" i="1"/>
  <c r="M22" i="1"/>
  <c r="N22" i="1"/>
  <c r="P30" i="1" s="1"/>
  <c r="N30" i="1" s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I30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I41" i="1"/>
  <c r="O41" i="1"/>
  <c r="M43" i="1"/>
  <c r="N43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M53" i="1"/>
  <c r="N53" i="1"/>
  <c r="M54" i="1"/>
  <c r="N54" i="1"/>
  <c r="M55" i="1"/>
  <c r="N55" i="1"/>
  <c r="I56" i="1"/>
  <c r="P56" i="1"/>
  <c r="M58" i="1"/>
  <c r="N58" i="1"/>
  <c r="M59" i="1"/>
  <c r="N59" i="1"/>
  <c r="P70" i="1" s="1"/>
  <c r="N70" i="1" s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I70" i="1"/>
  <c r="O70" i="1"/>
  <c r="M72" i="1"/>
  <c r="N72" i="1"/>
  <c r="P84" i="1" s="1"/>
  <c r="N84" i="1" s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I84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I96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I128" i="1"/>
  <c r="P128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I138" i="1"/>
  <c r="O138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I149" i="1"/>
  <c r="P149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9" i="1"/>
  <c r="N159" i="1"/>
  <c r="M160" i="1"/>
  <c r="N160" i="1"/>
  <c r="M161" i="1"/>
  <c r="N161" i="1"/>
  <c r="M162" i="1"/>
  <c r="N162" i="1"/>
  <c r="M163" i="1"/>
  <c r="N163" i="1"/>
  <c r="I164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I178" i="1"/>
  <c r="P178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I192" i="1"/>
  <c r="O192" i="1"/>
  <c r="M194" i="1"/>
  <c r="N194" i="1"/>
  <c r="P204" i="1" s="1"/>
  <c r="N204" i="1" s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I204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I236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I246" i="1"/>
  <c r="P246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I257" i="1"/>
  <c r="M259" i="1"/>
  <c r="N259" i="1"/>
  <c r="P272" i="1" s="1"/>
  <c r="M260" i="1"/>
  <c r="N260" i="1"/>
  <c r="M261" i="1"/>
  <c r="N261" i="1"/>
  <c r="M262" i="1"/>
  <c r="N262" i="1"/>
  <c r="M263" i="1"/>
  <c r="N263" i="1"/>
  <c r="M264" i="1"/>
  <c r="N264" i="1"/>
  <c r="M267" i="1"/>
  <c r="N267" i="1"/>
  <c r="M268" i="1"/>
  <c r="N268" i="1"/>
  <c r="M269" i="1"/>
  <c r="N269" i="1"/>
  <c r="M270" i="1"/>
  <c r="N270" i="1"/>
  <c r="M271" i="1"/>
  <c r="N271" i="1"/>
  <c r="I272" i="1"/>
  <c r="N272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I286" i="1"/>
  <c r="M288" i="1"/>
  <c r="N288" i="1"/>
  <c r="M289" i="1"/>
  <c r="N289" i="1"/>
  <c r="M290" i="1"/>
  <c r="N290" i="1"/>
  <c r="M291" i="1"/>
  <c r="N291" i="1"/>
  <c r="I292" i="1"/>
  <c r="P292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I306" i="1"/>
  <c r="O306" i="1"/>
  <c r="M308" i="1"/>
  <c r="N308" i="1"/>
  <c r="P318" i="1" s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I318" i="1"/>
  <c r="N318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I346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I356" i="1"/>
  <c r="P356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I367" i="1"/>
  <c r="M369" i="1"/>
  <c r="N369" i="1"/>
  <c r="P382" i="1" s="1"/>
  <c r="M370" i="1"/>
  <c r="N370" i="1"/>
  <c r="M371" i="1"/>
  <c r="N371" i="1"/>
  <c r="M372" i="1"/>
  <c r="N372" i="1"/>
  <c r="M373" i="1"/>
  <c r="N373" i="1"/>
  <c r="M374" i="1"/>
  <c r="N374" i="1"/>
  <c r="M377" i="1"/>
  <c r="N377" i="1"/>
  <c r="M378" i="1"/>
  <c r="N378" i="1"/>
  <c r="M379" i="1"/>
  <c r="N379" i="1"/>
  <c r="M380" i="1"/>
  <c r="N380" i="1"/>
  <c r="M381" i="1"/>
  <c r="N381" i="1"/>
  <c r="I382" i="1"/>
  <c r="N382" i="1"/>
  <c r="M384" i="1"/>
  <c r="N384" i="1"/>
  <c r="P386" i="1" s="1"/>
  <c r="M385" i="1"/>
  <c r="N385" i="1"/>
  <c r="I386" i="1"/>
  <c r="M388" i="1"/>
  <c r="N388" i="1"/>
  <c r="M389" i="1"/>
  <c r="N389" i="1"/>
  <c r="M390" i="1"/>
  <c r="N390" i="1"/>
  <c r="M391" i="1"/>
  <c r="N391" i="1"/>
  <c r="P400" i="1" s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I400" i="1"/>
  <c r="O400" i="1"/>
  <c r="M402" i="1"/>
  <c r="N402" i="1"/>
  <c r="M403" i="1"/>
  <c r="N403" i="1"/>
  <c r="M404" i="1"/>
  <c r="N404" i="1"/>
  <c r="I405" i="1"/>
  <c r="M407" i="1"/>
  <c r="N407" i="1"/>
  <c r="M408" i="1"/>
  <c r="N408" i="1"/>
  <c r="P419" i="1" s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I419" i="1"/>
  <c r="O419" i="1"/>
  <c r="M421" i="1"/>
  <c r="N421" i="1"/>
  <c r="M422" i="1"/>
  <c r="N422" i="1"/>
  <c r="P423" i="1" s="1"/>
  <c r="N423" i="1" s="1"/>
  <c r="I423" i="1"/>
  <c r="O423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I435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I467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I477" i="1"/>
  <c r="O477" i="1"/>
  <c r="M479" i="1"/>
  <c r="N479" i="1"/>
  <c r="M480" i="1"/>
  <c r="N480" i="1"/>
  <c r="P481" i="1" s="1"/>
  <c r="N481" i="1" s="1"/>
  <c r="I481" i="1"/>
  <c r="O481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I492" i="1"/>
  <c r="O492" i="1"/>
  <c r="M494" i="1"/>
  <c r="N494" i="1"/>
  <c r="M495" i="1"/>
  <c r="N495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I507" i="1"/>
  <c r="M509" i="1"/>
  <c r="N509" i="1"/>
  <c r="M510" i="1"/>
  <c r="N510" i="1"/>
  <c r="M511" i="1"/>
  <c r="N511" i="1"/>
  <c r="P521" i="1" s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I521" i="1"/>
  <c r="M523" i="1"/>
  <c r="N523" i="1"/>
  <c r="M524" i="1"/>
  <c r="N524" i="1"/>
  <c r="I525" i="1"/>
  <c r="N525" i="1"/>
  <c r="P525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I539" i="1"/>
  <c r="M539" i="1"/>
  <c r="O539" i="1"/>
  <c r="M541" i="1"/>
  <c r="N541" i="1"/>
  <c r="P551" i="1" s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I551" i="1"/>
  <c r="O551" i="1" s="1"/>
  <c r="M551" i="1"/>
  <c r="M575" i="1"/>
  <c r="N575" i="1"/>
  <c r="P583" i="1" s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I583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I593" i="1"/>
  <c r="N593" i="1"/>
  <c r="P593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I604" i="1"/>
  <c r="M604" i="1"/>
  <c r="O604" i="1"/>
  <c r="P604" i="1"/>
  <c r="M606" i="1"/>
  <c r="N606" i="1"/>
  <c r="M607" i="1"/>
  <c r="N607" i="1"/>
  <c r="P609" i="1" s="1"/>
  <c r="M608" i="1"/>
  <c r="N608" i="1"/>
  <c r="I609" i="1"/>
  <c r="O609" i="1" s="1"/>
  <c r="M609" i="1"/>
  <c r="M611" i="1"/>
  <c r="N611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I624" i="1"/>
  <c r="O624" i="1"/>
  <c r="M624" i="1" s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I638" i="1"/>
  <c r="P638" i="1"/>
  <c r="N638" i="1" s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I652" i="1"/>
  <c r="O652" i="1"/>
  <c r="M652" i="1" s="1"/>
  <c r="P652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I664" i="1"/>
  <c r="O664" i="1"/>
  <c r="P664" i="1"/>
  <c r="N664" i="1" s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I696" i="1"/>
  <c r="O696" i="1"/>
  <c r="M696" i="1" s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I706" i="1"/>
  <c r="P706" i="1"/>
  <c r="N706" i="1" s="1"/>
  <c r="M708" i="1"/>
  <c r="N708" i="1"/>
  <c r="M709" i="1"/>
  <c r="N709" i="1"/>
  <c r="I710" i="1"/>
  <c r="O710" i="1"/>
  <c r="M710" i="1" s="1"/>
  <c r="P710" i="1"/>
  <c r="M712" i="1"/>
  <c r="N712" i="1"/>
  <c r="M713" i="1"/>
  <c r="N713" i="1"/>
  <c r="I714" i="1"/>
  <c r="O714" i="1"/>
  <c r="P714" i="1"/>
  <c r="N714" i="1" s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I727" i="1"/>
  <c r="M729" i="1"/>
  <c r="N729" i="1"/>
  <c r="M730" i="1"/>
  <c r="N730" i="1"/>
  <c r="I731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I744" i="1"/>
  <c r="O744" i="1"/>
  <c r="M744" i="1" s="1"/>
  <c r="P744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I758" i="1"/>
  <c r="O758" i="1"/>
  <c r="P758" i="1"/>
  <c r="N758" i="1" s="1"/>
  <c r="M760" i="1"/>
  <c r="N760" i="1"/>
  <c r="M761" i="1"/>
  <c r="N761" i="1"/>
  <c r="I762" i="1"/>
  <c r="O762" i="1"/>
  <c r="M762" i="1" s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I776" i="1"/>
  <c r="P776" i="1"/>
  <c r="N776" i="1" s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I788" i="1"/>
  <c r="M788" i="1" s="1"/>
  <c r="O788" i="1"/>
  <c r="P788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I820" i="1"/>
  <c r="N820" i="1" s="1"/>
  <c r="O820" i="1"/>
  <c r="P820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I830" i="1"/>
  <c r="O830" i="1"/>
  <c r="M830" i="1" s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I841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I851" i="1"/>
  <c r="M851" i="1"/>
  <c r="O851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I864" i="1"/>
  <c r="N864" i="1" s="1"/>
  <c r="O864" i="1"/>
  <c r="P864" i="1"/>
  <c r="M866" i="1"/>
  <c r="N866" i="1"/>
  <c r="M867" i="1"/>
  <c r="N867" i="1"/>
  <c r="M868" i="1"/>
  <c r="N868" i="1"/>
  <c r="I869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I884" i="1"/>
  <c r="P884" i="1"/>
  <c r="N884" i="1" s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I898" i="1"/>
  <c r="M898" i="1" s="1"/>
  <c r="O898" i="1"/>
  <c r="P898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I910" i="1"/>
  <c r="N910" i="1" s="1"/>
  <c r="O910" i="1"/>
  <c r="P910" i="1"/>
  <c r="P851" i="1" l="1"/>
  <c r="N851" i="1" s="1"/>
  <c r="P624" i="1"/>
  <c r="N624" i="1" s="1"/>
  <c r="P539" i="1"/>
  <c r="N539" i="1" s="1"/>
  <c r="O405" i="1"/>
  <c r="M841" i="1"/>
  <c r="N583" i="1"/>
  <c r="N521" i="1"/>
  <c r="M492" i="1"/>
  <c r="M477" i="1"/>
  <c r="O435" i="1"/>
  <c r="M435" i="1" s="1"/>
  <c r="M419" i="1"/>
  <c r="N419" i="1"/>
  <c r="M400" i="1"/>
  <c r="N400" i="1"/>
  <c r="N367" i="1"/>
  <c r="N356" i="1"/>
  <c r="O356" i="1"/>
  <c r="M356" i="1" s="1"/>
  <c r="M292" i="1"/>
  <c r="N292" i="1"/>
  <c r="O292" i="1"/>
  <c r="M246" i="1"/>
  <c r="N246" i="1"/>
  <c r="O246" i="1"/>
  <c r="M178" i="1"/>
  <c r="N178" i="1"/>
  <c r="O178" i="1"/>
  <c r="N128" i="1"/>
  <c r="O128" i="1"/>
  <c r="M128" i="1" s="1"/>
  <c r="N56" i="1"/>
  <c r="O56" i="1"/>
  <c r="M56" i="1" s="1"/>
  <c r="M41" i="1"/>
  <c r="O507" i="1"/>
  <c r="O467" i="1"/>
  <c r="M467" i="1" s="1"/>
  <c r="P367" i="1"/>
  <c r="P192" i="1"/>
  <c r="N192" i="1" s="1"/>
  <c r="P869" i="1"/>
  <c r="N869" i="1" s="1"/>
  <c r="P841" i="1"/>
  <c r="N841" i="1" s="1"/>
  <c r="P830" i="1"/>
  <c r="N830" i="1" s="1"/>
  <c r="P762" i="1"/>
  <c r="N762" i="1" s="1"/>
  <c r="P731" i="1"/>
  <c r="N731" i="1" s="1"/>
  <c r="P727" i="1"/>
  <c r="N727" i="1" s="1"/>
  <c r="P696" i="1"/>
  <c r="N696" i="1" s="1"/>
  <c r="P507" i="1"/>
  <c r="N507" i="1" s="1"/>
  <c r="M481" i="1"/>
  <c r="P467" i="1"/>
  <c r="N467" i="1" s="1"/>
  <c r="P435" i="1"/>
  <c r="N435" i="1" s="1"/>
  <c r="M423" i="1"/>
  <c r="P405" i="1"/>
  <c r="N405" i="1" s="1"/>
  <c r="P41" i="1"/>
  <c r="N41" i="1" s="1"/>
  <c r="P306" i="1"/>
  <c r="N306" i="1" s="1"/>
  <c r="P138" i="1"/>
  <c r="N138" i="1" s="1"/>
  <c r="P20" i="1"/>
  <c r="N20" i="1" s="1"/>
  <c r="M910" i="1"/>
  <c r="N898" i="1"/>
  <c r="O884" i="1"/>
  <c r="M884" i="1" s="1"/>
  <c r="O869" i="1"/>
  <c r="M869" i="1" s="1"/>
  <c r="M864" i="1"/>
  <c r="O841" i="1"/>
  <c r="M820" i="1"/>
  <c r="N788" i="1"/>
  <c r="O776" i="1"/>
  <c r="M776" i="1" s="1"/>
  <c r="M758" i="1"/>
  <c r="N744" i="1"/>
  <c r="O731" i="1"/>
  <c r="M731" i="1" s="1"/>
  <c r="O727" i="1"/>
  <c r="M727" i="1" s="1"/>
  <c r="M714" i="1"/>
  <c r="N710" i="1"/>
  <c r="O706" i="1"/>
  <c r="M706" i="1" s="1"/>
  <c r="M664" i="1"/>
  <c r="N652" i="1"/>
  <c r="O638" i="1"/>
  <c r="M638" i="1" s="1"/>
  <c r="N609" i="1"/>
  <c r="N604" i="1"/>
  <c r="O593" i="1"/>
  <c r="M593" i="1" s="1"/>
  <c r="O583" i="1"/>
  <c r="M583" i="1" s="1"/>
  <c r="N551" i="1"/>
  <c r="O525" i="1"/>
  <c r="M525" i="1" s="1"/>
  <c r="O521" i="1"/>
  <c r="M521" i="1" s="1"/>
  <c r="M507" i="1"/>
  <c r="P492" i="1"/>
  <c r="N492" i="1" s="1"/>
  <c r="P477" i="1"/>
  <c r="N477" i="1" s="1"/>
  <c r="M405" i="1"/>
  <c r="N386" i="1"/>
  <c r="O382" i="1"/>
  <c r="M382" i="1" s="1"/>
  <c r="O318" i="1"/>
  <c r="M318" i="1" s="1"/>
  <c r="M306" i="1"/>
  <c r="O272" i="1"/>
  <c r="M272" i="1" s="1"/>
  <c r="O204" i="1"/>
  <c r="M204" i="1" s="1"/>
  <c r="M192" i="1"/>
  <c r="M149" i="1"/>
  <c r="N149" i="1"/>
  <c r="O149" i="1"/>
  <c r="M138" i="1"/>
  <c r="N96" i="1"/>
  <c r="O84" i="1"/>
  <c r="M84" i="1" s="1"/>
  <c r="M70" i="1"/>
  <c r="O30" i="1"/>
  <c r="M30" i="1" s="1"/>
  <c r="M20" i="1"/>
  <c r="P236" i="1"/>
  <c r="N236" i="1" s="1"/>
  <c r="P346" i="1"/>
  <c r="N346" i="1" s="1"/>
  <c r="P286" i="1"/>
  <c r="N286" i="1" s="1"/>
  <c r="P257" i="1"/>
  <c r="N257" i="1" s="1"/>
  <c r="P164" i="1"/>
  <c r="N164" i="1" s="1"/>
  <c r="P96" i="1"/>
  <c r="O386" i="1"/>
  <c r="M386" i="1" s="1"/>
  <c r="O367" i="1"/>
  <c r="M367" i="1" s="1"/>
  <c r="O346" i="1"/>
  <c r="M346" i="1" s="1"/>
  <c r="O286" i="1"/>
  <c r="M286" i="1" s="1"/>
  <c r="O257" i="1"/>
  <c r="M257" i="1" s="1"/>
  <c r="O236" i="1"/>
  <c r="M236" i="1" s="1"/>
  <c r="O164" i="1"/>
  <c r="M164" i="1" s="1"/>
  <c r="O96" i="1"/>
  <c r="M96" i="1" s="1"/>
</calcChain>
</file>

<file path=xl/sharedStrings.xml><?xml version="1.0" encoding="utf-8"?>
<sst xmlns="http://schemas.openxmlformats.org/spreadsheetml/2006/main" count="1580" uniqueCount="171">
  <si>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</si>
  <si>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</si>
  <si>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</si>
  <si>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</si>
  <si>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</si>
  <si>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</si>
  <si>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</si>
  <si>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</si>
  <si>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</si>
  <si>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</si>
  <si>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</si>
  <si>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</si>
  <si>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</si>
  <si>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</si>
  <si>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</si>
  <si>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</si>
  <si>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</si>
  <si>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</si>
  <si>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</si>
  <si>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</si>
  <si>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</si>
  <si>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</si>
  <si>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</si>
  <si>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</si>
  <si>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</si>
  <si>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</si>
  <si>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</si>
  <si>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</si>
  <si>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</si>
  <si>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</si>
  <si>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</si>
  <si>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</si>
  <si>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</si>
  <si>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</si>
  <si>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</si>
  <si>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</si>
  <si>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</si>
  <si>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</si>
  <si>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</si>
  <si>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</si>
  <si>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</si>
  <si>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</si>
  <si>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</si>
  <si>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Trần Minh Hiếu</t>
    </r>
  </si>
  <si>
    <t>Ngày sinh: 25/08/2004</t>
  </si>
  <si>
    <t>Mã SV: 2022010153</t>
  </si>
  <si>
    <t>Hình thức đào tạo: Chính quy</t>
  </si>
  <si>
    <t>Ngành: Kỹ thuật cơ khí</t>
  </si>
  <si>
    <t>Lớp: Xe máy công binh 58</t>
  </si>
  <si>
    <t>Hà Nội, ngày 9 tháng 1 năm 2026</t>
  </si>
  <si>
    <r>
      <t xml:space="preserve">Tổng tín chỉ: </t>
    </r>
    <r>
      <rPr>
        <b/>
        <sz val="14"/>
        <color indexed="8"/>
        <rFont val="Times New Roman"/>
        <family val="1"/>
      </rPr>
      <t>150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</si>
  <si>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</si>
  <si>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3.11</t>
    </r>
  </si>
  <si>
    <r>
      <t xml:space="preserve">Xếp loại: </t>
    </r>
    <r>
      <rPr>
        <b/>
        <sz val="14"/>
        <rFont val="Times New Roman"/>
        <family val="1"/>
      </rPr>
      <t>Khá</t>
    </r>
  </si>
  <si>
    <t>Học kỳ 1 Năm học 2022 - 2023</t>
  </si>
  <si>
    <t>Điều lệnh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</si>
  <si>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</si>
  <si>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</si>
  <si>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</si>
  <si>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</si>
  <si>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</si>
  <si>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Thể thao quân sự</t>
  </si>
  <si>
    <t>Học kỳ 2 năm học 2022 - 2023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</si>
  <si>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</si>
  <si>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</si>
  <si>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</si>
  <si>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</si>
  <si>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</si>
  <si>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Địa hình quân sự và công tác tham mưu + BTL</t>
  </si>
  <si>
    <t>Chiến thuật trung đội bộ binh</t>
  </si>
  <si>
    <t>Học kỳ 1 năm học 2023 - 2024</t>
  </si>
  <si>
    <t>Giải tích 2</t>
  </si>
  <si>
    <t>Hình họa và vẽ kỹ thuật cơ khí + BTL</t>
  </si>
  <si>
    <t>Lịch sử và đường lối quân sự</t>
  </si>
  <si>
    <t>Lôgíc học</t>
  </si>
  <si>
    <t>Thể thao quân sự 2</t>
  </si>
  <si>
    <t>Vật lý đại cương 2 (LT)</t>
  </si>
  <si>
    <t>Công nghệ thông tin</t>
  </si>
  <si>
    <t>Kinh tế chính trị Mác - Lênin</t>
  </si>
  <si>
    <t>Học kỳ 2 2023 - 2024</t>
  </si>
  <si>
    <t>Cơ sở lý thuyết hóa học (LT)</t>
  </si>
  <si>
    <t>Thí nghiệm cơ sở lý thuyết hóa học</t>
  </si>
  <si>
    <t>Chủ nghĩa xã hội khoa học + TL</t>
  </si>
  <si>
    <t>Công tác quản lý bộ đội + BTL</t>
  </si>
  <si>
    <t>Tâm lý học quân sự</t>
  </si>
  <si>
    <t>Nhà nước, pháp luật</t>
  </si>
  <si>
    <t>Cơ lý thuyết + BTL</t>
  </si>
  <si>
    <t>Lý thuyết xác suất thống kê</t>
  </si>
  <si>
    <t>Giáo dục học quân sự</t>
  </si>
  <si>
    <t>Kỹ thuật điện</t>
  </si>
  <si>
    <t>Học kỳ 1 năm học 2024 - 2025</t>
  </si>
  <si>
    <t>Phương pháp nghiên cứu khoa học</t>
  </si>
  <si>
    <t>CAD + Bài tập lớn</t>
  </si>
  <si>
    <t>Nguyên lý máy + BTL</t>
  </si>
  <si>
    <t>Thực tập điện</t>
  </si>
  <si>
    <t>Thực tập cơ khí 1</t>
  </si>
  <si>
    <t>Thể dục thể thao 3 (Bơi bao gói và PPCĐ)</t>
  </si>
  <si>
    <t>Đạo đức học</t>
  </si>
  <si>
    <t>Tư tưởng Hồ Chí Minh + TL</t>
  </si>
  <si>
    <t>Dung sai + BTL</t>
  </si>
  <si>
    <t>Sức bền vật liệu + BTL</t>
  </si>
  <si>
    <t>Kỹ thuật nhiệt</t>
  </si>
  <si>
    <t>Học kỳ 2 năm học 2024 - 2025</t>
  </si>
  <si>
    <t>Chiến thuật đại đội, tiểu đoàn bộ binh</t>
  </si>
  <si>
    <t>Chi tiết máy</t>
  </si>
  <si>
    <t>Kỹ thuật điện tử</t>
  </si>
  <si>
    <t>Vật liệu học</t>
  </si>
  <si>
    <t>Dân tộc học và tôn giáo học</t>
  </si>
  <si>
    <t>Cơ sở văn hoá Việt Nam</t>
  </si>
  <si>
    <t>Nguyên lý động cơ đốt trong</t>
  </si>
  <si>
    <t>Hậu cần tài chính quân đội</t>
  </si>
  <si>
    <t>Công nghệ kim loại</t>
  </si>
  <si>
    <t>Thực tập cơ khí 2</t>
  </si>
  <si>
    <t>Thủy lực và máy thủy lực</t>
  </si>
  <si>
    <t>Học kỳ 1 năm học 2025 - 2026</t>
  </si>
  <si>
    <t>Cấu tạo xe máy công binh</t>
  </si>
  <si>
    <t>Cơ sở công nghệ chế tạo máy</t>
  </si>
  <si>
    <t>Kết cấu tính toán động cơ đốt trong + ĐAMH</t>
  </si>
  <si>
    <t>Lịch sử Đảng cộng sản Việt Nam</t>
  </si>
  <si>
    <t>Kỹ thuật điều khiển tự động (Cho KTCK)</t>
  </si>
  <si>
    <t>Đồ án chi tiết máy</t>
  </si>
  <si>
    <t>Tiếng Nga B11</t>
  </si>
  <si>
    <t>Chiến thuật trung, sư đoàn bộ binh</t>
  </si>
  <si>
    <t>Truyền động thủy lực và khí nén trên xe máy công binh</t>
  </si>
  <si>
    <r>
      <t xml:space="preserve">Họ và tên: </t>
    </r>
    <r>
      <rPr>
        <b/>
        <sz val="13"/>
        <color indexed="8"/>
        <rFont val="Times New Roman"/>
        <family val="1"/>
      </rPr>
      <t>Hoàng Trung Kiên</t>
    </r>
  </si>
  <si>
    <t>Ngày sinh: 05/06/2003</t>
  </si>
  <si>
    <t>Mã SV: 2022010214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</si>
  <si>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</si>
  <si>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2.95</t>
    </r>
  </si>
  <si>
    <r>
      <t xml:space="preserve">Họ và tên: </t>
    </r>
    <r>
      <rPr>
        <b/>
        <sz val="13"/>
        <color indexed="8"/>
        <rFont val="Times New Roman"/>
        <family val="1"/>
      </rPr>
      <t>Trương Anh Hào</t>
    </r>
  </si>
  <si>
    <t>Ngày sinh: 06/10/2004</t>
  </si>
  <si>
    <t>Mã SV: 2022010135</t>
  </si>
  <si>
    <t>Học kỳ phụ (1) Học kỳ 1 năm học 2024 - 2025</t>
  </si>
  <si>
    <t>TL</t>
  </si>
  <si>
    <t>an</t>
  </si>
  <si>
    <r>
      <t xml:space="preserve">Họ và tên: </t>
    </r>
    <r>
      <rPr>
        <b/>
        <sz val="13"/>
        <color indexed="8"/>
        <rFont val="Times New Roman"/>
        <family val="1"/>
      </rPr>
      <t>Phạm Quốc Việt</t>
    </r>
  </si>
  <si>
    <t>Ngày sinh: 24/03/2004</t>
  </si>
  <si>
    <t>Mã SV: 2022010495</t>
  </si>
  <si>
    <r>
      <t xml:space="preserve">Tổng tín chỉ: </t>
    </r>
    <r>
      <rPr>
        <b/>
        <sz val="14"/>
        <color indexed="8"/>
        <rFont val="Times New Roman"/>
        <family val="1"/>
      </rPr>
      <t>164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</si>
  <si>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6.24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</si>
  <si>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2.21</t>
    </r>
  </si>
  <si>
    <r>
      <t xml:space="preserve">Xếp loại: </t>
    </r>
    <r>
      <rPr>
        <b/>
        <sz val="14"/>
        <rFont val="Times New Roman"/>
        <family val="1"/>
      </rPr>
      <t>Trung bình</t>
    </r>
  </si>
  <si>
    <t>Học kỳ hè năm học 2023 - 2024</t>
  </si>
  <si>
    <t>Học kỳ hè HK2 - Năm học 2024 - 2025</t>
  </si>
  <si>
    <r>
      <t xml:space="preserve">Họ và tên: </t>
    </r>
    <r>
      <rPr>
        <b/>
        <sz val="13"/>
        <color indexed="8"/>
        <rFont val="Times New Roman"/>
        <family val="1"/>
      </rPr>
      <t>Đỗ Minh Vương</t>
    </r>
  </si>
  <si>
    <t>Ngày sinh: 13/05/2004</t>
  </si>
  <si>
    <t>Mã SV: 2022010506</t>
  </si>
  <si>
    <r>
      <t xml:space="preserve">Tổng tín chỉ: </t>
    </r>
    <r>
      <rPr>
        <b/>
        <sz val="14"/>
        <color indexed="8"/>
        <rFont val="Times New Roman"/>
        <family val="1"/>
      </rPr>
      <t>153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</si>
  <si>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</si>
  <si>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</t>
    </r>
  </si>
  <si>
    <t>Học kỳ thi lại HK2 năm học 2022 - 2023</t>
  </si>
  <si>
    <r>
      <t xml:space="preserve">Họ và tên: </t>
    </r>
    <r>
      <rPr>
        <b/>
        <sz val="13"/>
        <color indexed="8"/>
        <rFont val="Times New Roman"/>
        <family val="1"/>
      </rPr>
      <t>Nguyễn Tiến Dũng</t>
    </r>
  </si>
  <si>
    <t>Ngày sinh: 19/05/2004</t>
  </si>
  <si>
    <t>Mã SV: 2022010103</t>
  </si>
  <si>
    <r>
      <t xml:space="preserve">Tổng tín chỉ: </t>
    </r>
    <r>
      <rPr>
        <b/>
        <sz val="14"/>
        <color indexed="8"/>
        <rFont val="Times New Roman"/>
        <family val="1"/>
      </rPr>
      <t>158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</si>
  <si>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</si>
  <si>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2.48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</si>
  <si>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</si>
  <si>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t>Học kỳ thi lại đợt 1 năm học 2023 - 2024</t>
  </si>
  <si>
    <r>
      <t xml:space="preserve">Họ và tên: </t>
    </r>
    <r>
      <rPr>
        <b/>
        <sz val="13"/>
        <color indexed="8"/>
        <rFont val="Times New Roman"/>
        <family val="1"/>
      </rPr>
      <t>Nguyễn Văn Linh</t>
    </r>
  </si>
  <si>
    <t>Ngày sinh: 02/07/2004</t>
  </si>
  <si>
    <t>Mã SV: 2022010234</t>
  </si>
  <si>
    <t>Học kỳ phụ/thi lại HK1 năm học 2022 - 2023</t>
  </si>
  <si>
    <t>HL</t>
  </si>
  <si>
    <r>
      <t xml:space="preserve">Họ và tên: </t>
    </r>
    <r>
      <rPr>
        <b/>
        <sz val="13"/>
        <color indexed="8"/>
        <rFont val="Times New Roman"/>
        <family val="1"/>
      </rPr>
      <t>Lê Đình Hà Ninh</t>
    </r>
  </si>
  <si>
    <t>Ngày sinh: 22/10/2004</t>
  </si>
  <si>
    <t>Mã SV: 2022010297</t>
  </si>
  <si>
    <r>
      <t xml:space="preserve">Tổng tín chỉ: </t>
    </r>
    <r>
      <rPr>
        <b/>
        <sz val="14"/>
        <color indexed="8"/>
        <rFont val="Times New Roman"/>
        <family val="1"/>
      </rPr>
      <t>174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</si>
  <si>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5.98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</si>
  <si>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2.09</t>
    </r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</si>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</sst>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B50A3F44-15F1-3816-355A-AB970F6FFAB4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9C893C40-CAEF-B0EC-BC10-C8011C55AEBA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108</xdr:row>
      <xdr:rowOff>541020</xdr:rowOff>
    </xdr:from>
    <xdr:to>
      <xdr:col>3</xdr:col>
      <xdr:colOff>327660</xdr:colOff>
      <xdr:row>108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323528ED-1432-9A99-9738-6BEF93337866}"/>
            </a:ext>
          </a:extLst>
        </xdr:cNvPr>
        <xdr:cNvCxnSpPr>
          <a:cxnSpLocks noChangeShapeType="1"/>
        </xdr:cNvCxnSpPr>
      </xdr:nvCxnSpPr>
      <xdr:spPr bwMode="auto">
        <a:xfrm>
          <a:off x="624840" y="226999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108</xdr:row>
      <xdr:rowOff>541020</xdr:rowOff>
    </xdr:from>
    <xdr:to>
      <xdr:col>16</xdr:col>
      <xdr:colOff>106680</xdr:colOff>
      <xdr:row>108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BCD735D0-9FC2-57FB-75DC-EF7C55208C9C}"/>
            </a:ext>
          </a:extLst>
        </xdr:cNvPr>
        <xdr:cNvCxnSpPr>
          <a:cxnSpLocks noChangeShapeType="1"/>
        </xdr:cNvCxnSpPr>
      </xdr:nvCxnSpPr>
      <xdr:spPr bwMode="auto">
        <a:xfrm>
          <a:off x="3649980" y="226999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216</xdr:row>
      <xdr:rowOff>541020</xdr:rowOff>
    </xdr:from>
    <xdr:to>
      <xdr:col>3</xdr:col>
      <xdr:colOff>327660</xdr:colOff>
      <xdr:row>216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3AE3EA89-F654-7B9B-6590-6FD4AC4D1D8C}"/>
            </a:ext>
          </a:extLst>
        </xdr:cNvPr>
        <xdr:cNvCxnSpPr>
          <a:cxnSpLocks noChangeShapeType="1"/>
        </xdr:cNvCxnSpPr>
      </xdr:nvCxnSpPr>
      <xdr:spPr bwMode="auto">
        <a:xfrm>
          <a:off x="624840" y="448589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216</xdr:row>
      <xdr:rowOff>541020</xdr:rowOff>
    </xdr:from>
    <xdr:to>
      <xdr:col>16</xdr:col>
      <xdr:colOff>106680</xdr:colOff>
      <xdr:row>216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64A6FF9D-B6ED-424C-1CFE-6614013479C1}"/>
            </a:ext>
          </a:extLst>
        </xdr:cNvPr>
        <xdr:cNvCxnSpPr>
          <a:cxnSpLocks noChangeShapeType="1"/>
        </xdr:cNvCxnSpPr>
      </xdr:nvCxnSpPr>
      <xdr:spPr bwMode="auto">
        <a:xfrm>
          <a:off x="3649980" y="448589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326</xdr:row>
      <xdr:rowOff>541020</xdr:rowOff>
    </xdr:from>
    <xdr:to>
      <xdr:col>3</xdr:col>
      <xdr:colOff>327660</xdr:colOff>
      <xdr:row>326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22F7C8B0-A3B0-D397-367C-7CF8E262B0EE}"/>
            </a:ext>
          </a:extLst>
        </xdr:cNvPr>
        <xdr:cNvCxnSpPr>
          <a:cxnSpLocks noChangeShapeType="1"/>
        </xdr:cNvCxnSpPr>
      </xdr:nvCxnSpPr>
      <xdr:spPr bwMode="auto">
        <a:xfrm>
          <a:off x="624840" y="671779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326</xdr:row>
      <xdr:rowOff>541020</xdr:rowOff>
    </xdr:from>
    <xdr:to>
      <xdr:col>16</xdr:col>
      <xdr:colOff>106680</xdr:colOff>
      <xdr:row>326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95AA8DD7-88D8-D904-706E-9844058D2B89}"/>
            </a:ext>
          </a:extLst>
        </xdr:cNvPr>
        <xdr:cNvCxnSpPr>
          <a:cxnSpLocks noChangeShapeType="1"/>
        </xdr:cNvCxnSpPr>
      </xdr:nvCxnSpPr>
      <xdr:spPr bwMode="auto">
        <a:xfrm>
          <a:off x="3649980" y="671779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447</xdr:row>
      <xdr:rowOff>541020</xdr:rowOff>
    </xdr:from>
    <xdr:to>
      <xdr:col>3</xdr:col>
      <xdr:colOff>327660</xdr:colOff>
      <xdr:row>447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6277CF00-4FA5-AE3D-BEF8-C5FAB020233B}"/>
            </a:ext>
          </a:extLst>
        </xdr:cNvPr>
        <xdr:cNvCxnSpPr>
          <a:cxnSpLocks noChangeShapeType="1"/>
        </xdr:cNvCxnSpPr>
      </xdr:nvCxnSpPr>
      <xdr:spPr bwMode="auto">
        <a:xfrm>
          <a:off x="624840" y="915314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447</xdr:row>
      <xdr:rowOff>541020</xdr:rowOff>
    </xdr:from>
    <xdr:to>
      <xdr:col>16</xdr:col>
      <xdr:colOff>106680</xdr:colOff>
      <xdr:row>447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D7011963-7773-9C20-CC0C-648CFAB66CDE}"/>
            </a:ext>
          </a:extLst>
        </xdr:cNvPr>
        <xdr:cNvCxnSpPr>
          <a:cxnSpLocks noChangeShapeType="1"/>
        </xdr:cNvCxnSpPr>
      </xdr:nvCxnSpPr>
      <xdr:spPr bwMode="auto">
        <a:xfrm>
          <a:off x="3649980" y="915314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563</xdr:row>
      <xdr:rowOff>541020</xdr:rowOff>
    </xdr:from>
    <xdr:to>
      <xdr:col>3</xdr:col>
      <xdr:colOff>327660</xdr:colOff>
      <xdr:row>563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7CD591B7-247E-6AB6-3791-990241EE70C0}"/>
            </a:ext>
          </a:extLst>
        </xdr:cNvPr>
        <xdr:cNvCxnSpPr>
          <a:cxnSpLocks noChangeShapeType="1"/>
        </xdr:cNvCxnSpPr>
      </xdr:nvCxnSpPr>
      <xdr:spPr bwMode="auto">
        <a:xfrm>
          <a:off x="624840" y="1150162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563</xdr:row>
      <xdr:rowOff>541020</xdr:rowOff>
    </xdr:from>
    <xdr:to>
      <xdr:col>16</xdr:col>
      <xdr:colOff>106680</xdr:colOff>
      <xdr:row>563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A55D324B-A630-4DDF-2792-E33E62297885}"/>
            </a:ext>
          </a:extLst>
        </xdr:cNvPr>
        <xdr:cNvCxnSpPr>
          <a:cxnSpLocks noChangeShapeType="1"/>
        </xdr:cNvCxnSpPr>
      </xdr:nvCxnSpPr>
      <xdr:spPr bwMode="auto">
        <a:xfrm>
          <a:off x="3649980" y="1150162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676</xdr:row>
      <xdr:rowOff>541020</xdr:rowOff>
    </xdr:from>
    <xdr:to>
      <xdr:col>3</xdr:col>
      <xdr:colOff>327660</xdr:colOff>
      <xdr:row>676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FB1CC125-4DB7-577A-D204-D1D76655F849}"/>
            </a:ext>
          </a:extLst>
        </xdr:cNvPr>
        <xdr:cNvCxnSpPr>
          <a:cxnSpLocks noChangeShapeType="1"/>
        </xdr:cNvCxnSpPr>
      </xdr:nvCxnSpPr>
      <xdr:spPr bwMode="auto">
        <a:xfrm>
          <a:off x="624840" y="1380439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676</xdr:row>
      <xdr:rowOff>541020</xdr:rowOff>
    </xdr:from>
    <xdr:to>
      <xdr:col>16</xdr:col>
      <xdr:colOff>106680</xdr:colOff>
      <xdr:row>676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11652BCA-C130-1A7F-B0D7-5E79CB7F7788}"/>
            </a:ext>
          </a:extLst>
        </xdr:cNvPr>
        <xdr:cNvCxnSpPr>
          <a:cxnSpLocks noChangeShapeType="1"/>
        </xdr:cNvCxnSpPr>
      </xdr:nvCxnSpPr>
      <xdr:spPr bwMode="auto">
        <a:xfrm>
          <a:off x="3649980" y="1380439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800</xdr:row>
      <xdr:rowOff>541020</xdr:rowOff>
    </xdr:from>
    <xdr:to>
      <xdr:col>3</xdr:col>
      <xdr:colOff>327660</xdr:colOff>
      <xdr:row>800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A39E5C2F-557D-C8B0-9BA3-40740582F15F}"/>
            </a:ext>
          </a:extLst>
        </xdr:cNvPr>
        <xdr:cNvCxnSpPr>
          <a:cxnSpLocks noChangeShapeType="1"/>
        </xdr:cNvCxnSpPr>
      </xdr:nvCxnSpPr>
      <xdr:spPr bwMode="auto">
        <a:xfrm>
          <a:off x="624840" y="1628546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800</xdr:row>
      <xdr:rowOff>541020</xdr:rowOff>
    </xdr:from>
    <xdr:to>
      <xdr:col>16</xdr:col>
      <xdr:colOff>106680</xdr:colOff>
      <xdr:row>800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AF6AC728-CB1E-CB26-4B28-F11E84ECA270}"/>
            </a:ext>
          </a:extLst>
        </xdr:cNvPr>
        <xdr:cNvCxnSpPr>
          <a:cxnSpLocks noChangeShapeType="1"/>
        </xdr:cNvCxnSpPr>
      </xdr:nvCxnSpPr>
      <xdr:spPr bwMode="auto">
        <a:xfrm>
          <a:off x="3649980" y="1628546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76E3-9BAF-4D22-9F6E-9EFBD97696E0}">
  <dimension ref="A1:T930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8" t="s">
        <v>33</v>
      </c>
      <c r="B1" s="48"/>
      <c r="C1" s="48"/>
      <c r="D1" s="48"/>
      <c r="E1" s="48"/>
      <c r="F1" s="42" t="s">
        <v>24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17.399999999999999" x14ac:dyDescent="0.25">
      <c r="A2" s="49" t="s">
        <v>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4.5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20" ht="5.25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20" ht="16.5" customHeight="1" x14ac:dyDescent="0.25">
      <c r="A5" s="54" t="s">
        <v>43</v>
      </c>
      <c r="B5" s="54"/>
      <c r="C5" s="54"/>
      <c r="D5" s="54"/>
      <c r="E5" s="54"/>
      <c r="F5" s="54"/>
      <c r="G5" s="58" t="s">
        <v>44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20" ht="16.5" customHeight="1" x14ac:dyDescent="0.25">
      <c r="A6" s="54" t="s">
        <v>45</v>
      </c>
      <c r="B6" s="54"/>
      <c r="C6" s="54"/>
      <c r="D6" s="54"/>
      <c r="E6" s="54"/>
      <c r="F6" s="54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4" t="s">
        <v>47</v>
      </c>
      <c r="B7" s="54"/>
      <c r="C7" s="54"/>
      <c r="D7" s="54"/>
      <c r="E7" s="54"/>
      <c r="F7" s="54"/>
      <c r="G7" s="58" t="s">
        <v>48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6" t="s">
        <v>0</v>
      </c>
      <c r="B9" s="29" t="s">
        <v>1</v>
      </c>
      <c r="C9" s="30"/>
      <c r="D9" s="30"/>
      <c r="E9" s="30"/>
      <c r="F9" s="30"/>
      <c r="G9" s="31"/>
      <c r="H9" s="36" t="s">
        <v>32</v>
      </c>
      <c r="I9" s="36" t="s">
        <v>39</v>
      </c>
      <c r="J9" s="55" t="s">
        <v>2</v>
      </c>
      <c r="K9" s="56"/>
      <c r="L9" s="56"/>
      <c r="M9" s="56"/>
      <c r="N9" s="56"/>
      <c r="O9" s="56"/>
      <c r="P9" s="56"/>
      <c r="Q9" s="57"/>
      <c r="S9" s="36" t="s">
        <v>38</v>
      </c>
    </row>
    <row r="10" spans="1:20" ht="24" customHeight="1" x14ac:dyDescent="0.25">
      <c r="A10" s="37"/>
      <c r="B10" s="32"/>
      <c r="C10" s="33"/>
      <c r="D10" s="33"/>
      <c r="E10" s="33"/>
      <c r="F10" s="33"/>
      <c r="G10" s="34"/>
      <c r="H10" s="37"/>
      <c r="I10" s="37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7"/>
    </row>
    <row r="11" spans="1:20" ht="20.25" customHeight="1" x14ac:dyDescent="0.25">
      <c r="A11" s="27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51" t="s">
        <v>55</v>
      </c>
      <c r="C12" s="52"/>
      <c r="D12" s="52"/>
      <c r="E12" s="52"/>
      <c r="F12" s="52"/>
      <c r="G12" s="53"/>
      <c r="H12" s="20"/>
      <c r="I12" s="9">
        <v>2</v>
      </c>
      <c r="J12" s="9"/>
      <c r="K12" s="9"/>
      <c r="L12" s="9"/>
      <c r="M12" s="9">
        <f t="shared" ref="M12:M20" si="0">I12*O12</f>
        <v>14</v>
      </c>
      <c r="N12" s="9">
        <f t="shared" ref="N12:N20" si="1">I12*P12</f>
        <v>6</v>
      </c>
      <c r="O12" s="9">
        <v>7</v>
      </c>
      <c r="P12" s="9">
        <v>3</v>
      </c>
      <c r="Q12" s="9" t="s">
        <v>6</v>
      </c>
      <c r="R12" s="1">
        <v>0</v>
      </c>
      <c r="S12" s="26"/>
    </row>
    <row r="13" spans="1:20" ht="16.5" customHeight="1" x14ac:dyDescent="0.25">
      <c r="A13" s="9"/>
      <c r="B13" s="51" t="s">
        <v>56</v>
      </c>
      <c r="C13" s="52"/>
      <c r="D13" s="52"/>
      <c r="E13" s="52"/>
      <c r="F13" s="52"/>
      <c r="G13" s="53"/>
      <c r="H13" s="20"/>
      <c r="I13" s="9">
        <v>3</v>
      </c>
      <c r="J13" s="9"/>
      <c r="K13" s="9"/>
      <c r="L13" s="9"/>
      <c r="M13" s="9">
        <f t="shared" si="0"/>
        <v>21</v>
      </c>
      <c r="N13" s="9">
        <f t="shared" si="1"/>
        <v>9</v>
      </c>
      <c r="O13" s="9">
        <v>7</v>
      </c>
      <c r="P13" s="9">
        <v>3</v>
      </c>
      <c r="Q13" s="9" t="s">
        <v>6</v>
      </c>
      <c r="R13" s="1">
        <v>0</v>
      </c>
      <c r="S13" s="26"/>
    </row>
    <row r="14" spans="1:20" ht="31.2" customHeight="1" x14ac:dyDescent="0.25">
      <c r="A14" s="9"/>
      <c r="B14" s="51" t="s">
        <v>57</v>
      </c>
      <c r="C14" s="52"/>
      <c r="D14" s="52"/>
      <c r="E14" s="52"/>
      <c r="F14" s="52"/>
      <c r="G14" s="53"/>
      <c r="H14" s="20"/>
      <c r="I14" s="9">
        <v>3</v>
      </c>
      <c r="J14" s="9"/>
      <c r="K14" s="9"/>
      <c r="L14" s="9"/>
      <c r="M14" s="9">
        <f t="shared" si="0"/>
        <v>21.9</v>
      </c>
      <c r="N14" s="9">
        <f t="shared" si="1"/>
        <v>9</v>
      </c>
      <c r="O14" s="9">
        <v>7.3</v>
      </c>
      <c r="P14" s="9">
        <v>3</v>
      </c>
      <c r="Q14" s="9" t="s">
        <v>6</v>
      </c>
      <c r="R14" s="1">
        <v>0</v>
      </c>
      <c r="S14" s="26"/>
    </row>
    <row r="15" spans="1:20" ht="16.5" customHeight="1" x14ac:dyDescent="0.25">
      <c r="A15" s="9"/>
      <c r="B15" s="51" t="s">
        <v>58</v>
      </c>
      <c r="C15" s="52"/>
      <c r="D15" s="52"/>
      <c r="E15" s="52"/>
      <c r="F15" s="52"/>
      <c r="G15" s="53"/>
      <c r="H15" s="20"/>
      <c r="I15" s="9">
        <v>1</v>
      </c>
      <c r="J15" s="9"/>
      <c r="K15" s="9"/>
      <c r="L15" s="9"/>
      <c r="M15" s="9">
        <f t="shared" si="0"/>
        <v>7.4</v>
      </c>
      <c r="N15" s="9">
        <f t="shared" si="1"/>
        <v>3</v>
      </c>
      <c r="O15" s="9">
        <v>7.4</v>
      </c>
      <c r="P15" s="9">
        <v>3</v>
      </c>
      <c r="Q15" s="9" t="s">
        <v>6</v>
      </c>
      <c r="R15" s="1">
        <v>0</v>
      </c>
      <c r="S15" s="26"/>
    </row>
    <row r="16" spans="1:20" ht="16.5" customHeight="1" x14ac:dyDescent="0.25">
      <c r="A16" s="9"/>
      <c r="B16" s="51" t="s">
        <v>59</v>
      </c>
      <c r="C16" s="52"/>
      <c r="D16" s="52"/>
      <c r="E16" s="52"/>
      <c r="F16" s="52"/>
      <c r="G16" s="53"/>
      <c r="H16" s="20"/>
      <c r="I16" s="9">
        <v>1</v>
      </c>
      <c r="J16" s="9"/>
      <c r="K16" s="9"/>
      <c r="L16" s="9"/>
      <c r="M16" s="9">
        <f t="shared" si="0"/>
        <v>5.9</v>
      </c>
      <c r="N16" s="9">
        <f t="shared" si="1"/>
        <v>2</v>
      </c>
      <c r="O16" s="9">
        <v>5.9</v>
      </c>
      <c r="P16" s="9">
        <v>2</v>
      </c>
      <c r="Q16" s="9" t="s">
        <v>3</v>
      </c>
      <c r="R16" s="1">
        <v>0</v>
      </c>
      <c r="S16" s="26"/>
    </row>
    <row r="17" spans="1:19" ht="16.5" customHeight="1" x14ac:dyDescent="0.25">
      <c r="A17" s="9"/>
      <c r="B17" s="51" t="s">
        <v>60</v>
      </c>
      <c r="C17" s="52"/>
      <c r="D17" s="52"/>
      <c r="E17" s="52"/>
      <c r="F17" s="52"/>
      <c r="G17" s="53"/>
      <c r="H17" s="20"/>
      <c r="I17" s="9">
        <v>3</v>
      </c>
      <c r="J17" s="9"/>
      <c r="K17" s="9"/>
      <c r="L17" s="9"/>
      <c r="M17" s="9">
        <f t="shared" si="0"/>
        <v>23.700000000000003</v>
      </c>
      <c r="N17" s="9">
        <f t="shared" si="1"/>
        <v>9</v>
      </c>
      <c r="O17" s="9">
        <v>7.9</v>
      </c>
      <c r="P17" s="9">
        <v>3</v>
      </c>
      <c r="Q17" s="9" t="s">
        <v>6</v>
      </c>
      <c r="R17" s="1">
        <v>0</v>
      </c>
      <c r="S17" s="26"/>
    </row>
    <row r="18" spans="1:19" ht="16.5" customHeight="1" x14ac:dyDescent="0.25">
      <c r="A18" s="9"/>
      <c r="B18" s="51" t="s">
        <v>61</v>
      </c>
      <c r="C18" s="52"/>
      <c r="D18" s="52"/>
      <c r="E18" s="52"/>
      <c r="F18" s="52"/>
      <c r="G18" s="53"/>
      <c r="H18" s="20"/>
      <c r="I18" s="9">
        <v>1</v>
      </c>
      <c r="J18" s="9"/>
      <c r="K18" s="9"/>
      <c r="L18" s="9"/>
      <c r="M18" s="9">
        <f t="shared" si="0"/>
        <v>5.5</v>
      </c>
      <c r="N18" s="9">
        <f t="shared" si="1"/>
        <v>2</v>
      </c>
      <c r="O18" s="9">
        <v>5.5</v>
      </c>
      <c r="P18" s="9">
        <v>2</v>
      </c>
      <c r="Q18" s="9" t="s">
        <v>3</v>
      </c>
      <c r="R18" s="1">
        <v>0</v>
      </c>
      <c r="S18" s="26"/>
    </row>
    <row r="19" spans="1:19" ht="16.5" hidden="1" customHeight="1" x14ac:dyDescent="0.25">
      <c r="A19" s="21"/>
      <c r="H19" s="21"/>
      <c r="I19" s="21"/>
      <c r="J19" s="21"/>
      <c r="K19" s="21"/>
      <c r="L19" s="21"/>
      <c r="M19" s="9">
        <f t="shared" si="0"/>
        <v>0</v>
      </c>
      <c r="N19" s="9">
        <f t="shared" si="1"/>
        <v>0</v>
      </c>
      <c r="O19" s="21"/>
      <c r="P19" s="21"/>
      <c r="Q19" s="21"/>
      <c r="S19" s="25"/>
    </row>
    <row r="20" spans="1:19" ht="16.5" customHeight="1" x14ac:dyDescent="0.25">
      <c r="A20" s="9"/>
      <c r="B20" s="39" t="s">
        <v>42</v>
      </c>
      <c r="C20" s="40"/>
      <c r="D20" s="40"/>
      <c r="E20" s="40"/>
      <c r="F20" s="40"/>
      <c r="G20" s="41"/>
      <c r="H20" s="23"/>
      <c r="I20" s="24">
        <f>SUM(I12:I19)</f>
        <v>14</v>
      </c>
      <c r="J20" s="9"/>
      <c r="K20" s="9"/>
      <c r="L20" s="9"/>
      <c r="M20" s="9">
        <f t="shared" si="0"/>
        <v>99.399999999999991</v>
      </c>
      <c r="N20" s="9">
        <f t="shared" si="1"/>
        <v>40.04</v>
      </c>
      <c r="O20" s="24">
        <f>ROUND(SUM(M12:M19)/I20,2)</f>
        <v>7.1</v>
      </c>
      <c r="P20" s="24">
        <f>ROUND(SUM(N12:N19)/I20,2)</f>
        <v>2.86</v>
      </c>
      <c r="Q20" s="9"/>
      <c r="S20" s="25"/>
    </row>
    <row r="21" spans="1:19" ht="20.25" customHeight="1" x14ac:dyDescent="0.25">
      <c r="A21" s="27" t="s">
        <v>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6.5" customHeight="1" x14ac:dyDescent="0.25">
      <c r="A22" s="9"/>
      <c r="B22" s="51" t="s">
        <v>63</v>
      </c>
      <c r="C22" s="52"/>
      <c r="D22" s="52"/>
      <c r="E22" s="52"/>
      <c r="F22" s="52"/>
      <c r="G22" s="53"/>
      <c r="H22" s="20"/>
      <c r="I22" s="9">
        <v>4</v>
      </c>
      <c r="J22" s="9"/>
      <c r="K22" s="9"/>
      <c r="L22" s="9"/>
      <c r="M22" s="9">
        <f t="shared" ref="M22:M30" si="2">I22*O22</f>
        <v>30.8</v>
      </c>
      <c r="N22" s="9">
        <f t="shared" ref="N22:N30" si="3">I22*P22</f>
        <v>12</v>
      </c>
      <c r="O22" s="9">
        <v>7.7</v>
      </c>
      <c r="P22" s="9">
        <v>3</v>
      </c>
      <c r="Q22" s="9" t="s">
        <v>6</v>
      </c>
      <c r="R22" s="1">
        <v>0</v>
      </c>
      <c r="S22" s="26"/>
    </row>
    <row r="23" spans="1:19" ht="16.5" customHeight="1" x14ac:dyDescent="0.25">
      <c r="A23" s="9"/>
      <c r="B23" s="51" t="s">
        <v>64</v>
      </c>
      <c r="C23" s="52"/>
      <c r="D23" s="52"/>
      <c r="E23" s="52"/>
      <c r="F23" s="52"/>
      <c r="G23" s="53"/>
      <c r="H23" s="20"/>
      <c r="I23" s="9">
        <v>4</v>
      </c>
      <c r="J23" s="9"/>
      <c r="K23" s="9"/>
      <c r="L23" s="9"/>
      <c r="M23" s="9">
        <f t="shared" si="2"/>
        <v>22.4</v>
      </c>
      <c r="N23" s="9">
        <f t="shared" si="3"/>
        <v>8</v>
      </c>
      <c r="O23" s="9">
        <v>5.6</v>
      </c>
      <c r="P23" s="9">
        <v>2</v>
      </c>
      <c r="Q23" s="9" t="s">
        <v>3</v>
      </c>
      <c r="R23" s="1">
        <v>0</v>
      </c>
      <c r="S23" s="26"/>
    </row>
    <row r="24" spans="1:19" ht="16.5" customHeight="1" x14ac:dyDescent="0.25">
      <c r="A24" s="9"/>
      <c r="B24" s="51" t="s">
        <v>65</v>
      </c>
      <c r="C24" s="52"/>
      <c r="D24" s="52"/>
      <c r="E24" s="52"/>
      <c r="F24" s="52"/>
      <c r="G24" s="53"/>
      <c r="H24" s="20"/>
      <c r="I24" s="9">
        <v>4</v>
      </c>
      <c r="J24" s="9"/>
      <c r="K24" s="9"/>
      <c r="L24" s="9"/>
      <c r="M24" s="9">
        <f t="shared" si="2"/>
        <v>30</v>
      </c>
      <c r="N24" s="9">
        <f t="shared" si="3"/>
        <v>12</v>
      </c>
      <c r="O24" s="9">
        <v>7.5</v>
      </c>
      <c r="P24" s="9">
        <v>3</v>
      </c>
      <c r="Q24" s="9" t="s">
        <v>6</v>
      </c>
      <c r="R24" s="1">
        <v>0</v>
      </c>
      <c r="S24" s="26"/>
    </row>
    <row r="25" spans="1:19" ht="16.5" customHeight="1" x14ac:dyDescent="0.25">
      <c r="A25" s="9"/>
      <c r="B25" s="51" t="s">
        <v>66</v>
      </c>
      <c r="C25" s="52"/>
      <c r="D25" s="52"/>
      <c r="E25" s="52"/>
      <c r="F25" s="52"/>
      <c r="G25" s="53"/>
      <c r="H25" s="20"/>
      <c r="I25" s="9">
        <v>1</v>
      </c>
      <c r="J25" s="9"/>
      <c r="K25" s="9"/>
      <c r="L25" s="9"/>
      <c r="M25" s="9">
        <f t="shared" si="2"/>
        <v>7.7</v>
      </c>
      <c r="N25" s="9">
        <f t="shared" si="3"/>
        <v>3</v>
      </c>
      <c r="O25" s="9">
        <v>7.7</v>
      </c>
      <c r="P25" s="9">
        <v>3</v>
      </c>
      <c r="Q25" s="9" t="s">
        <v>6</v>
      </c>
      <c r="R25" s="1">
        <v>0</v>
      </c>
      <c r="S25" s="26"/>
    </row>
    <row r="26" spans="1:19" ht="16.5" customHeight="1" x14ac:dyDescent="0.25">
      <c r="A26" s="9"/>
      <c r="B26" s="51" t="s">
        <v>67</v>
      </c>
      <c r="C26" s="52"/>
      <c r="D26" s="52"/>
      <c r="E26" s="52"/>
      <c r="F26" s="52"/>
      <c r="G26" s="53"/>
      <c r="H26" s="20"/>
      <c r="I26" s="9">
        <v>1</v>
      </c>
      <c r="J26" s="9"/>
      <c r="K26" s="9"/>
      <c r="L26" s="9"/>
      <c r="M26" s="9">
        <f t="shared" si="2"/>
        <v>8</v>
      </c>
      <c r="N26" s="9">
        <f t="shared" si="3"/>
        <v>3.5</v>
      </c>
      <c r="O26" s="9">
        <v>8</v>
      </c>
      <c r="P26" s="9">
        <v>3.5</v>
      </c>
      <c r="Q26" s="9" t="s">
        <v>9</v>
      </c>
      <c r="R26" s="1">
        <v>0</v>
      </c>
      <c r="S26" s="26"/>
    </row>
    <row r="27" spans="1:19" ht="16.5" customHeight="1" x14ac:dyDescent="0.25">
      <c r="A27" s="9"/>
      <c r="B27" s="51" t="s">
        <v>68</v>
      </c>
      <c r="C27" s="52"/>
      <c r="D27" s="52"/>
      <c r="E27" s="52"/>
      <c r="F27" s="52"/>
      <c r="G27" s="53"/>
      <c r="H27" s="20"/>
      <c r="I27" s="9">
        <v>1</v>
      </c>
      <c r="J27" s="9"/>
      <c r="K27" s="9"/>
      <c r="L27" s="9"/>
      <c r="M27" s="9">
        <f t="shared" si="2"/>
        <v>8</v>
      </c>
      <c r="N27" s="9">
        <f t="shared" si="3"/>
        <v>3.5</v>
      </c>
      <c r="O27" s="9">
        <v>8</v>
      </c>
      <c r="P27" s="9">
        <v>3.5</v>
      </c>
      <c r="Q27" s="9" t="s">
        <v>9</v>
      </c>
      <c r="R27" s="1">
        <v>0</v>
      </c>
      <c r="S27" s="26"/>
    </row>
    <row r="28" spans="1:19" ht="16.5" customHeight="1" x14ac:dyDescent="0.25">
      <c r="A28" s="9"/>
      <c r="B28" s="51" t="s">
        <v>69</v>
      </c>
      <c r="C28" s="52"/>
      <c r="D28" s="52"/>
      <c r="E28" s="52"/>
      <c r="F28" s="52"/>
      <c r="G28" s="53"/>
      <c r="H28" s="20"/>
      <c r="I28" s="9">
        <v>1</v>
      </c>
      <c r="J28" s="9"/>
      <c r="K28" s="9"/>
      <c r="L28" s="9"/>
      <c r="M28" s="9">
        <f t="shared" si="2"/>
        <v>7.7</v>
      </c>
      <c r="N28" s="9">
        <f t="shared" si="3"/>
        <v>3</v>
      </c>
      <c r="O28" s="9">
        <v>7.7</v>
      </c>
      <c r="P28" s="9">
        <v>3</v>
      </c>
      <c r="Q28" s="9" t="s">
        <v>6</v>
      </c>
      <c r="R28" s="1">
        <v>0</v>
      </c>
      <c r="S28" s="26"/>
    </row>
    <row r="29" spans="1:19" ht="16.5" hidden="1" customHeight="1" x14ac:dyDescent="0.25">
      <c r="A29" s="21"/>
      <c r="H29" s="21"/>
      <c r="I29" s="21"/>
      <c r="J29" s="21"/>
      <c r="K29" s="21"/>
      <c r="L29" s="21"/>
      <c r="M29" s="9">
        <f t="shared" si="2"/>
        <v>0</v>
      </c>
      <c r="N29" s="9">
        <f t="shared" si="3"/>
        <v>0</v>
      </c>
      <c r="O29" s="21"/>
      <c r="P29" s="21"/>
      <c r="Q29" s="21"/>
      <c r="S29" s="25"/>
    </row>
    <row r="30" spans="1:19" ht="16.5" customHeight="1" x14ac:dyDescent="0.25">
      <c r="A30" s="9"/>
      <c r="B30" s="39" t="s">
        <v>42</v>
      </c>
      <c r="C30" s="40"/>
      <c r="D30" s="40"/>
      <c r="E30" s="40"/>
      <c r="F30" s="40"/>
      <c r="G30" s="41"/>
      <c r="H30" s="23"/>
      <c r="I30" s="24">
        <f>SUM(I22:I29)</f>
        <v>16</v>
      </c>
      <c r="J30" s="9"/>
      <c r="K30" s="9"/>
      <c r="L30" s="9"/>
      <c r="M30" s="9">
        <f t="shared" si="2"/>
        <v>114.56</v>
      </c>
      <c r="N30" s="9">
        <f t="shared" si="3"/>
        <v>44.96</v>
      </c>
      <c r="O30" s="24">
        <f>ROUND(SUM(M22:M29)/I30,2)</f>
        <v>7.16</v>
      </c>
      <c r="P30" s="24">
        <f>ROUND(SUM(N22:N29)/I30,2)</f>
        <v>2.81</v>
      </c>
      <c r="Q30" s="9"/>
      <c r="S30" s="25"/>
    </row>
    <row r="31" spans="1:19" ht="20.25" customHeight="1" x14ac:dyDescent="0.25">
      <c r="A31" s="27" t="s">
        <v>70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ht="16.5" customHeight="1" x14ac:dyDescent="0.25">
      <c r="A32" s="9"/>
      <c r="B32" s="51" t="s">
        <v>71</v>
      </c>
      <c r="C32" s="52"/>
      <c r="D32" s="52"/>
      <c r="E32" s="52"/>
      <c r="F32" s="52"/>
      <c r="G32" s="53"/>
      <c r="H32" s="20"/>
      <c r="I32" s="9">
        <v>4</v>
      </c>
      <c r="J32" s="9"/>
      <c r="K32" s="9"/>
      <c r="L32" s="9"/>
      <c r="M32" s="9">
        <f t="shared" ref="M32:M41" si="4">I32*O32</f>
        <v>38.4</v>
      </c>
      <c r="N32" s="9">
        <f t="shared" ref="N32:N41" si="5">I32*P32</f>
        <v>16</v>
      </c>
      <c r="O32" s="9">
        <v>9.6</v>
      </c>
      <c r="P32" s="9">
        <v>4</v>
      </c>
      <c r="Q32" s="9" t="s">
        <v>12</v>
      </c>
      <c r="R32" s="1">
        <v>0</v>
      </c>
      <c r="S32" s="26"/>
    </row>
    <row r="33" spans="1:19" ht="16.5" customHeight="1" x14ac:dyDescent="0.25">
      <c r="A33" s="9"/>
      <c r="B33" s="51" t="s">
        <v>72</v>
      </c>
      <c r="C33" s="52"/>
      <c r="D33" s="52"/>
      <c r="E33" s="52"/>
      <c r="F33" s="52"/>
      <c r="G33" s="53"/>
      <c r="H33" s="20"/>
      <c r="I33" s="9">
        <v>4</v>
      </c>
      <c r="J33" s="9"/>
      <c r="K33" s="9"/>
      <c r="L33" s="9"/>
      <c r="M33" s="9">
        <f t="shared" si="4"/>
        <v>32.799999999999997</v>
      </c>
      <c r="N33" s="9">
        <f t="shared" si="5"/>
        <v>14</v>
      </c>
      <c r="O33" s="9">
        <v>8.1999999999999993</v>
      </c>
      <c r="P33" s="9">
        <v>3.5</v>
      </c>
      <c r="Q33" s="9" t="s">
        <v>9</v>
      </c>
      <c r="R33" s="1">
        <v>0</v>
      </c>
      <c r="S33" s="26"/>
    </row>
    <row r="34" spans="1:19" ht="16.5" customHeight="1" x14ac:dyDescent="0.25">
      <c r="A34" s="9"/>
      <c r="B34" s="51" t="s">
        <v>73</v>
      </c>
      <c r="C34" s="52"/>
      <c r="D34" s="52"/>
      <c r="E34" s="52"/>
      <c r="F34" s="52"/>
      <c r="G34" s="53"/>
      <c r="H34" s="20"/>
      <c r="I34" s="9">
        <v>1</v>
      </c>
      <c r="J34" s="9"/>
      <c r="K34" s="9"/>
      <c r="L34" s="9"/>
      <c r="M34" s="9">
        <f t="shared" si="4"/>
        <v>7.4</v>
      </c>
      <c r="N34" s="9">
        <f t="shared" si="5"/>
        <v>3</v>
      </c>
      <c r="O34" s="9">
        <v>7.4</v>
      </c>
      <c r="P34" s="9">
        <v>3</v>
      </c>
      <c r="Q34" s="9" t="s">
        <v>6</v>
      </c>
      <c r="R34" s="1">
        <v>0</v>
      </c>
      <c r="S34" s="26"/>
    </row>
    <row r="35" spans="1:19" ht="16.5" customHeight="1" x14ac:dyDescent="0.25">
      <c r="A35" s="9"/>
      <c r="B35" s="51" t="s">
        <v>74</v>
      </c>
      <c r="C35" s="52"/>
      <c r="D35" s="52"/>
      <c r="E35" s="52"/>
      <c r="F35" s="52"/>
      <c r="G35" s="53"/>
      <c r="H35" s="20"/>
      <c r="I35" s="9">
        <v>2</v>
      </c>
      <c r="J35" s="9"/>
      <c r="K35" s="9"/>
      <c r="L35" s="9"/>
      <c r="M35" s="9">
        <f t="shared" si="4"/>
        <v>16</v>
      </c>
      <c r="N35" s="9">
        <f t="shared" si="5"/>
        <v>7</v>
      </c>
      <c r="O35" s="9">
        <v>8</v>
      </c>
      <c r="P35" s="9">
        <v>3.5</v>
      </c>
      <c r="Q35" s="9" t="s">
        <v>9</v>
      </c>
      <c r="R35" s="1">
        <v>0</v>
      </c>
      <c r="S35" s="26"/>
    </row>
    <row r="36" spans="1:19" ht="16.5" customHeight="1" x14ac:dyDescent="0.25">
      <c r="A36" s="9"/>
      <c r="B36" s="51" t="s">
        <v>75</v>
      </c>
      <c r="C36" s="52"/>
      <c r="D36" s="52"/>
      <c r="E36" s="52"/>
      <c r="F36" s="52"/>
      <c r="G36" s="53"/>
      <c r="H36" s="20"/>
      <c r="I36" s="9">
        <v>1</v>
      </c>
      <c r="J36" s="9"/>
      <c r="K36" s="9"/>
      <c r="L36" s="9"/>
      <c r="M36" s="9">
        <f t="shared" si="4"/>
        <v>5.5</v>
      </c>
      <c r="N36" s="9">
        <f t="shared" si="5"/>
        <v>2</v>
      </c>
      <c r="O36" s="9">
        <v>5.5</v>
      </c>
      <c r="P36" s="9">
        <v>2</v>
      </c>
      <c r="Q36" s="9" t="s">
        <v>3</v>
      </c>
      <c r="R36" s="1">
        <v>0</v>
      </c>
      <c r="S36" s="26"/>
    </row>
    <row r="37" spans="1:19" ht="16.5" customHeight="1" x14ac:dyDescent="0.25">
      <c r="A37" s="9"/>
      <c r="B37" s="51" t="s">
        <v>76</v>
      </c>
      <c r="C37" s="52"/>
      <c r="D37" s="52"/>
      <c r="E37" s="52"/>
      <c r="F37" s="52"/>
      <c r="G37" s="53"/>
      <c r="H37" s="20"/>
      <c r="I37" s="9">
        <v>4</v>
      </c>
      <c r="J37" s="9"/>
      <c r="K37" s="9"/>
      <c r="L37" s="9"/>
      <c r="M37" s="9">
        <f t="shared" si="4"/>
        <v>30.8</v>
      </c>
      <c r="N37" s="9">
        <f t="shared" si="5"/>
        <v>12</v>
      </c>
      <c r="O37" s="9">
        <v>7.7</v>
      </c>
      <c r="P37" s="9">
        <v>3</v>
      </c>
      <c r="Q37" s="9" t="s">
        <v>6</v>
      </c>
      <c r="R37" s="1">
        <v>0</v>
      </c>
      <c r="S37" s="26"/>
    </row>
    <row r="38" spans="1:19" ht="16.5" customHeight="1" x14ac:dyDescent="0.25">
      <c r="A38" s="9"/>
      <c r="B38" s="51" t="s">
        <v>77</v>
      </c>
      <c r="C38" s="52"/>
      <c r="D38" s="52"/>
      <c r="E38" s="52"/>
      <c r="F38" s="52"/>
      <c r="G38" s="53"/>
      <c r="H38" s="20"/>
      <c r="I38" s="9">
        <v>3</v>
      </c>
      <c r="J38" s="9"/>
      <c r="K38" s="9"/>
      <c r="L38" s="9"/>
      <c r="M38" s="9">
        <f t="shared" si="4"/>
        <v>20.100000000000001</v>
      </c>
      <c r="N38" s="9">
        <f t="shared" si="5"/>
        <v>7.5</v>
      </c>
      <c r="O38" s="9">
        <v>6.7</v>
      </c>
      <c r="P38" s="9">
        <v>2.5</v>
      </c>
      <c r="Q38" s="9" t="s">
        <v>5</v>
      </c>
      <c r="R38" s="1">
        <v>0</v>
      </c>
      <c r="S38" s="26"/>
    </row>
    <row r="39" spans="1:19" ht="16.5" customHeight="1" x14ac:dyDescent="0.25">
      <c r="A39" s="9"/>
      <c r="B39" s="51" t="s">
        <v>78</v>
      </c>
      <c r="C39" s="52"/>
      <c r="D39" s="52"/>
      <c r="E39" s="52"/>
      <c r="F39" s="52"/>
      <c r="G39" s="53"/>
      <c r="H39" s="20"/>
      <c r="I39" s="9">
        <v>4</v>
      </c>
      <c r="J39" s="9"/>
      <c r="K39" s="9"/>
      <c r="L39" s="9"/>
      <c r="M39" s="9">
        <f t="shared" si="4"/>
        <v>23.6</v>
      </c>
      <c r="N39" s="9">
        <f t="shared" si="5"/>
        <v>8</v>
      </c>
      <c r="O39" s="9">
        <v>5.9</v>
      </c>
      <c r="P39" s="9">
        <v>2</v>
      </c>
      <c r="Q39" s="9" t="s">
        <v>3</v>
      </c>
      <c r="R39" s="1">
        <v>0</v>
      </c>
      <c r="S39" s="26"/>
    </row>
    <row r="40" spans="1:19" ht="16.5" hidden="1" customHeight="1" x14ac:dyDescent="0.25">
      <c r="A40" s="21"/>
      <c r="H40" s="21"/>
      <c r="I40" s="21"/>
      <c r="J40" s="21"/>
      <c r="K40" s="21"/>
      <c r="L40" s="21"/>
      <c r="M40" s="9">
        <f t="shared" si="4"/>
        <v>0</v>
      </c>
      <c r="N40" s="9">
        <f t="shared" si="5"/>
        <v>0</v>
      </c>
      <c r="O40" s="21"/>
      <c r="P40" s="21"/>
      <c r="Q40" s="21"/>
      <c r="S40" s="25"/>
    </row>
    <row r="41" spans="1:19" ht="16.5" customHeight="1" x14ac:dyDescent="0.25">
      <c r="A41" s="9"/>
      <c r="B41" s="39" t="s">
        <v>42</v>
      </c>
      <c r="C41" s="40"/>
      <c r="D41" s="40"/>
      <c r="E41" s="40"/>
      <c r="F41" s="40"/>
      <c r="G41" s="41"/>
      <c r="H41" s="23"/>
      <c r="I41" s="24">
        <f>SUM(I32:I40)</f>
        <v>23</v>
      </c>
      <c r="J41" s="9"/>
      <c r="K41" s="9"/>
      <c r="L41" s="9"/>
      <c r="M41" s="9">
        <f t="shared" si="4"/>
        <v>174.57</v>
      </c>
      <c r="N41" s="9">
        <f t="shared" si="5"/>
        <v>69.459999999999994</v>
      </c>
      <c r="O41" s="24">
        <f>ROUND(SUM(M32:M40)/I41,2)</f>
        <v>7.59</v>
      </c>
      <c r="P41" s="24">
        <f>ROUND(SUM(N32:N40)/I41,2)</f>
        <v>3.02</v>
      </c>
      <c r="Q41" s="9"/>
      <c r="S41" s="25"/>
    </row>
    <row r="42" spans="1:19" ht="20.25" customHeight="1" x14ac:dyDescent="0.25">
      <c r="A42" s="27" t="s">
        <v>79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ht="16.5" customHeight="1" x14ac:dyDescent="0.25">
      <c r="A43" s="9"/>
      <c r="B43" s="51" t="s">
        <v>80</v>
      </c>
      <c r="C43" s="52"/>
      <c r="D43" s="52"/>
      <c r="E43" s="52"/>
      <c r="F43" s="52"/>
      <c r="G43" s="53"/>
      <c r="H43" s="20"/>
      <c r="I43" s="9">
        <v>3</v>
      </c>
      <c r="J43" s="9"/>
      <c r="K43" s="9"/>
      <c r="L43" s="9"/>
      <c r="M43" s="9">
        <f t="shared" ref="M43:M48" si="6">I43*O43</f>
        <v>23.700000000000003</v>
      </c>
      <c r="N43" s="9">
        <f t="shared" ref="N43:N48" si="7">I43*P43</f>
        <v>9</v>
      </c>
      <c r="O43" s="9">
        <v>7.9</v>
      </c>
      <c r="P43" s="9">
        <v>3</v>
      </c>
      <c r="Q43" s="9" t="s">
        <v>6</v>
      </c>
      <c r="R43" s="1">
        <v>0</v>
      </c>
      <c r="S43" s="26"/>
    </row>
    <row r="44" spans="1:19" ht="16.5" customHeight="1" x14ac:dyDescent="0.25">
      <c r="A44" s="9"/>
      <c r="B44" s="51" t="s">
        <v>81</v>
      </c>
      <c r="C44" s="52"/>
      <c r="D44" s="52"/>
      <c r="E44" s="52"/>
      <c r="F44" s="52"/>
      <c r="G44" s="53"/>
      <c r="H44" s="20"/>
      <c r="I44" s="9">
        <v>1</v>
      </c>
      <c r="J44" s="9"/>
      <c r="K44" s="9"/>
      <c r="L44" s="9"/>
      <c r="M44" s="9">
        <f t="shared" si="6"/>
        <v>8</v>
      </c>
      <c r="N44" s="9">
        <f t="shared" si="7"/>
        <v>3.5</v>
      </c>
      <c r="O44" s="9">
        <v>8</v>
      </c>
      <c r="P44" s="9">
        <v>3.5</v>
      </c>
      <c r="Q44" s="9" t="s">
        <v>9</v>
      </c>
      <c r="R44" s="1">
        <v>0</v>
      </c>
      <c r="S44" s="26"/>
    </row>
    <row r="45" spans="1:19" ht="16.5" customHeight="1" x14ac:dyDescent="0.25">
      <c r="A45" s="9"/>
      <c r="B45" s="51" t="s">
        <v>82</v>
      </c>
      <c r="C45" s="52"/>
      <c r="D45" s="52"/>
      <c r="E45" s="52"/>
      <c r="F45" s="52"/>
      <c r="G45" s="53"/>
      <c r="H45" s="20"/>
      <c r="I45" s="9">
        <v>3</v>
      </c>
      <c r="J45" s="9"/>
      <c r="K45" s="9"/>
      <c r="L45" s="9"/>
      <c r="M45" s="9">
        <f t="shared" si="6"/>
        <v>21.9</v>
      </c>
      <c r="N45" s="9">
        <f t="shared" si="7"/>
        <v>9</v>
      </c>
      <c r="O45" s="9">
        <v>7.3</v>
      </c>
      <c r="P45" s="9">
        <v>3</v>
      </c>
      <c r="Q45" s="9" t="s">
        <v>6</v>
      </c>
      <c r="R45" s="1">
        <v>0</v>
      </c>
      <c r="S45" s="26"/>
    </row>
    <row r="46" spans="1:19" ht="16.5" customHeight="1" x14ac:dyDescent="0.25">
      <c r="A46" s="9"/>
      <c r="B46" s="51" t="s">
        <v>83</v>
      </c>
      <c r="C46" s="52"/>
      <c r="D46" s="52"/>
      <c r="E46" s="52"/>
      <c r="F46" s="52"/>
      <c r="G46" s="53"/>
      <c r="H46" s="20"/>
      <c r="I46" s="9">
        <v>2</v>
      </c>
      <c r="J46" s="9"/>
      <c r="K46" s="9"/>
      <c r="L46" s="9"/>
      <c r="M46" s="9">
        <f t="shared" si="6"/>
        <v>14.8</v>
      </c>
      <c r="N46" s="9">
        <f t="shared" si="7"/>
        <v>6</v>
      </c>
      <c r="O46" s="9">
        <v>7.4</v>
      </c>
      <c r="P46" s="9">
        <v>3</v>
      </c>
      <c r="Q46" s="9" t="s">
        <v>6</v>
      </c>
      <c r="R46" s="1">
        <v>0</v>
      </c>
      <c r="S46" s="26"/>
    </row>
    <row r="47" spans="1:19" ht="16.5" customHeight="1" x14ac:dyDescent="0.25">
      <c r="A47" s="9"/>
      <c r="B47" s="51" t="s">
        <v>84</v>
      </c>
      <c r="C47" s="52"/>
      <c r="D47" s="52"/>
      <c r="E47" s="52"/>
      <c r="F47" s="52"/>
      <c r="G47" s="53"/>
      <c r="H47" s="20"/>
      <c r="I47" s="9">
        <v>2</v>
      </c>
      <c r="J47" s="9"/>
      <c r="K47" s="9"/>
      <c r="L47" s="9"/>
      <c r="M47" s="9">
        <f t="shared" si="6"/>
        <v>13.6</v>
      </c>
      <c r="N47" s="9">
        <f t="shared" si="7"/>
        <v>5</v>
      </c>
      <c r="O47" s="9">
        <v>6.8</v>
      </c>
      <c r="P47" s="9">
        <v>2.5</v>
      </c>
      <c r="Q47" s="9" t="s">
        <v>5</v>
      </c>
      <c r="R47" s="1">
        <v>0</v>
      </c>
      <c r="S47" s="26"/>
    </row>
    <row r="48" spans="1:19" ht="16.5" customHeight="1" x14ac:dyDescent="0.25">
      <c r="A48" s="9"/>
      <c r="B48" s="51" t="s">
        <v>85</v>
      </c>
      <c r="C48" s="52"/>
      <c r="D48" s="52"/>
      <c r="E48" s="52"/>
      <c r="F48" s="52"/>
      <c r="G48" s="53"/>
      <c r="H48" s="20"/>
      <c r="I48" s="9">
        <v>3</v>
      </c>
      <c r="J48" s="9"/>
      <c r="K48" s="9"/>
      <c r="L48" s="9"/>
      <c r="M48" s="9">
        <f t="shared" si="6"/>
        <v>23.1</v>
      </c>
      <c r="N48" s="9">
        <f t="shared" si="7"/>
        <v>9</v>
      </c>
      <c r="O48" s="9">
        <v>7.7</v>
      </c>
      <c r="P48" s="9">
        <v>3</v>
      </c>
      <c r="Q48" s="9" t="s">
        <v>6</v>
      </c>
      <c r="R48" s="1">
        <v>0</v>
      </c>
      <c r="S48" s="26"/>
    </row>
    <row r="49" spans="1:19" ht="15" customHeight="1" x14ac:dyDescent="0.25">
      <c r="A49" s="36" t="s">
        <v>0</v>
      </c>
      <c r="B49" s="29" t="s">
        <v>1</v>
      </c>
      <c r="C49" s="30"/>
      <c r="D49" s="30"/>
      <c r="E49" s="30"/>
      <c r="F49" s="30"/>
      <c r="G49" s="31"/>
      <c r="H49" s="36" t="s">
        <v>32</v>
      </c>
      <c r="I49" s="36" t="s">
        <v>39</v>
      </c>
      <c r="J49" s="55" t="s">
        <v>2</v>
      </c>
      <c r="K49" s="56"/>
      <c r="L49" s="56"/>
      <c r="M49" s="56"/>
      <c r="N49" s="56"/>
      <c r="O49" s="56"/>
      <c r="P49" s="56"/>
      <c r="Q49" s="57"/>
      <c r="S49" s="36" t="s">
        <v>38</v>
      </c>
    </row>
    <row r="50" spans="1:19" ht="24" customHeight="1" x14ac:dyDescent="0.25">
      <c r="A50" s="37"/>
      <c r="B50" s="32"/>
      <c r="C50" s="33"/>
      <c r="D50" s="33"/>
      <c r="E50" s="33"/>
      <c r="F50" s="33"/>
      <c r="G50" s="34"/>
      <c r="H50" s="37"/>
      <c r="I50" s="37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7"/>
    </row>
    <row r="51" spans="1:19" ht="16.5" customHeight="1" x14ac:dyDescent="0.25">
      <c r="A51" s="9"/>
      <c r="B51" s="51" t="s">
        <v>86</v>
      </c>
      <c r="C51" s="52"/>
      <c r="D51" s="52"/>
      <c r="E51" s="52"/>
      <c r="F51" s="52"/>
      <c r="G51" s="53"/>
      <c r="H51" s="20"/>
      <c r="I51" s="9">
        <v>4</v>
      </c>
      <c r="J51" s="9"/>
      <c r="K51" s="9"/>
      <c r="L51" s="9"/>
      <c r="M51" s="9">
        <f t="shared" ref="M51:M56" si="8">I51*O51</f>
        <v>34</v>
      </c>
      <c r="N51" s="9">
        <f t="shared" ref="N51:N56" si="9">I51*P51</f>
        <v>14.8</v>
      </c>
      <c r="O51" s="9">
        <v>8.5</v>
      </c>
      <c r="P51" s="9">
        <v>3.7</v>
      </c>
      <c r="Q51" s="9" t="s">
        <v>10</v>
      </c>
      <c r="R51" s="1">
        <v>0</v>
      </c>
      <c r="S51" s="26"/>
    </row>
    <row r="52" spans="1:19" ht="16.5" customHeight="1" x14ac:dyDescent="0.25">
      <c r="A52" s="9"/>
      <c r="B52" s="51" t="s">
        <v>87</v>
      </c>
      <c r="C52" s="52"/>
      <c r="D52" s="52"/>
      <c r="E52" s="52"/>
      <c r="F52" s="52"/>
      <c r="G52" s="53"/>
      <c r="H52" s="20"/>
      <c r="I52" s="9">
        <v>3</v>
      </c>
      <c r="J52" s="9"/>
      <c r="K52" s="9"/>
      <c r="L52" s="9"/>
      <c r="M52" s="9">
        <f t="shared" si="8"/>
        <v>26.700000000000003</v>
      </c>
      <c r="N52" s="9">
        <f t="shared" si="9"/>
        <v>11.100000000000001</v>
      </c>
      <c r="O52" s="9">
        <v>8.9</v>
      </c>
      <c r="P52" s="9">
        <v>3.7</v>
      </c>
      <c r="Q52" s="9" t="s">
        <v>10</v>
      </c>
      <c r="R52" s="1">
        <v>0</v>
      </c>
      <c r="S52" s="26"/>
    </row>
    <row r="53" spans="1:19" ht="16.5" customHeight="1" x14ac:dyDescent="0.25">
      <c r="A53" s="9"/>
      <c r="B53" s="51" t="s">
        <v>88</v>
      </c>
      <c r="C53" s="52"/>
      <c r="D53" s="52"/>
      <c r="E53" s="52"/>
      <c r="F53" s="52"/>
      <c r="G53" s="53"/>
      <c r="H53" s="20"/>
      <c r="I53" s="9">
        <v>2</v>
      </c>
      <c r="J53" s="9"/>
      <c r="K53" s="9"/>
      <c r="L53" s="9"/>
      <c r="M53" s="9">
        <f t="shared" si="8"/>
        <v>15.6</v>
      </c>
      <c r="N53" s="9">
        <f t="shared" si="9"/>
        <v>6</v>
      </c>
      <c r="O53" s="9">
        <v>7.8</v>
      </c>
      <c r="P53" s="9">
        <v>3</v>
      </c>
      <c r="Q53" s="9" t="s">
        <v>6</v>
      </c>
      <c r="R53" s="1">
        <v>0</v>
      </c>
      <c r="S53" s="26"/>
    </row>
    <row r="54" spans="1:19" ht="16.5" customHeight="1" x14ac:dyDescent="0.25">
      <c r="A54" s="9"/>
      <c r="B54" s="51" t="s">
        <v>89</v>
      </c>
      <c r="C54" s="52"/>
      <c r="D54" s="52"/>
      <c r="E54" s="52"/>
      <c r="F54" s="52"/>
      <c r="G54" s="53"/>
      <c r="H54" s="20"/>
      <c r="I54" s="9">
        <v>2</v>
      </c>
      <c r="J54" s="9"/>
      <c r="K54" s="9"/>
      <c r="L54" s="9"/>
      <c r="M54" s="9">
        <f t="shared" si="8"/>
        <v>19.600000000000001</v>
      </c>
      <c r="N54" s="9">
        <f t="shared" si="9"/>
        <v>8</v>
      </c>
      <c r="O54" s="9">
        <v>9.8000000000000007</v>
      </c>
      <c r="P54" s="9">
        <v>4</v>
      </c>
      <c r="Q54" s="9" t="s">
        <v>12</v>
      </c>
      <c r="R54" s="1">
        <v>0</v>
      </c>
      <c r="S54" s="26"/>
    </row>
    <row r="55" spans="1:19" ht="16.5" hidden="1" customHeight="1" x14ac:dyDescent="0.25">
      <c r="A55" s="21"/>
      <c r="H55" s="21"/>
      <c r="I55" s="21"/>
      <c r="J55" s="21"/>
      <c r="K55" s="21"/>
      <c r="L55" s="21"/>
      <c r="M55" s="9">
        <f t="shared" si="8"/>
        <v>0</v>
      </c>
      <c r="N55" s="9">
        <f t="shared" si="9"/>
        <v>0</v>
      </c>
      <c r="O55" s="21"/>
      <c r="P55" s="21"/>
      <c r="Q55" s="21"/>
      <c r="S55" s="25"/>
    </row>
    <row r="56" spans="1:19" ht="16.5" customHeight="1" x14ac:dyDescent="0.25">
      <c r="A56" s="9"/>
      <c r="B56" s="39" t="s">
        <v>42</v>
      </c>
      <c r="C56" s="40"/>
      <c r="D56" s="40"/>
      <c r="E56" s="40"/>
      <c r="F56" s="40"/>
      <c r="G56" s="41"/>
      <c r="H56" s="23"/>
      <c r="I56" s="24">
        <f>SUM(I43:I55)</f>
        <v>25</v>
      </c>
      <c r="J56" s="9"/>
      <c r="K56" s="9"/>
      <c r="L56" s="9"/>
      <c r="M56" s="9">
        <f t="shared" si="8"/>
        <v>200.99999999999997</v>
      </c>
      <c r="N56" s="9">
        <f t="shared" si="9"/>
        <v>81.5</v>
      </c>
      <c r="O56" s="24">
        <f>ROUND(SUM(M43:M55)/I56,2)</f>
        <v>8.0399999999999991</v>
      </c>
      <c r="P56" s="24">
        <f>ROUND(SUM(N43:N55)/I56,2)</f>
        <v>3.26</v>
      </c>
      <c r="Q56" s="9"/>
      <c r="S56" s="25"/>
    </row>
    <row r="57" spans="1:19" ht="20.25" customHeight="1" x14ac:dyDescent="0.25">
      <c r="A57" s="27" t="s">
        <v>90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spans="1:19" ht="16.5" customHeight="1" x14ac:dyDescent="0.25">
      <c r="A58" s="9"/>
      <c r="B58" s="51" t="s">
        <v>91</v>
      </c>
      <c r="C58" s="52"/>
      <c r="D58" s="52"/>
      <c r="E58" s="52"/>
      <c r="F58" s="52"/>
      <c r="G58" s="53"/>
      <c r="H58" s="20"/>
      <c r="I58" s="9">
        <v>1</v>
      </c>
      <c r="J58" s="9"/>
      <c r="K58" s="9"/>
      <c r="L58" s="9"/>
      <c r="M58" s="9">
        <f t="shared" ref="M58:M70" si="10">I58*O58</f>
        <v>7.3</v>
      </c>
      <c r="N58" s="9">
        <f t="shared" ref="N58:N70" si="11">I58*P58</f>
        <v>3</v>
      </c>
      <c r="O58" s="9">
        <v>7.3</v>
      </c>
      <c r="P58" s="9">
        <v>3</v>
      </c>
      <c r="Q58" s="9" t="s">
        <v>6</v>
      </c>
      <c r="R58" s="1">
        <v>0</v>
      </c>
      <c r="S58" s="26"/>
    </row>
    <row r="59" spans="1:19" ht="16.5" customHeight="1" x14ac:dyDescent="0.25">
      <c r="A59" s="9"/>
      <c r="B59" s="51" t="s">
        <v>92</v>
      </c>
      <c r="C59" s="52"/>
      <c r="D59" s="52"/>
      <c r="E59" s="52"/>
      <c r="F59" s="52"/>
      <c r="G59" s="53"/>
      <c r="H59" s="20"/>
      <c r="I59" s="9">
        <v>2</v>
      </c>
      <c r="J59" s="9"/>
      <c r="K59" s="9"/>
      <c r="L59" s="9"/>
      <c r="M59" s="9">
        <f t="shared" si="10"/>
        <v>15</v>
      </c>
      <c r="N59" s="9">
        <f t="shared" si="11"/>
        <v>6</v>
      </c>
      <c r="O59" s="9">
        <v>7.5</v>
      </c>
      <c r="P59" s="9">
        <v>3</v>
      </c>
      <c r="Q59" s="9" t="s">
        <v>6</v>
      </c>
      <c r="R59" s="1">
        <v>0</v>
      </c>
      <c r="S59" s="26"/>
    </row>
    <row r="60" spans="1:19" ht="16.5" customHeight="1" x14ac:dyDescent="0.25">
      <c r="A60" s="9"/>
      <c r="B60" s="51" t="s">
        <v>93</v>
      </c>
      <c r="C60" s="52"/>
      <c r="D60" s="52"/>
      <c r="E60" s="52"/>
      <c r="F60" s="52"/>
      <c r="G60" s="53"/>
      <c r="H60" s="20"/>
      <c r="I60" s="9">
        <v>3</v>
      </c>
      <c r="J60" s="9"/>
      <c r="K60" s="9"/>
      <c r="L60" s="9"/>
      <c r="M60" s="9">
        <f t="shared" si="10"/>
        <v>27.599999999999998</v>
      </c>
      <c r="N60" s="9">
        <f t="shared" si="11"/>
        <v>12</v>
      </c>
      <c r="O60" s="9">
        <v>9.1999999999999993</v>
      </c>
      <c r="P60" s="9">
        <v>4</v>
      </c>
      <c r="Q60" s="9" t="s">
        <v>12</v>
      </c>
      <c r="R60" s="1">
        <v>0</v>
      </c>
      <c r="S60" s="26"/>
    </row>
    <row r="61" spans="1:19" ht="16.5" customHeight="1" x14ac:dyDescent="0.25">
      <c r="A61" s="9"/>
      <c r="B61" s="51" t="s">
        <v>94</v>
      </c>
      <c r="C61" s="52"/>
      <c r="D61" s="52"/>
      <c r="E61" s="52"/>
      <c r="F61" s="52"/>
      <c r="G61" s="53"/>
      <c r="H61" s="20"/>
      <c r="I61" s="9">
        <v>1</v>
      </c>
      <c r="J61" s="9"/>
      <c r="K61" s="9"/>
      <c r="L61" s="9"/>
      <c r="M61" s="9">
        <f t="shared" si="10"/>
        <v>8.4</v>
      </c>
      <c r="N61" s="9">
        <f t="shared" si="11"/>
        <v>3.5</v>
      </c>
      <c r="O61" s="9">
        <v>8.4</v>
      </c>
      <c r="P61" s="9">
        <v>3.5</v>
      </c>
      <c r="Q61" s="9" t="s">
        <v>9</v>
      </c>
      <c r="R61" s="1">
        <v>0</v>
      </c>
      <c r="S61" s="26"/>
    </row>
    <row r="62" spans="1:19" ht="16.5" customHeight="1" x14ac:dyDescent="0.25">
      <c r="A62" s="9"/>
      <c r="B62" s="51" t="s">
        <v>95</v>
      </c>
      <c r="C62" s="52"/>
      <c r="D62" s="52"/>
      <c r="E62" s="52"/>
      <c r="F62" s="52"/>
      <c r="G62" s="53"/>
      <c r="H62" s="20"/>
      <c r="I62" s="9">
        <v>1</v>
      </c>
      <c r="J62" s="9"/>
      <c r="K62" s="9"/>
      <c r="L62" s="9"/>
      <c r="M62" s="9">
        <f t="shared" si="10"/>
        <v>7.7</v>
      </c>
      <c r="N62" s="9">
        <f t="shared" si="11"/>
        <v>3</v>
      </c>
      <c r="O62" s="9">
        <v>7.7</v>
      </c>
      <c r="P62" s="9">
        <v>3</v>
      </c>
      <c r="Q62" s="9" t="s">
        <v>6</v>
      </c>
      <c r="R62" s="1">
        <v>0</v>
      </c>
      <c r="S62" s="26"/>
    </row>
    <row r="63" spans="1:19" ht="16.5" customHeight="1" x14ac:dyDescent="0.25">
      <c r="A63" s="9"/>
      <c r="B63" s="51" t="s">
        <v>96</v>
      </c>
      <c r="C63" s="52"/>
      <c r="D63" s="52"/>
      <c r="E63" s="52"/>
      <c r="F63" s="52"/>
      <c r="G63" s="53"/>
      <c r="H63" s="20"/>
      <c r="I63" s="9">
        <v>1</v>
      </c>
      <c r="J63" s="9"/>
      <c r="K63" s="9"/>
      <c r="L63" s="9"/>
      <c r="M63" s="9">
        <f t="shared" si="10"/>
        <v>7</v>
      </c>
      <c r="N63" s="9">
        <f t="shared" si="11"/>
        <v>3</v>
      </c>
      <c r="O63" s="9">
        <v>7</v>
      </c>
      <c r="P63" s="9">
        <v>3</v>
      </c>
      <c r="Q63" s="9" t="s">
        <v>6</v>
      </c>
      <c r="R63" s="1">
        <v>0</v>
      </c>
      <c r="S63" s="26"/>
    </row>
    <row r="64" spans="1:19" ht="16.5" customHeight="1" x14ac:dyDescent="0.25">
      <c r="A64" s="9"/>
      <c r="B64" s="51" t="s">
        <v>97</v>
      </c>
      <c r="C64" s="52"/>
      <c r="D64" s="52"/>
      <c r="E64" s="52"/>
      <c r="F64" s="52"/>
      <c r="G64" s="53"/>
      <c r="H64" s="20"/>
      <c r="I64" s="9">
        <v>2</v>
      </c>
      <c r="J64" s="9"/>
      <c r="K64" s="9"/>
      <c r="L64" s="9"/>
      <c r="M64" s="9">
        <f t="shared" si="10"/>
        <v>15.2</v>
      </c>
      <c r="N64" s="9">
        <f t="shared" si="11"/>
        <v>6</v>
      </c>
      <c r="O64" s="9">
        <v>7.6</v>
      </c>
      <c r="P64" s="9">
        <v>3</v>
      </c>
      <c r="Q64" s="9" t="s">
        <v>6</v>
      </c>
      <c r="R64" s="1">
        <v>0</v>
      </c>
      <c r="S64" s="26"/>
    </row>
    <row r="65" spans="1:19" ht="16.5" customHeight="1" x14ac:dyDescent="0.25">
      <c r="A65" s="9"/>
      <c r="B65" s="51" t="s">
        <v>98</v>
      </c>
      <c r="C65" s="52"/>
      <c r="D65" s="52"/>
      <c r="E65" s="52"/>
      <c r="F65" s="52"/>
      <c r="G65" s="53"/>
      <c r="H65" s="20"/>
      <c r="I65" s="9">
        <v>3</v>
      </c>
      <c r="J65" s="9"/>
      <c r="K65" s="9"/>
      <c r="L65" s="9"/>
      <c r="M65" s="9">
        <f t="shared" si="10"/>
        <v>24.299999999999997</v>
      </c>
      <c r="N65" s="9">
        <f t="shared" si="11"/>
        <v>10.5</v>
      </c>
      <c r="O65" s="9">
        <v>8.1</v>
      </c>
      <c r="P65" s="9">
        <v>3.5</v>
      </c>
      <c r="Q65" s="9" t="s">
        <v>9</v>
      </c>
      <c r="R65" s="1">
        <v>0</v>
      </c>
      <c r="S65" s="26"/>
    </row>
    <row r="66" spans="1:19" ht="16.5" customHeight="1" x14ac:dyDescent="0.25">
      <c r="A66" s="9"/>
      <c r="B66" s="51" t="s">
        <v>99</v>
      </c>
      <c r="C66" s="52"/>
      <c r="D66" s="52"/>
      <c r="E66" s="52"/>
      <c r="F66" s="52"/>
      <c r="G66" s="53"/>
      <c r="H66" s="20"/>
      <c r="I66" s="9">
        <v>2</v>
      </c>
      <c r="J66" s="9"/>
      <c r="K66" s="9"/>
      <c r="L66" s="9"/>
      <c r="M66" s="9">
        <f t="shared" si="10"/>
        <v>16.8</v>
      </c>
      <c r="N66" s="9">
        <f t="shared" si="11"/>
        <v>7</v>
      </c>
      <c r="O66" s="9">
        <v>8.4</v>
      </c>
      <c r="P66" s="9">
        <v>3.5</v>
      </c>
      <c r="Q66" s="9" t="s">
        <v>9</v>
      </c>
      <c r="R66" s="1">
        <v>0</v>
      </c>
      <c r="S66" s="26"/>
    </row>
    <row r="67" spans="1:19" ht="16.5" customHeight="1" x14ac:dyDescent="0.25">
      <c r="A67" s="9"/>
      <c r="B67" s="51" t="s">
        <v>100</v>
      </c>
      <c r="C67" s="52"/>
      <c r="D67" s="52"/>
      <c r="E67" s="52"/>
      <c r="F67" s="52"/>
      <c r="G67" s="53"/>
      <c r="H67" s="20"/>
      <c r="I67" s="9">
        <v>4</v>
      </c>
      <c r="J67" s="9"/>
      <c r="K67" s="9"/>
      <c r="L67" s="9"/>
      <c r="M67" s="9">
        <f t="shared" si="10"/>
        <v>35.6</v>
      </c>
      <c r="N67" s="9">
        <f t="shared" si="11"/>
        <v>14.8</v>
      </c>
      <c r="O67" s="9">
        <v>8.9</v>
      </c>
      <c r="P67" s="9">
        <v>3.7</v>
      </c>
      <c r="Q67" s="9" t="s">
        <v>10</v>
      </c>
      <c r="R67" s="1">
        <v>0</v>
      </c>
      <c r="S67" s="26"/>
    </row>
    <row r="68" spans="1:19" ht="16.5" customHeight="1" x14ac:dyDescent="0.25">
      <c r="A68" s="9"/>
      <c r="B68" s="51" t="s">
        <v>101</v>
      </c>
      <c r="C68" s="52"/>
      <c r="D68" s="52"/>
      <c r="E68" s="52"/>
      <c r="F68" s="52"/>
      <c r="G68" s="53"/>
      <c r="H68" s="20"/>
      <c r="I68" s="9">
        <v>2</v>
      </c>
      <c r="J68" s="9"/>
      <c r="K68" s="9"/>
      <c r="L68" s="9"/>
      <c r="M68" s="9">
        <f t="shared" si="10"/>
        <v>20</v>
      </c>
      <c r="N68" s="9">
        <f t="shared" si="11"/>
        <v>8</v>
      </c>
      <c r="O68" s="9">
        <v>10</v>
      </c>
      <c r="P68" s="9">
        <v>4</v>
      </c>
      <c r="Q68" s="9" t="s">
        <v>12</v>
      </c>
      <c r="R68" s="1">
        <v>0</v>
      </c>
      <c r="S68" s="26"/>
    </row>
    <row r="69" spans="1:19" ht="16.5" hidden="1" customHeight="1" x14ac:dyDescent="0.25">
      <c r="A69" s="21"/>
      <c r="H69" s="21"/>
      <c r="I69" s="21"/>
      <c r="J69" s="21"/>
      <c r="K69" s="21"/>
      <c r="L69" s="21"/>
      <c r="M69" s="9">
        <f t="shared" si="10"/>
        <v>0</v>
      </c>
      <c r="N69" s="9">
        <f t="shared" si="11"/>
        <v>0</v>
      </c>
      <c r="O69" s="21"/>
      <c r="P69" s="21"/>
      <c r="Q69" s="21"/>
      <c r="S69" s="25"/>
    </row>
    <row r="70" spans="1:19" ht="16.5" customHeight="1" x14ac:dyDescent="0.25">
      <c r="A70" s="9"/>
      <c r="B70" s="39" t="s">
        <v>42</v>
      </c>
      <c r="C70" s="40"/>
      <c r="D70" s="40"/>
      <c r="E70" s="40"/>
      <c r="F70" s="40"/>
      <c r="G70" s="41"/>
      <c r="H70" s="23"/>
      <c r="I70" s="24">
        <f>SUM(I58:I69)</f>
        <v>22</v>
      </c>
      <c r="J70" s="9"/>
      <c r="K70" s="9"/>
      <c r="L70" s="9"/>
      <c r="M70" s="9">
        <f t="shared" si="10"/>
        <v>184.8</v>
      </c>
      <c r="N70" s="9">
        <f t="shared" si="11"/>
        <v>76.78</v>
      </c>
      <c r="O70" s="24">
        <f>ROUND(SUM(M58:M69)/I70,2)</f>
        <v>8.4</v>
      </c>
      <c r="P70" s="24">
        <f>ROUND(SUM(N58:N69)/I70,2)</f>
        <v>3.49</v>
      </c>
      <c r="Q70" s="9"/>
      <c r="S70" s="25"/>
    </row>
    <row r="71" spans="1:19" ht="20.25" customHeight="1" x14ac:dyDescent="0.25">
      <c r="A71" s="27" t="s">
        <v>102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</row>
    <row r="72" spans="1:19" ht="16.5" customHeight="1" x14ac:dyDescent="0.25">
      <c r="A72" s="9"/>
      <c r="B72" s="51" t="s">
        <v>103</v>
      </c>
      <c r="C72" s="52"/>
      <c r="D72" s="52"/>
      <c r="E72" s="52"/>
      <c r="F72" s="52"/>
      <c r="G72" s="53"/>
      <c r="H72" s="20"/>
      <c r="I72" s="9">
        <v>1</v>
      </c>
      <c r="J72" s="9"/>
      <c r="K72" s="9"/>
      <c r="L72" s="9"/>
      <c r="M72" s="9">
        <f t="shared" ref="M72:M84" si="12">I72*O72</f>
        <v>7.9</v>
      </c>
      <c r="N72" s="9">
        <f t="shared" ref="N72:N84" si="13">I72*P72</f>
        <v>3</v>
      </c>
      <c r="O72" s="9">
        <v>7.9</v>
      </c>
      <c r="P72" s="9">
        <v>3</v>
      </c>
      <c r="Q72" s="9" t="s">
        <v>6</v>
      </c>
      <c r="R72" s="1">
        <v>0</v>
      </c>
      <c r="S72" s="26"/>
    </row>
    <row r="73" spans="1:19" ht="16.5" customHeight="1" x14ac:dyDescent="0.25">
      <c r="A73" s="9"/>
      <c r="B73" s="51" t="s">
        <v>104</v>
      </c>
      <c r="C73" s="52"/>
      <c r="D73" s="52"/>
      <c r="E73" s="52"/>
      <c r="F73" s="52"/>
      <c r="G73" s="53"/>
      <c r="H73" s="20"/>
      <c r="I73" s="9">
        <v>4</v>
      </c>
      <c r="J73" s="9"/>
      <c r="K73" s="9"/>
      <c r="L73" s="9"/>
      <c r="M73" s="9">
        <f t="shared" si="12"/>
        <v>27.6</v>
      </c>
      <c r="N73" s="9">
        <f t="shared" si="13"/>
        <v>10</v>
      </c>
      <c r="O73" s="9">
        <v>6.9</v>
      </c>
      <c r="P73" s="9">
        <v>2.5</v>
      </c>
      <c r="Q73" s="9" t="s">
        <v>5</v>
      </c>
      <c r="R73" s="1">
        <v>0</v>
      </c>
      <c r="S73" s="26"/>
    </row>
    <row r="74" spans="1:19" ht="16.5" customHeight="1" x14ac:dyDescent="0.25">
      <c r="A74" s="9"/>
      <c r="B74" s="51" t="s">
        <v>105</v>
      </c>
      <c r="C74" s="52"/>
      <c r="D74" s="52"/>
      <c r="E74" s="52"/>
      <c r="F74" s="52"/>
      <c r="G74" s="53"/>
      <c r="H74" s="20"/>
      <c r="I74" s="9">
        <v>2</v>
      </c>
      <c r="J74" s="9"/>
      <c r="K74" s="9"/>
      <c r="L74" s="9"/>
      <c r="M74" s="9">
        <f t="shared" si="12"/>
        <v>14.4</v>
      </c>
      <c r="N74" s="9">
        <f t="shared" si="13"/>
        <v>6</v>
      </c>
      <c r="O74" s="9">
        <v>7.2</v>
      </c>
      <c r="P74" s="9">
        <v>3</v>
      </c>
      <c r="Q74" s="9" t="s">
        <v>6</v>
      </c>
      <c r="R74" s="1">
        <v>0</v>
      </c>
      <c r="S74" s="26"/>
    </row>
    <row r="75" spans="1:19" ht="16.5" customHeight="1" x14ac:dyDescent="0.25">
      <c r="A75" s="9"/>
      <c r="B75" s="51" t="s">
        <v>106</v>
      </c>
      <c r="C75" s="52"/>
      <c r="D75" s="52"/>
      <c r="E75" s="52"/>
      <c r="F75" s="52"/>
      <c r="G75" s="53"/>
      <c r="H75" s="20"/>
      <c r="I75" s="9">
        <v>3</v>
      </c>
      <c r="J75" s="9"/>
      <c r="K75" s="9"/>
      <c r="L75" s="9"/>
      <c r="M75" s="9">
        <f t="shared" si="12"/>
        <v>21.299999999999997</v>
      </c>
      <c r="N75" s="9">
        <f t="shared" si="13"/>
        <v>9</v>
      </c>
      <c r="O75" s="9">
        <v>7.1</v>
      </c>
      <c r="P75" s="9">
        <v>3</v>
      </c>
      <c r="Q75" s="9" t="s">
        <v>6</v>
      </c>
      <c r="R75" s="1">
        <v>0</v>
      </c>
      <c r="S75" s="26"/>
    </row>
    <row r="76" spans="1:19" ht="16.5" customHeight="1" x14ac:dyDescent="0.25">
      <c r="A76" s="9"/>
      <c r="B76" s="51" t="s">
        <v>107</v>
      </c>
      <c r="C76" s="52"/>
      <c r="D76" s="52"/>
      <c r="E76" s="52"/>
      <c r="F76" s="52"/>
      <c r="G76" s="53"/>
      <c r="H76" s="20"/>
      <c r="I76" s="9">
        <v>2</v>
      </c>
      <c r="J76" s="9"/>
      <c r="K76" s="9"/>
      <c r="L76" s="9"/>
      <c r="M76" s="9">
        <f t="shared" si="12"/>
        <v>14.8</v>
      </c>
      <c r="N76" s="9">
        <f t="shared" si="13"/>
        <v>6</v>
      </c>
      <c r="O76" s="9">
        <v>7.4</v>
      </c>
      <c r="P76" s="9">
        <v>3</v>
      </c>
      <c r="Q76" s="9" t="s">
        <v>6</v>
      </c>
      <c r="R76" s="1">
        <v>0</v>
      </c>
      <c r="S76" s="26"/>
    </row>
    <row r="77" spans="1:19" ht="16.5" customHeight="1" x14ac:dyDescent="0.25">
      <c r="A77" s="9"/>
      <c r="B77" s="51" t="s">
        <v>108</v>
      </c>
      <c r="C77" s="52"/>
      <c r="D77" s="52"/>
      <c r="E77" s="52"/>
      <c r="F77" s="52"/>
      <c r="G77" s="53"/>
      <c r="H77" s="20"/>
      <c r="I77" s="9">
        <v>2</v>
      </c>
      <c r="J77" s="9"/>
      <c r="K77" s="9"/>
      <c r="L77" s="9"/>
      <c r="M77" s="9">
        <f t="shared" si="12"/>
        <v>13.2</v>
      </c>
      <c r="N77" s="9">
        <f t="shared" si="13"/>
        <v>5</v>
      </c>
      <c r="O77" s="9">
        <v>6.6</v>
      </c>
      <c r="P77" s="9">
        <v>2.5</v>
      </c>
      <c r="Q77" s="9" t="s">
        <v>5</v>
      </c>
      <c r="R77" s="1">
        <v>0</v>
      </c>
      <c r="S77" s="26"/>
    </row>
    <row r="78" spans="1:19" ht="16.5" customHeight="1" x14ac:dyDescent="0.25">
      <c r="A78" s="9"/>
      <c r="B78" s="51" t="s">
        <v>109</v>
      </c>
      <c r="C78" s="52"/>
      <c r="D78" s="52"/>
      <c r="E78" s="52"/>
      <c r="F78" s="52"/>
      <c r="G78" s="53"/>
      <c r="H78" s="20"/>
      <c r="I78" s="9">
        <v>3</v>
      </c>
      <c r="J78" s="9"/>
      <c r="K78" s="9"/>
      <c r="L78" s="9"/>
      <c r="M78" s="9">
        <f t="shared" si="12"/>
        <v>20.100000000000001</v>
      </c>
      <c r="N78" s="9">
        <f t="shared" si="13"/>
        <v>7.5</v>
      </c>
      <c r="O78" s="9">
        <v>6.7</v>
      </c>
      <c r="P78" s="9">
        <v>2.5</v>
      </c>
      <c r="Q78" s="9" t="s">
        <v>5</v>
      </c>
      <c r="R78" s="1">
        <v>0</v>
      </c>
      <c r="S78" s="26"/>
    </row>
    <row r="79" spans="1:19" ht="16.5" customHeight="1" x14ac:dyDescent="0.25">
      <c r="A79" s="9"/>
      <c r="B79" s="51" t="s">
        <v>110</v>
      </c>
      <c r="C79" s="52"/>
      <c r="D79" s="52"/>
      <c r="E79" s="52"/>
      <c r="F79" s="52"/>
      <c r="G79" s="53"/>
      <c r="H79" s="20"/>
      <c r="I79" s="9">
        <v>2</v>
      </c>
      <c r="J79" s="9"/>
      <c r="K79" s="9"/>
      <c r="L79" s="9"/>
      <c r="M79" s="9">
        <f t="shared" si="12"/>
        <v>15</v>
      </c>
      <c r="N79" s="9">
        <f t="shared" si="13"/>
        <v>6</v>
      </c>
      <c r="O79" s="9">
        <v>7.5</v>
      </c>
      <c r="P79" s="9">
        <v>3</v>
      </c>
      <c r="Q79" s="9" t="s">
        <v>6</v>
      </c>
      <c r="R79" s="1">
        <v>0</v>
      </c>
      <c r="S79" s="26"/>
    </row>
    <row r="80" spans="1:19" ht="16.5" customHeight="1" x14ac:dyDescent="0.25">
      <c r="A80" s="9"/>
      <c r="B80" s="51" t="s">
        <v>111</v>
      </c>
      <c r="C80" s="52"/>
      <c r="D80" s="52"/>
      <c r="E80" s="52"/>
      <c r="F80" s="52"/>
      <c r="G80" s="53"/>
      <c r="H80" s="20"/>
      <c r="I80" s="9">
        <v>3</v>
      </c>
      <c r="J80" s="9"/>
      <c r="K80" s="9"/>
      <c r="L80" s="9"/>
      <c r="M80" s="9">
        <f t="shared" si="12"/>
        <v>26.700000000000003</v>
      </c>
      <c r="N80" s="9">
        <f t="shared" si="13"/>
        <v>11.100000000000001</v>
      </c>
      <c r="O80" s="9">
        <v>8.9</v>
      </c>
      <c r="P80" s="9">
        <v>3.7</v>
      </c>
      <c r="Q80" s="9" t="s">
        <v>10</v>
      </c>
      <c r="R80" s="1">
        <v>0</v>
      </c>
      <c r="S80" s="26"/>
    </row>
    <row r="81" spans="1:19" ht="16.5" customHeight="1" x14ac:dyDescent="0.25">
      <c r="A81" s="9"/>
      <c r="B81" s="51" t="s">
        <v>112</v>
      </c>
      <c r="C81" s="52"/>
      <c r="D81" s="52"/>
      <c r="E81" s="52"/>
      <c r="F81" s="52"/>
      <c r="G81" s="53"/>
      <c r="H81" s="20"/>
      <c r="I81" s="9">
        <v>2</v>
      </c>
      <c r="J81" s="9"/>
      <c r="K81" s="9"/>
      <c r="L81" s="9"/>
      <c r="M81" s="9">
        <f t="shared" si="12"/>
        <v>15.2</v>
      </c>
      <c r="N81" s="9">
        <f t="shared" si="13"/>
        <v>6</v>
      </c>
      <c r="O81" s="9">
        <v>7.6</v>
      </c>
      <c r="P81" s="9">
        <v>3</v>
      </c>
      <c r="Q81" s="9" t="s">
        <v>6</v>
      </c>
      <c r="R81" s="1">
        <v>0</v>
      </c>
      <c r="S81" s="26"/>
    </row>
    <row r="82" spans="1:19" ht="16.5" customHeight="1" x14ac:dyDescent="0.25">
      <c r="A82" s="9"/>
      <c r="B82" s="51" t="s">
        <v>113</v>
      </c>
      <c r="C82" s="52"/>
      <c r="D82" s="52"/>
      <c r="E82" s="52"/>
      <c r="F82" s="52"/>
      <c r="G82" s="53"/>
      <c r="H82" s="20"/>
      <c r="I82" s="9">
        <v>3</v>
      </c>
      <c r="J82" s="9"/>
      <c r="K82" s="9"/>
      <c r="L82" s="9"/>
      <c r="M82" s="9">
        <f t="shared" si="12"/>
        <v>27.299999999999997</v>
      </c>
      <c r="N82" s="9">
        <f t="shared" si="13"/>
        <v>12</v>
      </c>
      <c r="O82" s="9">
        <v>9.1</v>
      </c>
      <c r="P82" s="9">
        <v>4</v>
      </c>
      <c r="Q82" s="9" t="s">
        <v>12</v>
      </c>
      <c r="R82" s="1">
        <v>0</v>
      </c>
      <c r="S82" s="26"/>
    </row>
    <row r="83" spans="1:19" ht="16.5" hidden="1" customHeight="1" x14ac:dyDescent="0.25">
      <c r="A83" s="21"/>
      <c r="H83" s="21"/>
      <c r="I83" s="21"/>
      <c r="J83" s="21"/>
      <c r="K83" s="21"/>
      <c r="L83" s="21"/>
      <c r="M83" s="9">
        <f t="shared" si="12"/>
        <v>0</v>
      </c>
      <c r="N83" s="9">
        <f t="shared" si="13"/>
        <v>0</v>
      </c>
      <c r="O83" s="21"/>
      <c r="P83" s="21"/>
      <c r="Q83" s="21"/>
      <c r="S83" s="25"/>
    </row>
    <row r="84" spans="1:19" ht="16.5" customHeight="1" x14ac:dyDescent="0.25">
      <c r="A84" s="9"/>
      <c r="B84" s="39" t="s">
        <v>42</v>
      </c>
      <c r="C84" s="40"/>
      <c r="D84" s="40"/>
      <c r="E84" s="40"/>
      <c r="F84" s="40"/>
      <c r="G84" s="41"/>
      <c r="H84" s="23"/>
      <c r="I84" s="24">
        <f>SUM(I72:I83)</f>
        <v>27</v>
      </c>
      <c r="J84" s="9"/>
      <c r="K84" s="9"/>
      <c r="L84" s="9"/>
      <c r="M84" s="9">
        <f t="shared" si="12"/>
        <v>203.58</v>
      </c>
      <c r="N84" s="9">
        <f t="shared" si="13"/>
        <v>81.540000000000006</v>
      </c>
      <c r="O84" s="24">
        <f>ROUND(SUM(M72:M83)/I84,2)</f>
        <v>7.54</v>
      </c>
      <c r="P84" s="24">
        <f>ROUND(SUM(N72:N83)/I84,2)</f>
        <v>3.02</v>
      </c>
      <c r="Q84" s="9"/>
      <c r="S84" s="25"/>
    </row>
    <row r="85" spans="1:19" ht="20.25" customHeight="1" x14ac:dyDescent="0.25">
      <c r="A85" s="27" t="s">
        <v>114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</row>
    <row r="86" spans="1:19" ht="16.5" customHeight="1" x14ac:dyDescent="0.25">
      <c r="A86" s="9"/>
      <c r="B86" s="51" t="s">
        <v>115</v>
      </c>
      <c r="C86" s="52"/>
      <c r="D86" s="52"/>
      <c r="E86" s="52"/>
      <c r="F86" s="52"/>
      <c r="G86" s="53"/>
      <c r="H86" s="20"/>
      <c r="I86" s="9">
        <v>2</v>
      </c>
      <c r="J86" s="9"/>
      <c r="K86" s="9"/>
      <c r="L86" s="9"/>
      <c r="M86" s="9">
        <f t="shared" ref="M86:M96" si="14">I86*O86</f>
        <v>16.2</v>
      </c>
      <c r="N86" s="9">
        <f t="shared" ref="N86:N96" si="15">I86*P86</f>
        <v>7</v>
      </c>
      <c r="O86" s="9">
        <v>8.1</v>
      </c>
      <c r="P86" s="9">
        <v>3.5</v>
      </c>
      <c r="Q86" s="9" t="s">
        <v>9</v>
      </c>
      <c r="R86" s="1">
        <v>0</v>
      </c>
      <c r="S86" s="26"/>
    </row>
    <row r="87" spans="1:19" ht="16.5" customHeight="1" x14ac:dyDescent="0.25">
      <c r="A87" s="9"/>
      <c r="B87" s="51" t="s">
        <v>116</v>
      </c>
      <c r="C87" s="52"/>
      <c r="D87" s="52"/>
      <c r="E87" s="52"/>
      <c r="F87" s="52"/>
      <c r="G87" s="53"/>
      <c r="H87" s="20"/>
      <c r="I87" s="9">
        <v>3</v>
      </c>
      <c r="J87" s="9"/>
      <c r="K87" s="9"/>
      <c r="L87" s="9"/>
      <c r="M87" s="9">
        <f t="shared" si="14"/>
        <v>23.4</v>
      </c>
      <c r="N87" s="9">
        <f t="shared" si="15"/>
        <v>9</v>
      </c>
      <c r="O87" s="9">
        <v>7.8</v>
      </c>
      <c r="P87" s="9">
        <v>3</v>
      </c>
      <c r="Q87" s="9" t="s">
        <v>6</v>
      </c>
      <c r="R87" s="1">
        <v>0</v>
      </c>
      <c r="S87" s="26"/>
    </row>
    <row r="88" spans="1:19" ht="16.5" customHeight="1" x14ac:dyDescent="0.25">
      <c r="A88" s="9"/>
      <c r="B88" s="51" t="s">
        <v>117</v>
      </c>
      <c r="C88" s="52"/>
      <c r="D88" s="52"/>
      <c r="E88" s="52"/>
      <c r="F88" s="52"/>
      <c r="G88" s="53"/>
      <c r="H88" s="20"/>
      <c r="I88" s="9">
        <v>3</v>
      </c>
      <c r="J88" s="9"/>
      <c r="K88" s="9"/>
      <c r="L88" s="9"/>
      <c r="M88" s="9">
        <f t="shared" si="14"/>
        <v>23.4</v>
      </c>
      <c r="N88" s="9">
        <f t="shared" si="15"/>
        <v>9</v>
      </c>
      <c r="O88" s="9">
        <v>7.8</v>
      </c>
      <c r="P88" s="9">
        <v>3</v>
      </c>
      <c r="Q88" s="9" t="s">
        <v>6</v>
      </c>
      <c r="R88" s="1">
        <v>0</v>
      </c>
      <c r="S88" s="26"/>
    </row>
    <row r="89" spans="1:19" ht="16.5" customHeight="1" x14ac:dyDescent="0.25">
      <c r="A89" s="9"/>
      <c r="B89" s="51" t="s">
        <v>118</v>
      </c>
      <c r="C89" s="52"/>
      <c r="D89" s="52"/>
      <c r="E89" s="52"/>
      <c r="F89" s="52"/>
      <c r="G89" s="53"/>
      <c r="H89" s="20"/>
      <c r="I89" s="9">
        <v>3</v>
      </c>
      <c r="J89" s="9"/>
      <c r="K89" s="9"/>
      <c r="L89" s="9"/>
      <c r="M89" s="9">
        <f t="shared" si="14"/>
        <v>24</v>
      </c>
      <c r="N89" s="9">
        <f t="shared" si="15"/>
        <v>10.5</v>
      </c>
      <c r="O89" s="9">
        <v>8</v>
      </c>
      <c r="P89" s="9">
        <v>3.5</v>
      </c>
      <c r="Q89" s="9" t="s">
        <v>9</v>
      </c>
      <c r="R89" s="1">
        <v>0</v>
      </c>
      <c r="S89" s="26"/>
    </row>
    <row r="90" spans="1:19" ht="16.5" customHeight="1" x14ac:dyDescent="0.25">
      <c r="A90" s="9"/>
      <c r="B90" s="51" t="s">
        <v>119</v>
      </c>
      <c r="C90" s="52"/>
      <c r="D90" s="52"/>
      <c r="E90" s="52"/>
      <c r="F90" s="52"/>
      <c r="G90" s="53"/>
      <c r="H90" s="20"/>
      <c r="I90" s="9">
        <v>3</v>
      </c>
      <c r="J90" s="9"/>
      <c r="K90" s="9"/>
      <c r="L90" s="9"/>
      <c r="M90" s="9">
        <f t="shared" si="14"/>
        <v>21.9</v>
      </c>
      <c r="N90" s="9">
        <f t="shared" si="15"/>
        <v>9</v>
      </c>
      <c r="O90" s="9">
        <v>7.3</v>
      </c>
      <c r="P90" s="9">
        <v>3</v>
      </c>
      <c r="Q90" s="9" t="s">
        <v>6</v>
      </c>
      <c r="R90" s="1">
        <v>0</v>
      </c>
      <c r="S90" s="26"/>
    </row>
    <row r="91" spans="1:19" ht="16.5" customHeight="1" x14ac:dyDescent="0.25">
      <c r="A91" s="9"/>
      <c r="B91" s="51" t="s">
        <v>120</v>
      </c>
      <c r="C91" s="52"/>
      <c r="D91" s="52"/>
      <c r="E91" s="52"/>
      <c r="F91" s="52"/>
      <c r="G91" s="53"/>
      <c r="H91" s="20"/>
      <c r="I91" s="9">
        <v>2</v>
      </c>
      <c r="J91" s="9"/>
      <c r="K91" s="9"/>
      <c r="L91" s="9"/>
      <c r="M91" s="9">
        <f t="shared" si="14"/>
        <v>13</v>
      </c>
      <c r="N91" s="9">
        <f t="shared" si="15"/>
        <v>5</v>
      </c>
      <c r="O91" s="9">
        <v>6.5</v>
      </c>
      <c r="P91" s="9">
        <v>2.5</v>
      </c>
      <c r="Q91" s="9" t="s">
        <v>5</v>
      </c>
      <c r="R91" s="1">
        <v>0</v>
      </c>
      <c r="S91" s="26"/>
    </row>
    <row r="92" spans="1:19" ht="16.5" customHeight="1" x14ac:dyDescent="0.25">
      <c r="A92" s="9"/>
      <c r="B92" s="51" t="s">
        <v>121</v>
      </c>
      <c r="C92" s="52"/>
      <c r="D92" s="52"/>
      <c r="E92" s="52"/>
      <c r="F92" s="52"/>
      <c r="G92" s="53"/>
      <c r="H92" s="20"/>
      <c r="I92" s="9">
        <v>3</v>
      </c>
      <c r="J92" s="9"/>
      <c r="K92" s="9"/>
      <c r="L92" s="9"/>
      <c r="M92" s="9">
        <f t="shared" si="14"/>
        <v>22.200000000000003</v>
      </c>
      <c r="N92" s="9">
        <f t="shared" si="15"/>
        <v>9</v>
      </c>
      <c r="O92" s="9">
        <v>7.4</v>
      </c>
      <c r="P92" s="9">
        <v>3</v>
      </c>
      <c r="Q92" s="9" t="s">
        <v>6</v>
      </c>
      <c r="R92" s="1">
        <v>0</v>
      </c>
      <c r="S92" s="26"/>
    </row>
    <row r="93" spans="1:19" ht="16.5" customHeight="1" x14ac:dyDescent="0.25">
      <c r="A93" s="9"/>
      <c r="B93" s="51" t="s">
        <v>122</v>
      </c>
      <c r="C93" s="52"/>
      <c r="D93" s="52"/>
      <c r="E93" s="52"/>
      <c r="F93" s="52"/>
      <c r="G93" s="53"/>
      <c r="H93" s="20"/>
      <c r="I93" s="9">
        <v>1</v>
      </c>
      <c r="J93" s="9"/>
      <c r="K93" s="9"/>
      <c r="L93" s="9"/>
      <c r="M93" s="9">
        <f t="shared" si="14"/>
        <v>8.1</v>
      </c>
      <c r="N93" s="9">
        <f t="shared" si="15"/>
        <v>3.5</v>
      </c>
      <c r="O93" s="9">
        <v>8.1</v>
      </c>
      <c r="P93" s="9">
        <v>3.5</v>
      </c>
      <c r="Q93" s="9" t="s">
        <v>9</v>
      </c>
      <c r="R93" s="1">
        <v>0</v>
      </c>
      <c r="S93" s="26"/>
    </row>
    <row r="94" spans="1:19" ht="31.2" customHeight="1" x14ac:dyDescent="0.25">
      <c r="A94" s="9"/>
      <c r="B94" s="51" t="s">
        <v>123</v>
      </c>
      <c r="C94" s="52"/>
      <c r="D94" s="52"/>
      <c r="E94" s="52"/>
      <c r="F94" s="52"/>
      <c r="G94" s="53"/>
      <c r="H94" s="20"/>
      <c r="I94" s="9">
        <v>3</v>
      </c>
      <c r="J94" s="9"/>
      <c r="K94" s="9"/>
      <c r="L94" s="9"/>
      <c r="M94" s="9">
        <f t="shared" si="14"/>
        <v>24.900000000000002</v>
      </c>
      <c r="N94" s="9">
        <f t="shared" si="15"/>
        <v>10.5</v>
      </c>
      <c r="O94" s="9">
        <v>8.3000000000000007</v>
      </c>
      <c r="P94" s="9">
        <v>3.5</v>
      </c>
      <c r="Q94" s="9" t="s">
        <v>9</v>
      </c>
      <c r="R94" s="1">
        <v>0</v>
      </c>
      <c r="S94" s="26"/>
    </row>
    <row r="95" spans="1:19" ht="16.5" hidden="1" customHeight="1" x14ac:dyDescent="0.25">
      <c r="A95" s="21"/>
      <c r="H95" s="21"/>
      <c r="I95" s="21"/>
      <c r="J95" s="21"/>
      <c r="K95" s="21"/>
      <c r="L95" s="21"/>
      <c r="M95" s="9">
        <f t="shared" si="14"/>
        <v>0</v>
      </c>
      <c r="N95" s="9">
        <f t="shared" si="15"/>
        <v>0</v>
      </c>
      <c r="O95" s="21"/>
      <c r="P95" s="21"/>
      <c r="Q95" s="21"/>
      <c r="S95" s="25"/>
    </row>
    <row r="96" spans="1:19" ht="16.5" customHeight="1" x14ac:dyDescent="0.25">
      <c r="A96" s="9"/>
      <c r="B96" s="39" t="s">
        <v>42</v>
      </c>
      <c r="C96" s="40"/>
      <c r="D96" s="40"/>
      <c r="E96" s="40"/>
      <c r="F96" s="40"/>
      <c r="G96" s="41"/>
      <c r="H96" s="23"/>
      <c r="I96" s="24">
        <f>SUM(I86:I95)</f>
        <v>23</v>
      </c>
      <c r="J96" s="9"/>
      <c r="K96" s="9"/>
      <c r="L96" s="9"/>
      <c r="M96" s="9">
        <f t="shared" si="14"/>
        <v>177.1</v>
      </c>
      <c r="N96" s="9">
        <f t="shared" si="15"/>
        <v>72.45</v>
      </c>
      <c r="O96" s="24">
        <f>ROUND(SUM(M86:M95)/I96,2)</f>
        <v>7.7</v>
      </c>
      <c r="P96" s="24">
        <f>ROUND(SUM(N86:N95)/I96,2)</f>
        <v>3.15</v>
      </c>
      <c r="Q96" s="9"/>
      <c r="S96" s="25"/>
    </row>
    <row r="97" spans="1:19" ht="16.5" customHeight="1" x14ac:dyDescent="0.25">
      <c r="A97" s="21"/>
      <c r="B97" s="22"/>
      <c r="C97" s="22"/>
      <c r="D97" s="22"/>
      <c r="E97" s="22"/>
      <c r="F97" s="22"/>
      <c r="G97" s="22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9" spans="1:19" ht="18" x14ac:dyDescent="0.25">
      <c r="A99" s="35" t="s">
        <v>50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</row>
    <row r="100" spans="1:19" ht="18" x14ac:dyDescent="0.25">
      <c r="A100" s="35" t="s">
        <v>51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</row>
    <row r="101" spans="1:19" ht="18" x14ac:dyDescent="0.25">
      <c r="A101" s="35" t="s">
        <v>52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</row>
    <row r="102" spans="1:19" ht="18" x14ac:dyDescent="0.25">
      <c r="A102" s="45" t="s">
        <v>53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</row>
    <row r="103" spans="1:19" ht="19.5" customHeight="1" x14ac:dyDescent="0.25">
      <c r="A103" s="17"/>
      <c r="B103" s="17"/>
      <c r="C103" s="8"/>
      <c r="D103" s="18"/>
      <c r="E103" s="10"/>
      <c r="F103" s="11"/>
      <c r="G103" s="46" t="s">
        <v>49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</row>
    <row r="104" spans="1:19" ht="31.5" customHeight="1" x14ac:dyDescent="0.3">
      <c r="A104" s="8"/>
      <c r="B104" s="8"/>
      <c r="C104" s="8"/>
      <c r="D104" s="8"/>
      <c r="E104" s="8"/>
      <c r="F104" s="8"/>
      <c r="G104" s="8"/>
      <c r="H104" s="12"/>
      <c r="I104" s="42" t="s">
        <v>40</v>
      </c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 spans="1:19" ht="16.8" x14ac:dyDescent="0.3">
      <c r="A105" s="8"/>
      <c r="B105" s="8"/>
      <c r="C105" s="8"/>
      <c r="D105" s="8"/>
      <c r="E105" s="8"/>
      <c r="F105" s="8"/>
      <c r="G105" s="8"/>
      <c r="H105" s="12"/>
      <c r="I105" s="12"/>
      <c r="J105" s="12"/>
      <c r="K105" s="12"/>
      <c r="L105" s="8"/>
      <c r="M105" s="8"/>
      <c r="N105" s="8"/>
      <c r="O105" s="8"/>
      <c r="P105" s="8"/>
      <c r="Q105" s="8"/>
    </row>
    <row r="106" spans="1:19" ht="33" customHeight="1" x14ac:dyDescent="0.3">
      <c r="A106" s="8"/>
      <c r="B106" s="8"/>
      <c r="C106" s="8"/>
      <c r="D106" s="8"/>
      <c r="E106" s="8"/>
      <c r="F106" s="8"/>
      <c r="G106" s="8"/>
      <c r="H106" s="12"/>
      <c r="I106" s="12"/>
      <c r="J106" s="12"/>
      <c r="K106" s="12"/>
      <c r="L106" s="8"/>
      <c r="M106" s="8"/>
      <c r="N106" s="8"/>
      <c r="O106" s="8"/>
      <c r="P106" s="8"/>
      <c r="Q106" s="8"/>
    </row>
    <row r="107" spans="1:19" ht="11.25" customHeight="1" x14ac:dyDescent="0.3">
      <c r="A107" s="8"/>
      <c r="B107" s="8"/>
      <c r="C107" s="8"/>
      <c r="D107" s="8"/>
      <c r="E107" s="8"/>
      <c r="F107" s="8"/>
      <c r="G107" s="8"/>
      <c r="H107" s="12"/>
      <c r="I107" s="12"/>
      <c r="J107" s="12"/>
      <c r="K107" s="12"/>
      <c r="L107" s="8"/>
      <c r="M107" s="8"/>
      <c r="N107" s="8"/>
      <c r="O107" s="8"/>
      <c r="P107" s="8"/>
      <c r="Q107" s="8"/>
    </row>
    <row r="108" spans="1:19" ht="17.399999999999999" x14ac:dyDescent="0.3">
      <c r="A108" s="8"/>
      <c r="B108" s="8"/>
      <c r="C108" s="8"/>
      <c r="D108" s="8"/>
      <c r="E108" s="8"/>
      <c r="F108" s="8"/>
      <c r="G108" s="47" t="s">
        <v>41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</row>
    <row r="109" spans="1:19" ht="54" customHeight="1" x14ac:dyDescent="0.25">
      <c r="A109" s="48" t="s">
        <v>33</v>
      </c>
      <c r="B109" s="48"/>
      <c r="C109" s="48"/>
      <c r="D109" s="48"/>
      <c r="E109" s="48"/>
      <c r="F109" s="42" t="s">
        <v>24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</row>
    <row r="110" spans="1:19" ht="17.399999999999999" x14ac:dyDescent="0.25">
      <c r="A110" s="49" t="s">
        <v>34</v>
      </c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</row>
    <row r="111" spans="1:19" ht="4.5" customHeight="1" x14ac:dyDescent="0.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</row>
    <row r="112" spans="1:19" ht="5.25" customHeight="1" x14ac:dyDescent="0.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</row>
    <row r="113" spans="1:20" ht="16.5" customHeight="1" x14ac:dyDescent="0.25">
      <c r="A113" s="54" t="s">
        <v>124</v>
      </c>
      <c r="B113" s="54"/>
      <c r="C113" s="54"/>
      <c r="D113" s="54"/>
      <c r="E113" s="54"/>
      <c r="F113" s="54"/>
      <c r="G113" s="58" t="s">
        <v>125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</row>
    <row r="114" spans="1:20" ht="16.5" customHeight="1" x14ac:dyDescent="0.25">
      <c r="A114" s="54" t="s">
        <v>126</v>
      </c>
      <c r="B114" s="54"/>
      <c r="C114" s="54"/>
      <c r="D114" s="54"/>
      <c r="E114" s="54"/>
      <c r="F114" s="54"/>
      <c r="G114" s="8" t="s">
        <v>46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T114" s="2"/>
    </row>
    <row r="115" spans="1:20" ht="16.5" customHeight="1" x14ac:dyDescent="0.25">
      <c r="A115" s="54" t="s">
        <v>47</v>
      </c>
      <c r="B115" s="54"/>
      <c r="C115" s="54"/>
      <c r="D115" s="54"/>
      <c r="E115" s="54"/>
      <c r="F115" s="54"/>
      <c r="G115" s="58" t="s">
        <v>48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</row>
    <row r="116" spans="1:20" ht="5.2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19"/>
      <c r="K116" s="19"/>
      <c r="L116" s="19"/>
      <c r="M116" s="19"/>
      <c r="N116" s="19"/>
      <c r="O116" s="19"/>
      <c r="P116" s="19"/>
      <c r="Q116" s="19"/>
    </row>
    <row r="117" spans="1:20" ht="15" customHeight="1" x14ac:dyDescent="0.25">
      <c r="A117" s="36" t="s">
        <v>0</v>
      </c>
      <c r="B117" s="29" t="s">
        <v>1</v>
      </c>
      <c r="C117" s="30"/>
      <c r="D117" s="30"/>
      <c r="E117" s="30"/>
      <c r="F117" s="30"/>
      <c r="G117" s="31"/>
      <c r="H117" s="36" t="s">
        <v>32</v>
      </c>
      <c r="I117" s="36" t="s">
        <v>39</v>
      </c>
      <c r="J117" s="55" t="s">
        <v>2</v>
      </c>
      <c r="K117" s="56"/>
      <c r="L117" s="56"/>
      <c r="M117" s="56"/>
      <c r="N117" s="56"/>
      <c r="O117" s="56"/>
      <c r="P117" s="56"/>
      <c r="Q117" s="57"/>
      <c r="S117" s="36" t="s">
        <v>38</v>
      </c>
    </row>
    <row r="118" spans="1:20" ht="24" customHeight="1" x14ac:dyDescent="0.25">
      <c r="A118" s="37"/>
      <c r="B118" s="32"/>
      <c r="C118" s="33"/>
      <c r="D118" s="33"/>
      <c r="E118" s="33"/>
      <c r="F118" s="33"/>
      <c r="G118" s="34"/>
      <c r="H118" s="37"/>
      <c r="I118" s="37"/>
      <c r="J118" s="7" t="s">
        <v>28</v>
      </c>
      <c r="K118" s="7" t="s">
        <v>29</v>
      </c>
      <c r="L118" s="7" t="s">
        <v>30</v>
      </c>
      <c r="M118" s="7"/>
      <c r="N118" s="7"/>
      <c r="O118" s="6" t="s">
        <v>35</v>
      </c>
      <c r="P118" s="6" t="s">
        <v>36</v>
      </c>
      <c r="Q118" s="6" t="s">
        <v>37</v>
      </c>
      <c r="S118" s="37"/>
    </row>
    <row r="119" spans="1:20" ht="20.25" customHeight="1" x14ac:dyDescent="0.25">
      <c r="A119" s="27" t="s">
        <v>54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</row>
    <row r="120" spans="1:20" ht="16.5" customHeight="1" x14ac:dyDescent="0.25">
      <c r="A120" s="9"/>
      <c r="B120" s="51" t="s">
        <v>61</v>
      </c>
      <c r="C120" s="52"/>
      <c r="D120" s="52"/>
      <c r="E120" s="52"/>
      <c r="F120" s="52"/>
      <c r="G120" s="53"/>
      <c r="H120" s="20"/>
      <c r="I120" s="9">
        <v>1</v>
      </c>
      <c r="J120" s="9"/>
      <c r="K120" s="9"/>
      <c r="L120" s="9"/>
      <c r="M120" s="9">
        <f t="shared" ref="M120:M128" si="16">I120*O120</f>
        <v>6.9</v>
      </c>
      <c r="N120" s="9">
        <f t="shared" ref="N120:N128" si="17">I120*P120</f>
        <v>2.5</v>
      </c>
      <c r="O120" s="9">
        <v>6.9</v>
      </c>
      <c r="P120" s="9">
        <v>2.5</v>
      </c>
      <c r="Q120" s="9" t="s">
        <v>5</v>
      </c>
      <c r="R120" s="1">
        <v>0</v>
      </c>
      <c r="S120" s="26"/>
    </row>
    <row r="121" spans="1:20" ht="16.5" customHeight="1" x14ac:dyDescent="0.25">
      <c r="A121" s="9"/>
      <c r="B121" s="51" t="s">
        <v>56</v>
      </c>
      <c r="C121" s="52"/>
      <c r="D121" s="52"/>
      <c r="E121" s="52"/>
      <c r="F121" s="52"/>
      <c r="G121" s="53"/>
      <c r="H121" s="20"/>
      <c r="I121" s="9">
        <v>3</v>
      </c>
      <c r="J121" s="9"/>
      <c r="K121" s="9"/>
      <c r="L121" s="9"/>
      <c r="M121" s="9">
        <f t="shared" si="16"/>
        <v>20.100000000000001</v>
      </c>
      <c r="N121" s="9">
        <f t="shared" si="17"/>
        <v>7.5</v>
      </c>
      <c r="O121" s="9">
        <v>6.7</v>
      </c>
      <c r="P121" s="9">
        <v>2.5</v>
      </c>
      <c r="Q121" s="9" t="s">
        <v>5</v>
      </c>
      <c r="R121" s="1">
        <v>0</v>
      </c>
      <c r="S121" s="26"/>
    </row>
    <row r="122" spans="1:20" ht="31.2" customHeight="1" x14ac:dyDescent="0.25">
      <c r="A122" s="9"/>
      <c r="B122" s="51" t="s">
        <v>57</v>
      </c>
      <c r="C122" s="52"/>
      <c r="D122" s="52"/>
      <c r="E122" s="52"/>
      <c r="F122" s="52"/>
      <c r="G122" s="53"/>
      <c r="H122" s="20"/>
      <c r="I122" s="9">
        <v>3</v>
      </c>
      <c r="J122" s="9"/>
      <c r="K122" s="9"/>
      <c r="L122" s="9"/>
      <c r="M122" s="9">
        <f t="shared" si="16"/>
        <v>22.799999999999997</v>
      </c>
      <c r="N122" s="9">
        <f t="shared" si="17"/>
        <v>9</v>
      </c>
      <c r="O122" s="9">
        <v>7.6</v>
      </c>
      <c r="P122" s="9">
        <v>3</v>
      </c>
      <c r="Q122" s="9" t="s">
        <v>6</v>
      </c>
      <c r="R122" s="1">
        <v>0</v>
      </c>
      <c r="S122" s="26"/>
    </row>
    <row r="123" spans="1:20" ht="16.5" customHeight="1" x14ac:dyDescent="0.25">
      <c r="A123" s="9"/>
      <c r="B123" s="51" t="s">
        <v>58</v>
      </c>
      <c r="C123" s="52"/>
      <c r="D123" s="52"/>
      <c r="E123" s="52"/>
      <c r="F123" s="52"/>
      <c r="G123" s="53"/>
      <c r="H123" s="20"/>
      <c r="I123" s="9">
        <v>1</v>
      </c>
      <c r="J123" s="9"/>
      <c r="K123" s="9"/>
      <c r="L123" s="9"/>
      <c r="M123" s="9">
        <f t="shared" si="16"/>
        <v>8.1999999999999993</v>
      </c>
      <c r="N123" s="9">
        <f t="shared" si="17"/>
        <v>3.5</v>
      </c>
      <c r="O123" s="9">
        <v>8.1999999999999993</v>
      </c>
      <c r="P123" s="9">
        <v>3.5</v>
      </c>
      <c r="Q123" s="9" t="s">
        <v>9</v>
      </c>
      <c r="R123" s="1">
        <v>0</v>
      </c>
      <c r="S123" s="26"/>
    </row>
    <row r="124" spans="1:20" ht="16.5" customHeight="1" x14ac:dyDescent="0.25">
      <c r="A124" s="9"/>
      <c r="B124" s="51" t="s">
        <v>59</v>
      </c>
      <c r="C124" s="52"/>
      <c r="D124" s="52"/>
      <c r="E124" s="52"/>
      <c r="F124" s="52"/>
      <c r="G124" s="53"/>
      <c r="H124" s="20"/>
      <c r="I124" s="9">
        <v>1</v>
      </c>
      <c r="J124" s="9"/>
      <c r="K124" s="9"/>
      <c r="L124" s="9"/>
      <c r="M124" s="9">
        <f t="shared" si="16"/>
        <v>7.4</v>
      </c>
      <c r="N124" s="9">
        <f t="shared" si="17"/>
        <v>3</v>
      </c>
      <c r="O124" s="9">
        <v>7.4</v>
      </c>
      <c r="P124" s="9">
        <v>3</v>
      </c>
      <c r="Q124" s="9" t="s">
        <v>6</v>
      </c>
      <c r="R124" s="1">
        <v>0</v>
      </c>
      <c r="S124" s="26"/>
    </row>
    <row r="125" spans="1:20" ht="16.5" customHeight="1" x14ac:dyDescent="0.25">
      <c r="A125" s="9"/>
      <c r="B125" s="51" t="s">
        <v>60</v>
      </c>
      <c r="C125" s="52"/>
      <c r="D125" s="52"/>
      <c r="E125" s="52"/>
      <c r="F125" s="52"/>
      <c r="G125" s="53"/>
      <c r="H125" s="20"/>
      <c r="I125" s="9">
        <v>3</v>
      </c>
      <c r="J125" s="9"/>
      <c r="K125" s="9"/>
      <c r="L125" s="9"/>
      <c r="M125" s="9">
        <f t="shared" si="16"/>
        <v>22.5</v>
      </c>
      <c r="N125" s="9">
        <f t="shared" si="17"/>
        <v>9</v>
      </c>
      <c r="O125" s="9">
        <v>7.5</v>
      </c>
      <c r="P125" s="9">
        <v>3</v>
      </c>
      <c r="Q125" s="9" t="s">
        <v>6</v>
      </c>
      <c r="R125" s="1">
        <v>0</v>
      </c>
      <c r="S125" s="26"/>
    </row>
    <row r="126" spans="1:20" ht="16.5" customHeight="1" x14ac:dyDescent="0.25">
      <c r="A126" s="9"/>
      <c r="B126" s="51" t="s">
        <v>55</v>
      </c>
      <c r="C126" s="52"/>
      <c r="D126" s="52"/>
      <c r="E126" s="52"/>
      <c r="F126" s="52"/>
      <c r="G126" s="53"/>
      <c r="H126" s="20"/>
      <c r="I126" s="9">
        <v>2</v>
      </c>
      <c r="J126" s="9"/>
      <c r="K126" s="9"/>
      <c r="L126" s="9"/>
      <c r="M126" s="9">
        <f t="shared" si="16"/>
        <v>14.8</v>
      </c>
      <c r="N126" s="9">
        <f t="shared" si="17"/>
        <v>6</v>
      </c>
      <c r="O126" s="9">
        <v>7.4</v>
      </c>
      <c r="P126" s="9">
        <v>3</v>
      </c>
      <c r="Q126" s="9" t="s">
        <v>6</v>
      </c>
      <c r="R126" s="1">
        <v>0</v>
      </c>
      <c r="S126" s="26"/>
    </row>
    <row r="127" spans="1:20" ht="16.5" hidden="1" customHeight="1" x14ac:dyDescent="0.25">
      <c r="A127" s="21"/>
      <c r="H127" s="21"/>
      <c r="I127" s="21"/>
      <c r="J127" s="21"/>
      <c r="K127" s="21"/>
      <c r="L127" s="21"/>
      <c r="M127" s="9">
        <f t="shared" si="16"/>
        <v>0</v>
      </c>
      <c r="N127" s="9">
        <f t="shared" si="17"/>
        <v>0</v>
      </c>
      <c r="O127" s="21"/>
      <c r="P127" s="21"/>
      <c r="Q127" s="21"/>
      <c r="S127" s="25"/>
    </row>
    <row r="128" spans="1:20" ht="16.5" customHeight="1" x14ac:dyDescent="0.25">
      <c r="A128" s="9"/>
      <c r="B128" s="39" t="s">
        <v>42</v>
      </c>
      <c r="C128" s="40"/>
      <c r="D128" s="40"/>
      <c r="E128" s="40"/>
      <c r="F128" s="40"/>
      <c r="G128" s="41"/>
      <c r="H128" s="23"/>
      <c r="I128" s="24">
        <f>SUM(I120:I127)</f>
        <v>14</v>
      </c>
      <c r="J128" s="9"/>
      <c r="K128" s="9"/>
      <c r="L128" s="9"/>
      <c r="M128" s="9">
        <f t="shared" si="16"/>
        <v>102.75999999999999</v>
      </c>
      <c r="N128" s="9">
        <f t="shared" si="17"/>
        <v>40.46</v>
      </c>
      <c r="O128" s="24">
        <f>ROUND(SUM(M120:M127)/I128,2)</f>
        <v>7.34</v>
      </c>
      <c r="P128" s="24">
        <f>ROUND(SUM(N120:N127)/I128,2)</f>
        <v>2.89</v>
      </c>
      <c r="Q128" s="9"/>
      <c r="S128" s="25"/>
    </row>
    <row r="129" spans="1:19" ht="20.25" customHeight="1" x14ac:dyDescent="0.25">
      <c r="A129" s="27" t="s">
        <v>62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1:19" ht="16.5" customHeight="1" x14ac:dyDescent="0.25">
      <c r="A130" s="9"/>
      <c r="B130" s="51" t="s">
        <v>63</v>
      </c>
      <c r="C130" s="52"/>
      <c r="D130" s="52"/>
      <c r="E130" s="52"/>
      <c r="F130" s="52"/>
      <c r="G130" s="53"/>
      <c r="H130" s="20"/>
      <c r="I130" s="9">
        <v>4</v>
      </c>
      <c r="J130" s="9"/>
      <c r="K130" s="9"/>
      <c r="L130" s="9"/>
      <c r="M130" s="9">
        <f t="shared" ref="M130:M138" si="18">I130*O130</f>
        <v>27.2</v>
      </c>
      <c r="N130" s="9">
        <f t="shared" ref="N130:N138" si="19">I130*P130</f>
        <v>10</v>
      </c>
      <c r="O130" s="9">
        <v>6.8</v>
      </c>
      <c r="P130" s="9">
        <v>2.5</v>
      </c>
      <c r="Q130" s="9" t="s">
        <v>5</v>
      </c>
      <c r="R130" s="1">
        <v>0</v>
      </c>
      <c r="S130" s="26"/>
    </row>
    <row r="131" spans="1:19" ht="16.5" customHeight="1" x14ac:dyDescent="0.25">
      <c r="A131" s="9"/>
      <c r="B131" s="51" t="s">
        <v>64</v>
      </c>
      <c r="C131" s="52"/>
      <c r="D131" s="52"/>
      <c r="E131" s="52"/>
      <c r="F131" s="52"/>
      <c r="G131" s="53"/>
      <c r="H131" s="20"/>
      <c r="I131" s="9">
        <v>4</v>
      </c>
      <c r="J131" s="9"/>
      <c r="K131" s="9"/>
      <c r="L131" s="9"/>
      <c r="M131" s="9">
        <f t="shared" si="18"/>
        <v>22.8</v>
      </c>
      <c r="N131" s="9">
        <f t="shared" si="19"/>
        <v>8</v>
      </c>
      <c r="O131" s="9">
        <v>5.7</v>
      </c>
      <c r="P131" s="9">
        <v>2</v>
      </c>
      <c r="Q131" s="9" t="s">
        <v>3</v>
      </c>
      <c r="R131" s="1">
        <v>0</v>
      </c>
      <c r="S131" s="26"/>
    </row>
    <row r="132" spans="1:19" ht="16.5" customHeight="1" x14ac:dyDescent="0.25">
      <c r="A132" s="9"/>
      <c r="B132" s="51" t="s">
        <v>65</v>
      </c>
      <c r="C132" s="52"/>
      <c r="D132" s="52"/>
      <c r="E132" s="52"/>
      <c r="F132" s="52"/>
      <c r="G132" s="53"/>
      <c r="H132" s="20"/>
      <c r="I132" s="9">
        <v>4</v>
      </c>
      <c r="J132" s="9"/>
      <c r="K132" s="9"/>
      <c r="L132" s="9"/>
      <c r="M132" s="9">
        <f t="shared" si="18"/>
        <v>32</v>
      </c>
      <c r="N132" s="9">
        <f t="shared" si="19"/>
        <v>14</v>
      </c>
      <c r="O132" s="9">
        <v>8</v>
      </c>
      <c r="P132" s="9">
        <v>3.5</v>
      </c>
      <c r="Q132" s="9" t="s">
        <v>9</v>
      </c>
      <c r="R132" s="1">
        <v>0</v>
      </c>
      <c r="S132" s="26"/>
    </row>
    <row r="133" spans="1:19" ht="16.5" customHeight="1" x14ac:dyDescent="0.25">
      <c r="A133" s="9"/>
      <c r="B133" s="51" t="s">
        <v>66</v>
      </c>
      <c r="C133" s="52"/>
      <c r="D133" s="52"/>
      <c r="E133" s="52"/>
      <c r="F133" s="52"/>
      <c r="G133" s="53"/>
      <c r="H133" s="20"/>
      <c r="I133" s="9">
        <v>1</v>
      </c>
      <c r="J133" s="9"/>
      <c r="K133" s="9"/>
      <c r="L133" s="9"/>
      <c r="M133" s="9">
        <f t="shared" si="18"/>
        <v>8.1999999999999993</v>
      </c>
      <c r="N133" s="9">
        <f t="shared" si="19"/>
        <v>3.5</v>
      </c>
      <c r="O133" s="9">
        <v>8.1999999999999993</v>
      </c>
      <c r="P133" s="9">
        <v>3.5</v>
      </c>
      <c r="Q133" s="9" t="s">
        <v>9</v>
      </c>
      <c r="R133" s="1">
        <v>0</v>
      </c>
      <c r="S133" s="26"/>
    </row>
    <row r="134" spans="1:19" ht="16.5" customHeight="1" x14ac:dyDescent="0.25">
      <c r="A134" s="9"/>
      <c r="B134" s="51" t="s">
        <v>67</v>
      </c>
      <c r="C134" s="52"/>
      <c r="D134" s="52"/>
      <c r="E134" s="52"/>
      <c r="F134" s="52"/>
      <c r="G134" s="53"/>
      <c r="H134" s="20"/>
      <c r="I134" s="9">
        <v>1</v>
      </c>
      <c r="J134" s="9"/>
      <c r="K134" s="9"/>
      <c r="L134" s="9"/>
      <c r="M134" s="9">
        <f t="shared" si="18"/>
        <v>8.1999999999999993</v>
      </c>
      <c r="N134" s="9">
        <f t="shared" si="19"/>
        <v>3.5</v>
      </c>
      <c r="O134" s="9">
        <v>8.1999999999999993</v>
      </c>
      <c r="P134" s="9">
        <v>3.5</v>
      </c>
      <c r="Q134" s="9" t="s">
        <v>9</v>
      </c>
      <c r="R134" s="1">
        <v>0</v>
      </c>
      <c r="S134" s="26"/>
    </row>
    <row r="135" spans="1:19" ht="16.5" customHeight="1" x14ac:dyDescent="0.25">
      <c r="A135" s="9"/>
      <c r="B135" s="51" t="s">
        <v>69</v>
      </c>
      <c r="C135" s="52"/>
      <c r="D135" s="52"/>
      <c r="E135" s="52"/>
      <c r="F135" s="52"/>
      <c r="G135" s="53"/>
      <c r="H135" s="20"/>
      <c r="I135" s="9">
        <v>1</v>
      </c>
      <c r="J135" s="9"/>
      <c r="K135" s="9"/>
      <c r="L135" s="9"/>
      <c r="M135" s="9">
        <f t="shared" si="18"/>
        <v>8.1</v>
      </c>
      <c r="N135" s="9">
        <f t="shared" si="19"/>
        <v>3.5</v>
      </c>
      <c r="O135" s="9">
        <v>8.1</v>
      </c>
      <c r="P135" s="9">
        <v>3.5</v>
      </c>
      <c r="Q135" s="9" t="s">
        <v>9</v>
      </c>
      <c r="R135" s="1">
        <v>0</v>
      </c>
      <c r="S135" s="26"/>
    </row>
    <row r="136" spans="1:19" ht="16.5" customHeight="1" x14ac:dyDescent="0.25">
      <c r="A136" s="9"/>
      <c r="B136" s="51" t="s">
        <v>68</v>
      </c>
      <c r="C136" s="52"/>
      <c r="D136" s="52"/>
      <c r="E136" s="52"/>
      <c r="F136" s="52"/>
      <c r="G136" s="53"/>
      <c r="H136" s="20"/>
      <c r="I136" s="9">
        <v>1</v>
      </c>
      <c r="J136" s="9"/>
      <c r="K136" s="9"/>
      <c r="L136" s="9"/>
      <c r="M136" s="9">
        <f t="shared" si="18"/>
        <v>7.8</v>
      </c>
      <c r="N136" s="9">
        <f t="shared" si="19"/>
        <v>3</v>
      </c>
      <c r="O136" s="9">
        <v>7.8</v>
      </c>
      <c r="P136" s="9">
        <v>3</v>
      </c>
      <c r="Q136" s="9" t="s">
        <v>6</v>
      </c>
      <c r="R136" s="1">
        <v>0</v>
      </c>
      <c r="S136" s="26"/>
    </row>
    <row r="137" spans="1:19" ht="16.5" hidden="1" customHeight="1" x14ac:dyDescent="0.25">
      <c r="A137" s="21"/>
      <c r="H137" s="21"/>
      <c r="I137" s="21"/>
      <c r="J137" s="21"/>
      <c r="K137" s="21"/>
      <c r="L137" s="21"/>
      <c r="M137" s="9">
        <f t="shared" si="18"/>
        <v>0</v>
      </c>
      <c r="N137" s="9">
        <f t="shared" si="19"/>
        <v>0</v>
      </c>
      <c r="O137" s="21"/>
      <c r="P137" s="21"/>
      <c r="Q137" s="21"/>
      <c r="S137" s="25"/>
    </row>
    <row r="138" spans="1:19" ht="16.5" customHeight="1" x14ac:dyDescent="0.25">
      <c r="A138" s="9"/>
      <c r="B138" s="39" t="s">
        <v>42</v>
      </c>
      <c r="C138" s="40"/>
      <c r="D138" s="40"/>
      <c r="E138" s="40"/>
      <c r="F138" s="40"/>
      <c r="G138" s="41"/>
      <c r="H138" s="23"/>
      <c r="I138" s="24">
        <f>SUM(I130:I137)</f>
        <v>16</v>
      </c>
      <c r="J138" s="9"/>
      <c r="K138" s="9"/>
      <c r="L138" s="9"/>
      <c r="M138" s="9">
        <f t="shared" si="18"/>
        <v>114.24</v>
      </c>
      <c r="N138" s="9">
        <f t="shared" si="19"/>
        <v>45.44</v>
      </c>
      <c r="O138" s="24">
        <f>ROUND(SUM(M130:M137)/I138,2)</f>
        <v>7.14</v>
      </c>
      <c r="P138" s="24">
        <f>ROUND(SUM(N130:N137)/I138,2)</f>
        <v>2.84</v>
      </c>
      <c r="Q138" s="9"/>
      <c r="S138" s="25"/>
    </row>
    <row r="139" spans="1:19" ht="20.25" customHeight="1" x14ac:dyDescent="0.25">
      <c r="A139" s="27" t="s">
        <v>70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</row>
    <row r="140" spans="1:19" ht="16.5" customHeight="1" x14ac:dyDescent="0.25">
      <c r="A140" s="9"/>
      <c r="B140" s="51" t="s">
        <v>71</v>
      </c>
      <c r="C140" s="52"/>
      <c r="D140" s="52"/>
      <c r="E140" s="52"/>
      <c r="F140" s="52"/>
      <c r="G140" s="53"/>
      <c r="H140" s="20"/>
      <c r="I140" s="9">
        <v>4</v>
      </c>
      <c r="J140" s="9"/>
      <c r="K140" s="9"/>
      <c r="L140" s="9"/>
      <c r="M140" s="9">
        <f t="shared" ref="M140:M149" si="20">I140*O140</f>
        <v>34</v>
      </c>
      <c r="N140" s="9">
        <f t="shared" ref="N140:N149" si="21">I140*P140</f>
        <v>14.8</v>
      </c>
      <c r="O140" s="9">
        <v>8.5</v>
      </c>
      <c r="P140" s="9">
        <v>3.7</v>
      </c>
      <c r="Q140" s="9" t="s">
        <v>10</v>
      </c>
      <c r="R140" s="1">
        <v>0</v>
      </c>
      <c r="S140" s="26"/>
    </row>
    <row r="141" spans="1:19" ht="16.5" customHeight="1" x14ac:dyDescent="0.25">
      <c r="A141" s="9"/>
      <c r="B141" s="51" t="s">
        <v>72</v>
      </c>
      <c r="C141" s="52"/>
      <c r="D141" s="52"/>
      <c r="E141" s="52"/>
      <c r="F141" s="52"/>
      <c r="G141" s="53"/>
      <c r="H141" s="20"/>
      <c r="I141" s="9">
        <v>4</v>
      </c>
      <c r="J141" s="9"/>
      <c r="K141" s="9"/>
      <c r="L141" s="9"/>
      <c r="M141" s="9">
        <f t="shared" si="20"/>
        <v>30.4</v>
      </c>
      <c r="N141" s="9">
        <f t="shared" si="21"/>
        <v>12</v>
      </c>
      <c r="O141" s="9">
        <v>7.6</v>
      </c>
      <c r="P141" s="9">
        <v>3</v>
      </c>
      <c r="Q141" s="9" t="s">
        <v>6</v>
      </c>
      <c r="R141" s="1">
        <v>0</v>
      </c>
      <c r="S141" s="26"/>
    </row>
    <row r="142" spans="1:19" ht="16.5" customHeight="1" x14ac:dyDescent="0.25">
      <c r="A142" s="9"/>
      <c r="B142" s="51" t="s">
        <v>73</v>
      </c>
      <c r="C142" s="52"/>
      <c r="D142" s="52"/>
      <c r="E142" s="52"/>
      <c r="F142" s="52"/>
      <c r="G142" s="53"/>
      <c r="H142" s="20"/>
      <c r="I142" s="9">
        <v>1</v>
      </c>
      <c r="J142" s="9"/>
      <c r="K142" s="9"/>
      <c r="L142" s="9"/>
      <c r="M142" s="9">
        <f t="shared" si="20"/>
        <v>7.9</v>
      </c>
      <c r="N142" s="9">
        <f t="shared" si="21"/>
        <v>3</v>
      </c>
      <c r="O142" s="9">
        <v>7.9</v>
      </c>
      <c r="P142" s="9">
        <v>3</v>
      </c>
      <c r="Q142" s="9" t="s">
        <v>6</v>
      </c>
      <c r="R142" s="1">
        <v>0</v>
      </c>
      <c r="S142" s="26"/>
    </row>
    <row r="143" spans="1:19" ht="16.5" customHeight="1" x14ac:dyDescent="0.25">
      <c r="A143" s="9"/>
      <c r="B143" s="51" t="s">
        <v>74</v>
      </c>
      <c r="C143" s="52"/>
      <c r="D143" s="52"/>
      <c r="E143" s="52"/>
      <c r="F143" s="52"/>
      <c r="G143" s="53"/>
      <c r="H143" s="20"/>
      <c r="I143" s="9">
        <v>2</v>
      </c>
      <c r="J143" s="9"/>
      <c r="K143" s="9"/>
      <c r="L143" s="9"/>
      <c r="M143" s="9">
        <f t="shared" si="20"/>
        <v>14.8</v>
      </c>
      <c r="N143" s="9">
        <f t="shared" si="21"/>
        <v>6</v>
      </c>
      <c r="O143" s="9">
        <v>7.4</v>
      </c>
      <c r="P143" s="9">
        <v>3</v>
      </c>
      <c r="Q143" s="9" t="s">
        <v>6</v>
      </c>
      <c r="R143" s="1">
        <v>0</v>
      </c>
      <c r="S143" s="26"/>
    </row>
    <row r="144" spans="1:19" ht="16.5" customHeight="1" x14ac:dyDescent="0.25">
      <c r="A144" s="9"/>
      <c r="B144" s="51" t="s">
        <v>75</v>
      </c>
      <c r="C144" s="52"/>
      <c r="D144" s="52"/>
      <c r="E144" s="52"/>
      <c r="F144" s="52"/>
      <c r="G144" s="53"/>
      <c r="H144" s="20"/>
      <c r="I144" s="9">
        <v>1</v>
      </c>
      <c r="J144" s="9"/>
      <c r="K144" s="9"/>
      <c r="L144" s="9"/>
      <c r="M144" s="9">
        <f t="shared" si="20"/>
        <v>6.4</v>
      </c>
      <c r="N144" s="9">
        <f t="shared" si="21"/>
        <v>2</v>
      </c>
      <c r="O144" s="9">
        <v>6.4</v>
      </c>
      <c r="P144" s="9">
        <v>2</v>
      </c>
      <c r="Q144" s="9" t="s">
        <v>3</v>
      </c>
      <c r="R144" s="1">
        <v>0</v>
      </c>
      <c r="S144" s="26"/>
    </row>
    <row r="145" spans="1:19" ht="16.5" customHeight="1" x14ac:dyDescent="0.25">
      <c r="A145" s="9"/>
      <c r="B145" s="51" t="s">
        <v>76</v>
      </c>
      <c r="C145" s="52"/>
      <c r="D145" s="52"/>
      <c r="E145" s="52"/>
      <c r="F145" s="52"/>
      <c r="G145" s="53"/>
      <c r="H145" s="20"/>
      <c r="I145" s="9">
        <v>4</v>
      </c>
      <c r="J145" s="9"/>
      <c r="K145" s="9"/>
      <c r="L145" s="9"/>
      <c r="M145" s="9">
        <f t="shared" si="20"/>
        <v>28</v>
      </c>
      <c r="N145" s="9">
        <f t="shared" si="21"/>
        <v>12</v>
      </c>
      <c r="O145" s="9">
        <v>7</v>
      </c>
      <c r="P145" s="9">
        <v>3</v>
      </c>
      <c r="Q145" s="9" t="s">
        <v>6</v>
      </c>
      <c r="R145" s="1">
        <v>0</v>
      </c>
      <c r="S145" s="26"/>
    </row>
    <row r="146" spans="1:19" ht="16.5" customHeight="1" x14ac:dyDescent="0.25">
      <c r="A146" s="9"/>
      <c r="B146" s="51" t="s">
        <v>77</v>
      </c>
      <c r="C146" s="52"/>
      <c r="D146" s="52"/>
      <c r="E146" s="52"/>
      <c r="F146" s="52"/>
      <c r="G146" s="53"/>
      <c r="H146" s="20"/>
      <c r="I146" s="9">
        <v>3</v>
      </c>
      <c r="J146" s="9"/>
      <c r="K146" s="9"/>
      <c r="L146" s="9"/>
      <c r="M146" s="9">
        <f t="shared" si="20"/>
        <v>20.700000000000003</v>
      </c>
      <c r="N146" s="9">
        <f t="shared" si="21"/>
        <v>7.5</v>
      </c>
      <c r="O146" s="9">
        <v>6.9</v>
      </c>
      <c r="P146" s="9">
        <v>2.5</v>
      </c>
      <c r="Q146" s="9" t="s">
        <v>5</v>
      </c>
      <c r="R146" s="1">
        <v>0</v>
      </c>
      <c r="S146" s="26"/>
    </row>
    <row r="147" spans="1:19" ht="16.5" customHeight="1" x14ac:dyDescent="0.25">
      <c r="A147" s="9"/>
      <c r="B147" s="51" t="s">
        <v>78</v>
      </c>
      <c r="C147" s="52"/>
      <c r="D147" s="52"/>
      <c r="E147" s="52"/>
      <c r="F147" s="52"/>
      <c r="G147" s="53"/>
      <c r="H147" s="20"/>
      <c r="I147" s="9">
        <v>4</v>
      </c>
      <c r="J147" s="9"/>
      <c r="K147" s="9"/>
      <c r="L147" s="9"/>
      <c r="M147" s="9">
        <f t="shared" si="20"/>
        <v>30</v>
      </c>
      <c r="N147" s="9">
        <f t="shared" si="21"/>
        <v>12</v>
      </c>
      <c r="O147" s="9">
        <v>7.5</v>
      </c>
      <c r="P147" s="9">
        <v>3</v>
      </c>
      <c r="Q147" s="9" t="s">
        <v>6</v>
      </c>
      <c r="R147" s="1">
        <v>0</v>
      </c>
      <c r="S147" s="26"/>
    </row>
    <row r="148" spans="1:19" ht="16.5" hidden="1" customHeight="1" x14ac:dyDescent="0.25">
      <c r="A148" s="21"/>
      <c r="H148" s="21"/>
      <c r="I148" s="21"/>
      <c r="J148" s="21"/>
      <c r="K148" s="21"/>
      <c r="L148" s="21"/>
      <c r="M148" s="9">
        <f t="shared" si="20"/>
        <v>0</v>
      </c>
      <c r="N148" s="9">
        <f t="shared" si="21"/>
        <v>0</v>
      </c>
      <c r="O148" s="21"/>
      <c r="P148" s="21"/>
      <c r="Q148" s="21"/>
      <c r="S148" s="25"/>
    </row>
    <row r="149" spans="1:19" ht="16.5" customHeight="1" x14ac:dyDescent="0.25">
      <c r="A149" s="9"/>
      <c r="B149" s="39" t="s">
        <v>42</v>
      </c>
      <c r="C149" s="40"/>
      <c r="D149" s="40"/>
      <c r="E149" s="40"/>
      <c r="F149" s="40"/>
      <c r="G149" s="41"/>
      <c r="H149" s="23"/>
      <c r="I149" s="24">
        <f>SUM(I140:I148)</f>
        <v>23</v>
      </c>
      <c r="J149" s="9"/>
      <c r="K149" s="9"/>
      <c r="L149" s="9"/>
      <c r="M149" s="9">
        <f t="shared" si="20"/>
        <v>172.27</v>
      </c>
      <c r="N149" s="9">
        <f t="shared" si="21"/>
        <v>69.22999999999999</v>
      </c>
      <c r="O149" s="24">
        <f>ROUND(SUM(M140:M148)/I149,2)</f>
        <v>7.49</v>
      </c>
      <c r="P149" s="24">
        <f>ROUND(SUM(N140:N148)/I149,2)</f>
        <v>3.01</v>
      </c>
      <c r="Q149" s="9"/>
      <c r="S149" s="25"/>
    </row>
    <row r="150" spans="1:19" ht="20.25" customHeight="1" x14ac:dyDescent="0.25">
      <c r="A150" s="27" t="s">
        <v>79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</row>
    <row r="151" spans="1:19" ht="16.5" customHeight="1" x14ac:dyDescent="0.25">
      <c r="A151" s="9"/>
      <c r="B151" s="51" t="s">
        <v>80</v>
      </c>
      <c r="C151" s="52"/>
      <c r="D151" s="52"/>
      <c r="E151" s="52"/>
      <c r="F151" s="52"/>
      <c r="G151" s="53"/>
      <c r="H151" s="20"/>
      <c r="I151" s="9">
        <v>3</v>
      </c>
      <c r="J151" s="9"/>
      <c r="K151" s="9"/>
      <c r="L151" s="9"/>
      <c r="M151" s="9">
        <f t="shared" ref="M151:M156" si="22">I151*O151</f>
        <v>21.299999999999997</v>
      </c>
      <c r="N151" s="9">
        <f t="shared" ref="N151:N156" si="23">I151*P151</f>
        <v>9</v>
      </c>
      <c r="O151" s="9">
        <v>7.1</v>
      </c>
      <c r="P151" s="9">
        <v>3</v>
      </c>
      <c r="Q151" s="9" t="s">
        <v>6</v>
      </c>
      <c r="R151" s="1">
        <v>0</v>
      </c>
      <c r="S151" s="26"/>
    </row>
    <row r="152" spans="1:19" ht="16.5" customHeight="1" x14ac:dyDescent="0.25">
      <c r="A152" s="9"/>
      <c r="B152" s="51" t="s">
        <v>81</v>
      </c>
      <c r="C152" s="52"/>
      <c r="D152" s="52"/>
      <c r="E152" s="52"/>
      <c r="F152" s="52"/>
      <c r="G152" s="53"/>
      <c r="H152" s="20"/>
      <c r="I152" s="9">
        <v>1</v>
      </c>
      <c r="J152" s="9"/>
      <c r="K152" s="9"/>
      <c r="L152" s="9"/>
      <c r="M152" s="9">
        <f t="shared" si="22"/>
        <v>8.5</v>
      </c>
      <c r="N152" s="9">
        <f t="shared" si="23"/>
        <v>3.7</v>
      </c>
      <c r="O152" s="9">
        <v>8.5</v>
      </c>
      <c r="P152" s="9">
        <v>3.7</v>
      </c>
      <c r="Q152" s="9" t="s">
        <v>10</v>
      </c>
      <c r="R152" s="1">
        <v>0</v>
      </c>
      <c r="S152" s="26"/>
    </row>
    <row r="153" spans="1:19" ht="16.5" customHeight="1" x14ac:dyDescent="0.25">
      <c r="A153" s="9"/>
      <c r="B153" s="51" t="s">
        <v>82</v>
      </c>
      <c r="C153" s="52"/>
      <c r="D153" s="52"/>
      <c r="E153" s="52"/>
      <c r="F153" s="52"/>
      <c r="G153" s="53"/>
      <c r="H153" s="20"/>
      <c r="I153" s="9">
        <v>3</v>
      </c>
      <c r="J153" s="9"/>
      <c r="K153" s="9"/>
      <c r="L153" s="9"/>
      <c r="M153" s="9">
        <f t="shared" si="22"/>
        <v>25.200000000000003</v>
      </c>
      <c r="N153" s="9">
        <f t="shared" si="23"/>
        <v>10.5</v>
      </c>
      <c r="O153" s="9">
        <v>8.4</v>
      </c>
      <c r="P153" s="9">
        <v>3.5</v>
      </c>
      <c r="Q153" s="9" t="s">
        <v>9</v>
      </c>
      <c r="R153" s="1">
        <v>0</v>
      </c>
      <c r="S153" s="26"/>
    </row>
    <row r="154" spans="1:19" ht="16.5" customHeight="1" x14ac:dyDescent="0.25">
      <c r="A154" s="9"/>
      <c r="B154" s="51" t="s">
        <v>83</v>
      </c>
      <c r="C154" s="52"/>
      <c r="D154" s="52"/>
      <c r="E154" s="52"/>
      <c r="F154" s="52"/>
      <c r="G154" s="53"/>
      <c r="H154" s="20"/>
      <c r="I154" s="9">
        <v>2</v>
      </c>
      <c r="J154" s="9"/>
      <c r="K154" s="9"/>
      <c r="L154" s="9"/>
      <c r="M154" s="9">
        <f t="shared" si="22"/>
        <v>16.2</v>
      </c>
      <c r="N154" s="9">
        <f t="shared" si="23"/>
        <v>7</v>
      </c>
      <c r="O154" s="9">
        <v>8.1</v>
      </c>
      <c r="P154" s="9">
        <v>3.5</v>
      </c>
      <c r="Q154" s="9" t="s">
        <v>9</v>
      </c>
      <c r="R154" s="1">
        <v>0</v>
      </c>
      <c r="S154" s="26"/>
    </row>
    <row r="155" spans="1:19" ht="16.5" customHeight="1" x14ac:dyDescent="0.25">
      <c r="A155" s="9"/>
      <c r="B155" s="51" t="s">
        <v>84</v>
      </c>
      <c r="C155" s="52"/>
      <c r="D155" s="52"/>
      <c r="E155" s="52"/>
      <c r="F155" s="52"/>
      <c r="G155" s="53"/>
      <c r="H155" s="20"/>
      <c r="I155" s="9">
        <v>2</v>
      </c>
      <c r="J155" s="9"/>
      <c r="K155" s="9"/>
      <c r="L155" s="9"/>
      <c r="M155" s="9">
        <f t="shared" si="22"/>
        <v>15.4</v>
      </c>
      <c r="N155" s="9">
        <f t="shared" si="23"/>
        <v>6</v>
      </c>
      <c r="O155" s="9">
        <v>7.7</v>
      </c>
      <c r="P155" s="9">
        <v>3</v>
      </c>
      <c r="Q155" s="9" t="s">
        <v>6</v>
      </c>
      <c r="R155" s="1">
        <v>0</v>
      </c>
      <c r="S155" s="26"/>
    </row>
    <row r="156" spans="1:19" ht="16.5" customHeight="1" x14ac:dyDescent="0.25">
      <c r="A156" s="9"/>
      <c r="B156" s="51" t="s">
        <v>89</v>
      </c>
      <c r="C156" s="52"/>
      <c r="D156" s="52"/>
      <c r="E156" s="52"/>
      <c r="F156" s="52"/>
      <c r="G156" s="53"/>
      <c r="H156" s="20"/>
      <c r="I156" s="9">
        <v>2</v>
      </c>
      <c r="J156" s="9"/>
      <c r="K156" s="9"/>
      <c r="L156" s="9"/>
      <c r="M156" s="9">
        <f t="shared" si="22"/>
        <v>17.2</v>
      </c>
      <c r="N156" s="9">
        <f t="shared" si="23"/>
        <v>7.4</v>
      </c>
      <c r="O156" s="9">
        <v>8.6</v>
      </c>
      <c r="P156" s="9">
        <v>3.7</v>
      </c>
      <c r="Q156" s="9" t="s">
        <v>10</v>
      </c>
      <c r="R156" s="1">
        <v>0</v>
      </c>
      <c r="S156" s="26"/>
    </row>
    <row r="157" spans="1:19" ht="15" customHeight="1" x14ac:dyDescent="0.25">
      <c r="A157" s="36" t="s">
        <v>0</v>
      </c>
      <c r="B157" s="29" t="s">
        <v>1</v>
      </c>
      <c r="C157" s="30"/>
      <c r="D157" s="30"/>
      <c r="E157" s="30"/>
      <c r="F157" s="30"/>
      <c r="G157" s="31"/>
      <c r="H157" s="36" t="s">
        <v>32</v>
      </c>
      <c r="I157" s="36" t="s">
        <v>39</v>
      </c>
      <c r="J157" s="55" t="s">
        <v>2</v>
      </c>
      <c r="K157" s="56"/>
      <c r="L157" s="56"/>
      <c r="M157" s="56"/>
      <c r="N157" s="56"/>
      <c r="O157" s="56"/>
      <c r="P157" s="56"/>
      <c r="Q157" s="57"/>
      <c r="S157" s="36" t="s">
        <v>38</v>
      </c>
    </row>
    <row r="158" spans="1:19" ht="24" customHeight="1" x14ac:dyDescent="0.25">
      <c r="A158" s="37"/>
      <c r="B158" s="32"/>
      <c r="C158" s="33"/>
      <c r="D158" s="33"/>
      <c r="E158" s="33"/>
      <c r="F158" s="33"/>
      <c r="G158" s="34"/>
      <c r="H158" s="37"/>
      <c r="I158" s="37"/>
      <c r="J158" s="7" t="s">
        <v>28</v>
      </c>
      <c r="K158" s="7" t="s">
        <v>29</v>
      </c>
      <c r="L158" s="7" t="s">
        <v>30</v>
      </c>
      <c r="M158" s="7"/>
      <c r="N158" s="7"/>
      <c r="O158" s="6" t="s">
        <v>35</v>
      </c>
      <c r="P158" s="6" t="s">
        <v>36</v>
      </c>
      <c r="Q158" s="6" t="s">
        <v>37</v>
      </c>
      <c r="S158" s="37"/>
    </row>
    <row r="159" spans="1:19" ht="16.5" customHeight="1" x14ac:dyDescent="0.25">
      <c r="A159" s="9"/>
      <c r="B159" s="51" t="s">
        <v>86</v>
      </c>
      <c r="C159" s="52"/>
      <c r="D159" s="52"/>
      <c r="E159" s="52"/>
      <c r="F159" s="52"/>
      <c r="G159" s="53"/>
      <c r="H159" s="20"/>
      <c r="I159" s="9">
        <v>4</v>
      </c>
      <c r="J159" s="9"/>
      <c r="K159" s="9"/>
      <c r="L159" s="9"/>
      <c r="M159" s="9">
        <f t="shared" ref="M159:M164" si="24">I159*O159</f>
        <v>35.200000000000003</v>
      </c>
      <c r="N159" s="9">
        <f t="shared" ref="N159:N164" si="25">I159*P159</f>
        <v>14.8</v>
      </c>
      <c r="O159" s="9">
        <v>8.8000000000000007</v>
      </c>
      <c r="P159" s="9">
        <v>3.7</v>
      </c>
      <c r="Q159" s="9" t="s">
        <v>10</v>
      </c>
      <c r="R159" s="1">
        <v>0</v>
      </c>
      <c r="S159" s="26"/>
    </row>
    <row r="160" spans="1:19" ht="16.5" customHeight="1" x14ac:dyDescent="0.25">
      <c r="A160" s="9"/>
      <c r="B160" s="51" t="s">
        <v>87</v>
      </c>
      <c r="C160" s="52"/>
      <c r="D160" s="52"/>
      <c r="E160" s="52"/>
      <c r="F160" s="52"/>
      <c r="G160" s="53"/>
      <c r="H160" s="20"/>
      <c r="I160" s="9">
        <v>3</v>
      </c>
      <c r="J160" s="9"/>
      <c r="K160" s="9"/>
      <c r="L160" s="9"/>
      <c r="M160" s="9">
        <f t="shared" si="24"/>
        <v>26.700000000000003</v>
      </c>
      <c r="N160" s="9">
        <f t="shared" si="25"/>
        <v>11.100000000000001</v>
      </c>
      <c r="O160" s="9">
        <v>8.9</v>
      </c>
      <c r="P160" s="9">
        <v>3.7</v>
      </c>
      <c r="Q160" s="9" t="s">
        <v>10</v>
      </c>
      <c r="R160" s="1">
        <v>0</v>
      </c>
      <c r="S160" s="26"/>
    </row>
    <row r="161" spans="1:19" ht="16.5" customHeight="1" x14ac:dyDescent="0.25">
      <c r="A161" s="9"/>
      <c r="B161" s="51" t="s">
        <v>88</v>
      </c>
      <c r="C161" s="52"/>
      <c r="D161" s="52"/>
      <c r="E161" s="52"/>
      <c r="F161" s="52"/>
      <c r="G161" s="53"/>
      <c r="H161" s="20"/>
      <c r="I161" s="9">
        <v>2</v>
      </c>
      <c r="J161" s="9"/>
      <c r="K161" s="9"/>
      <c r="L161" s="9"/>
      <c r="M161" s="9">
        <f t="shared" si="24"/>
        <v>17.2</v>
      </c>
      <c r="N161" s="9">
        <f t="shared" si="25"/>
        <v>7.4</v>
      </c>
      <c r="O161" s="9">
        <v>8.6</v>
      </c>
      <c r="P161" s="9">
        <v>3.7</v>
      </c>
      <c r="Q161" s="9" t="s">
        <v>10</v>
      </c>
      <c r="R161" s="1">
        <v>0</v>
      </c>
      <c r="S161" s="26"/>
    </row>
    <row r="162" spans="1:19" ht="16.5" customHeight="1" x14ac:dyDescent="0.25">
      <c r="A162" s="9"/>
      <c r="B162" s="51" t="s">
        <v>85</v>
      </c>
      <c r="C162" s="52"/>
      <c r="D162" s="52"/>
      <c r="E162" s="52"/>
      <c r="F162" s="52"/>
      <c r="G162" s="53"/>
      <c r="H162" s="20"/>
      <c r="I162" s="9">
        <v>3</v>
      </c>
      <c r="J162" s="9"/>
      <c r="K162" s="9"/>
      <c r="L162" s="9"/>
      <c r="M162" s="9">
        <f t="shared" si="24"/>
        <v>22.5</v>
      </c>
      <c r="N162" s="9">
        <f t="shared" si="25"/>
        <v>9</v>
      </c>
      <c r="O162" s="9">
        <v>7.5</v>
      </c>
      <c r="P162" s="9">
        <v>3</v>
      </c>
      <c r="Q162" s="9" t="s">
        <v>6</v>
      </c>
      <c r="R162" s="1">
        <v>0</v>
      </c>
      <c r="S162" s="26"/>
    </row>
    <row r="163" spans="1:19" ht="16.5" hidden="1" customHeight="1" x14ac:dyDescent="0.25">
      <c r="A163" s="21"/>
      <c r="H163" s="21"/>
      <c r="I163" s="21"/>
      <c r="J163" s="21"/>
      <c r="K163" s="21"/>
      <c r="L163" s="21"/>
      <c r="M163" s="9">
        <f t="shared" si="24"/>
        <v>0</v>
      </c>
      <c r="N163" s="9">
        <f t="shared" si="25"/>
        <v>0</v>
      </c>
      <c r="O163" s="21"/>
      <c r="P163" s="21"/>
      <c r="Q163" s="21"/>
      <c r="S163" s="25"/>
    </row>
    <row r="164" spans="1:19" ht="16.5" customHeight="1" x14ac:dyDescent="0.25">
      <c r="A164" s="9"/>
      <c r="B164" s="39" t="s">
        <v>42</v>
      </c>
      <c r="C164" s="40"/>
      <c r="D164" s="40"/>
      <c r="E164" s="40"/>
      <c r="F164" s="40"/>
      <c r="G164" s="41"/>
      <c r="H164" s="23"/>
      <c r="I164" s="24">
        <f>SUM(I151:I163)</f>
        <v>25</v>
      </c>
      <c r="J164" s="9"/>
      <c r="K164" s="9"/>
      <c r="L164" s="9"/>
      <c r="M164" s="9">
        <f t="shared" si="24"/>
        <v>205.50000000000003</v>
      </c>
      <c r="N164" s="9">
        <f t="shared" si="25"/>
        <v>86</v>
      </c>
      <c r="O164" s="24">
        <f>ROUND(SUM(M151:M163)/I164,2)</f>
        <v>8.2200000000000006</v>
      </c>
      <c r="P164" s="24">
        <f>ROUND(SUM(N151:N163)/I164,2)</f>
        <v>3.44</v>
      </c>
      <c r="Q164" s="9"/>
      <c r="S164" s="25"/>
    </row>
    <row r="165" spans="1:19" ht="20.25" customHeight="1" x14ac:dyDescent="0.25">
      <c r="A165" s="27" t="s">
        <v>90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</row>
    <row r="166" spans="1:19" ht="16.5" customHeight="1" x14ac:dyDescent="0.25">
      <c r="A166" s="9"/>
      <c r="B166" s="51" t="s">
        <v>91</v>
      </c>
      <c r="C166" s="52"/>
      <c r="D166" s="52"/>
      <c r="E166" s="52"/>
      <c r="F166" s="52"/>
      <c r="G166" s="53"/>
      <c r="H166" s="20"/>
      <c r="I166" s="9">
        <v>1</v>
      </c>
      <c r="J166" s="9"/>
      <c r="K166" s="9"/>
      <c r="L166" s="9"/>
      <c r="M166" s="9">
        <f t="shared" ref="M166:M178" si="26">I166*O166</f>
        <v>7.5</v>
      </c>
      <c r="N166" s="9">
        <f t="shared" ref="N166:N178" si="27">I166*P166</f>
        <v>3</v>
      </c>
      <c r="O166" s="9">
        <v>7.5</v>
      </c>
      <c r="P166" s="9">
        <v>3</v>
      </c>
      <c r="Q166" s="9" t="s">
        <v>6</v>
      </c>
      <c r="R166" s="1">
        <v>0</v>
      </c>
      <c r="S166" s="26"/>
    </row>
    <row r="167" spans="1:19" ht="16.5" customHeight="1" x14ac:dyDescent="0.25">
      <c r="A167" s="9"/>
      <c r="B167" s="51" t="s">
        <v>98</v>
      </c>
      <c r="C167" s="52"/>
      <c r="D167" s="52"/>
      <c r="E167" s="52"/>
      <c r="F167" s="52"/>
      <c r="G167" s="53"/>
      <c r="H167" s="20"/>
      <c r="I167" s="9">
        <v>3</v>
      </c>
      <c r="J167" s="9"/>
      <c r="K167" s="9"/>
      <c r="L167" s="9"/>
      <c r="M167" s="9">
        <f t="shared" si="26"/>
        <v>21.9</v>
      </c>
      <c r="N167" s="9">
        <f t="shared" si="27"/>
        <v>9</v>
      </c>
      <c r="O167" s="9">
        <v>7.3</v>
      </c>
      <c r="P167" s="9">
        <v>3</v>
      </c>
      <c r="Q167" s="9" t="s">
        <v>6</v>
      </c>
      <c r="R167" s="1">
        <v>0</v>
      </c>
      <c r="S167" s="26"/>
    </row>
    <row r="168" spans="1:19" ht="16.5" customHeight="1" x14ac:dyDescent="0.25">
      <c r="A168" s="9"/>
      <c r="B168" s="51" t="s">
        <v>93</v>
      </c>
      <c r="C168" s="52"/>
      <c r="D168" s="52"/>
      <c r="E168" s="52"/>
      <c r="F168" s="52"/>
      <c r="G168" s="53"/>
      <c r="H168" s="20"/>
      <c r="I168" s="9">
        <v>3</v>
      </c>
      <c r="J168" s="9"/>
      <c r="K168" s="9"/>
      <c r="L168" s="9"/>
      <c r="M168" s="9">
        <f t="shared" si="26"/>
        <v>23.1</v>
      </c>
      <c r="N168" s="9">
        <f t="shared" si="27"/>
        <v>9</v>
      </c>
      <c r="O168" s="9">
        <v>7.7</v>
      </c>
      <c r="P168" s="9">
        <v>3</v>
      </c>
      <c r="Q168" s="9" t="s">
        <v>6</v>
      </c>
      <c r="R168" s="1">
        <v>0</v>
      </c>
      <c r="S168" s="26"/>
    </row>
    <row r="169" spans="1:19" ht="16.5" customHeight="1" x14ac:dyDescent="0.25">
      <c r="A169" s="9"/>
      <c r="B169" s="51" t="s">
        <v>94</v>
      </c>
      <c r="C169" s="52"/>
      <c r="D169" s="52"/>
      <c r="E169" s="52"/>
      <c r="F169" s="52"/>
      <c r="G169" s="53"/>
      <c r="H169" s="20"/>
      <c r="I169" s="9">
        <v>1</v>
      </c>
      <c r="J169" s="9"/>
      <c r="K169" s="9"/>
      <c r="L169" s="9"/>
      <c r="M169" s="9">
        <f t="shared" si="26"/>
        <v>8.4</v>
      </c>
      <c r="N169" s="9">
        <f t="shared" si="27"/>
        <v>3.5</v>
      </c>
      <c r="O169" s="9">
        <v>8.4</v>
      </c>
      <c r="P169" s="9">
        <v>3.5</v>
      </c>
      <c r="Q169" s="9" t="s">
        <v>9</v>
      </c>
      <c r="R169" s="1">
        <v>0</v>
      </c>
      <c r="S169" s="26"/>
    </row>
    <row r="170" spans="1:19" ht="16.5" customHeight="1" x14ac:dyDescent="0.25">
      <c r="A170" s="9"/>
      <c r="B170" s="51" t="s">
        <v>95</v>
      </c>
      <c r="C170" s="52"/>
      <c r="D170" s="52"/>
      <c r="E170" s="52"/>
      <c r="F170" s="52"/>
      <c r="G170" s="53"/>
      <c r="H170" s="20"/>
      <c r="I170" s="9">
        <v>1</v>
      </c>
      <c r="J170" s="9"/>
      <c r="K170" s="9"/>
      <c r="L170" s="9"/>
      <c r="M170" s="9">
        <f t="shared" si="26"/>
        <v>7.7</v>
      </c>
      <c r="N170" s="9">
        <f t="shared" si="27"/>
        <v>3</v>
      </c>
      <c r="O170" s="9">
        <v>7.7</v>
      </c>
      <c r="P170" s="9">
        <v>3</v>
      </c>
      <c r="Q170" s="9" t="s">
        <v>6</v>
      </c>
      <c r="R170" s="1">
        <v>0</v>
      </c>
      <c r="S170" s="26"/>
    </row>
    <row r="171" spans="1:19" ht="16.5" customHeight="1" x14ac:dyDescent="0.25">
      <c r="A171" s="9"/>
      <c r="B171" s="51" t="s">
        <v>96</v>
      </c>
      <c r="C171" s="52"/>
      <c r="D171" s="52"/>
      <c r="E171" s="52"/>
      <c r="F171" s="52"/>
      <c r="G171" s="53"/>
      <c r="H171" s="20"/>
      <c r="I171" s="9">
        <v>1</v>
      </c>
      <c r="J171" s="9"/>
      <c r="K171" s="9"/>
      <c r="L171" s="9"/>
      <c r="M171" s="9">
        <f t="shared" si="26"/>
        <v>7.6</v>
      </c>
      <c r="N171" s="9">
        <f t="shared" si="27"/>
        <v>3</v>
      </c>
      <c r="O171" s="9">
        <v>7.6</v>
      </c>
      <c r="P171" s="9">
        <v>3</v>
      </c>
      <c r="Q171" s="9" t="s">
        <v>6</v>
      </c>
      <c r="R171" s="1">
        <v>0</v>
      </c>
      <c r="S171" s="26"/>
    </row>
    <row r="172" spans="1:19" ht="16.5" customHeight="1" x14ac:dyDescent="0.25">
      <c r="A172" s="9"/>
      <c r="B172" s="51" t="s">
        <v>97</v>
      </c>
      <c r="C172" s="52"/>
      <c r="D172" s="52"/>
      <c r="E172" s="52"/>
      <c r="F172" s="52"/>
      <c r="G172" s="53"/>
      <c r="H172" s="20"/>
      <c r="I172" s="9">
        <v>2</v>
      </c>
      <c r="J172" s="9"/>
      <c r="K172" s="9"/>
      <c r="L172" s="9"/>
      <c r="M172" s="9">
        <f t="shared" si="26"/>
        <v>16</v>
      </c>
      <c r="N172" s="9">
        <f t="shared" si="27"/>
        <v>7</v>
      </c>
      <c r="O172" s="9">
        <v>8</v>
      </c>
      <c r="P172" s="9">
        <v>3.5</v>
      </c>
      <c r="Q172" s="9" t="s">
        <v>9</v>
      </c>
      <c r="R172" s="1">
        <v>0</v>
      </c>
      <c r="S172" s="26"/>
    </row>
    <row r="173" spans="1:19" ht="16.5" customHeight="1" x14ac:dyDescent="0.25">
      <c r="A173" s="9"/>
      <c r="B173" s="51" t="s">
        <v>92</v>
      </c>
      <c r="C173" s="52"/>
      <c r="D173" s="52"/>
      <c r="E173" s="52"/>
      <c r="F173" s="52"/>
      <c r="G173" s="53"/>
      <c r="H173" s="20"/>
      <c r="I173" s="9">
        <v>2</v>
      </c>
      <c r="J173" s="9"/>
      <c r="K173" s="9"/>
      <c r="L173" s="9"/>
      <c r="M173" s="9">
        <f t="shared" si="26"/>
        <v>15.8</v>
      </c>
      <c r="N173" s="9">
        <f t="shared" si="27"/>
        <v>6</v>
      </c>
      <c r="O173" s="9">
        <v>7.9</v>
      </c>
      <c r="P173" s="9">
        <v>3</v>
      </c>
      <c r="Q173" s="9" t="s">
        <v>6</v>
      </c>
      <c r="R173" s="1">
        <v>0</v>
      </c>
      <c r="S173" s="26"/>
    </row>
    <row r="174" spans="1:19" ht="16.5" customHeight="1" x14ac:dyDescent="0.25">
      <c r="A174" s="9"/>
      <c r="B174" s="51" t="s">
        <v>99</v>
      </c>
      <c r="C174" s="52"/>
      <c r="D174" s="52"/>
      <c r="E174" s="52"/>
      <c r="F174" s="52"/>
      <c r="G174" s="53"/>
      <c r="H174" s="20"/>
      <c r="I174" s="9">
        <v>2</v>
      </c>
      <c r="J174" s="9"/>
      <c r="K174" s="9"/>
      <c r="L174" s="9"/>
      <c r="M174" s="9">
        <f t="shared" si="26"/>
        <v>17.2</v>
      </c>
      <c r="N174" s="9">
        <f t="shared" si="27"/>
        <v>7.4</v>
      </c>
      <c r="O174" s="9">
        <v>8.6</v>
      </c>
      <c r="P174" s="9">
        <v>3.7</v>
      </c>
      <c r="Q174" s="9" t="s">
        <v>10</v>
      </c>
      <c r="R174" s="1">
        <v>0</v>
      </c>
      <c r="S174" s="26"/>
    </row>
    <row r="175" spans="1:19" ht="16.5" customHeight="1" x14ac:dyDescent="0.25">
      <c r="A175" s="9"/>
      <c r="B175" s="51" t="s">
        <v>100</v>
      </c>
      <c r="C175" s="52"/>
      <c r="D175" s="52"/>
      <c r="E175" s="52"/>
      <c r="F175" s="52"/>
      <c r="G175" s="53"/>
      <c r="H175" s="20"/>
      <c r="I175" s="9">
        <v>4</v>
      </c>
      <c r="J175" s="9"/>
      <c r="K175" s="9"/>
      <c r="L175" s="9"/>
      <c r="M175" s="9">
        <f t="shared" si="26"/>
        <v>21.2</v>
      </c>
      <c r="N175" s="9">
        <f t="shared" si="27"/>
        <v>6</v>
      </c>
      <c r="O175" s="9">
        <v>5.3</v>
      </c>
      <c r="P175" s="9">
        <v>1.5</v>
      </c>
      <c r="Q175" s="9" t="s">
        <v>4</v>
      </c>
      <c r="R175" s="1">
        <v>0</v>
      </c>
      <c r="S175" s="26"/>
    </row>
    <row r="176" spans="1:19" ht="16.5" customHeight="1" x14ac:dyDescent="0.25">
      <c r="A176" s="9"/>
      <c r="B176" s="51" t="s">
        <v>101</v>
      </c>
      <c r="C176" s="52"/>
      <c r="D176" s="52"/>
      <c r="E176" s="52"/>
      <c r="F176" s="52"/>
      <c r="G176" s="53"/>
      <c r="H176" s="20"/>
      <c r="I176" s="9">
        <v>2</v>
      </c>
      <c r="J176" s="9"/>
      <c r="K176" s="9"/>
      <c r="L176" s="9"/>
      <c r="M176" s="9">
        <f t="shared" si="26"/>
        <v>14.6</v>
      </c>
      <c r="N176" s="9">
        <f t="shared" si="27"/>
        <v>6</v>
      </c>
      <c r="O176" s="9">
        <v>7.3</v>
      </c>
      <c r="P176" s="9">
        <v>3</v>
      </c>
      <c r="Q176" s="9" t="s">
        <v>6</v>
      </c>
      <c r="R176" s="1">
        <v>0</v>
      </c>
      <c r="S176" s="26"/>
    </row>
    <row r="177" spans="1:19" ht="16.5" hidden="1" customHeight="1" x14ac:dyDescent="0.25">
      <c r="A177" s="21"/>
      <c r="H177" s="21"/>
      <c r="I177" s="21"/>
      <c r="J177" s="21"/>
      <c r="K177" s="21"/>
      <c r="L177" s="21"/>
      <c r="M177" s="9">
        <f t="shared" si="26"/>
        <v>0</v>
      </c>
      <c r="N177" s="9">
        <f t="shared" si="27"/>
        <v>0</v>
      </c>
      <c r="O177" s="21"/>
      <c r="P177" s="21"/>
      <c r="Q177" s="21"/>
      <c r="S177" s="25"/>
    </row>
    <row r="178" spans="1:19" ht="16.5" customHeight="1" x14ac:dyDescent="0.25">
      <c r="A178" s="9"/>
      <c r="B178" s="39" t="s">
        <v>42</v>
      </c>
      <c r="C178" s="40"/>
      <c r="D178" s="40"/>
      <c r="E178" s="40"/>
      <c r="F178" s="40"/>
      <c r="G178" s="41"/>
      <c r="H178" s="23"/>
      <c r="I178" s="24">
        <f>SUM(I166:I177)</f>
        <v>22</v>
      </c>
      <c r="J178" s="9"/>
      <c r="K178" s="9"/>
      <c r="L178" s="9"/>
      <c r="M178" s="9">
        <f t="shared" si="26"/>
        <v>161.04000000000002</v>
      </c>
      <c r="N178" s="9">
        <f t="shared" si="27"/>
        <v>62.919999999999995</v>
      </c>
      <c r="O178" s="24">
        <f>ROUND(SUM(M166:M177)/I178,2)</f>
        <v>7.32</v>
      </c>
      <c r="P178" s="24">
        <f>ROUND(SUM(N166:N177)/I178,2)</f>
        <v>2.86</v>
      </c>
      <c r="Q178" s="9"/>
      <c r="S178" s="25"/>
    </row>
    <row r="179" spans="1:19" ht="20.25" customHeight="1" x14ac:dyDescent="0.25">
      <c r="A179" s="27" t="s">
        <v>102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</row>
    <row r="180" spans="1:19" ht="16.5" customHeight="1" x14ac:dyDescent="0.25">
      <c r="A180" s="9"/>
      <c r="B180" s="51" t="s">
        <v>103</v>
      </c>
      <c r="C180" s="52"/>
      <c r="D180" s="52"/>
      <c r="E180" s="52"/>
      <c r="F180" s="52"/>
      <c r="G180" s="53"/>
      <c r="H180" s="20"/>
      <c r="I180" s="9">
        <v>1</v>
      </c>
      <c r="J180" s="9"/>
      <c r="K180" s="9"/>
      <c r="L180" s="9"/>
      <c r="M180" s="9">
        <f t="shared" ref="M180:M192" si="28">I180*O180</f>
        <v>8</v>
      </c>
      <c r="N180" s="9">
        <f t="shared" ref="N180:N192" si="29">I180*P180</f>
        <v>3.5</v>
      </c>
      <c r="O180" s="9">
        <v>8</v>
      </c>
      <c r="P180" s="9">
        <v>3.5</v>
      </c>
      <c r="Q180" s="9" t="s">
        <v>9</v>
      </c>
      <c r="R180" s="1">
        <v>0</v>
      </c>
      <c r="S180" s="26"/>
    </row>
    <row r="181" spans="1:19" ht="16.5" customHeight="1" x14ac:dyDescent="0.25">
      <c r="A181" s="9"/>
      <c r="B181" s="51" t="s">
        <v>104</v>
      </c>
      <c r="C181" s="52"/>
      <c r="D181" s="52"/>
      <c r="E181" s="52"/>
      <c r="F181" s="52"/>
      <c r="G181" s="53"/>
      <c r="H181" s="20"/>
      <c r="I181" s="9">
        <v>4</v>
      </c>
      <c r="J181" s="9"/>
      <c r="K181" s="9"/>
      <c r="L181" s="9"/>
      <c r="M181" s="9">
        <f t="shared" si="28"/>
        <v>27.2</v>
      </c>
      <c r="N181" s="9">
        <f t="shared" si="29"/>
        <v>10</v>
      </c>
      <c r="O181" s="9">
        <v>6.8</v>
      </c>
      <c r="P181" s="9">
        <v>2.5</v>
      </c>
      <c r="Q181" s="9" t="s">
        <v>5</v>
      </c>
      <c r="R181" s="1">
        <v>0</v>
      </c>
      <c r="S181" s="26"/>
    </row>
    <row r="182" spans="1:19" ht="16.5" customHeight="1" x14ac:dyDescent="0.25">
      <c r="A182" s="9"/>
      <c r="B182" s="51" t="s">
        <v>105</v>
      </c>
      <c r="C182" s="52"/>
      <c r="D182" s="52"/>
      <c r="E182" s="52"/>
      <c r="F182" s="52"/>
      <c r="G182" s="53"/>
      <c r="H182" s="20"/>
      <c r="I182" s="9">
        <v>2</v>
      </c>
      <c r="J182" s="9"/>
      <c r="K182" s="9"/>
      <c r="L182" s="9"/>
      <c r="M182" s="9">
        <f t="shared" si="28"/>
        <v>12.8</v>
      </c>
      <c r="N182" s="9">
        <f t="shared" si="29"/>
        <v>4</v>
      </c>
      <c r="O182" s="9">
        <v>6.4</v>
      </c>
      <c r="P182" s="9">
        <v>2</v>
      </c>
      <c r="Q182" s="9" t="s">
        <v>3</v>
      </c>
      <c r="R182" s="1">
        <v>0</v>
      </c>
      <c r="S182" s="26"/>
    </row>
    <row r="183" spans="1:19" ht="16.5" customHeight="1" x14ac:dyDescent="0.25">
      <c r="A183" s="9"/>
      <c r="B183" s="51" t="s">
        <v>106</v>
      </c>
      <c r="C183" s="52"/>
      <c r="D183" s="52"/>
      <c r="E183" s="52"/>
      <c r="F183" s="52"/>
      <c r="G183" s="53"/>
      <c r="H183" s="20"/>
      <c r="I183" s="9">
        <v>3</v>
      </c>
      <c r="J183" s="9"/>
      <c r="K183" s="9"/>
      <c r="L183" s="9"/>
      <c r="M183" s="9">
        <f t="shared" si="28"/>
        <v>22.799999999999997</v>
      </c>
      <c r="N183" s="9">
        <f t="shared" si="29"/>
        <v>9</v>
      </c>
      <c r="O183" s="9">
        <v>7.6</v>
      </c>
      <c r="P183" s="9">
        <v>3</v>
      </c>
      <c r="Q183" s="9" t="s">
        <v>6</v>
      </c>
      <c r="R183" s="1">
        <v>0</v>
      </c>
      <c r="S183" s="26"/>
    </row>
    <row r="184" spans="1:19" ht="16.5" customHeight="1" x14ac:dyDescent="0.25">
      <c r="A184" s="9"/>
      <c r="B184" s="51" t="s">
        <v>107</v>
      </c>
      <c r="C184" s="52"/>
      <c r="D184" s="52"/>
      <c r="E184" s="52"/>
      <c r="F184" s="52"/>
      <c r="G184" s="53"/>
      <c r="H184" s="20"/>
      <c r="I184" s="9">
        <v>2</v>
      </c>
      <c r="J184" s="9"/>
      <c r="K184" s="9"/>
      <c r="L184" s="9"/>
      <c r="M184" s="9">
        <f t="shared" si="28"/>
        <v>15.8</v>
      </c>
      <c r="N184" s="9">
        <f t="shared" si="29"/>
        <v>6</v>
      </c>
      <c r="O184" s="9">
        <v>7.9</v>
      </c>
      <c r="P184" s="9">
        <v>3</v>
      </c>
      <c r="Q184" s="9" t="s">
        <v>6</v>
      </c>
      <c r="R184" s="1">
        <v>0</v>
      </c>
      <c r="S184" s="26"/>
    </row>
    <row r="185" spans="1:19" ht="16.5" customHeight="1" x14ac:dyDescent="0.25">
      <c r="A185" s="9"/>
      <c r="B185" s="51" t="s">
        <v>108</v>
      </c>
      <c r="C185" s="52"/>
      <c r="D185" s="52"/>
      <c r="E185" s="52"/>
      <c r="F185" s="52"/>
      <c r="G185" s="53"/>
      <c r="H185" s="20"/>
      <c r="I185" s="9">
        <v>2</v>
      </c>
      <c r="J185" s="9"/>
      <c r="K185" s="9"/>
      <c r="L185" s="9"/>
      <c r="M185" s="9">
        <f t="shared" si="28"/>
        <v>16.399999999999999</v>
      </c>
      <c r="N185" s="9">
        <f t="shared" si="29"/>
        <v>7</v>
      </c>
      <c r="O185" s="9">
        <v>8.1999999999999993</v>
      </c>
      <c r="P185" s="9">
        <v>3.5</v>
      </c>
      <c r="Q185" s="9" t="s">
        <v>9</v>
      </c>
      <c r="R185" s="1">
        <v>0</v>
      </c>
      <c r="S185" s="26"/>
    </row>
    <row r="186" spans="1:19" ht="16.5" customHeight="1" x14ac:dyDescent="0.25">
      <c r="A186" s="9"/>
      <c r="B186" s="51" t="s">
        <v>109</v>
      </c>
      <c r="C186" s="52"/>
      <c r="D186" s="52"/>
      <c r="E186" s="52"/>
      <c r="F186" s="52"/>
      <c r="G186" s="53"/>
      <c r="H186" s="20"/>
      <c r="I186" s="9">
        <v>3</v>
      </c>
      <c r="J186" s="9"/>
      <c r="K186" s="9"/>
      <c r="L186" s="9"/>
      <c r="M186" s="9">
        <f t="shared" si="28"/>
        <v>17.399999999999999</v>
      </c>
      <c r="N186" s="9">
        <f t="shared" si="29"/>
        <v>6</v>
      </c>
      <c r="O186" s="9">
        <v>5.8</v>
      </c>
      <c r="P186" s="9">
        <v>2</v>
      </c>
      <c r="Q186" s="9" t="s">
        <v>3</v>
      </c>
      <c r="R186" s="1">
        <v>0</v>
      </c>
      <c r="S186" s="26"/>
    </row>
    <row r="187" spans="1:19" ht="16.5" customHeight="1" x14ac:dyDescent="0.25">
      <c r="A187" s="9"/>
      <c r="B187" s="51" t="s">
        <v>110</v>
      </c>
      <c r="C187" s="52"/>
      <c r="D187" s="52"/>
      <c r="E187" s="52"/>
      <c r="F187" s="52"/>
      <c r="G187" s="53"/>
      <c r="H187" s="20"/>
      <c r="I187" s="9">
        <v>2</v>
      </c>
      <c r="J187" s="9"/>
      <c r="K187" s="9"/>
      <c r="L187" s="9"/>
      <c r="M187" s="9">
        <f t="shared" si="28"/>
        <v>15.4</v>
      </c>
      <c r="N187" s="9">
        <f t="shared" si="29"/>
        <v>6</v>
      </c>
      <c r="O187" s="9">
        <v>7.7</v>
      </c>
      <c r="P187" s="9">
        <v>3</v>
      </c>
      <c r="Q187" s="9" t="s">
        <v>6</v>
      </c>
      <c r="R187" s="1">
        <v>0</v>
      </c>
      <c r="S187" s="26"/>
    </row>
    <row r="188" spans="1:19" ht="16.5" customHeight="1" x14ac:dyDescent="0.25">
      <c r="A188" s="9"/>
      <c r="B188" s="51" t="s">
        <v>111</v>
      </c>
      <c r="C188" s="52"/>
      <c r="D188" s="52"/>
      <c r="E188" s="52"/>
      <c r="F188" s="52"/>
      <c r="G188" s="53"/>
      <c r="H188" s="20"/>
      <c r="I188" s="9">
        <v>3</v>
      </c>
      <c r="J188" s="9"/>
      <c r="K188" s="9"/>
      <c r="L188" s="9"/>
      <c r="M188" s="9">
        <f t="shared" si="28"/>
        <v>24.900000000000002</v>
      </c>
      <c r="N188" s="9">
        <f t="shared" si="29"/>
        <v>10.5</v>
      </c>
      <c r="O188" s="9">
        <v>8.3000000000000007</v>
      </c>
      <c r="P188" s="9">
        <v>3.5</v>
      </c>
      <c r="Q188" s="9" t="s">
        <v>9</v>
      </c>
      <c r="R188" s="1">
        <v>0</v>
      </c>
      <c r="S188" s="26"/>
    </row>
    <row r="189" spans="1:19" ht="16.5" customHeight="1" x14ac:dyDescent="0.25">
      <c r="A189" s="9"/>
      <c r="B189" s="51" t="s">
        <v>112</v>
      </c>
      <c r="C189" s="52"/>
      <c r="D189" s="52"/>
      <c r="E189" s="52"/>
      <c r="F189" s="52"/>
      <c r="G189" s="53"/>
      <c r="H189" s="20"/>
      <c r="I189" s="9">
        <v>2</v>
      </c>
      <c r="J189" s="9"/>
      <c r="K189" s="9"/>
      <c r="L189" s="9"/>
      <c r="M189" s="9">
        <f t="shared" si="28"/>
        <v>15.2</v>
      </c>
      <c r="N189" s="9">
        <f t="shared" si="29"/>
        <v>6</v>
      </c>
      <c r="O189" s="9">
        <v>7.6</v>
      </c>
      <c r="P189" s="9">
        <v>3</v>
      </c>
      <c r="Q189" s="9" t="s">
        <v>6</v>
      </c>
      <c r="R189" s="1">
        <v>0</v>
      </c>
      <c r="S189" s="26"/>
    </row>
    <row r="190" spans="1:19" ht="16.5" customHeight="1" x14ac:dyDescent="0.25">
      <c r="A190" s="9"/>
      <c r="B190" s="51" t="s">
        <v>113</v>
      </c>
      <c r="C190" s="52"/>
      <c r="D190" s="52"/>
      <c r="E190" s="52"/>
      <c r="F190" s="52"/>
      <c r="G190" s="53"/>
      <c r="H190" s="20"/>
      <c r="I190" s="9">
        <v>3</v>
      </c>
      <c r="J190" s="9"/>
      <c r="K190" s="9"/>
      <c r="L190" s="9"/>
      <c r="M190" s="9">
        <f t="shared" si="28"/>
        <v>23.4</v>
      </c>
      <c r="N190" s="9">
        <f t="shared" si="29"/>
        <v>9</v>
      </c>
      <c r="O190" s="9">
        <v>7.8</v>
      </c>
      <c r="P190" s="9">
        <v>3</v>
      </c>
      <c r="Q190" s="9" t="s">
        <v>6</v>
      </c>
      <c r="R190" s="1">
        <v>0</v>
      </c>
      <c r="S190" s="26"/>
    </row>
    <row r="191" spans="1:19" ht="16.5" hidden="1" customHeight="1" x14ac:dyDescent="0.25">
      <c r="A191" s="21"/>
      <c r="H191" s="21"/>
      <c r="I191" s="21"/>
      <c r="J191" s="21"/>
      <c r="K191" s="21"/>
      <c r="L191" s="21"/>
      <c r="M191" s="9">
        <f t="shared" si="28"/>
        <v>0</v>
      </c>
      <c r="N191" s="9">
        <f t="shared" si="29"/>
        <v>0</v>
      </c>
      <c r="O191" s="21"/>
      <c r="P191" s="21"/>
      <c r="Q191" s="21"/>
      <c r="S191" s="25"/>
    </row>
    <row r="192" spans="1:19" ht="16.5" customHeight="1" x14ac:dyDescent="0.25">
      <c r="A192" s="9"/>
      <c r="B192" s="39" t="s">
        <v>42</v>
      </c>
      <c r="C192" s="40"/>
      <c r="D192" s="40"/>
      <c r="E192" s="40"/>
      <c r="F192" s="40"/>
      <c r="G192" s="41"/>
      <c r="H192" s="23"/>
      <c r="I192" s="24">
        <f>SUM(I180:I191)</f>
        <v>27</v>
      </c>
      <c r="J192" s="9"/>
      <c r="K192" s="9"/>
      <c r="L192" s="9"/>
      <c r="M192" s="9">
        <f t="shared" si="28"/>
        <v>199.26</v>
      </c>
      <c r="N192" s="9">
        <f t="shared" si="29"/>
        <v>76.95</v>
      </c>
      <c r="O192" s="24">
        <f>ROUND(SUM(M180:M191)/I192,2)</f>
        <v>7.38</v>
      </c>
      <c r="P192" s="24">
        <f>ROUND(SUM(N180:N191)/I192,2)</f>
        <v>2.85</v>
      </c>
      <c r="Q192" s="9"/>
      <c r="S192" s="25"/>
    </row>
    <row r="193" spans="1:19" ht="20.25" customHeight="1" x14ac:dyDescent="0.25">
      <c r="A193" s="27" t="s">
        <v>114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</row>
    <row r="194" spans="1:19" ht="31.2" customHeight="1" x14ac:dyDescent="0.25">
      <c r="A194" s="9"/>
      <c r="B194" s="51" t="s">
        <v>123</v>
      </c>
      <c r="C194" s="52"/>
      <c r="D194" s="52"/>
      <c r="E194" s="52"/>
      <c r="F194" s="52"/>
      <c r="G194" s="53"/>
      <c r="H194" s="20"/>
      <c r="I194" s="9">
        <v>3</v>
      </c>
      <c r="J194" s="9"/>
      <c r="K194" s="9"/>
      <c r="L194" s="9"/>
      <c r="M194" s="9">
        <f t="shared" ref="M194:M204" si="30">I194*O194</f>
        <v>23.4</v>
      </c>
      <c r="N194" s="9">
        <f t="shared" ref="N194:N204" si="31">I194*P194</f>
        <v>9</v>
      </c>
      <c r="O194" s="9">
        <v>7.8</v>
      </c>
      <c r="P194" s="9">
        <v>3</v>
      </c>
      <c r="Q194" s="9" t="s">
        <v>6</v>
      </c>
      <c r="R194" s="1">
        <v>0</v>
      </c>
      <c r="S194" s="26"/>
    </row>
    <row r="195" spans="1:19" ht="16.5" customHeight="1" x14ac:dyDescent="0.25">
      <c r="A195" s="9"/>
      <c r="B195" s="51" t="s">
        <v>116</v>
      </c>
      <c r="C195" s="52"/>
      <c r="D195" s="52"/>
      <c r="E195" s="52"/>
      <c r="F195" s="52"/>
      <c r="G195" s="53"/>
      <c r="H195" s="20"/>
      <c r="I195" s="9">
        <v>3</v>
      </c>
      <c r="J195" s="9"/>
      <c r="K195" s="9"/>
      <c r="L195" s="9"/>
      <c r="M195" s="9">
        <f t="shared" si="30"/>
        <v>24</v>
      </c>
      <c r="N195" s="9">
        <f t="shared" si="31"/>
        <v>10.5</v>
      </c>
      <c r="O195" s="9">
        <v>8</v>
      </c>
      <c r="P195" s="9">
        <v>3.5</v>
      </c>
      <c r="Q195" s="9" t="s">
        <v>9</v>
      </c>
      <c r="R195" s="1">
        <v>0</v>
      </c>
      <c r="S195" s="26"/>
    </row>
    <row r="196" spans="1:19" ht="16.5" customHeight="1" x14ac:dyDescent="0.25">
      <c r="A196" s="9"/>
      <c r="B196" s="51" t="s">
        <v>117</v>
      </c>
      <c r="C196" s="52"/>
      <c r="D196" s="52"/>
      <c r="E196" s="52"/>
      <c r="F196" s="52"/>
      <c r="G196" s="53"/>
      <c r="H196" s="20"/>
      <c r="I196" s="9">
        <v>3</v>
      </c>
      <c r="J196" s="9"/>
      <c r="K196" s="9"/>
      <c r="L196" s="9"/>
      <c r="M196" s="9">
        <f t="shared" si="30"/>
        <v>26.700000000000003</v>
      </c>
      <c r="N196" s="9">
        <f t="shared" si="31"/>
        <v>11.100000000000001</v>
      </c>
      <c r="O196" s="9">
        <v>8.9</v>
      </c>
      <c r="P196" s="9">
        <v>3.7</v>
      </c>
      <c r="Q196" s="9" t="s">
        <v>10</v>
      </c>
      <c r="R196" s="1">
        <v>0</v>
      </c>
      <c r="S196" s="26"/>
    </row>
    <row r="197" spans="1:19" ht="16.5" customHeight="1" x14ac:dyDescent="0.25">
      <c r="A197" s="9"/>
      <c r="B197" s="51" t="s">
        <v>118</v>
      </c>
      <c r="C197" s="52"/>
      <c r="D197" s="52"/>
      <c r="E197" s="52"/>
      <c r="F197" s="52"/>
      <c r="G197" s="53"/>
      <c r="H197" s="20"/>
      <c r="I197" s="9">
        <v>3</v>
      </c>
      <c r="J197" s="9"/>
      <c r="K197" s="9"/>
      <c r="L197" s="9"/>
      <c r="M197" s="9">
        <f t="shared" si="30"/>
        <v>24.599999999999998</v>
      </c>
      <c r="N197" s="9">
        <f t="shared" si="31"/>
        <v>10.5</v>
      </c>
      <c r="O197" s="9">
        <v>8.1999999999999993</v>
      </c>
      <c r="P197" s="9">
        <v>3.5</v>
      </c>
      <c r="Q197" s="9" t="s">
        <v>9</v>
      </c>
      <c r="R197" s="1">
        <v>0</v>
      </c>
      <c r="S197" s="26"/>
    </row>
    <row r="198" spans="1:19" ht="16.5" customHeight="1" x14ac:dyDescent="0.25">
      <c r="A198" s="9"/>
      <c r="B198" s="51" t="s">
        <v>119</v>
      </c>
      <c r="C198" s="52"/>
      <c r="D198" s="52"/>
      <c r="E198" s="52"/>
      <c r="F198" s="52"/>
      <c r="G198" s="53"/>
      <c r="H198" s="20"/>
      <c r="I198" s="9">
        <v>3</v>
      </c>
      <c r="J198" s="9"/>
      <c r="K198" s="9"/>
      <c r="L198" s="9"/>
      <c r="M198" s="9">
        <f t="shared" si="30"/>
        <v>6</v>
      </c>
      <c r="N198" s="9">
        <f t="shared" si="31"/>
        <v>0</v>
      </c>
      <c r="O198" s="9">
        <v>2</v>
      </c>
      <c r="P198" s="9">
        <v>0</v>
      </c>
      <c r="Q198" s="9" t="s">
        <v>7</v>
      </c>
      <c r="R198" s="1">
        <v>0</v>
      </c>
      <c r="S198" s="26"/>
    </row>
    <row r="199" spans="1:19" ht="16.5" customHeight="1" x14ac:dyDescent="0.25">
      <c r="A199" s="9"/>
      <c r="B199" s="51" t="s">
        <v>122</v>
      </c>
      <c r="C199" s="52"/>
      <c r="D199" s="52"/>
      <c r="E199" s="52"/>
      <c r="F199" s="52"/>
      <c r="G199" s="53"/>
      <c r="H199" s="20"/>
      <c r="I199" s="9">
        <v>1</v>
      </c>
      <c r="J199" s="9"/>
      <c r="K199" s="9"/>
      <c r="L199" s="9"/>
      <c r="M199" s="9">
        <f t="shared" si="30"/>
        <v>8.1</v>
      </c>
      <c r="N199" s="9">
        <f t="shared" si="31"/>
        <v>3.5</v>
      </c>
      <c r="O199" s="9">
        <v>8.1</v>
      </c>
      <c r="P199" s="9">
        <v>3.5</v>
      </c>
      <c r="Q199" s="9" t="s">
        <v>9</v>
      </c>
      <c r="R199" s="1">
        <v>0</v>
      </c>
      <c r="S199" s="26"/>
    </row>
    <row r="200" spans="1:19" ht="16.5" customHeight="1" x14ac:dyDescent="0.25">
      <c r="A200" s="9"/>
      <c r="B200" s="51" t="s">
        <v>121</v>
      </c>
      <c r="C200" s="52"/>
      <c r="D200" s="52"/>
      <c r="E200" s="52"/>
      <c r="F200" s="52"/>
      <c r="G200" s="53"/>
      <c r="H200" s="20"/>
      <c r="I200" s="9">
        <v>3</v>
      </c>
      <c r="J200" s="9"/>
      <c r="K200" s="9"/>
      <c r="L200" s="9"/>
      <c r="M200" s="9">
        <f t="shared" si="30"/>
        <v>20.399999999999999</v>
      </c>
      <c r="N200" s="9">
        <f t="shared" si="31"/>
        <v>7.5</v>
      </c>
      <c r="O200" s="9">
        <v>6.8</v>
      </c>
      <c r="P200" s="9">
        <v>2.5</v>
      </c>
      <c r="Q200" s="9" t="s">
        <v>5</v>
      </c>
      <c r="R200" s="1">
        <v>0</v>
      </c>
      <c r="S200" s="26"/>
    </row>
    <row r="201" spans="1:19" ht="16.5" customHeight="1" x14ac:dyDescent="0.25">
      <c r="A201" s="9"/>
      <c r="B201" s="51" t="s">
        <v>120</v>
      </c>
      <c r="C201" s="52"/>
      <c r="D201" s="52"/>
      <c r="E201" s="52"/>
      <c r="F201" s="52"/>
      <c r="G201" s="53"/>
      <c r="H201" s="20"/>
      <c r="I201" s="9">
        <v>2</v>
      </c>
      <c r="J201" s="9"/>
      <c r="K201" s="9"/>
      <c r="L201" s="9"/>
      <c r="M201" s="9">
        <f t="shared" si="30"/>
        <v>8</v>
      </c>
      <c r="N201" s="9">
        <f t="shared" si="31"/>
        <v>2</v>
      </c>
      <c r="O201" s="9">
        <v>4</v>
      </c>
      <c r="P201" s="9">
        <v>1</v>
      </c>
      <c r="Q201" s="9" t="s">
        <v>8</v>
      </c>
      <c r="R201" s="1">
        <v>0</v>
      </c>
      <c r="S201" s="26"/>
    </row>
    <row r="202" spans="1:19" ht="16.5" customHeight="1" x14ac:dyDescent="0.25">
      <c r="A202" s="9"/>
      <c r="B202" s="51" t="s">
        <v>115</v>
      </c>
      <c r="C202" s="52"/>
      <c r="D202" s="52"/>
      <c r="E202" s="52"/>
      <c r="F202" s="52"/>
      <c r="G202" s="53"/>
      <c r="H202" s="20"/>
      <c r="I202" s="9">
        <v>2</v>
      </c>
      <c r="J202" s="9"/>
      <c r="K202" s="9"/>
      <c r="L202" s="9"/>
      <c r="M202" s="9">
        <f t="shared" si="30"/>
        <v>16.8</v>
      </c>
      <c r="N202" s="9">
        <f t="shared" si="31"/>
        <v>7</v>
      </c>
      <c r="O202" s="9">
        <v>8.4</v>
      </c>
      <c r="P202" s="9">
        <v>3.5</v>
      </c>
      <c r="Q202" s="9" t="s">
        <v>9</v>
      </c>
      <c r="R202" s="1">
        <v>0</v>
      </c>
      <c r="S202" s="26"/>
    </row>
    <row r="203" spans="1:19" ht="16.5" hidden="1" customHeight="1" x14ac:dyDescent="0.25">
      <c r="A203" s="21"/>
      <c r="H203" s="21"/>
      <c r="I203" s="21"/>
      <c r="J203" s="21"/>
      <c r="K203" s="21"/>
      <c r="L203" s="21"/>
      <c r="M203" s="9">
        <f t="shared" si="30"/>
        <v>0</v>
      </c>
      <c r="N203" s="9">
        <f t="shared" si="31"/>
        <v>0</v>
      </c>
      <c r="O203" s="21"/>
      <c r="P203" s="21"/>
      <c r="Q203" s="21"/>
      <c r="S203" s="25"/>
    </row>
    <row r="204" spans="1:19" ht="16.5" customHeight="1" x14ac:dyDescent="0.25">
      <c r="A204" s="9"/>
      <c r="B204" s="39" t="s">
        <v>42</v>
      </c>
      <c r="C204" s="40"/>
      <c r="D204" s="40"/>
      <c r="E204" s="40"/>
      <c r="F204" s="40"/>
      <c r="G204" s="41"/>
      <c r="H204" s="23"/>
      <c r="I204" s="24">
        <f>SUM(I194:I203)</f>
        <v>23</v>
      </c>
      <c r="J204" s="9"/>
      <c r="K204" s="9"/>
      <c r="L204" s="9"/>
      <c r="M204" s="9">
        <f t="shared" si="30"/>
        <v>158.01</v>
      </c>
      <c r="N204" s="9">
        <f t="shared" si="31"/>
        <v>61.180000000000007</v>
      </c>
      <c r="O204" s="24">
        <f>ROUND(SUM(M194:M203)/I204,2)</f>
        <v>6.87</v>
      </c>
      <c r="P204" s="24">
        <f>ROUND(SUM(N194:N203)/I204,2)</f>
        <v>2.66</v>
      </c>
      <c r="Q204" s="9"/>
      <c r="S204" s="25"/>
    </row>
    <row r="205" spans="1:19" ht="16.5" customHeight="1" x14ac:dyDescent="0.25">
      <c r="A205" s="21"/>
      <c r="B205" s="22"/>
      <c r="C205" s="22"/>
      <c r="D205" s="22"/>
      <c r="E205" s="22"/>
      <c r="F205" s="22"/>
      <c r="G205" s="22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7" spans="1:19" ht="18" x14ac:dyDescent="0.25">
      <c r="A207" s="35" t="s">
        <v>50</v>
      </c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</row>
    <row r="208" spans="1:19" ht="18" x14ac:dyDescent="0.25">
      <c r="A208" s="35" t="s">
        <v>127</v>
      </c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</row>
    <row r="209" spans="1:20" ht="18" x14ac:dyDescent="0.25">
      <c r="A209" s="35" t="s">
        <v>128</v>
      </c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</row>
    <row r="210" spans="1:20" ht="18" x14ac:dyDescent="0.25">
      <c r="A210" s="45" t="s">
        <v>53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</row>
    <row r="211" spans="1:20" ht="19.5" customHeight="1" x14ac:dyDescent="0.25">
      <c r="A211" s="17"/>
      <c r="B211" s="17"/>
      <c r="C211" s="8"/>
      <c r="D211" s="18"/>
      <c r="E211" s="10"/>
      <c r="F211" s="11"/>
      <c r="G211" s="46" t="s">
        <v>49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</row>
    <row r="212" spans="1:20" ht="31.5" customHeight="1" x14ac:dyDescent="0.3">
      <c r="A212" s="8"/>
      <c r="B212" s="8"/>
      <c r="C212" s="8"/>
      <c r="D212" s="8"/>
      <c r="E212" s="8"/>
      <c r="F212" s="8"/>
      <c r="G212" s="8"/>
      <c r="H212" s="12"/>
      <c r="I212" s="42" t="s">
        <v>40</v>
      </c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spans="1:20" ht="16.8" x14ac:dyDescent="0.3">
      <c r="A213" s="8"/>
      <c r="B213" s="8"/>
      <c r="C213" s="8"/>
      <c r="D213" s="8"/>
      <c r="E213" s="8"/>
      <c r="F213" s="8"/>
      <c r="G213" s="8"/>
      <c r="H213" s="12"/>
      <c r="I213" s="12"/>
      <c r="J213" s="12"/>
      <c r="K213" s="12"/>
      <c r="L213" s="8"/>
      <c r="M213" s="8"/>
      <c r="N213" s="8"/>
      <c r="O213" s="8"/>
      <c r="P213" s="8"/>
      <c r="Q213" s="8"/>
    </row>
    <row r="214" spans="1:20" ht="33" customHeight="1" x14ac:dyDescent="0.3">
      <c r="A214" s="8"/>
      <c r="B214" s="8"/>
      <c r="C214" s="8"/>
      <c r="D214" s="8"/>
      <c r="E214" s="8"/>
      <c r="F214" s="8"/>
      <c r="G214" s="8"/>
      <c r="H214" s="12"/>
      <c r="I214" s="12"/>
      <c r="J214" s="12"/>
      <c r="K214" s="12"/>
      <c r="L214" s="8"/>
      <c r="M214" s="8"/>
      <c r="N214" s="8"/>
      <c r="O214" s="8"/>
      <c r="P214" s="8"/>
      <c r="Q214" s="8"/>
    </row>
    <row r="215" spans="1:20" ht="11.25" customHeight="1" x14ac:dyDescent="0.3">
      <c r="A215" s="8"/>
      <c r="B215" s="8"/>
      <c r="C215" s="8"/>
      <c r="D215" s="8"/>
      <c r="E215" s="8"/>
      <c r="F215" s="8"/>
      <c r="G215" s="8"/>
      <c r="H215" s="12"/>
      <c r="I215" s="12"/>
      <c r="J215" s="12"/>
      <c r="K215" s="12"/>
      <c r="L215" s="8"/>
      <c r="M215" s="8"/>
      <c r="N215" s="8"/>
      <c r="O215" s="8"/>
      <c r="P215" s="8"/>
      <c r="Q215" s="8"/>
    </row>
    <row r="216" spans="1:20" ht="17.399999999999999" x14ac:dyDescent="0.3">
      <c r="A216" s="8"/>
      <c r="B216" s="8"/>
      <c r="C216" s="8"/>
      <c r="D216" s="8"/>
      <c r="E216" s="8"/>
      <c r="F216" s="8"/>
      <c r="G216" s="47" t="s">
        <v>41</v>
      </c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</row>
    <row r="217" spans="1:20" ht="54" customHeight="1" x14ac:dyDescent="0.25">
      <c r="A217" s="48" t="s">
        <v>33</v>
      </c>
      <c r="B217" s="48"/>
      <c r="C217" s="48"/>
      <c r="D217" s="48"/>
      <c r="E217" s="48"/>
      <c r="F217" s="42" t="s">
        <v>24</v>
      </c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</row>
    <row r="218" spans="1:20" ht="17.399999999999999" x14ac:dyDescent="0.25">
      <c r="A218" s="49" t="s">
        <v>34</v>
      </c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</row>
    <row r="219" spans="1:20" ht="4.5" customHeight="1" x14ac:dyDescent="0.2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20" ht="5.25" customHeight="1" x14ac:dyDescent="0.2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20" ht="16.5" customHeight="1" x14ac:dyDescent="0.25">
      <c r="A221" s="54" t="s">
        <v>129</v>
      </c>
      <c r="B221" s="54"/>
      <c r="C221" s="54"/>
      <c r="D221" s="54"/>
      <c r="E221" s="54"/>
      <c r="F221" s="54"/>
      <c r="G221" s="58" t="s">
        <v>130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</row>
    <row r="222" spans="1:20" ht="16.5" customHeight="1" x14ac:dyDescent="0.25">
      <c r="A222" s="54" t="s">
        <v>131</v>
      </c>
      <c r="B222" s="54"/>
      <c r="C222" s="54"/>
      <c r="D222" s="54"/>
      <c r="E222" s="54"/>
      <c r="F222" s="54"/>
      <c r="G222" s="8" t="s">
        <v>46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T222" s="2"/>
    </row>
    <row r="223" spans="1:20" ht="16.5" customHeight="1" x14ac:dyDescent="0.25">
      <c r="A223" s="54" t="s">
        <v>47</v>
      </c>
      <c r="B223" s="54"/>
      <c r="C223" s="54"/>
      <c r="D223" s="54"/>
      <c r="E223" s="54"/>
      <c r="F223" s="54"/>
      <c r="G223" s="58" t="s">
        <v>48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</row>
    <row r="224" spans="1:20" ht="5.2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19"/>
      <c r="K224" s="19"/>
      <c r="L224" s="19"/>
      <c r="M224" s="19"/>
      <c r="N224" s="19"/>
      <c r="O224" s="19"/>
      <c r="P224" s="19"/>
      <c r="Q224" s="19"/>
    </row>
    <row r="225" spans="1:19" ht="15" customHeight="1" x14ac:dyDescent="0.25">
      <c r="A225" s="36" t="s">
        <v>0</v>
      </c>
      <c r="B225" s="29" t="s">
        <v>1</v>
      </c>
      <c r="C225" s="30"/>
      <c r="D225" s="30"/>
      <c r="E225" s="30"/>
      <c r="F225" s="30"/>
      <c r="G225" s="31"/>
      <c r="H225" s="36" t="s">
        <v>32</v>
      </c>
      <c r="I225" s="36" t="s">
        <v>39</v>
      </c>
      <c r="J225" s="55" t="s">
        <v>2</v>
      </c>
      <c r="K225" s="56"/>
      <c r="L225" s="56"/>
      <c r="M225" s="56"/>
      <c r="N225" s="56"/>
      <c r="O225" s="56"/>
      <c r="P225" s="56"/>
      <c r="Q225" s="57"/>
      <c r="S225" s="36" t="s">
        <v>38</v>
      </c>
    </row>
    <row r="226" spans="1:19" ht="24" customHeight="1" x14ac:dyDescent="0.25">
      <c r="A226" s="37"/>
      <c r="B226" s="32"/>
      <c r="C226" s="33"/>
      <c r="D226" s="33"/>
      <c r="E226" s="33"/>
      <c r="F226" s="33"/>
      <c r="G226" s="34"/>
      <c r="H226" s="37"/>
      <c r="I226" s="37"/>
      <c r="J226" s="7" t="s">
        <v>28</v>
      </c>
      <c r="K226" s="7" t="s">
        <v>29</v>
      </c>
      <c r="L226" s="7" t="s">
        <v>30</v>
      </c>
      <c r="M226" s="7"/>
      <c r="N226" s="7"/>
      <c r="O226" s="6" t="s">
        <v>35</v>
      </c>
      <c r="P226" s="6" t="s">
        <v>36</v>
      </c>
      <c r="Q226" s="6" t="s">
        <v>37</v>
      </c>
      <c r="S226" s="37"/>
    </row>
    <row r="227" spans="1:19" ht="20.25" customHeight="1" x14ac:dyDescent="0.25">
      <c r="A227" s="27" t="s">
        <v>54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</row>
    <row r="228" spans="1:19" ht="16.5" customHeight="1" x14ac:dyDescent="0.25">
      <c r="A228" s="9"/>
      <c r="B228" s="51" t="s">
        <v>61</v>
      </c>
      <c r="C228" s="52"/>
      <c r="D228" s="52"/>
      <c r="E228" s="52"/>
      <c r="F228" s="52"/>
      <c r="G228" s="53"/>
      <c r="H228" s="20"/>
      <c r="I228" s="9">
        <v>1</v>
      </c>
      <c r="J228" s="9"/>
      <c r="K228" s="9"/>
      <c r="L228" s="9"/>
      <c r="M228" s="9">
        <f t="shared" ref="M228:M236" si="32">I228*O228</f>
        <v>8.1</v>
      </c>
      <c r="N228" s="9">
        <f t="shared" ref="N228:N236" si="33">I228*P228</f>
        <v>3.5</v>
      </c>
      <c r="O228" s="9">
        <v>8.1</v>
      </c>
      <c r="P228" s="9">
        <v>3.5</v>
      </c>
      <c r="Q228" s="9" t="s">
        <v>9</v>
      </c>
      <c r="R228" s="1">
        <v>0</v>
      </c>
      <c r="S228" s="26"/>
    </row>
    <row r="229" spans="1:19" ht="16.5" customHeight="1" x14ac:dyDescent="0.25">
      <c r="A229" s="9"/>
      <c r="B229" s="51" t="s">
        <v>56</v>
      </c>
      <c r="C229" s="52"/>
      <c r="D229" s="52"/>
      <c r="E229" s="52"/>
      <c r="F229" s="52"/>
      <c r="G229" s="53"/>
      <c r="H229" s="20"/>
      <c r="I229" s="9">
        <v>3</v>
      </c>
      <c r="J229" s="9"/>
      <c r="K229" s="9"/>
      <c r="L229" s="9"/>
      <c r="M229" s="9">
        <f t="shared" si="32"/>
        <v>22.5</v>
      </c>
      <c r="N229" s="9">
        <f t="shared" si="33"/>
        <v>9</v>
      </c>
      <c r="O229" s="9">
        <v>7.5</v>
      </c>
      <c r="P229" s="9">
        <v>3</v>
      </c>
      <c r="Q229" s="9" t="s">
        <v>6</v>
      </c>
      <c r="R229" s="1">
        <v>0</v>
      </c>
      <c r="S229" s="26"/>
    </row>
    <row r="230" spans="1:19" ht="31.2" customHeight="1" x14ac:dyDescent="0.25">
      <c r="A230" s="9"/>
      <c r="B230" s="51" t="s">
        <v>57</v>
      </c>
      <c r="C230" s="52"/>
      <c r="D230" s="52"/>
      <c r="E230" s="52"/>
      <c r="F230" s="52"/>
      <c r="G230" s="53"/>
      <c r="H230" s="20"/>
      <c r="I230" s="9">
        <v>3</v>
      </c>
      <c r="J230" s="9"/>
      <c r="K230" s="9"/>
      <c r="L230" s="9"/>
      <c r="M230" s="9">
        <f t="shared" si="32"/>
        <v>22.799999999999997</v>
      </c>
      <c r="N230" s="9">
        <f t="shared" si="33"/>
        <v>9</v>
      </c>
      <c r="O230" s="9">
        <v>7.6</v>
      </c>
      <c r="P230" s="9">
        <v>3</v>
      </c>
      <c r="Q230" s="9" t="s">
        <v>6</v>
      </c>
      <c r="R230" s="1">
        <v>0</v>
      </c>
      <c r="S230" s="26"/>
    </row>
    <row r="231" spans="1:19" ht="16.5" customHeight="1" x14ac:dyDescent="0.25">
      <c r="A231" s="9"/>
      <c r="B231" s="51" t="s">
        <v>58</v>
      </c>
      <c r="C231" s="52"/>
      <c r="D231" s="52"/>
      <c r="E231" s="52"/>
      <c r="F231" s="52"/>
      <c r="G231" s="53"/>
      <c r="H231" s="20"/>
      <c r="I231" s="9">
        <v>1</v>
      </c>
      <c r="J231" s="9"/>
      <c r="K231" s="9"/>
      <c r="L231" s="9"/>
      <c r="M231" s="9">
        <f t="shared" si="32"/>
        <v>7.1</v>
      </c>
      <c r="N231" s="9">
        <f t="shared" si="33"/>
        <v>3</v>
      </c>
      <c r="O231" s="9">
        <v>7.1</v>
      </c>
      <c r="P231" s="9">
        <v>3</v>
      </c>
      <c r="Q231" s="9" t="s">
        <v>6</v>
      </c>
      <c r="R231" s="1">
        <v>0</v>
      </c>
      <c r="S231" s="26"/>
    </row>
    <row r="232" spans="1:19" ht="16.5" customHeight="1" x14ac:dyDescent="0.25">
      <c r="A232" s="9"/>
      <c r="B232" s="51" t="s">
        <v>59</v>
      </c>
      <c r="C232" s="52"/>
      <c r="D232" s="52"/>
      <c r="E232" s="52"/>
      <c r="F232" s="52"/>
      <c r="G232" s="53"/>
      <c r="H232" s="20"/>
      <c r="I232" s="9">
        <v>1</v>
      </c>
      <c r="J232" s="9"/>
      <c r="K232" s="9"/>
      <c r="L232" s="9"/>
      <c r="M232" s="9">
        <f t="shared" si="32"/>
        <v>6.8</v>
      </c>
      <c r="N232" s="9">
        <f t="shared" si="33"/>
        <v>2.5</v>
      </c>
      <c r="O232" s="9">
        <v>6.8</v>
      </c>
      <c r="P232" s="9">
        <v>2.5</v>
      </c>
      <c r="Q232" s="9" t="s">
        <v>5</v>
      </c>
      <c r="R232" s="1">
        <v>0</v>
      </c>
      <c r="S232" s="26"/>
    </row>
    <row r="233" spans="1:19" ht="16.5" customHeight="1" x14ac:dyDescent="0.25">
      <c r="A233" s="9"/>
      <c r="B233" s="51" t="s">
        <v>60</v>
      </c>
      <c r="C233" s="52"/>
      <c r="D233" s="52"/>
      <c r="E233" s="52"/>
      <c r="F233" s="52"/>
      <c r="G233" s="53"/>
      <c r="H233" s="20"/>
      <c r="I233" s="9">
        <v>3</v>
      </c>
      <c r="J233" s="9"/>
      <c r="K233" s="9"/>
      <c r="L233" s="9"/>
      <c r="M233" s="9">
        <f t="shared" si="32"/>
        <v>23.700000000000003</v>
      </c>
      <c r="N233" s="9">
        <f t="shared" si="33"/>
        <v>9</v>
      </c>
      <c r="O233" s="9">
        <v>7.9</v>
      </c>
      <c r="P233" s="9">
        <v>3</v>
      </c>
      <c r="Q233" s="9" t="s">
        <v>6</v>
      </c>
      <c r="R233" s="1">
        <v>0</v>
      </c>
      <c r="S233" s="26"/>
    </row>
    <row r="234" spans="1:19" ht="16.5" customHeight="1" x14ac:dyDescent="0.25">
      <c r="A234" s="9"/>
      <c r="B234" s="51" t="s">
        <v>55</v>
      </c>
      <c r="C234" s="52"/>
      <c r="D234" s="52"/>
      <c r="E234" s="52"/>
      <c r="F234" s="52"/>
      <c r="G234" s="53"/>
      <c r="H234" s="20"/>
      <c r="I234" s="9">
        <v>2</v>
      </c>
      <c r="J234" s="9"/>
      <c r="K234" s="9"/>
      <c r="L234" s="9"/>
      <c r="M234" s="9">
        <f t="shared" si="32"/>
        <v>14.2</v>
      </c>
      <c r="N234" s="9">
        <f t="shared" si="33"/>
        <v>6</v>
      </c>
      <c r="O234" s="9">
        <v>7.1</v>
      </c>
      <c r="P234" s="9">
        <v>3</v>
      </c>
      <c r="Q234" s="9" t="s">
        <v>6</v>
      </c>
      <c r="R234" s="1">
        <v>0</v>
      </c>
      <c r="S234" s="26"/>
    </row>
    <row r="235" spans="1:19" ht="16.5" hidden="1" customHeight="1" x14ac:dyDescent="0.25">
      <c r="A235" s="21"/>
      <c r="H235" s="21"/>
      <c r="I235" s="21"/>
      <c r="J235" s="21"/>
      <c r="K235" s="21"/>
      <c r="L235" s="21"/>
      <c r="M235" s="9">
        <f t="shared" si="32"/>
        <v>0</v>
      </c>
      <c r="N235" s="9">
        <f t="shared" si="33"/>
        <v>0</v>
      </c>
      <c r="O235" s="21"/>
      <c r="P235" s="21"/>
      <c r="Q235" s="21"/>
      <c r="S235" s="25"/>
    </row>
    <row r="236" spans="1:19" ht="16.5" customHeight="1" x14ac:dyDescent="0.25">
      <c r="A236" s="9"/>
      <c r="B236" s="39" t="s">
        <v>42</v>
      </c>
      <c r="C236" s="40"/>
      <c r="D236" s="40"/>
      <c r="E236" s="40"/>
      <c r="F236" s="40"/>
      <c r="G236" s="41"/>
      <c r="H236" s="23"/>
      <c r="I236" s="24">
        <f>SUM(I228:I235)</f>
        <v>14</v>
      </c>
      <c r="J236" s="9"/>
      <c r="K236" s="9"/>
      <c r="L236" s="9"/>
      <c r="M236" s="9">
        <f t="shared" si="32"/>
        <v>105.14</v>
      </c>
      <c r="N236" s="9">
        <f t="shared" si="33"/>
        <v>42</v>
      </c>
      <c r="O236" s="24">
        <f>ROUND(SUM(M228:M235)/I236,2)</f>
        <v>7.51</v>
      </c>
      <c r="P236" s="24">
        <f>ROUND(SUM(N228:N235)/I236,2)</f>
        <v>3</v>
      </c>
      <c r="Q236" s="9"/>
      <c r="S236" s="25"/>
    </row>
    <row r="237" spans="1:19" ht="20.25" customHeight="1" x14ac:dyDescent="0.25">
      <c r="A237" s="27" t="s">
        <v>62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</row>
    <row r="238" spans="1:19" ht="16.5" customHeight="1" x14ac:dyDescent="0.25">
      <c r="A238" s="9"/>
      <c r="B238" s="51" t="s">
        <v>63</v>
      </c>
      <c r="C238" s="52"/>
      <c r="D238" s="52"/>
      <c r="E238" s="52"/>
      <c r="F238" s="52"/>
      <c r="G238" s="53"/>
      <c r="H238" s="20"/>
      <c r="I238" s="9">
        <v>4</v>
      </c>
      <c r="J238" s="9"/>
      <c r="K238" s="9"/>
      <c r="L238" s="9"/>
      <c r="M238" s="9">
        <f t="shared" ref="M238:M246" si="34">I238*O238</f>
        <v>27.2</v>
      </c>
      <c r="N238" s="9">
        <f t="shared" ref="N238:N246" si="35">I238*P238</f>
        <v>10</v>
      </c>
      <c r="O238" s="9">
        <v>6.8</v>
      </c>
      <c r="P238" s="9">
        <v>2.5</v>
      </c>
      <c r="Q238" s="9" t="s">
        <v>5</v>
      </c>
      <c r="R238" s="1">
        <v>0</v>
      </c>
      <c r="S238" s="26"/>
    </row>
    <row r="239" spans="1:19" ht="16.5" customHeight="1" x14ac:dyDescent="0.25">
      <c r="A239" s="9"/>
      <c r="B239" s="51" t="s">
        <v>64</v>
      </c>
      <c r="C239" s="52"/>
      <c r="D239" s="52"/>
      <c r="E239" s="52"/>
      <c r="F239" s="52"/>
      <c r="G239" s="53"/>
      <c r="H239" s="20"/>
      <c r="I239" s="9">
        <v>4</v>
      </c>
      <c r="J239" s="9"/>
      <c r="K239" s="9"/>
      <c r="L239" s="9"/>
      <c r="M239" s="9">
        <f t="shared" si="34"/>
        <v>36.4</v>
      </c>
      <c r="N239" s="9">
        <f t="shared" si="35"/>
        <v>16</v>
      </c>
      <c r="O239" s="9">
        <v>9.1</v>
      </c>
      <c r="P239" s="9">
        <v>4</v>
      </c>
      <c r="Q239" s="9" t="s">
        <v>12</v>
      </c>
      <c r="R239" s="1">
        <v>0</v>
      </c>
      <c r="S239" s="26"/>
    </row>
    <row r="240" spans="1:19" ht="16.5" customHeight="1" x14ac:dyDescent="0.25">
      <c r="A240" s="9"/>
      <c r="B240" s="51" t="s">
        <v>65</v>
      </c>
      <c r="C240" s="52"/>
      <c r="D240" s="52"/>
      <c r="E240" s="52"/>
      <c r="F240" s="52"/>
      <c r="G240" s="53"/>
      <c r="H240" s="20"/>
      <c r="I240" s="9">
        <v>4</v>
      </c>
      <c r="J240" s="9"/>
      <c r="K240" s="9"/>
      <c r="L240" s="9"/>
      <c r="M240" s="9">
        <f t="shared" si="34"/>
        <v>30.8</v>
      </c>
      <c r="N240" s="9">
        <f t="shared" si="35"/>
        <v>12</v>
      </c>
      <c r="O240" s="9">
        <v>7.7</v>
      </c>
      <c r="P240" s="9">
        <v>3</v>
      </c>
      <c r="Q240" s="9" t="s">
        <v>6</v>
      </c>
      <c r="R240" s="1">
        <v>0</v>
      </c>
      <c r="S240" s="26"/>
    </row>
    <row r="241" spans="1:19" ht="16.5" customHeight="1" x14ac:dyDescent="0.25">
      <c r="A241" s="9"/>
      <c r="B241" s="51" t="s">
        <v>66</v>
      </c>
      <c r="C241" s="52"/>
      <c r="D241" s="52"/>
      <c r="E241" s="52"/>
      <c r="F241" s="52"/>
      <c r="G241" s="53"/>
      <c r="H241" s="20"/>
      <c r="I241" s="9">
        <v>1</v>
      </c>
      <c r="J241" s="9"/>
      <c r="K241" s="9"/>
      <c r="L241" s="9"/>
      <c r="M241" s="9">
        <f t="shared" si="34"/>
        <v>7.6</v>
      </c>
      <c r="N241" s="9">
        <f t="shared" si="35"/>
        <v>3</v>
      </c>
      <c r="O241" s="9">
        <v>7.6</v>
      </c>
      <c r="P241" s="9">
        <v>3</v>
      </c>
      <c r="Q241" s="9" t="s">
        <v>6</v>
      </c>
      <c r="R241" s="1">
        <v>0</v>
      </c>
      <c r="S241" s="26"/>
    </row>
    <row r="242" spans="1:19" ht="16.5" customHeight="1" x14ac:dyDescent="0.25">
      <c r="A242" s="9"/>
      <c r="B242" s="51" t="s">
        <v>67</v>
      </c>
      <c r="C242" s="52"/>
      <c r="D242" s="52"/>
      <c r="E242" s="52"/>
      <c r="F242" s="52"/>
      <c r="G242" s="53"/>
      <c r="H242" s="20"/>
      <c r="I242" s="9">
        <v>1</v>
      </c>
      <c r="J242" s="9"/>
      <c r="K242" s="9"/>
      <c r="L242" s="9"/>
      <c r="M242" s="9">
        <f t="shared" si="34"/>
        <v>7.7</v>
      </c>
      <c r="N242" s="9">
        <f t="shared" si="35"/>
        <v>3</v>
      </c>
      <c r="O242" s="9">
        <v>7.7</v>
      </c>
      <c r="P242" s="9">
        <v>3</v>
      </c>
      <c r="Q242" s="9" t="s">
        <v>6</v>
      </c>
      <c r="R242" s="1">
        <v>0</v>
      </c>
      <c r="S242" s="26"/>
    </row>
    <row r="243" spans="1:19" ht="16.5" customHeight="1" x14ac:dyDescent="0.25">
      <c r="A243" s="9"/>
      <c r="B243" s="51" t="s">
        <v>68</v>
      </c>
      <c r="C243" s="52"/>
      <c r="D243" s="52"/>
      <c r="E243" s="52"/>
      <c r="F243" s="52"/>
      <c r="G243" s="53"/>
      <c r="H243" s="20"/>
      <c r="I243" s="9">
        <v>1</v>
      </c>
      <c r="J243" s="9"/>
      <c r="K243" s="9"/>
      <c r="L243" s="9"/>
      <c r="M243" s="9">
        <f t="shared" si="34"/>
        <v>7.4</v>
      </c>
      <c r="N243" s="9">
        <f t="shared" si="35"/>
        <v>3</v>
      </c>
      <c r="O243" s="9">
        <v>7.4</v>
      </c>
      <c r="P243" s="9">
        <v>3</v>
      </c>
      <c r="Q243" s="9" t="s">
        <v>6</v>
      </c>
      <c r="R243" s="1">
        <v>0</v>
      </c>
      <c r="S243" s="26"/>
    </row>
    <row r="244" spans="1:19" ht="16.5" customHeight="1" x14ac:dyDescent="0.25">
      <c r="A244" s="9"/>
      <c r="B244" s="51" t="s">
        <v>69</v>
      </c>
      <c r="C244" s="52"/>
      <c r="D244" s="52"/>
      <c r="E244" s="52"/>
      <c r="F244" s="52"/>
      <c r="G244" s="53"/>
      <c r="H244" s="20"/>
      <c r="I244" s="9">
        <v>1</v>
      </c>
      <c r="J244" s="9"/>
      <c r="K244" s="9"/>
      <c r="L244" s="9"/>
      <c r="M244" s="9">
        <f t="shared" si="34"/>
        <v>7.3</v>
      </c>
      <c r="N244" s="9">
        <f t="shared" si="35"/>
        <v>3</v>
      </c>
      <c r="O244" s="9">
        <v>7.3</v>
      </c>
      <c r="P244" s="9">
        <v>3</v>
      </c>
      <c r="Q244" s="9" t="s">
        <v>6</v>
      </c>
      <c r="R244" s="1">
        <v>0</v>
      </c>
      <c r="S244" s="26"/>
    </row>
    <row r="245" spans="1:19" ht="16.5" hidden="1" customHeight="1" x14ac:dyDescent="0.25">
      <c r="A245" s="21"/>
      <c r="H245" s="21"/>
      <c r="I245" s="21"/>
      <c r="J245" s="21"/>
      <c r="K245" s="21"/>
      <c r="L245" s="21"/>
      <c r="M245" s="9">
        <f t="shared" si="34"/>
        <v>0</v>
      </c>
      <c r="N245" s="9">
        <f t="shared" si="35"/>
        <v>0</v>
      </c>
      <c r="O245" s="21"/>
      <c r="P245" s="21"/>
      <c r="Q245" s="21"/>
      <c r="S245" s="25"/>
    </row>
    <row r="246" spans="1:19" ht="16.5" customHeight="1" x14ac:dyDescent="0.25">
      <c r="A246" s="9"/>
      <c r="B246" s="39" t="s">
        <v>42</v>
      </c>
      <c r="C246" s="40"/>
      <c r="D246" s="40"/>
      <c r="E246" s="40"/>
      <c r="F246" s="40"/>
      <c r="G246" s="41"/>
      <c r="H246" s="23"/>
      <c r="I246" s="24">
        <f>SUM(I238:I245)</f>
        <v>16</v>
      </c>
      <c r="J246" s="9"/>
      <c r="K246" s="9"/>
      <c r="L246" s="9"/>
      <c r="M246" s="9">
        <f t="shared" si="34"/>
        <v>124.48</v>
      </c>
      <c r="N246" s="9">
        <f t="shared" si="35"/>
        <v>50.08</v>
      </c>
      <c r="O246" s="24">
        <f>ROUND(SUM(M238:M245)/I246,2)</f>
        <v>7.78</v>
      </c>
      <c r="P246" s="24">
        <f>ROUND(SUM(N238:N245)/I246,2)</f>
        <v>3.13</v>
      </c>
      <c r="Q246" s="9"/>
      <c r="S246" s="25"/>
    </row>
    <row r="247" spans="1:19" ht="20.25" customHeight="1" x14ac:dyDescent="0.25">
      <c r="A247" s="27" t="s">
        <v>70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</row>
    <row r="248" spans="1:19" ht="16.5" customHeight="1" x14ac:dyDescent="0.25">
      <c r="A248" s="9"/>
      <c r="B248" s="51" t="s">
        <v>71</v>
      </c>
      <c r="C248" s="52"/>
      <c r="D248" s="52"/>
      <c r="E248" s="52"/>
      <c r="F248" s="52"/>
      <c r="G248" s="53"/>
      <c r="H248" s="20"/>
      <c r="I248" s="9">
        <v>4</v>
      </c>
      <c r="J248" s="9"/>
      <c r="K248" s="9"/>
      <c r="L248" s="9"/>
      <c r="M248" s="9">
        <f t="shared" ref="M248:M257" si="36">I248*O248</f>
        <v>34</v>
      </c>
      <c r="N248" s="9">
        <f t="shared" ref="N248:N257" si="37">I248*P248</f>
        <v>14.8</v>
      </c>
      <c r="O248" s="9">
        <v>8.5</v>
      </c>
      <c r="P248" s="9">
        <v>3.7</v>
      </c>
      <c r="Q248" s="9" t="s">
        <v>10</v>
      </c>
      <c r="R248" s="1">
        <v>0</v>
      </c>
      <c r="S248" s="26"/>
    </row>
    <row r="249" spans="1:19" ht="16.5" customHeight="1" x14ac:dyDescent="0.25">
      <c r="A249" s="9"/>
      <c r="B249" s="51" t="s">
        <v>72</v>
      </c>
      <c r="C249" s="52"/>
      <c r="D249" s="52"/>
      <c r="E249" s="52"/>
      <c r="F249" s="52"/>
      <c r="G249" s="53"/>
      <c r="H249" s="20"/>
      <c r="I249" s="9">
        <v>4</v>
      </c>
      <c r="J249" s="9"/>
      <c r="K249" s="9"/>
      <c r="L249" s="9"/>
      <c r="M249" s="9">
        <f t="shared" si="36"/>
        <v>24</v>
      </c>
      <c r="N249" s="9">
        <f t="shared" si="37"/>
        <v>8</v>
      </c>
      <c r="O249" s="9">
        <v>6</v>
      </c>
      <c r="P249" s="9">
        <v>2</v>
      </c>
      <c r="Q249" s="9" t="s">
        <v>3</v>
      </c>
      <c r="R249" s="1">
        <v>0</v>
      </c>
      <c r="S249" s="26"/>
    </row>
    <row r="250" spans="1:19" ht="16.5" customHeight="1" x14ac:dyDescent="0.25">
      <c r="A250" s="9"/>
      <c r="B250" s="51" t="s">
        <v>73</v>
      </c>
      <c r="C250" s="52"/>
      <c r="D250" s="52"/>
      <c r="E250" s="52"/>
      <c r="F250" s="52"/>
      <c r="G250" s="53"/>
      <c r="H250" s="20"/>
      <c r="I250" s="9">
        <v>1</v>
      </c>
      <c r="J250" s="9"/>
      <c r="K250" s="9"/>
      <c r="L250" s="9"/>
      <c r="M250" s="9">
        <f t="shared" si="36"/>
        <v>7.1</v>
      </c>
      <c r="N250" s="9">
        <f t="shared" si="37"/>
        <v>3</v>
      </c>
      <c r="O250" s="9">
        <v>7.1</v>
      </c>
      <c r="P250" s="9">
        <v>3</v>
      </c>
      <c r="Q250" s="9" t="s">
        <v>6</v>
      </c>
      <c r="R250" s="1">
        <v>0</v>
      </c>
      <c r="S250" s="26"/>
    </row>
    <row r="251" spans="1:19" ht="16.5" customHeight="1" x14ac:dyDescent="0.25">
      <c r="A251" s="9"/>
      <c r="B251" s="51" t="s">
        <v>74</v>
      </c>
      <c r="C251" s="52"/>
      <c r="D251" s="52"/>
      <c r="E251" s="52"/>
      <c r="F251" s="52"/>
      <c r="G251" s="53"/>
      <c r="H251" s="20"/>
      <c r="I251" s="9">
        <v>2</v>
      </c>
      <c r="J251" s="9"/>
      <c r="K251" s="9"/>
      <c r="L251" s="9"/>
      <c r="M251" s="9">
        <f t="shared" si="36"/>
        <v>14.2</v>
      </c>
      <c r="N251" s="9">
        <f t="shared" si="37"/>
        <v>6</v>
      </c>
      <c r="O251" s="9">
        <v>7.1</v>
      </c>
      <c r="P251" s="9">
        <v>3</v>
      </c>
      <c r="Q251" s="9" t="s">
        <v>6</v>
      </c>
      <c r="R251" s="1">
        <v>0</v>
      </c>
      <c r="S251" s="26"/>
    </row>
    <row r="252" spans="1:19" ht="16.5" customHeight="1" x14ac:dyDescent="0.25">
      <c r="A252" s="9"/>
      <c r="B252" s="51" t="s">
        <v>75</v>
      </c>
      <c r="C252" s="52"/>
      <c r="D252" s="52"/>
      <c r="E252" s="52"/>
      <c r="F252" s="52"/>
      <c r="G252" s="53"/>
      <c r="H252" s="20"/>
      <c r="I252" s="9">
        <v>1</v>
      </c>
      <c r="J252" s="9"/>
      <c r="K252" s="9"/>
      <c r="L252" s="9"/>
      <c r="M252" s="9">
        <f t="shared" si="36"/>
        <v>7.3</v>
      </c>
      <c r="N252" s="9">
        <f t="shared" si="37"/>
        <v>3</v>
      </c>
      <c r="O252" s="9">
        <v>7.3</v>
      </c>
      <c r="P252" s="9">
        <v>3</v>
      </c>
      <c r="Q252" s="9" t="s">
        <v>6</v>
      </c>
      <c r="R252" s="1">
        <v>0</v>
      </c>
      <c r="S252" s="26"/>
    </row>
    <row r="253" spans="1:19" ht="16.5" customHeight="1" x14ac:dyDescent="0.25">
      <c r="A253" s="9"/>
      <c r="B253" s="51" t="s">
        <v>76</v>
      </c>
      <c r="C253" s="52"/>
      <c r="D253" s="52"/>
      <c r="E253" s="52"/>
      <c r="F253" s="52"/>
      <c r="G253" s="53"/>
      <c r="H253" s="20"/>
      <c r="I253" s="9">
        <v>4</v>
      </c>
      <c r="J253" s="9"/>
      <c r="K253" s="9"/>
      <c r="L253" s="9"/>
      <c r="M253" s="9">
        <f t="shared" si="36"/>
        <v>20.399999999999999</v>
      </c>
      <c r="N253" s="9">
        <f t="shared" si="37"/>
        <v>6</v>
      </c>
      <c r="O253" s="9">
        <v>5.0999999999999996</v>
      </c>
      <c r="P253" s="9">
        <v>1.5</v>
      </c>
      <c r="Q253" s="9" t="s">
        <v>4</v>
      </c>
      <c r="R253" s="1">
        <v>0</v>
      </c>
      <c r="S253" s="26"/>
    </row>
    <row r="254" spans="1:19" ht="16.5" customHeight="1" x14ac:dyDescent="0.25">
      <c r="A254" s="9"/>
      <c r="B254" s="51" t="s">
        <v>77</v>
      </c>
      <c r="C254" s="52"/>
      <c r="D254" s="52"/>
      <c r="E254" s="52"/>
      <c r="F254" s="52"/>
      <c r="G254" s="53"/>
      <c r="H254" s="20"/>
      <c r="I254" s="9">
        <v>3</v>
      </c>
      <c r="J254" s="9"/>
      <c r="K254" s="9"/>
      <c r="L254" s="9"/>
      <c r="M254" s="9">
        <f t="shared" si="36"/>
        <v>22.799999999999997</v>
      </c>
      <c r="N254" s="9">
        <f t="shared" si="37"/>
        <v>9</v>
      </c>
      <c r="O254" s="9">
        <v>7.6</v>
      </c>
      <c r="P254" s="9">
        <v>3</v>
      </c>
      <c r="Q254" s="9" t="s">
        <v>6</v>
      </c>
      <c r="R254" s="1">
        <v>0</v>
      </c>
      <c r="S254" s="26"/>
    </row>
    <row r="255" spans="1:19" ht="16.5" customHeight="1" x14ac:dyDescent="0.25">
      <c r="A255" s="9"/>
      <c r="B255" s="51" t="s">
        <v>78</v>
      </c>
      <c r="C255" s="52"/>
      <c r="D255" s="52"/>
      <c r="E255" s="52"/>
      <c r="F255" s="52"/>
      <c r="G255" s="53"/>
      <c r="H255" s="20"/>
      <c r="I255" s="9">
        <v>4</v>
      </c>
      <c r="J255" s="9"/>
      <c r="K255" s="9"/>
      <c r="L255" s="9"/>
      <c r="M255" s="9">
        <f t="shared" si="36"/>
        <v>21.2</v>
      </c>
      <c r="N255" s="9">
        <f t="shared" si="37"/>
        <v>6</v>
      </c>
      <c r="O255" s="9">
        <v>5.3</v>
      </c>
      <c r="P255" s="9">
        <v>1.5</v>
      </c>
      <c r="Q255" s="9" t="s">
        <v>4</v>
      </c>
      <c r="R255" s="1">
        <v>0</v>
      </c>
      <c r="S255" s="26"/>
    </row>
    <row r="256" spans="1:19" ht="16.5" hidden="1" customHeight="1" x14ac:dyDescent="0.25">
      <c r="A256" s="21"/>
      <c r="H256" s="21"/>
      <c r="I256" s="21"/>
      <c r="J256" s="21"/>
      <c r="K256" s="21"/>
      <c r="L256" s="21"/>
      <c r="M256" s="9">
        <f t="shared" si="36"/>
        <v>0</v>
      </c>
      <c r="N256" s="9">
        <f t="shared" si="37"/>
        <v>0</v>
      </c>
      <c r="O256" s="21"/>
      <c r="P256" s="21"/>
      <c r="Q256" s="21"/>
      <c r="S256" s="25"/>
    </row>
    <row r="257" spans="1:19" ht="16.5" customHeight="1" x14ac:dyDescent="0.25">
      <c r="A257" s="9"/>
      <c r="B257" s="39" t="s">
        <v>42</v>
      </c>
      <c r="C257" s="40"/>
      <c r="D257" s="40"/>
      <c r="E257" s="40"/>
      <c r="F257" s="40"/>
      <c r="G257" s="41"/>
      <c r="H257" s="23"/>
      <c r="I257" s="24">
        <f>SUM(I248:I256)</f>
        <v>23</v>
      </c>
      <c r="J257" s="9"/>
      <c r="K257" s="9"/>
      <c r="L257" s="9"/>
      <c r="M257" s="9">
        <f t="shared" si="36"/>
        <v>151.11000000000001</v>
      </c>
      <c r="N257" s="9">
        <f t="shared" si="37"/>
        <v>55.89</v>
      </c>
      <c r="O257" s="24">
        <f>ROUND(SUM(M248:M256)/I257,2)</f>
        <v>6.57</v>
      </c>
      <c r="P257" s="24">
        <f>ROUND(SUM(N248:N256)/I257,2)</f>
        <v>2.4300000000000002</v>
      </c>
      <c r="Q257" s="9"/>
      <c r="S257" s="25"/>
    </row>
    <row r="258" spans="1:19" ht="20.25" customHeight="1" x14ac:dyDescent="0.25">
      <c r="A258" s="27" t="s">
        <v>79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</row>
    <row r="259" spans="1:19" ht="16.5" customHeight="1" x14ac:dyDescent="0.25">
      <c r="A259" s="9"/>
      <c r="B259" s="51" t="s">
        <v>80</v>
      </c>
      <c r="C259" s="52"/>
      <c r="D259" s="52"/>
      <c r="E259" s="52"/>
      <c r="F259" s="52"/>
      <c r="G259" s="53"/>
      <c r="H259" s="20"/>
      <c r="I259" s="9">
        <v>3</v>
      </c>
      <c r="J259" s="9"/>
      <c r="K259" s="9"/>
      <c r="L259" s="9"/>
      <c r="M259" s="9">
        <f t="shared" ref="M259:M264" si="38">I259*O259</f>
        <v>20.700000000000003</v>
      </c>
      <c r="N259" s="9">
        <f t="shared" ref="N259:N264" si="39">I259*P259</f>
        <v>7.5</v>
      </c>
      <c r="O259" s="9">
        <v>6.9</v>
      </c>
      <c r="P259" s="9">
        <v>2.5</v>
      </c>
      <c r="Q259" s="9" t="s">
        <v>5</v>
      </c>
      <c r="R259" s="1">
        <v>0</v>
      </c>
      <c r="S259" s="26"/>
    </row>
    <row r="260" spans="1:19" ht="16.5" customHeight="1" x14ac:dyDescent="0.25">
      <c r="A260" s="9"/>
      <c r="B260" s="51" t="s">
        <v>81</v>
      </c>
      <c r="C260" s="52"/>
      <c r="D260" s="52"/>
      <c r="E260" s="52"/>
      <c r="F260" s="52"/>
      <c r="G260" s="53"/>
      <c r="H260" s="20"/>
      <c r="I260" s="9">
        <v>1</v>
      </c>
      <c r="J260" s="9"/>
      <c r="K260" s="9"/>
      <c r="L260" s="9"/>
      <c r="M260" s="9">
        <f t="shared" si="38"/>
        <v>7.5</v>
      </c>
      <c r="N260" s="9">
        <f t="shared" si="39"/>
        <v>3</v>
      </c>
      <c r="O260" s="9">
        <v>7.5</v>
      </c>
      <c r="P260" s="9">
        <v>3</v>
      </c>
      <c r="Q260" s="9" t="s">
        <v>6</v>
      </c>
      <c r="R260" s="1">
        <v>0</v>
      </c>
      <c r="S260" s="26"/>
    </row>
    <row r="261" spans="1:19" ht="16.5" customHeight="1" x14ac:dyDescent="0.25">
      <c r="A261" s="9"/>
      <c r="B261" s="51" t="s">
        <v>82</v>
      </c>
      <c r="C261" s="52"/>
      <c r="D261" s="52"/>
      <c r="E261" s="52"/>
      <c r="F261" s="52"/>
      <c r="G261" s="53"/>
      <c r="H261" s="20"/>
      <c r="I261" s="9">
        <v>3</v>
      </c>
      <c r="J261" s="9"/>
      <c r="K261" s="9"/>
      <c r="L261" s="9"/>
      <c r="M261" s="9">
        <f t="shared" si="38"/>
        <v>18.600000000000001</v>
      </c>
      <c r="N261" s="9">
        <f t="shared" si="39"/>
        <v>6</v>
      </c>
      <c r="O261" s="9">
        <v>6.2</v>
      </c>
      <c r="P261" s="9">
        <v>2</v>
      </c>
      <c r="Q261" s="9" t="s">
        <v>3</v>
      </c>
      <c r="R261" s="1">
        <v>0</v>
      </c>
      <c r="S261" s="26"/>
    </row>
    <row r="262" spans="1:19" ht="16.5" customHeight="1" x14ac:dyDescent="0.25">
      <c r="A262" s="9"/>
      <c r="B262" s="51" t="s">
        <v>83</v>
      </c>
      <c r="C262" s="52"/>
      <c r="D262" s="52"/>
      <c r="E262" s="52"/>
      <c r="F262" s="52"/>
      <c r="G262" s="53"/>
      <c r="H262" s="20"/>
      <c r="I262" s="9">
        <v>2</v>
      </c>
      <c r="J262" s="9"/>
      <c r="K262" s="9"/>
      <c r="L262" s="9"/>
      <c r="M262" s="9">
        <f t="shared" si="38"/>
        <v>14.2</v>
      </c>
      <c r="N262" s="9">
        <f t="shared" si="39"/>
        <v>6</v>
      </c>
      <c r="O262" s="9">
        <v>7.1</v>
      </c>
      <c r="P262" s="9">
        <v>3</v>
      </c>
      <c r="Q262" s="9" t="s">
        <v>6</v>
      </c>
      <c r="R262" s="1">
        <v>0</v>
      </c>
      <c r="S262" s="26"/>
    </row>
    <row r="263" spans="1:19" ht="16.5" customHeight="1" x14ac:dyDescent="0.25">
      <c r="A263" s="9"/>
      <c r="B263" s="51" t="s">
        <v>84</v>
      </c>
      <c r="C263" s="52"/>
      <c r="D263" s="52"/>
      <c r="E263" s="52"/>
      <c r="F263" s="52"/>
      <c r="G263" s="53"/>
      <c r="H263" s="20"/>
      <c r="I263" s="9">
        <v>2</v>
      </c>
      <c r="J263" s="9"/>
      <c r="K263" s="9"/>
      <c r="L263" s="9"/>
      <c r="M263" s="9">
        <f t="shared" si="38"/>
        <v>14.8</v>
      </c>
      <c r="N263" s="9">
        <f t="shared" si="39"/>
        <v>6</v>
      </c>
      <c r="O263" s="9">
        <v>7.4</v>
      </c>
      <c r="P263" s="9">
        <v>3</v>
      </c>
      <c r="Q263" s="9" t="s">
        <v>6</v>
      </c>
      <c r="R263" s="1">
        <v>0</v>
      </c>
      <c r="S263" s="26"/>
    </row>
    <row r="264" spans="1:19" ht="16.5" customHeight="1" x14ac:dyDescent="0.25">
      <c r="A264" s="9"/>
      <c r="B264" s="51" t="s">
        <v>85</v>
      </c>
      <c r="C264" s="52"/>
      <c r="D264" s="52"/>
      <c r="E264" s="52"/>
      <c r="F264" s="52"/>
      <c r="G264" s="53"/>
      <c r="H264" s="20"/>
      <c r="I264" s="9">
        <v>3</v>
      </c>
      <c r="J264" s="9"/>
      <c r="K264" s="9"/>
      <c r="L264" s="9"/>
      <c r="M264" s="9">
        <f t="shared" si="38"/>
        <v>22.200000000000003</v>
      </c>
      <c r="N264" s="9">
        <f t="shared" si="39"/>
        <v>9</v>
      </c>
      <c r="O264" s="9">
        <v>7.4</v>
      </c>
      <c r="P264" s="9">
        <v>3</v>
      </c>
      <c r="Q264" s="9" t="s">
        <v>6</v>
      </c>
      <c r="R264" s="1">
        <v>0</v>
      </c>
      <c r="S264" s="26"/>
    </row>
    <row r="265" spans="1:19" ht="15" customHeight="1" x14ac:dyDescent="0.25">
      <c r="A265" s="36" t="s">
        <v>0</v>
      </c>
      <c r="B265" s="29" t="s">
        <v>1</v>
      </c>
      <c r="C265" s="30"/>
      <c r="D265" s="30"/>
      <c r="E265" s="30"/>
      <c r="F265" s="30"/>
      <c r="G265" s="31"/>
      <c r="H265" s="36" t="s">
        <v>32</v>
      </c>
      <c r="I265" s="36" t="s">
        <v>39</v>
      </c>
      <c r="J265" s="55" t="s">
        <v>2</v>
      </c>
      <c r="K265" s="56"/>
      <c r="L265" s="56"/>
      <c r="M265" s="56"/>
      <c r="N265" s="56"/>
      <c r="O265" s="56"/>
      <c r="P265" s="56"/>
      <c r="Q265" s="57"/>
      <c r="S265" s="36" t="s">
        <v>38</v>
      </c>
    </row>
    <row r="266" spans="1:19" ht="24" customHeight="1" x14ac:dyDescent="0.25">
      <c r="A266" s="37"/>
      <c r="B266" s="32"/>
      <c r="C266" s="33"/>
      <c r="D266" s="33"/>
      <c r="E266" s="33"/>
      <c r="F266" s="33"/>
      <c r="G266" s="34"/>
      <c r="H266" s="37"/>
      <c r="I266" s="37"/>
      <c r="J266" s="7" t="s">
        <v>28</v>
      </c>
      <c r="K266" s="7" t="s">
        <v>29</v>
      </c>
      <c r="L266" s="7" t="s">
        <v>30</v>
      </c>
      <c r="M266" s="7"/>
      <c r="N266" s="7"/>
      <c r="O266" s="6" t="s">
        <v>35</v>
      </c>
      <c r="P266" s="6" t="s">
        <v>36</v>
      </c>
      <c r="Q266" s="6" t="s">
        <v>37</v>
      </c>
      <c r="S266" s="37"/>
    </row>
    <row r="267" spans="1:19" ht="16.5" customHeight="1" x14ac:dyDescent="0.25">
      <c r="A267" s="9"/>
      <c r="B267" s="51" t="s">
        <v>86</v>
      </c>
      <c r="C267" s="52"/>
      <c r="D267" s="52"/>
      <c r="E267" s="52"/>
      <c r="F267" s="52"/>
      <c r="G267" s="53"/>
      <c r="H267" s="20"/>
      <c r="I267" s="9">
        <v>4</v>
      </c>
      <c r="J267" s="9"/>
      <c r="K267" s="9"/>
      <c r="L267" s="9"/>
      <c r="M267" s="9">
        <f t="shared" ref="M267:M272" si="40">I267*O267</f>
        <v>30.8</v>
      </c>
      <c r="N267" s="9">
        <f t="shared" ref="N267:N272" si="41">I267*P267</f>
        <v>12</v>
      </c>
      <c r="O267" s="9">
        <v>7.7</v>
      </c>
      <c r="P267" s="9">
        <v>3</v>
      </c>
      <c r="Q267" s="9" t="s">
        <v>6</v>
      </c>
      <c r="R267" s="1">
        <v>0</v>
      </c>
      <c r="S267" s="26"/>
    </row>
    <row r="268" spans="1:19" ht="16.5" customHeight="1" x14ac:dyDescent="0.25">
      <c r="A268" s="9"/>
      <c r="B268" s="51" t="s">
        <v>87</v>
      </c>
      <c r="C268" s="52"/>
      <c r="D268" s="52"/>
      <c r="E268" s="52"/>
      <c r="F268" s="52"/>
      <c r="G268" s="53"/>
      <c r="H268" s="20"/>
      <c r="I268" s="9">
        <v>3</v>
      </c>
      <c r="J268" s="9"/>
      <c r="K268" s="9"/>
      <c r="L268" s="9"/>
      <c r="M268" s="9">
        <f t="shared" si="40"/>
        <v>25.799999999999997</v>
      </c>
      <c r="N268" s="9">
        <f t="shared" si="41"/>
        <v>11.100000000000001</v>
      </c>
      <c r="O268" s="9">
        <v>8.6</v>
      </c>
      <c r="P268" s="9">
        <v>3.7</v>
      </c>
      <c r="Q268" s="9" t="s">
        <v>10</v>
      </c>
      <c r="R268" s="1">
        <v>0</v>
      </c>
      <c r="S268" s="26"/>
    </row>
    <row r="269" spans="1:19" ht="16.5" customHeight="1" x14ac:dyDescent="0.25">
      <c r="A269" s="9"/>
      <c r="B269" s="51" t="s">
        <v>88</v>
      </c>
      <c r="C269" s="52"/>
      <c r="D269" s="52"/>
      <c r="E269" s="52"/>
      <c r="F269" s="52"/>
      <c r="G269" s="53"/>
      <c r="H269" s="20"/>
      <c r="I269" s="9">
        <v>2</v>
      </c>
      <c r="J269" s="9"/>
      <c r="K269" s="9"/>
      <c r="L269" s="9"/>
      <c r="M269" s="9">
        <f t="shared" si="40"/>
        <v>14.8</v>
      </c>
      <c r="N269" s="9">
        <f t="shared" si="41"/>
        <v>6</v>
      </c>
      <c r="O269" s="9">
        <v>7.4</v>
      </c>
      <c r="P269" s="9">
        <v>3</v>
      </c>
      <c r="Q269" s="9" t="s">
        <v>6</v>
      </c>
      <c r="R269" s="1">
        <v>0</v>
      </c>
      <c r="S269" s="26"/>
    </row>
    <row r="270" spans="1:19" ht="16.5" customHeight="1" x14ac:dyDescent="0.25">
      <c r="A270" s="9"/>
      <c r="B270" s="51" t="s">
        <v>89</v>
      </c>
      <c r="C270" s="52"/>
      <c r="D270" s="52"/>
      <c r="E270" s="52"/>
      <c r="F270" s="52"/>
      <c r="G270" s="53"/>
      <c r="H270" s="20"/>
      <c r="I270" s="9">
        <v>2</v>
      </c>
      <c r="J270" s="9"/>
      <c r="K270" s="9"/>
      <c r="L270" s="9"/>
      <c r="M270" s="9">
        <f t="shared" si="40"/>
        <v>15.4</v>
      </c>
      <c r="N270" s="9">
        <f t="shared" si="41"/>
        <v>6</v>
      </c>
      <c r="O270" s="9">
        <v>7.7</v>
      </c>
      <c r="P270" s="9">
        <v>3</v>
      </c>
      <c r="Q270" s="9" t="s">
        <v>6</v>
      </c>
      <c r="R270" s="1">
        <v>0</v>
      </c>
      <c r="S270" s="26"/>
    </row>
    <row r="271" spans="1:19" ht="16.5" hidden="1" customHeight="1" x14ac:dyDescent="0.25">
      <c r="A271" s="21"/>
      <c r="H271" s="21"/>
      <c r="I271" s="21"/>
      <c r="J271" s="21"/>
      <c r="K271" s="21"/>
      <c r="L271" s="21"/>
      <c r="M271" s="9">
        <f t="shared" si="40"/>
        <v>0</v>
      </c>
      <c r="N271" s="9">
        <f t="shared" si="41"/>
        <v>0</v>
      </c>
      <c r="O271" s="21"/>
      <c r="P271" s="21"/>
      <c r="Q271" s="21"/>
      <c r="S271" s="25"/>
    </row>
    <row r="272" spans="1:19" ht="16.5" customHeight="1" x14ac:dyDescent="0.25">
      <c r="A272" s="9"/>
      <c r="B272" s="39" t="s">
        <v>42</v>
      </c>
      <c r="C272" s="40"/>
      <c r="D272" s="40"/>
      <c r="E272" s="40"/>
      <c r="F272" s="40"/>
      <c r="G272" s="41"/>
      <c r="H272" s="23"/>
      <c r="I272" s="24">
        <f>SUM(I259:I271)</f>
        <v>25</v>
      </c>
      <c r="J272" s="9"/>
      <c r="K272" s="9"/>
      <c r="L272" s="9"/>
      <c r="M272" s="9">
        <f t="shared" si="40"/>
        <v>184.75</v>
      </c>
      <c r="N272" s="9">
        <f t="shared" si="41"/>
        <v>72.5</v>
      </c>
      <c r="O272" s="24">
        <f>ROUND(SUM(M259:M271)/I272,2)</f>
        <v>7.39</v>
      </c>
      <c r="P272" s="24">
        <f>ROUND(SUM(N259:N271)/I272,2)</f>
        <v>2.9</v>
      </c>
      <c r="Q272" s="9"/>
      <c r="S272" s="25"/>
    </row>
    <row r="273" spans="1:19" ht="20.25" customHeight="1" x14ac:dyDescent="0.25">
      <c r="A273" s="27" t="s">
        <v>90</v>
      </c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</row>
    <row r="274" spans="1:19" ht="16.5" customHeight="1" x14ac:dyDescent="0.25">
      <c r="A274" s="9"/>
      <c r="B274" s="51" t="s">
        <v>91</v>
      </c>
      <c r="C274" s="52"/>
      <c r="D274" s="52"/>
      <c r="E274" s="52"/>
      <c r="F274" s="52"/>
      <c r="G274" s="53"/>
      <c r="H274" s="20"/>
      <c r="I274" s="9">
        <v>1</v>
      </c>
      <c r="J274" s="9"/>
      <c r="K274" s="9"/>
      <c r="L274" s="9"/>
      <c r="M274" s="9">
        <f t="shared" ref="M274:M286" si="42">I274*O274</f>
        <v>6.3</v>
      </c>
      <c r="N274" s="9">
        <f t="shared" ref="N274:N286" si="43">I274*P274</f>
        <v>2</v>
      </c>
      <c r="O274" s="9">
        <v>6.3</v>
      </c>
      <c r="P274" s="9">
        <v>2</v>
      </c>
      <c r="Q274" s="9" t="s">
        <v>3</v>
      </c>
      <c r="R274" s="1">
        <v>0</v>
      </c>
      <c r="S274" s="26"/>
    </row>
    <row r="275" spans="1:19" ht="16.5" customHeight="1" x14ac:dyDescent="0.25">
      <c r="A275" s="9"/>
      <c r="B275" s="51" t="s">
        <v>98</v>
      </c>
      <c r="C275" s="52"/>
      <c r="D275" s="52"/>
      <c r="E275" s="52"/>
      <c r="F275" s="52"/>
      <c r="G275" s="53"/>
      <c r="H275" s="20"/>
      <c r="I275" s="9">
        <v>3</v>
      </c>
      <c r="J275" s="9"/>
      <c r="K275" s="9"/>
      <c r="L275" s="9"/>
      <c r="M275" s="9">
        <f t="shared" si="42"/>
        <v>9</v>
      </c>
      <c r="N275" s="9">
        <f t="shared" si="43"/>
        <v>0</v>
      </c>
      <c r="O275" s="9">
        <v>3</v>
      </c>
      <c r="P275" s="9">
        <v>0</v>
      </c>
      <c r="Q275" s="9" t="s">
        <v>7</v>
      </c>
      <c r="R275" s="1">
        <v>0</v>
      </c>
      <c r="S275" s="26"/>
    </row>
    <row r="276" spans="1:19" ht="16.5" customHeight="1" x14ac:dyDescent="0.25">
      <c r="A276" s="9"/>
      <c r="B276" s="51" t="s">
        <v>93</v>
      </c>
      <c r="C276" s="52"/>
      <c r="D276" s="52"/>
      <c r="E276" s="52"/>
      <c r="F276" s="52"/>
      <c r="G276" s="53"/>
      <c r="H276" s="20"/>
      <c r="I276" s="9">
        <v>3</v>
      </c>
      <c r="J276" s="9"/>
      <c r="K276" s="9"/>
      <c r="L276" s="9"/>
      <c r="M276" s="9">
        <f t="shared" si="42"/>
        <v>19.5</v>
      </c>
      <c r="N276" s="9">
        <f t="shared" si="43"/>
        <v>7.5</v>
      </c>
      <c r="O276" s="9">
        <v>6.5</v>
      </c>
      <c r="P276" s="9">
        <v>2.5</v>
      </c>
      <c r="Q276" s="9" t="s">
        <v>5</v>
      </c>
      <c r="R276" s="1">
        <v>0</v>
      </c>
      <c r="S276" s="26"/>
    </row>
    <row r="277" spans="1:19" ht="16.5" customHeight="1" x14ac:dyDescent="0.25">
      <c r="A277" s="9"/>
      <c r="B277" s="51" t="s">
        <v>94</v>
      </c>
      <c r="C277" s="52"/>
      <c r="D277" s="52"/>
      <c r="E277" s="52"/>
      <c r="F277" s="52"/>
      <c r="G277" s="53"/>
      <c r="H277" s="20"/>
      <c r="I277" s="9">
        <v>1</v>
      </c>
      <c r="J277" s="9"/>
      <c r="K277" s="9"/>
      <c r="L277" s="9"/>
      <c r="M277" s="9">
        <f t="shared" si="42"/>
        <v>8.4</v>
      </c>
      <c r="N277" s="9">
        <f t="shared" si="43"/>
        <v>3.5</v>
      </c>
      <c r="O277" s="9">
        <v>8.4</v>
      </c>
      <c r="P277" s="9">
        <v>3.5</v>
      </c>
      <c r="Q277" s="9" t="s">
        <v>9</v>
      </c>
      <c r="R277" s="1">
        <v>0</v>
      </c>
      <c r="S277" s="26"/>
    </row>
    <row r="278" spans="1:19" ht="16.5" customHeight="1" x14ac:dyDescent="0.25">
      <c r="A278" s="9"/>
      <c r="B278" s="51" t="s">
        <v>95</v>
      </c>
      <c r="C278" s="52"/>
      <c r="D278" s="52"/>
      <c r="E278" s="52"/>
      <c r="F278" s="52"/>
      <c r="G278" s="53"/>
      <c r="H278" s="20"/>
      <c r="I278" s="9">
        <v>1</v>
      </c>
      <c r="J278" s="9"/>
      <c r="K278" s="9"/>
      <c r="L278" s="9"/>
      <c r="M278" s="9">
        <f t="shared" si="42"/>
        <v>7.7</v>
      </c>
      <c r="N278" s="9">
        <f t="shared" si="43"/>
        <v>3</v>
      </c>
      <c r="O278" s="9">
        <v>7.7</v>
      </c>
      <c r="P278" s="9">
        <v>3</v>
      </c>
      <c r="Q278" s="9" t="s">
        <v>6</v>
      </c>
      <c r="R278" s="1">
        <v>0</v>
      </c>
      <c r="S278" s="26"/>
    </row>
    <row r="279" spans="1:19" ht="16.5" customHeight="1" x14ac:dyDescent="0.25">
      <c r="A279" s="9"/>
      <c r="B279" s="51" t="s">
        <v>96</v>
      </c>
      <c r="C279" s="52"/>
      <c r="D279" s="52"/>
      <c r="E279" s="52"/>
      <c r="F279" s="52"/>
      <c r="G279" s="53"/>
      <c r="H279" s="20"/>
      <c r="I279" s="9">
        <v>1</v>
      </c>
      <c r="J279" s="9"/>
      <c r="K279" s="9"/>
      <c r="L279" s="9"/>
      <c r="M279" s="9">
        <f t="shared" si="42"/>
        <v>0</v>
      </c>
      <c r="N279" s="9">
        <f t="shared" si="43"/>
        <v>0</v>
      </c>
      <c r="O279" s="9"/>
      <c r="P279" s="9"/>
      <c r="Q279" s="9"/>
      <c r="R279" s="1">
        <v>0</v>
      </c>
      <c r="S279" s="26"/>
    </row>
    <row r="280" spans="1:19" ht="16.5" customHeight="1" x14ac:dyDescent="0.25">
      <c r="A280" s="9"/>
      <c r="B280" s="51" t="s">
        <v>97</v>
      </c>
      <c r="C280" s="52"/>
      <c r="D280" s="52"/>
      <c r="E280" s="52"/>
      <c r="F280" s="52"/>
      <c r="G280" s="53"/>
      <c r="H280" s="20"/>
      <c r="I280" s="9">
        <v>2</v>
      </c>
      <c r="J280" s="9"/>
      <c r="K280" s="9"/>
      <c r="L280" s="9"/>
      <c r="M280" s="9">
        <f t="shared" si="42"/>
        <v>14</v>
      </c>
      <c r="N280" s="9">
        <f t="shared" si="43"/>
        <v>6</v>
      </c>
      <c r="O280" s="9">
        <v>7</v>
      </c>
      <c r="P280" s="9">
        <v>3</v>
      </c>
      <c r="Q280" s="9" t="s">
        <v>6</v>
      </c>
      <c r="R280" s="1">
        <v>0</v>
      </c>
      <c r="S280" s="26"/>
    </row>
    <row r="281" spans="1:19" ht="16.5" customHeight="1" x14ac:dyDescent="0.25">
      <c r="A281" s="9"/>
      <c r="B281" s="51" t="s">
        <v>92</v>
      </c>
      <c r="C281" s="52"/>
      <c r="D281" s="52"/>
      <c r="E281" s="52"/>
      <c r="F281" s="52"/>
      <c r="G281" s="53"/>
      <c r="H281" s="20"/>
      <c r="I281" s="9">
        <v>2</v>
      </c>
      <c r="J281" s="9"/>
      <c r="K281" s="9"/>
      <c r="L281" s="9"/>
      <c r="M281" s="9">
        <f t="shared" si="42"/>
        <v>13.6</v>
      </c>
      <c r="N281" s="9">
        <f t="shared" si="43"/>
        <v>5</v>
      </c>
      <c r="O281" s="9">
        <v>6.8</v>
      </c>
      <c r="P281" s="9">
        <v>2.5</v>
      </c>
      <c r="Q281" s="9" t="s">
        <v>5</v>
      </c>
      <c r="R281" s="1">
        <v>0</v>
      </c>
      <c r="S281" s="26"/>
    </row>
    <row r="282" spans="1:19" ht="16.5" customHeight="1" x14ac:dyDescent="0.25">
      <c r="A282" s="9"/>
      <c r="B282" s="51" t="s">
        <v>99</v>
      </c>
      <c r="C282" s="52"/>
      <c r="D282" s="52"/>
      <c r="E282" s="52"/>
      <c r="F282" s="52"/>
      <c r="G282" s="53"/>
      <c r="H282" s="20"/>
      <c r="I282" s="9">
        <v>2</v>
      </c>
      <c r="J282" s="9"/>
      <c r="K282" s="9"/>
      <c r="L282" s="9"/>
      <c r="M282" s="9">
        <f t="shared" si="42"/>
        <v>13.8</v>
      </c>
      <c r="N282" s="9">
        <f t="shared" si="43"/>
        <v>5</v>
      </c>
      <c r="O282" s="9">
        <v>6.9</v>
      </c>
      <c r="P282" s="9">
        <v>2.5</v>
      </c>
      <c r="Q282" s="9" t="s">
        <v>5</v>
      </c>
      <c r="R282" s="1">
        <v>0</v>
      </c>
      <c r="S282" s="26"/>
    </row>
    <row r="283" spans="1:19" ht="16.5" customHeight="1" x14ac:dyDescent="0.25">
      <c r="A283" s="9"/>
      <c r="B283" s="51" t="s">
        <v>100</v>
      </c>
      <c r="C283" s="52"/>
      <c r="D283" s="52"/>
      <c r="E283" s="52"/>
      <c r="F283" s="52"/>
      <c r="G283" s="53"/>
      <c r="H283" s="20"/>
      <c r="I283" s="9">
        <v>4</v>
      </c>
      <c r="J283" s="9"/>
      <c r="K283" s="9"/>
      <c r="L283" s="9"/>
      <c r="M283" s="9">
        <f t="shared" si="42"/>
        <v>10</v>
      </c>
      <c r="N283" s="9">
        <f t="shared" si="43"/>
        <v>0</v>
      </c>
      <c r="O283" s="9">
        <v>2.5</v>
      </c>
      <c r="P283" s="9">
        <v>0</v>
      </c>
      <c r="Q283" s="9" t="s">
        <v>7</v>
      </c>
      <c r="R283" s="1">
        <v>0</v>
      </c>
      <c r="S283" s="26"/>
    </row>
    <row r="284" spans="1:19" ht="16.5" customHeight="1" x14ac:dyDescent="0.25">
      <c r="A284" s="9"/>
      <c r="B284" s="51" t="s">
        <v>101</v>
      </c>
      <c r="C284" s="52"/>
      <c r="D284" s="52"/>
      <c r="E284" s="52"/>
      <c r="F284" s="52"/>
      <c r="G284" s="53"/>
      <c r="H284" s="20"/>
      <c r="I284" s="9">
        <v>2</v>
      </c>
      <c r="J284" s="9"/>
      <c r="K284" s="9"/>
      <c r="L284" s="9"/>
      <c r="M284" s="9">
        <f t="shared" si="42"/>
        <v>13.4</v>
      </c>
      <c r="N284" s="9">
        <f t="shared" si="43"/>
        <v>5</v>
      </c>
      <c r="O284" s="9">
        <v>6.7</v>
      </c>
      <c r="P284" s="9">
        <v>2.5</v>
      </c>
      <c r="Q284" s="9" t="s">
        <v>5</v>
      </c>
      <c r="R284" s="1">
        <v>0</v>
      </c>
      <c r="S284" s="26"/>
    </row>
    <row r="285" spans="1:19" ht="16.5" hidden="1" customHeight="1" x14ac:dyDescent="0.25">
      <c r="A285" s="21"/>
      <c r="H285" s="21"/>
      <c r="I285" s="21"/>
      <c r="J285" s="21"/>
      <c r="K285" s="21"/>
      <c r="L285" s="21"/>
      <c r="M285" s="9">
        <f t="shared" si="42"/>
        <v>0</v>
      </c>
      <c r="N285" s="9">
        <f t="shared" si="43"/>
        <v>0</v>
      </c>
      <c r="O285" s="21"/>
      <c r="P285" s="21"/>
      <c r="Q285" s="21"/>
      <c r="S285" s="25"/>
    </row>
    <row r="286" spans="1:19" ht="16.5" customHeight="1" x14ac:dyDescent="0.25">
      <c r="A286" s="9"/>
      <c r="B286" s="39" t="s">
        <v>42</v>
      </c>
      <c r="C286" s="40"/>
      <c r="D286" s="40"/>
      <c r="E286" s="40"/>
      <c r="F286" s="40"/>
      <c r="G286" s="41"/>
      <c r="H286" s="23"/>
      <c r="I286" s="24">
        <f>SUM(I274:I285)</f>
        <v>22</v>
      </c>
      <c r="J286" s="9"/>
      <c r="K286" s="9"/>
      <c r="L286" s="9"/>
      <c r="M286" s="9">
        <f t="shared" si="42"/>
        <v>115.72</v>
      </c>
      <c r="N286" s="9">
        <f t="shared" si="43"/>
        <v>36.96</v>
      </c>
      <c r="O286" s="24">
        <f>ROUND(SUM(M274:M285)/I286,2)</f>
        <v>5.26</v>
      </c>
      <c r="P286" s="24">
        <f>ROUND(SUM(N274:N285)/I286,2)</f>
        <v>1.68</v>
      </c>
      <c r="Q286" s="9"/>
      <c r="S286" s="25"/>
    </row>
    <row r="287" spans="1:19" ht="20.25" customHeight="1" x14ac:dyDescent="0.25">
      <c r="A287" s="27" t="s">
        <v>132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</row>
    <row r="288" spans="1:19" ht="16.5" customHeight="1" x14ac:dyDescent="0.25">
      <c r="A288" s="9"/>
      <c r="B288" s="51" t="s">
        <v>98</v>
      </c>
      <c r="C288" s="52"/>
      <c r="D288" s="52"/>
      <c r="E288" s="52"/>
      <c r="F288" s="52"/>
      <c r="G288" s="53"/>
      <c r="H288" s="20"/>
      <c r="I288" s="9">
        <v>3</v>
      </c>
      <c r="J288" s="9"/>
      <c r="K288" s="9"/>
      <c r="L288" s="9"/>
      <c r="M288" s="9">
        <f>I288*O288</f>
        <v>16.799999999999997</v>
      </c>
      <c r="N288" s="9">
        <f>I288*P288</f>
        <v>6</v>
      </c>
      <c r="O288" s="9">
        <v>5.6</v>
      </c>
      <c r="P288" s="9">
        <v>2</v>
      </c>
      <c r="Q288" s="9" t="s">
        <v>3</v>
      </c>
      <c r="R288" s="1">
        <v>6</v>
      </c>
      <c r="S288" s="26" t="s">
        <v>133</v>
      </c>
    </row>
    <row r="289" spans="1:19" ht="16.5" customHeight="1" x14ac:dyDescent="0.25">
      <c r="A289" s="9"/>
      <c r="B289" s="51" t="s">
        <v>96</v>
      </c>
      <c r="C289" s="52"/>
      <c r="D289" s="52"/>
      <c r="E289" s="52"/>
      <c r="F289" s="52"/>
      <c r="G289" s="53"/>
      <c r="H289" s="20"/>
      <c r="I289" s="9">
        <v>1</v>
      </c>
      <c r="J289" s="9"/>
      <c r="K289" s="9"/>
      <c r="L289" s="9"/>
      <c r="M289" s="9">
        <f>I289*O289</f>
        <v>7.6</v>
      </c>
      <c r="N289" s="9">
        <f>I289*P289</f>
        <v>3</v>
      </c>
      <c r="O289" s="9">
        <v>7.6</v>
      </c>
      <c r="P289" s="9">
        <v>3</v>
      </c>
      <c r="Q289" s="9" t="s">
        <v>6</v>
      </c>
      <c r="R289" s="1">
        <v>0</v>
      </c>
      <c r="S289" s="26"/>
    </row>
    <row r="290" spans="1:19" ht="16.5" customHeight="1" x14ac:dyDescent="0.25">
      <c r="A290" s="9"/>
      <c r="B290" s="51" t="s">
        <v>100</v>
      </c>
      <c r="C290" s="52"/>
      <c r="D290" s="52"/>
      <c r="E290" s="52"/>
      <c r="F290" s="52"/>
      <c r="G290" s="53"/>
      <c r="H290" s="20"/>
      <c r="I290" s="9">
        <v>4</v>
      </c>
      <c r="J290" s="9"/>
      <c r="K290" s="9"/>
      <c r="L290" s="9"/>
      <c r="M290" s="9">
        <f>I290*O290</f>
        <v>27.6</v>
      </c>
      <c r="N290" s="9">
        <f>I290*P290</f>
        <v>10</v>
      </c>
      <c r="O290" s="9">
        <v>6.9</v>
      </c>
      <c r="P290" s="9">
        <v>2.5</v>
      </c>
      <c r="Q290" s="9" t="s">
        <v>5</v>
      </c>
      <c r="S290" s="26" t="s">
        <v>134</v>
      </c>
    </row>
    <row r="291" spans="1:19" ht="16.5" hidden="1" customHeight="1" x14ac:dyDescent="0.25">
      <c r="A291" s="21"/>
      <c r="H291" s="21"/>
      <c r="I291" s="21"/>
      <c r="J291" s="21"/>
      <c r="K291" s="21"/>
      <c r="L291" s="21"/>
      <c r="M291" s="9">
        <f>I291*O291</f>
        <v>0</v>
      </c>
      <c r="N291" s="9">
        <f>I291*P291</f>
        <v>0</v>
      </c>
      <c r="O291" s="21"/>
      <c r="P291" s="21"/>
      <c r="Q291" s="21"/>
      <c r="S291" s="25"/>
    </row>
    <row r="292" spans="1:19" ht="16.5" customHeight="1" x14ac:dyDescent="0.25">
      <c r="A292" s="9"/>
      <c r="B292" s="39" t="s">
        <v>42</v>
      </c>
      <c r="C292" s="40"/>
      <c r="D292" s="40"/>
      <c r="E292" s="40"/>
      <c r="F292" s="40"/>
      <c r="G292" s="41"/>
      <c r="H292" s="23"/>
      <c r="I292" s="24">
        <f>SUM(I288:I291)</f>
        <v>8</v>
      </c>
      <c r="J292" s="9"/>
      <c r="K292" s="9"/>
      <c r="L292" s="9"/>
      <c r="M292" s="9">
        <f>I292*O292</f>
        <v>52</v>
      </c>
      <c r="N292" s="9">
        <f>I292*P292</f>
        <v>19.04</v>
      </c>
      <c r="O292" s="24">
        <f>ROUND(SUM(M288:M291)/I292,2)</f>
        <v>6.5</v>
      </c>
      <c r="P292" s="24">
        <f>ROUND(SUM(N288:N291)/I292,2)</f>
        <v>2.38</v>
      </c>
      <c r="Q292" s="9"/>
      <c r="S292" s="25"/>
    </row>
    <row r="293" spans="1:19" ht="20.25" customHeight="1" x14ac:dyDescent="0.25">
      <c r="A293" s="27" t="s">
        <v>102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</row>
    <row r="294" spans="1:19" ht="16.5" customHeight="1" x14ac:dyDescent="0.25">
      <c r="A294" s="9"/>
      <c r="B294" s="51" t="s">
        <v>103</v>
      </c>
      <c r="C294" s="52"/>
      <c r="D294" s="52"/>
      <c r="E294" s="52"/>
      <c r="F294" s="52"/>
      <c r="G294" s="53"/>
      <c r="H294" s="20"/>
      <c r="I294" s="9">
        <v>1</v>
      </c>
      <c r="J294" s="9"/>
      <c r="K294" s="9"/>
      <c r="L294" s="9"/>
      <c r="M294" s="9">
        <f t="shared" ref="M294:M306" si="44">I294*O294</f>
        <v>7.4</v>
      </c>
      <c r="N294" s="9">
        <f t="shared" ref="N294:N306" si="45">I294*P294</f>
        <v>3</v>
      </c>
      <c r="O294" s="9">
        <v>7.4</v>
      </c>
      <c r="P294" s="9">
        <v>3</v>
      </c>
      <c r="Q294" s="9" t="s">
        <v>6</v>
      </c>
      <c r="S294" s="26" t="s">
        <v>134</v>
      </c>
    </row>
    <row r="295" spans="1:19" ht="16.5" customHeight="1" x14ac:dyDescent="0.25">
      <c r="A295" s="9"/>
      <c r="B295" s="51" t="s">
        <v>104</v>
      </c>
      <c r="C295" s="52"/>
      <c r="D295" s="52"/>
      <c r="E295" s="52"/>
      <c r="F295" s="52"/>
      <c r="G295" s="53"/>
      <c r="H295" s="20"/>
      <c r="I295" s="9">
        <v>4</v>
      </c>
      <c r="J295" s="9"/>
      <c r="K295" s="9"/>
      <c r="L295" s="9"/>
      <c r="M295" s="9">
        <f t="shared" si="44"/>
        <v>23.6</v>
      </c>
      <c r="N295" s="9">
        <f t="shared" si="45"/>
        <v>8</v>
      </c>
      <c r="O295" s="9">
        <v>5.9</v>
      </c>
      <c r="P295" s="9">
        <v>2</v>
      </c>
      <c r="Q295" s="9" t="s">
        <v>3</v>
      </c>
      <c r="S295" s="26" t="s">
        <v>134</v>
      </c>
    </row>
    <row r="296" spans="1:19" ht="16.5" customHeight="1" x14ac:dyDescent="0.25">
      <c r="A296" s="9"/>
      <c r="B296" s="51" t="s">
        <v>105</v>
      </c>
      <c r="C296" s="52"/>
      <c r="D296" s="52"/>
      <c r="E296" s="52"/>
      <c r="F296" s="52"/>
      <c r="G296" s="53"/>
      <c r="H296" s="20"/>
      <c r="I296" s="9">
        <v>2</v>
      </c>
      <c r="J296" s="9"/>
      <c r="K296" s="9"/>
      <c r="L296" s="9"/>
      <c r="M296" s="9">
        <f t="shared" si="44"/>
        <v>14.8</v>
      </c>
      <c r="N296" s="9">
        <f t="shared" si="45"/>
        <v>6</v>
      </c>
      <c r="O296" s="9">
        <v>7.4</v>
      </c>
      <c r="P296" s="9">
        <v>3</v>
      </c>
      <c r="Q296" s="9" t="s">
        <v>6</v>
      </c>
      <c r="S296" s="26" t="s">
        <v>134</v>
      </c>
    </row>
    <row r="297" spans="1:19" ht="16.5" customHeight="1" x14ac:dyDescent="0.25">
      <c r="A297" s="9"/>
      <c r="B297" s="51" t="s">
        <v>106</v>
      </c>
      <c r="C297" s="52"/>
      <c r="D297" s="52"/>
      <c r="E297" s="52"/>
      <c r="F297" s="52"/>
      <c r="G297" s="53"/>
      <c r="H297" s="20"/>
      <c r="I297" s="9">
        <v>3</v>
      </c>
      <c r="J297" s="9"/>
      <c r="K297" s="9"/>
      <c r="L297" s="9"/>
      <c r="M297" s="9">
        <f t="shared" si="44"/>
        <v>21.9</v>
      </c>
      <c r="N297" s="9">
        <f t="shared" si="45"/>
        <v>9</v>
      </c>
      <c r="O297" s="9">
        <v>7.3</v>
      </c>
      <c r="P297" s="9">
        <v>3</v>
      </c>
      <c r="Q297" s="9" t="s">
        <v>6</v>
      </c>
      <c r="S297" s="26" t="s">
        <v>134</v>
      </c>
    </row>
    <row r="298" spans="1:19" ht="16.5" customHeight="1" x14ac:dyDescent="0.25">
      <c r="A298" s="9"/>
      <c r="B298" s="51" t="s">
        <v>107</v>
      </c>
      <c r="C298" s="52"/>
      <c r="D298" s="52"/>
      <c r="E298" s="52"/>
      <c r="F298" s="52"/>
      <c r="G298" s="53"/>
      <c r="H298" s="20"/>
      <c r="I298" s="9">
        <v>2</v>
      </c>
      <c r="J298" s="9"/>
      <c r="K298" s="9"/>
      <c r="L298" s="9"/>
      <c r="M298" s="9">
        <f t="shared" si="44"/>
        <v>12.8</v>
      </c>
      <c r="N298" s="9">
        <f t="shared" si="45"/>
        <v>4</v>
      </c>
      <c r="O298" s="9">
        <v>6.4</v>
      </c>
      <c r="P298" s="9">
        <v>2</v>
      </c>
      <c r="Q298" s="9" t="s">
        <v>3</v>
      </c>
      <c r="S298" s="26" t="s">
        <v>134</v>
      </c>
    </row>
    <row r="299" spans="1:19" ht="16.5" customHeight="1" x14ac:dyDescent="0.25">
      <c r="A299" s="9"/>
      <c r="B299" s="51" t="s">
        <v>108</v>
      </c>
      <c r="C299" s="52"/>
      <c r="D299" s="52"/>
      <c r="E299" s="52"/>
      <c r="F299" s="52"/>
      <c r="G299" s="53"/>
      <c r="H299" s="20"/>
      <c r="I299" s="9">
        <v>2</v>
      </c>
      <c r="J299" s="9"/>
      <c r="K299" s="9"/>
      <c r="L299" s="9"/>
      <c r="M299" s="9">
        <f t="shared" si="44"/>
        <v>12</v>
      </c>
      <c r="N299" s="9">
        <f t="shared" si="45"/>
        <v>4</v>
      </c>
      <c r="O299" s="9">
        <v>6</v>
      </c>
      <c r="P299" s="9">
        <v>2</v>
      </c>
      <c r="Q299" s="9" t="s">
        <v>3</v>
      </c>
      <c r="S299" s="26" t="s">
        <v>134</v>
      </c>
    </row>
    <row r="300" spans="1:19" ht="16.5" customHeight="1" x14ac:dyDescent="0.25">
      <c r="A300" s="9"/>
      <c r="B300" s="51" t="s">
        <v>109</v>
      </c>
      <c r="C300" s="52"/>
      <c r="D300" s="52"/>
      <c r="E300" s="52"/>
      <c r="F300" s="52"/>
      <c r="G300" s="53"/>
      <c r="H300" s="20"/>
      <c r="I300" s="9">
        <v>3</v>
      </c>
      <c r="J300" s="9"/>
      <c r="K300" s="9"/>
      <c r="L300" s="9"/>
      <c r="M300" s="9">
        <f t="shared" si="44"/>
        <v>18.299999999999997</v>
      </c>
      <c r="N300" s="9">
        <f t="shared" si="45"/>
        <v>6</v>
      </c>
      <c r="O300" s="9">
        <v>6.1</v>
      </c>
      <c r="P300" s="9">
        <v>2</v>
      </c>
      <c r="Q300" s="9" t="s">
        <v>3</v>
      </c>
      <c r="S300" s="26" t="s">
        <v>134</v>
      </c>
    </row>
    <row r="301" spans="1:19" ht="16.5" customHeight="1" x14ac:dyDescent="0.25">
      <c r="A301" s="9"/>
      <c r="B301" s="51" t="s">
        <v>110</v>
      </c>
      <c r="C301" s="52"/>
      <c r="D301" s="52"/>
      <c r="E301" s="52"/>
      <c r="F301" s="52"/>
      <c r="G301" s="53"/>
      <c r="H301" s="20"/>
      <c r="I301" s="9">
        <v>2</v>
      </c>
      <c r="J301" s="9"/>
      <c r="K301" s="9"/>
      <c r="L301" s="9"/>
      <c r="M301" s="9">
        <f t="shared" si="44"/>
        <v>13.8</v>
      </c>
      <c r="N301" s="9">
        <f t="shared" si="45"/>
        <v>5</v>
      </c>
      <c r="O301" s="9">
        <v>6.9</v>
      </c>
      <c r="P301" s="9">
        <v>2.5</v>
      </c>
      <c r="Q301" s="9" t="s">
        <v>5</v>
      </c>
      <c r="S301" s="26" t="s">
        <v>134</v>
      </c>
    </row>
    <row r="302" spans="1:19" ht="16.5" customHeight="1" x14ac:dyDescent="0.25">
      <c r="A302" s="9"/>
      <c r="B302" s="51" t="s">
        <v>111</v>
      </c>
      <c r="C302" s="52"/>
      <c r="D302" s="52"/>
      <c r="E302" s="52"/>
      <c r="F302" s="52"/>
      <c r="G302" s="53"/>
      <c r="H302" s="20"/>
      <c r="I302" s="9">
        <v>3</v>
      </c>
      <c r="J302" s="9"/>
      <c r="K302" s="9"/>
      <c r="L302" s="9"/>
      <c r="M302" s="9">
        <f t="shared" si="44"/>
        <v>21.299999999999997</v>
      </c>
      <c r="N302" s="9">
        <f t="shared" si="45"/>
        <v>9</v>
      </c>
      <c r="O302" s="9">
        <v>7.1</v>
      </c>
      <c r="P302" s="9">
        <v>3</v>
      </c>
      <c r="Q302" s="9" t="s">
        <v>6</v>
      </c>
      <c r="S302" s="26" t="s">
        <v>134</v>
      </c>
    </row>
    <row r="303" spans="1:19" ht="16.5" customHeight="1" x14ac:dyDescent="0.25">
      <c r="A303" s="9"/>
      <c r="B303" s="51" t="s">
        <v>113</v>
      </c>
      <c r="C303" s="52"/>
      <c r="D303" s="52"/>
      <c r="E303" s="52"/>
      <c r="F303" s="52"/>
      <c r="G303" s="53"/>
      <c r="H303" s="20"/>
      <c r="I303" s="9">
        <v>3</v>
      </c>
      <c r="J303" s="9"/>
      <c r="K303" s="9"/>
      <c r="L303" s="9"/>
      <c r="M303" s="9">
        <f t="shared" si="44"/>
        <v>18.899999999999999</v>
      </c>
      <c r="N303" s="9">
        <f t="shared" si="45"/>
        <v>6</v>
      </c>
      <c r="O303" s="9">
        <v>6.3</v>
      </c>
      <c r="P303" s="9">
        <v>2</v>
      </c>
      <c r="Q303" s="9" t="s">
        <v>3</v>
      </c>
      <c r="S303" s="26" t="s">
        <v>134</v>
      </c>
    </row>
    <row r="304" spans="1:19" ht="16.5" customHeight="1" x14ac:dyDescent="0.25">
      <c r="A304" s="9"/>
      <c r="B304" s="51" t="s">
        <v>112</v>
      </c>
      <c r="C304" s="52"/>
      <c r="D304" s="52"/>
      <c r="E304" s="52"/>
      <c r="F304" s="52"/>
      <c r="G304" s="53"/>
      <c r="H304" s="20"/>
      <c r="I304" s="9">
        <v>2</v>
      </c>
      <c r="J304" s="9"/>
      <c r="K304" s="9"/>
      <c r="L304" s="9"/>
      <c r="M304" s="9">
        <f t="shared" si="44"/>
        <v>15.2</v>
      </c>
      <c r="N304" s="9">
        <f t="shared" si="45"/>
        <v>6</v>
      </c>
      <c r="O304" s="9">
        <v>7.6</v>
      </c>
      <c r="P304" s="9">
        <v>3</v>
      </c>
      <c r="Q304" s="9" t="s">
        <v>6</v>
      </c>
      <c r="S304" s="26" t="s">
        <v>134</v>
      </c>
    </row>
    <row r="305" spans="1:19" ht="16.5" hidden="1" customHeight="1" x14ac:dyDescent="0.25">
      <c r="A305" s="21"/>
      <c r="H305" s="21"/>
      <c r="I305" s="21"/>
      <c r="J305" s="21"/>
      <c r="K305" s="21"/>
      <c r="L305" s="21"/>
      <c r="M305" s="9">
        <f t="shared" si="44"/>
        <v>0</v>
      </c>
      <c r="N305" s="9">
        <f t="shared" si="45"/>
        <v>0</v>
      </c>
      <c r="O305" s="21"/>
      <c r="P305" s="21"/>
      <c r="Q305" s="21"/>
      <c r="S305" s="25"/>
    </row>
    <row r="306" spans="1:19" ht="16.5" customHeight="1" x14ac:dyDescent="0.25">
      <c r="A306" s="9"/>
      <c r="B306" s="39" t="s">
        <v>42</v>
      </c>
      <c r="C306" s="40"/>
      <c r="D306" s="40"/>
      <c r="E306" s="40"/>
      <c r="F306" s="40"/>
      <c r="G306" s="41"/>
      <c r="H306" s="23"/>
      <c r="I306" s="24">
        <f>SUM(I294:I305)</f>
        <v>27</v>
      </c>
      <c r="J306" s="9"/>
      <c r="K306" s="9"/>
      <c r="L306" s="9"/>
      <c r="M306" s="9">
        <f t="shared" si="44"/>
        <v>180.09</v>
      </c>
      <c r="N306" s="9">
        <f t="shared" si="45"/>
        <v>65.88</v>
      </c>
      <c r="O306" s="24">
        <f>ROUND(SUM(M294:M305)/I306,2)</f>
        <v>6.67</v>
      </c>
      <c r="P306" s="24">
        <f>ROUND(SUM(N294:N305)/I306,2)</f>
        <v>2.44</v>
      </c>
      <c r="Q306" s="9"/>
      <c r="S306" s="25"/>
    </row>
    <row r="307" spans="1:19" ht="20.25" customHeight="1" x14ac:dyDescent="0.25">
      <c r="A307" s="27" t="s">
        <v>114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</row>
    <row r="308" spans="1:19" ht="16.5" customHeight="1" x14ac:dyDescent="0.25">
      <c r="A308" s="9"/>
      <c r="B308" s="51" t="s">
        <v>115</v>
      </c>
      <c r="C308" s="52"/>
      <c r="D308" s="52"/>
      <c r="E308" s="52"/>
      <c r="F308" s="52"/>
      <c r="G308" s="53"/>
      <c r="H308" s="20"/>
      <c r="I308" s="9">
        <v>2</v>
      </c>
      <c r="J308" s="9"/>
      <c r="K308" s="9"/>
      <c r="L308" s="9"/>
      <c r="M308" s="9">
        <f t="shared" ref="M308:M318" si="46">I308*O308</f>
        <v>14.8</v>
      </c>
      <c r="N308" s="9">
        <f t="shared" ref="N308:N318" si="47">I308*P308</f>
        <v>6</v>
      </c>
      <c r="O308" s="9">
        <v>7.4</v>
      </c>
      <c r="P308" s="9">
        <v>3</v>
      </c>
      <c r="Q308" s="9" t="s">
        <v>6</v>
      </c>
      <c r="S308" s="26" t="s">
        <v>134</v>
      </c>
    </row>
    <row r="309" spans="1:19" ht="16.5" customHeight="1" x14ac:dyDescent="0.25">
      <c r="A309" s="9"/>
      <c r="B309" s="51" t="s">
        <v>122</v>
      </c>
      <c r="C309" s="52"/>
      <c r="D309" s="52"/>
      <c r="E309" s="52"/>
      <c r="F309" s="52"/>
      <c r="G309" s="53"/>
      <c r="H309" s="20"/>
      <c r="I309" s="9">
        <v>1</v>
      </c>
      <c r="J309" s="9"/>
      <c r="K309" s="9"/>
      <c r="L309" s="9"/>
      <c r="M309" s="9">
        <f t="shared" si="46"/>
        <v>7.3</v>
      </c>
      <c r="N309" s="9">
        <f t="shared" si="47"/>
        <v>3</v>
      </c>
      <c r="O309" s="9">
        <v>7.3</v>
      </c>
      <c r="P309" s="9">
        <v>3</v>
      </c>
      <c r="Q309" s="9" t="s">
        <v>6</v>
      </c>
      <c r="S309" s="26" t="s">
        <v>134</v>
      </c>
    </row>
    <row r="310" spans="1:19" ht="16.5" customHeight="1" x14ac:dyDescent="0.25">
      <c r="A310" s="9"/>
      <c r="B310" s="51" t="s">
        <v>117</v>
      </c>
      <c r="C310" s="52"/>
      <c r="D310" s="52"/>
      <c r="E310" s="52"/>
      <c r="F310" s="52"/>
      <c r="G310" s="53"/>
      <c r="H310" s="20"/>
      <c r="I310" s="9">
        <v>3</v>
      </c>
      <c r="J310" s="9"/>
      <c r="K310" s="9"/>
      <c r="L310" s="9"/>
      <c r="M310" s="9">
        <f t="shared" si="46"/>
        <v>23.1</v>
      </c>
      <c r="N310" s="9">
        <f t="shared" si="47"/>
        <v>9</v>
      </c>
      <c r="O310" s="9">
        <v>7.7</v>
      </c>
      <c r="P310" s="9">
        <v>3</v>
      </c>
      <c r="Q310" s="9" t="s">
        <v>6</v>
      </c>
      <c r="S310" s="26" t="s">
        <v>134</v>
      </c>
    </row>
    <row r="311" spans="1:19" ht="16.5" customHeight="1" x14ac:dyDescent="0.25">
      <c r="A311" s="9"/>
      <c r="B311" s="51" t="s">
        <v>118</v>
      </c>
      <c r="C311" s="52"/>
      <c r="D311" s="52"/>
      <c r="E311" s="52"/>
      <c r="F311" s="52"/>
      <c r="G311" s="53"/>
      <c r="H311" s="20"/>
      <c r="I311" s="9">
        <v>3</v>
      </c>
      <c r="J311" s="9"/>
      <c r="K311" s="9"/>
      <c r="L311" s="9"/>
      <c r="M311" s="9">
        <f t="shared" si="46"/>
        <v>21.9</v>
      </c>
      <c r="N311" s="9">
        <f t="shared" si="47"/>
        <v>9</v>
      </c>
      <c r="O311" s="9">
        <v>7.3</v>
      </c>
      <c r="P311" s="9">
        <v>3</v>
      </c>
      <c r="Q311" s="9" t="s">
        <v>6</v>
      </c>
      <c r="S311" s="26" t="s">
        <v>134</v>
      </c>
    </row>
    <row r="312" spans="1:19" ht="16.5" customHeight="1" x14ac:dyDescent="0.25">
      <c r="A312" s="9"/>
      <c r="B312" s="51" t="s">
        <v>119</v>
      </c>
      <c r="C312" s="52"/>
      <c r="D312" s="52"/>
      <c r="E312" s="52"/>
      <c r="F312" s="52"/>
      <c r="G312" s="53"/>
      <c r="H312" s="20"/>
      <c r="I312" s="9">
        <v>3</v>
      </c>
      <c r="J312" s="9"/>
      <c r="K312" s="9"/>
      <c r="L312" s="9"/>
      <c r="M312" s="9">
        <f t="shared" si="46"/>
        <v>23.4</v>
      </c>
      <c r="N312" s="9">
        <f t="shared" si="47"/>
        <v>9</v>
      </c>
      <c r="O312" s="9">
        <v>7.8</v>
      </c>
      <c r="P312" s="9">
        <v>3</v>
      </c>
      <c r="Q312" s="9" t="s">
        <v>6</v>
      </c>
      <c r="S312" s="26" t="s">
        <v>134</v>
      </c>
    </row>
    <row r="313" spans="1:19" ht="16.5" customHeight="1" x14ac:dyDescent="0.25">
      <c r="A313" s="9"/>
      <c r="B313" s="51" t="s">
        <v>120</v>
      </c>
      <c r="C313" s="52"/>
      <c r="D313" s="52"/>
      <c r="E313" s="52"/>
      <c r="F313" s="52"/>
      <c r="G313" s="53"/>
      <c r="H313" s="20"/>
      <c r="I313" s="9">
        <v>2</v>
      </c>
      <c r="J313" s="9"/>
      <c r="K313" s="9"/>
      <c r="L313" s="9"/>
      <c r="M313" s="9">
        <f t="shared" si="46"/>
        <v>10</v>
      </c>
      <c r="N313" s="9">
        <f t="shared" si="47"/>
        <v>3</v>
      </c>
      <c r="O313" s="9">
        <v>5</v>
      </c>
      <c r="P313" s="9">
        <v>1.5</v>
      </c>
      <c r="Q313" s="9" t="s">
        <v>4</v>
      </c>
      <c r="S313" s="26" t="s">
        <v>134</v>
      </c>
    </row>
    <row r="314" spans="1:19" ht="16.5" customHeight="1" x14ac:dyDescent="0.25">
      <c r="A314" s="9"/>
      <c r="B314" s="51" t="s">
        <v>121</v>
      </c>
      <c r="C314" s="52"/>
      <c r="D314" s="52"/>
      <c r="E314" s="52"/>
      <c r="F314" s="52"/>
      <c r="G314" s="53"/>
      <c r="H314" s="20"/>
      <c r="I314" s="9">
        <v>3</v>
      </c>
      <c r="J314" s="9"/>
      <c r="K314" s="9"/>
      <c r="L314" s="9"/>
      <c r="M314" s="9">
        <f t="shared" si="46"/>
        <v>17.700000000000003</v>
      </c>
      <c r="N314" s="9">
        <f t="shared" si="47"/>
        <v>6</v>
      </c>
      <c r="O314" s="9">
        <v>5.9</v>
      </c>
      <c r="P314" s="9">
        <v>2</v>
      </c>
      <c r="Q314" s="9" t="s">
        <v>3</v>
      </c>
      <c r="S314" s="26" t="s">
        <v>134</v>
      </c>
    </row>
    <row r="315" spans="1:19" ht="16.5" customHeight="1" x14ac:dyDescent="0.25">
      <c r="A315" s="9"/>
      <c r="B315" s="51" t="s">
        <v>116</v>
      </c>
      <c r="C315" s="52"/>
      <c r="D315" s="52"/>
      <c r="E315" s="52"/>
      <c r="F315" s="52"/>
      <c r="G315" s="53"/>
      <c r="H315" s="20"/>
      <c r="I315" s="9">
        <v>3</v>
      </c>
      <c r="J315" s="9"/>
      <c r="K315" s="9"/>
      <c r="L315" s="9"/>
      <c r="M315" s="9">
        <f t="shared" si="46"/>
        <v>19.5</v>
      </c>
      <c r="N315" s="9">
        <f t="shared" si="47"/>
        <v>7.5</v>
      </c>
      <c r="O315" s="9">
        <v>6.5</v>
      </c>
      <c r="P315" s="9">
        <v>2.5</v>
      </c>
      <c r="Q315" s="9" t="s">
        <v>5</v>
      </c>
      <c r="S315" s="26" t="s">
        <v>134</v>
      </c>
    </row>
    <row r="316" spans="1:19" ht="31.2" customHeight="1" x14ac:dyDescent="0.25">
      <c r="A316" s="9"/>
      <c r="B316" s="51" t="s">
        <v>123</v>
      </c>
      <c r="C316" s="52"/>
      <c r="D316" s="52"/>
      <c r="E316" s="52"/>
      <c r="F316" s="52"/>
      <c r="G316" s="53"/>
      <c r="H316" s="20"/>
      <c r="I316" s="9">
        <v>3</v>
      </c>
      <c r="J316" s="9"/>
      <c r="K316" s="9"/>
      <c r="L316" s="9"/>
      <c r="M316" s="9">
        <f t="shared" si="46"/>
        <v>23.4</v>
      </c>
      <c r="N316" s="9">
        <f t="shared" si="47"/>
        <v>9</v>
      </c>
      <c r="O316" s="9">
        <v>7.8</v>
      </c>
      <c r="P316" s="9">
        <v>3</v>
      </c>
      <c r="Q316" s="9" t="s">
        <v>6</v>
      </c>
      <c r="S316" s="26" t="s">
        <v>134</v>
      </c>
    </row>
    <row r="317" spans="1:19" ht="16.5" hidden="1" customHeight="1" x14ac:dyDescent="0.25">
      <c r="A317" s="21"/>
      <c r="H317" s="21"/>
      <c r="I317" s="21"/>
      <c r="J317" s="21"/>
      <c r="K317" s="21"/>
      <c r="L317" s="21"/>
      <c r="M317" s="9">
        <f t="shared" si="46"/>
        <v>0</v>
      </c>
      <c r="N317" s="9">
        <f t="shared" si="47"/>
        <v>0</v>
      </c>
      <c r="O317" s="21"/>
      <c r="P317" s="21"/>
      <c r="Q317" s="21"/>
      <c r="S317" s="25"/>
    </row>
    <row r="318" spans="1:19" ht="16.5" customHeight="1" x14ac:dyDescent="0.25">
      <c r="A318" s="9"/>
      <c r="B318" s="39" t="s">
        <v>42</v>
      </c>
      <c r="C318" s="40"/>
      <c r="D318" s="40"/>
      <c r="E318" s="40"/>
      <c r="F318" s="40"/>
      <c r="G318" s="41"/>
      <c r="H318" s="23"/>
      <c r="I318" s="24">
        <f>SUM(I308:I317)</f>
        <v>23</v>
      </c>
      <c r="J318" s="9"/>
      <c r="K318" s="9"/>
      <c r="L318" s="9"/>
      <c r="M318" s="9">
        <f t="shared" si="46"/>
        <v>161</v>
      </c>
      <c r="N318" s="9">
        <f t="shared" si="47"/>
        <v>61.41</v>
      </c>
      <c r="O318" s="24">
        <f>ROUND(SUM(M308:M317)/I318,2)</f>
        <v>7</v>
      </c>
      <c r="P318" s="24">
        <f>ROUND(SUM(N308:N317)/I318,2)</f>
        <v>2.67</v>
      </c>
      <c r="Q318" s="9"/>
      <c r="S318" s="25"/>
    </row>
    <row r="319" spans="1:19" ht="16.5" customHeight="1" x14ac:dyDescent="0.25">
      <c r="A319" s="21"/>
      <c r="B319" s="22"/>
      <c r="C319" s="22"/>
      <c r="D319" s="22"/>
      <c r="E319" s="22"/>
      <c r="F319" s="22"/>
      <c r="G319" s="22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1" spans="1:20" ht="19.5" customHeight="1" x14ac:dyDescent="0.25">
      <c r="A321" s="17"/>
      <c r="B321" s="17"/>
      <c r="C321" s="8"/>
      <c r="D321" s="18"/>
      <c r="E321" s="10"/>
      <c r="F321" s="11"/>
      <c r="G321" s="46" t="s">
        <v>49</v>
      </c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</row>
    <row r="322" spans="1:20" ht="31.5" customHeight="1" x14ac:dyDescent="0.3">
      <c r="A322" s="8"/>
      <c r="B322" s="8"/>
      <c r="C322" s="8"/>
      <c r="D322" s="8"/>
      <c r="E322" s="8"/>
      <c r="F322" s="8"/>
      <c r="G322" s="8"/>
      <c r="H322" s="12"/>
      <c r="I322" s="42" t="s">
        <v>40</v>
      </c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 spans="1:20" ht="16.8" x14ac:dyDescent="0.3">
      <c r="A323" s="8"/>
      <c r="B323" s="8"/>
      <c r="C323" s="8"/>
      <c r="D323" s="8"/>
      <c r="E323" s="8"/>
      <c r="F323" s="8"/>
      <c r="G323" s="8"/>
      <c r="H323" s="12"/>
      <c r="I323" s="12"/>
      <c r="J323" s="12"/>
      <c r="K323" s="12"/>
      <c r="L323" s="8"/>
      <c r="M323" s="8"/>
      <c r="N323" s="8"/>
      <c r="O323" s="8"/>
      <c r="P323" s="8"/>
      <c r="Q323" s="8"/>
    </row>
    <row r="324" spans="1:20" ht="33" customHeight="1" x14ac:dyDescent="0.3">
      <c r="A324" s="8"/>
      <c r="B324" s="8"/>
      <c r="C324" s="8"/>
      <c r="D324" s="8"/>
      <c r="E324" s="8"/>
      <c r="F324" s="8"/>
      <c r="G324" s="8"/>
      <c r="H324" s="12"/>
      <c r="I324" s="12"/>
      <c r="J324" s="12"/>
      <c r="K324" s="12"/>
      <c r="L324" s="8"/>
      <c r="M324" s="8"/>
      <c r="N324" s="8"/>
      <c r="O324" s="8"/>
      <c r="P324" s="8"/>
      <c r="Q324" s="8"/>
    </row>
    <row r="325" spans="1:20" ht="11.25" customHeight="1" x14ac:dyDescent="0.3">
      <c r="A325" s="8"/>
      <c r="B325" s="8"/>
      <c r="C325" s="8"/>
      <c r="D325" s="8"/>
      <c r="E325" s="8"/>
      <c r="F325" s="8"/>
      <c r="G325" s="8"/>
      <c r="H325" s="12"/>
      <c r="I325" s="12"/>
      <c r="J325" s="12"/>
      <c r="K325" s="12"/>
      <c r="L325" s="8"/>
      <c r="M325" s="8"/>
      <c r="N325" s="8"/>
      <c r="O325" s="8"/>
      <c r="P325" s="8"/>
      <c r="Q325" s="8"/>
    </row>
    <row r="326" spans="1:20" ht="17.399999999999999" x14ac:dyDescent="0.3">
      <c r="A326" s="8"/>
      <c r="B326" s="8"/>
      <c r="C326" s="8"/>
      <c r="D326" s="8"/>
      <c r="E326" s="8"/>
      <c r="F326" s="8"/>
      <c r="G326" s="47" t="s">
        <v>41</v>
      </c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</row>
    <row r="327" spans="1:20" ht="54" customHeight="1" x14ac:dyDescent="0.25">
      <c r="A327" s="48" t="s">
        <v>33</v>
      </c>
      <c r="B327" s="48"/>
      <c r="C327" s="48"/>
      <c r="D327" s="48"/>
      <c r="E327" s="48"/>
      <c r="F327" s="42" t="s">
        <v>24</v>
      </c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</row>
    <row r="328" spans="1:20" ht="17.399999999999999" x14ac:dyDescent="0.25">
      <c r="A328" s="49" t="s">
        <v>34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20" ht="4.5" customHeight="1" x14ac:dyDescent="0.2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</row>
    <row r="330" spans="1:20" ht="5.25" customHeight="1" x14ac:dyDescent="0.2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20" ht="16.5" customHeight="1" x14ac:dyDescent="0.25">
      <c r="A331" s="54" t="s">
        <v>135</v>
      </c>
      <c r="B331" s="54"/>
      <c r="C331" s="54"/>
      <c r="D331" s="54"/>
      <c r="E331" s="54"/>
      <c r="F331" s="54"/>
      <c r="G331" s="58" t="s">
        <v>136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</row>
    <row r="332" spans="1:20" ht="16.5" customHeight="1" x14ac:dyDescent="0.25">
      <c r="A332" s="54" t="s">
        <v>137</v>
      </c>
      <c r="B332" s="54"/>
      <c r="C332" s="54"/>
      <c r="D332" s="54"/>
      <c r="E332" s="54"/>
      <c r="F332" s="54"/>
      <c r="G332" s="8" t="s">
        <v>46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T332" s="2"/>
    </row>
    <row r="333" spans="1:20" ht="16.5" customHeight="1" x14ac:dyDescent="0.25">
      <c r="A333" s="54" t="s">
        <v>47</v>
      </c>
      <c r="B333" s="54"/>
      <c r="C333" s="54"/>
      <c r="D333" s="54"/>
      <c r="E333" s="54"/>
      <c r="F333" s="54"/>
      <c r="G333" s="58" t="s">
        <v>48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</row>
    <row r="334" spans="1:20" ht="5.2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19"/>
      <c r="K334" s="19"/>
      <c r="L334" s="19"/>
      <c r="M334" s="19"/>
      <c r="N334" s="19"/>
      <c r="O334" s="19"/>
      <c r="P334" s="19"/>
      <c r="Q334" s="19"/>
    </row>
    <row r="335" spans="1:20" ht="15" customHeight="1" x14ac:dyDescent="0.25">
      <c r="A335" s="36" t="s">
        <v>0</v>
      </c>
      <c r="B335" s="29" t="s">
        <v>1</v>
      </c>
      <c r="C335" s="30"/>
      <c r="D335" s="30"/>
      <c r="E335" s="30"/>
      <c r="F335" s="30"/>
      <c r="G335" s="31"/>
      <c r="H335" s="36" t="s">
        <v>32</v>
      </c>
      <c r="I335" s="36" t="s">
        <v>39</v>
      </c>
      <c r="J335" s="55" t="s">
        <v>2</v>
      </c>
      <c r="K335" s="56"/>
      <c r="L335" s="56"/>
      <c r="M335" s="56"/>
      <c r="N335" s="56"/>
      <c r="O335" s="56"/>
      <c r="P335" s="56"/>
      <c r="Q335" s="57"/>
      <c r="S335" s="36" t="s">
        <v>38</v>
      </c>
    </row>
    <row r="336" spans="1:20" ht="24" customHeight="1" x14ac:dyDescent="0.25">
      <c r="A336" s="37"/>
      <c r="B336" s="32"/>
      <c r="C336" s="33"/>
      <c r="D336" s="33"/>
      <c r="E336" s="33"/>
      <c r="F336" s="33"/>
      <c r="G336" s="34"/>
      <c r="H336" s="37"/>
      <c r="I336" s="37"/>
      <c r="J336" s="7" t="s">
        <v>28</v>
      </c>
      <c r="K336" s="7" t="s">
        <v>29</v>
      </c>
      <c r="L336" s="7" t="s">
        <v>30</v>
      </c>
      <c r="M336" s="7"/>
      <c r="N336" s="7"/>
      <c r="O336" s="6" t="s">
        <v>35</v>
      </c>
      <c r="P336" s="6" t="s">
        <v>36</v>
      </c>
      <c r="Q336" s="6" t="s">
        <v>37</v>
      </c>
      <c r="S336" s="37"/>
    </row>
    <row r="337" spans="1:19" ht="20.25" customHeight="1" x14ac:dyDescent="0.25">
      <c r="A337" s="27" t="s">
        <v>54</v>
      </c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</row>
    <row r="338" spans="1:19" ht="16.5" customHeight="1" x14ac:dyDescent="0.25">
      <c r="A338" s="9"/>
      <c r="B338" s="51" t="s">
        <v>61</v>
      </c>
      <c r="C338" s="52"/>
      <c r="D338" s="52"/>
      <c r="E338" s="52"/>
      <c r="F338" s="52"/>
      <c r="G338" s="53"/>
      <c r="H338" s="20"/>
      <c r="I338" s="9">
        <v>1</v>
      </c>
      <c r="J338" s="9"/>
      <c r="K338" s="9"/>
      <c r="L338" s="9"/>
      <c r="M338" s="9">
        <f t="shared" ref="M338:M346" si="48">I338*O338</f>
        <v>8.1</v>
      </c>
      <c r="N338" s="9">
        <f t="shared" ref="N338:N346" si="49">I338*P338</f>
        <v>3.5</v>
      </c>
      <c r="O338" s="9">
        <v>8.1</v>
      </c>
      <c r="P338" s="9">
        <v>3.5</v>
      </c>
      <c r="Q338" s="9" t="s">
        <v>9</v>
      </c>
      <c r="R338" s="1">
        <v>0</v>
      </c>
      <c r="S338" s="26"/>
    </row>
    <row r="339" spans="1:19" ht="16.5" customHeight="1" x14ac:dyDescent="0.25">
      <c r="A339" s="9"/>
      <c r="B339" s="51" t="s">
        <v>56</v>
      </c>
      <c r="C339" s="52"/>
      <c r="D339" s="52"/>
      <c r="E339" s="52"/>
      <c r="F339" s="52"/>
      <c r="G339" s="53"/>
      <c r="H339" s="20"/>
      <c r="I339" s="9">
        <v>3</v>
      </c>
      <c r="J339" s="9"/>
      <c r="K339" s="9"/>
      <c r="L339" s="9"/>
      <c r="M339" s="9">
        <f t="shared" si="48"/>
        <v>20.100000000000001</v>
      </c>
      <c r="N339" s="9">
        <f t="shared" si="49"/>
        <v>7.5</v>
      </c>
      <c r="O339" s="9">
        <v>6.7</v>
      </c>
      <c r="P339" s="9">
        <v>2.5</v>
      </c>
      <c r="Q339" s="9" t="s">
        <v>5</v>
      </c>
      <c r="R339" s="1">
        <v>0</v>
      </c>
      <c r="S339" s="26"/>
    </row>
    <row r="340" spans="1:19" ht="31.2" customHeight="1" x14ac:dyDescent="0.25">
      <c r="A340" s="9"/>
      <c r="B340" s="51" t="s">
        <v>57</v>
      </c>
      <c r="C340" s="52"/>
      <c r="D340" s="52"/>
      <c r="E340" s="52"/>
      <c r="F340" s="52"/>
      <c r="G340" s="53"/>
      <c r="H340" s="20"/>
      <c r="I340" s="9">
        <v>3</v>
      </c>
      <c r="J340" s="9"/>
      <c r="K340" s="9"/>
      <c r="L340" s="9"/>
      <c r="M340" s="9">
        <f t="shared" si="48"/>
        <v>22.200000000000003</v>
      </c>
      <c r="N340" s="9">
        <f t="shared" si="49"/>
        <v>9</v>
      </c>
      <c r="O340" s="9">
        <v>7.4</v>
      </c>
      <c r="P340" s="9">
        <v>3</v>
      </c>
      <c r="Q340" s="9" t="s">
        <v>6</v>
      </c>
      <c r="R340" s="1">
        <v>0</v>
      </c>
      <c r="S340" s="26"/>
    </row>
    <row r="341" spans="1:19" ht="16.5" customHeight="1" x14ac:dyDescent="0.25">
      <c r="A341" s="9"/>
      <c r="B341" s="51" t="s">
        <v>58</v>
      </c>
      <c r="C341" s="52"/>
      <c r="D341" s="52"/>
      <c r="E341" s="52"/>
      <c r="F341" s="52"/>
      <c r="G341" s="53"/>
      <c r="H341" s="20"/>
      <c r="I341" s="9">
        <v>1</v>
      </c>
      <c r="J341" s="9"/>
      <c r="K341" s="9"/>
      <c r="L341" s="9"/>
      <c r="M341" s="9">
        <f t="shared" si="48"/>
        <v>7</v>
      </c>
      <c r="N341" s="9">
        <f t="shared" si="49"/>
        <v>3</v>
      </c>
      <c r="O341" s="9">
        <v>7</v>
      </c>
      <c r="P341" s="9">
        <v>3</v>
      </c>
      <c r="Q341" s="9" t="s">
        <v>6</v>
      </c>
      <c r="R341" s="1">
        <v>0</v>
      </c>
      <c r="S341" s="26"/>
    </row>
    <row r="342" spans="1:19" ht="16.5" customHeight="1" x14ac:dyDescent="0.25">
      <c r="A342" s="9"/>
      <c r="B342" s="51" t="s">
        <v>59</v>
      </c>
      <c r="C342" s="52"/>
      <c r="D342" s="52"/>
      <c r="E342" s="52"/>
      <c r="F342" s="52"/>
      <c r="G342" s="53"/>
      <c r="H342" s="20"/>
      <c r="I342" s="9">
        <v>1</v>
      </c>
      <c r="J342" s="9"/>
      <c r="K342" s="9"/>
      <c r="L342" s="9"/>
      <c r="M342" s="9">
        <f t="shared" si="48"/>
        <v>6.8</v>
      </c>
      <c r="N342" s="9">
        <f t="shared" si="49"/>
        <v>2.5</v>
      </c>
      <c r="O342" s="9">
        <v>6.8</v>
      </c>
      <c r="P342" s="9">
        <v>2.5</v>
      </c>
      <c r="Q342" s="9" t="s">
        <v>5</v>
      </c>
      <c r="R342" s="1">
        <v>0</v>
      </c>
      <c r="S342" s="26"/>
    </row>
    <row r="343" spans="1:19" ht="16.5" customHeight="1" x14ac:dyDescent="0.25">
      <c r="A343" s="9"/>
      <c r="B343" s="51" t="s">
        <v>60</v>
      </c>
      <c r="C343" s="52"/>
      <c r="D343" s="52"/>
      <c r="E343" s="52"/>
      <c r="F343" s="52"/>
      <c r="G343" s="53"/>
      <c r="H343" s="20"/>
      <c r="I343" s="9">
        <v>3</v>
      </c>
      <c r="J343" s="9"/>
      <c r="K343" s="9"/>
      <c r="L343" s="9"/>
      <c r="M343" s="9">
        <f t="shared" si="48"/>
        <v>23.700000000000003</v>
      </c>
      <c r="N343" s="9">
        <f t="shared" si="49"/>
        <v>9</v>
      </c>
      <c r="O343" s="9">
        <v>7.9</v>
      </c>
      <c r="P343" s="9">
        <v>3</v>
      </c>
      <c r="Q343" s="9" t="s">
        <v>6</v>
      </c>
      <c r="R343" s="1">
        <v>0</v>
      </c>
      <c r="S343" s="26"/>
    </row>
    <row r="344" spans="1:19" ht="16.5" customHeight="1" x14ac:dyDescent="0.25">
      <c r="A344" s="9"/>
      <c r="B344" s="51" t="s">
        <v>55</v>
      </c>
      <c r="C344" s="52"/>
      <c r="D344" s="52"/>
      <c r="E344" s="52"/>
      <c r="F344" s="52"/>
      <c r="G344" s="53"/>
      <c r="H344" s="20"/>
      <c r="I344" s="9">
        <v>2</v>
      </c>
      <c r="J344" s="9"/>
      <c r="K344" s="9"/>
      <c r="L344" s="9"/>
      <c r="M344" s="9">
        <f t="shared" si="48"/>
        <v>13.6</v>
      </c>
      <c r="N344" s="9">
        <f t="shared" si="49"/>
        <v>5</v>
      </c>
      <c r="O344" s="9">
        <v>6.8</v>
      </c>
      <c r="P344" s="9">
        <v>2.5</v>
      </c>
      <c r="Q344" s="9" t="s">
        <v>5</v>
      </c>
      <c r="R344" s="1">
        <v>0</v>
      </c>
      <c r="S344" s="26"/>
    </row>
    <row r="345" spans="1:19" ht="16.5" hidden="1" customHeight="1" x14ac:dyDescent="0.25">
      <c r="A345" s="21"/>
      <c r="H345" s="21"/>
      <c r="I345" s="21"/>
      <c r="J345" s="21"/>
      <c r="K345" s="21"/>
      <c r="L345" s="21"/>
      <c r="M345" s="9">
        <f t="shared" si="48"/>
        <v>0</v>
      </c>
      <c r="N345" s="9">
        <f t="shared" si="49"/>
        <v>0</v>
      </c>
      <c r="O345" s="21"/>
      <c r="P345" s="21"/>
      <c r="Q345" s="21"/>
      <c r="S345" s="25"/>
    </row>
    <row r="346" spans="1:19" ht="16.5" customHeight="1" x14ac:dyDescent="0.25">
      <c r="A346" s="9"/>
      <c r="B346" s="39" t="s">
        <v>42</v>
      </c>
      <c r="C346" s="40"/>
      <c r="D346" s="40"/>
      <c r="E346" s="40"/>
      <c r="F346" s="40"/>
      <c r="G346" s="41"/>
      <c r="H346" s="23"/>
      <c r="I346" s="24">
        <f>SUM(I338:I345)</f>
        <v>14</v>
      </c>
      <c r="J346" s="9"/>
      <c r="K346" s="9"/>
      <c r="L346" s="9"/>
      <c r="M346" s="9">
        <f t="shared" si="48"/>
        <v>101.5</v>
      </c>
      <c r="N346" s="9">
        <f t="shared" si="49"/>
        <v>39.479999999999997</v>
      </c>
      <c r="O346" s="24">
        <f>ROUND(SUM(M338:M345)/I346,2)</f>
        <v>7.25</v>
      </c>
      <c r="P346" s="24">
        <f>ROUND(SUM(N338:N345)/I346,2)</f>
        <v>2.82</v>
      </c>
      <c r="Q346" s="9"/>
      <c r="S346" s="25"/>
    </row>
    <row r="347" spans="1:19" ht="20.25" customHeight="1" x14ac:dyDescent="0.25">
      <c r="A347" s="27" t="s">
        <v>62</v>
      </c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</row>
    <row r="348" spans="1:19" ht="16.5" customHeight="1" x14ac:dyDescent="0.25">
      <c r="A348" s="9"/>
      <c r="B348" s="51" t="s">
        <v>63</v>
      </c>
      <c r="C348" s="52"/>
      <c r="D348" s="52"/>
      <c r="E348" s="52"/>
      <c r="F348" s="52"/>
      <c r="G348" s="53"/>
      <c r="H348" s="20"/>
      <c r="I348" s="9">
        <v>4</v>
      </c>
      <c r="J348" s="9"/>
      <c r="K348" s="9"/>
      <c r="L348" s="9"/>
      <c r="M348" s="9">
        <f t="shared" ref="M348:M356" si="50">I348*O348</f>
        <v>22.4</v>
      </c>
      <c r="N348" s="9">
        <f t="shared" ref="N348:N356" si="51">I348*P348</f>
        <v>8</v>
      </c>
      <c r="O348" s="9">
        <v>5.6</v>
      </c>
      <c r="P348" s="9">
        <v>2</v>
      </c>
      <c r="Q348" s="9" t="s">
        <v>3</v>
      </c>
      <c r="R348" s="1">
        <v>0</v>
      </c>
      <c r="S348" s="26"/>
    </row>
    <row r="349" spans="1:19" ht="16.5" customHeight="1" x14ac:dyDescent="0.25">
      <c r="A349" s="9"/>
      <c r="B349" s="51" t="s">
        <v>64</v>
      </c>
      <c r="C349" s="52"/>
      <c r="D349" s="52"/>
      <c r="E349" s="52"/>
      <c r="F349" s="52"/>
      <c r="G349" s="53"/>
      <c r="H349" s="20"/>
      <c r="I349" s="9">
        <v>4</v>
      </c>
      <c r="J349" s="9"/>
      <c r="K349" s="9"/>
      <c r="L349" s="9"/>
      <c r="M349" s="9">
        <f t="shared" si="50"/>
        <v>24.8</v>
      </c>
      <c r="N349" s="9">
        <f t="shared" si="51"/>
        <v>8</v>
      </c>
      <c r="O349" s="9">
        <v>6.2</v>
      </c>
      <c r="P349" s="9">
        <v>2</v>
      </c>
      <c r="Q349" s="9" t="s">
        <v>3</v>
      </c>
      <c r="R349" s="1">
        <v>0</v>
      </c>
      <c r="S349" s="26"/>
    </row>
    <row r="350" spans="1:19" ht="16.5" customHeight="1" x14ac:dyDescent="0.25">
      <c r="A350" s="9"/>
      <c r="B350" s="51" t="s">
        <v>65</v>
      </c>
      <c r="C350" s="52"/>
      <c r="D350" s="52"/>
      <c r="E350" s="52"/>
      <c r="F350" s="52"/>
      <c r="G350" s="53"/>
      <c r="H350" s="20"/>
      <c r="I350" s="9">
        <v>4</v>
      </c>
      <c r="J350" s="9"/>
      <c r="K350" s="9"/>
      <c r="L350" s="9"/>
      <c r="M350" s="9">
        <f t="shared" si="50"/>
        <v>28.8</v>
      </c>
      <c r="N350" s="9">
        <f t="shared" si="51"/>
        <v>12</v>
      </c>
      <c r="O350" s="9">
        <v>7.2</v>
      </c>
      <c r="P350" s="9">
        <v>3</v>
      </c>
      <c r="Q350" s="9" t="s">
        <v>6</v>
      </c>
      <c r="R350" s="1">
        <v>0</v>
      </c>
      <c r="S350" s="26"/>
    </row>
    <row r="351" spans="1:19" ht="16.5" customHeight="1" x14ac:dyDescent="0.25">
      <c r="A351" s="9"/>
      <c r="B351" s="51" t="s">
        <v>66</v>
      </c>
      <c r="C351" s="52"/>
      <c r="D351" s="52"/>
      <c r="E351" s="52"/>
      <c r="F351" s="52"/>
      <c r="G351" s="53"/>
      <c r="H351" s="20"/>
      <c r="I351" s="9">
        <v>1</v>
      </c>
      <c r="J351" s="9"/>
      <c r="K351" s="9"/>
      <c r="L351" s="9"/>
      <c r="M351" s="9">
        <f t="shared" si="50"/>
        <v>7.1</v>
      </c>
      <c r="N351" s="9">
        <f t="shared" si="51"/>
        <v>3</v>
      </c>
      <c r="O351" s="9">
        <v>7.1</v>
      </c>
      <c r="P351" s="9">
        <v>3</v>
      </c>
      <c r="Q351" s="9" t="s">
        <v>6</v>
      </c>
      <c r="R351" s="1">
        <v>0</v>
      </c>
      <c r="S351" s="26"/>
    </row>
    <row r="352" spans="1:19" ht="16.5" customHeight="1" x14ac:dyDescent="0.25">
      <c r="A352" s="9"/>
      <c r="B352" s="51" t="s">
        <v>67</v>
      </c>
      <c r="C352" s="52"/>
      <c r="D352" s="52"/>
      <c r="E352" s="52"/>
      <c r="F352" s="52"/>
      <c r="G352" s="53"/>
      <c r="H352" s="20"/>
      <c r="I352" s="9">
        <v>1</v>
      </c>
      <c r="J352" s="9"/>
      <c r="K352" s="9"/>
      <c r="L352" s="9"/>
      <c r="M352" s="9">
        <f t="shared" si="50"/>
        <v>7.6</v>
      </c>
      <c r="N352" s="9">
        <f t="shared" si="51"/>
        <v>3</v>
      </c>
      <c r="O352" s="9">
        <v>7.6</v>
      </c>
      <c r="P352" s="9">
        <v>3</v>
      </c>
      <c r="Q352" s="9" t="s">
        <v>6</v>
      </c>
      <c r="R352" s="1">
        <v>0</v>
      </c>
      <c r="S352" s="26"/>
    </row>
    <row r="353" spans="1:19" ht="16.5" customHeight="1" x14ac:dyDescent="0.25">
      <c r="A353" s="9"/>
      <c r="B353" s="51" t="s">
        <v>69</v>
      </c>
      <c r="C353" s="52"/>
      <c r="D353" s="52"/>
      <c r="E353" s="52"/>
      <c r="F353" s="52"/>
      <c r="G353" s="53"/>
      <c r="H353" s="20"/>
      <c r="I353" s="9">
        <v>1</v>
      </c>
      <c r="J353" s="9"/>
      <c r="K353" s="9"/>
      <c r="L353" s="9"/>
      <c r="M353" s="9">
        <f t="shared" si="50"/>
        <v>7.3</v>
      </c>
      <c r="N353" s="9">
        <f t="shared" si="51"/>
        <v>3</v>
      </c>
      <c r="O353" s="9">
        <v>7.3</v>
      </c>
      <c r="P353" s="9">
        <v>3</v>
      </c>
      <c r="Q353" s="9" t="s">
        <v>6</v>
      </c>
      <c r="R353" s="1">
        <v>0</v>
      </c>
      <c r="S353" s="26"/>
    </row>
    <row r="354" spans="1:19" ht="16.5" customHeight="1" x14ac:dyDescent="0.25">
      <c r="A354" s="9"/>
      <c r="B354" s="51" t="s">
        <v>68</v>
      </c>
      <c r="C354" s="52"/>
      <c r="D354" s="52"/>
      <c r="E354" s="52"/>
      <c r="F354" s="52"/>
      <c r="G354" s="53"/>
      <c r="H354" s="20"/>
      <c r="I354" s="9">
        <v>1</v>
      </c>
      <c r="J354" s="9"/>
      <c r="K354" s="9"/>
      <c r="L354" s="9"/>
      <c r="M354" s="9">
        <f t="shared" si="50"/>
        <v>7.1</v>
      </c>
      <c r="N354" s="9">
        <f t="shared" si="51"/>
        <v>3</v>
      </c>
      <c r="O354" s="9">
        <v>7.1</v>
      </c>
      <c r="P354" s="9">
        <v>3</v>
      </c>
      <c r="Q354" s="9" t="s">
        <v>6</v>
      </c>
      <c r="R354" s="1">
        <v>0</v>
      </c>
      <c r="S354" s="26"/>
    </row>
    <row r="355" spans="1:19" ht="16.5" hidden="1" customHeight="1" x14ac:dyDescent="0.25">
      <c r="A355" s="21"/>
      <c r="H355" s="21"/>
      <c r="I355" s="21"/>
      <c r="J355" s="21"/>
      <c r="K355" s="21"/>
      <c r="L355" s="21"/>
      <c r="M355" s="9">
        <f t="shared" si="50"/>
        <v>0</v>
      </c>
      <c r="N355" s="9">
        <f t="shared" si="51"/>
        <v>0</v>
      </c>
      <c r="O355" s="21"/>
      <c r="P355" s="21"/>
      <c r="Q355" s="21"/>
      <c r="S355" s="25"/>
    </row>
    <row r="356" spans="1:19" ht="16.5" customHeight="1" x14ac:dyDescent="0.25">
      <c r="A356" s="9"/>
      <c r="B356" s="39" t="s">
        <v>42</v>
      </c>
      <c r="C356" s="40"/>
      <c r="D356" s="40"/>
      <c r="E356" s="40"/>
      <c r="F356" s="40"/>
      <c r="G356" s="41"/>
      <c r="H356" s="23"/>
      <c r="I356" s="24">
        <f>SUM(I348:I355)</f>
        <v>16</v>
      </c>
      <c r="J356" s="9"/>
      <c r="K356" s="9"/>
      <c r="L356" s="9"/>
      <c r="M356" s="9">
        <f t="shared" si="50"/>
        <v>105.12</v>
      </c>
      <c r="N356" s="9">
        <f t="shared" si="51"/>
        <v>40</v>
      </c>
      <c r="O356" s="24">
        <f>ROUND(SUM(M348:M355)/I356,2)</f>
        <v>6.57</v>
      </c>
      <c r="P356" s="24">
        <f>ROUND(SUM(N348:N355)/I356,2)</f>
        <v>2.5</v>
      </c>
      <c r="Q356" s="9"/>
      <c r="S356" s="25"/>
    </row>
    <row r="357" spans="1:19" ht="20.25" customHeight="1" x14ac:dyDescent="0.25">
      <c r="A357" s="27" t="s">
        <v>70</v>
      </c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</row>
    <row r="358" spans="1:19" ht="16.5" customHeight="1" x14ac:dyDescent="0.25">
      <c r="A358" s="9"/>
      <c r="B358" s="51" t="s">
        <v>71</v>
      </c>
      <c r="C358" s="52"/>
      <c r="D358" s="52"/>
      <c r="E358" s="52"/>
      <c r="F358" s="52"/>
      <c r="G358" s="53"/>
      <c r="H358" s="20"/>
      <c r="I358" s="9">
        <v>4</v>
      </c>
      <c r="J358" s="9"/>
      <c r="K358" s="9"/>
      <c r="L358" s="9"/>
      <c r="M358" s="9">
        <f t="shared" ref="M358:M367" si="52">I358*O358</f>
        <v>23.6</v>
      </c>
      <c r="N358" s="9">
        <f t="shared" ref="N358:N367" si="53">I358*P358</f>
        <v>8</v>
      </c>
      <c r="O358" s="9">
        <v>5.9</v>
      </c>
      <c r="P358" s="9">
        <v>2</v>
      </c>
      <c r="Q358" s="9" t="s">
        <v>3</v>
      </c>
      <c r="R358" s="1">
        <v>0</v>
      </c>
      <c r="S358" s="26"/>
    </row>
    <row r="359" spans="1:19" ht="16.5" customHeight="1" x14ac:dyDescent="0.25">
      <c r="A359" s="9"/>
      <c r="B359" s="51" t="s">
        <v>72</v>
      </c>
      <c r="C359" s="52"/>
      <c r="D359" s="52"/>
      <c r="E359" s="52"/>
      <c r="F359" s="52"/>
      <c r="G359" s="53"/>
      <c r="H359" s="20"/>
      <c r="I359" s="9">
        <v>4</v>
      </c>
      <c r="J359" s="9"/>
      <c r="K359" s="9"/>
      <c r="L359" s="9"/>
      <c r="M359" s="9">
        <f t="shared" si="52"/>
        <v>25.2</v>
      </c>
      <c r="N359" s="9">
        <f t="shared" si="53"/>
        <v>8</v>
      </c>
      <c r="O359" s="9">
        <v>6.3</v>
      </c>
      <c r="P359" s="9">
        <v>2</v>
      </c>
      <c r="Q359" s="9" t="s">
        <v>3</v>
      </c>
      <c r="R359" s="1">
        <v>0</v>
      </c>
      <c r="S359" s="26"/>
    </row>
    <row r="360" spans="1:19" ht="16.5" customHeight="1" x14ac:dyDescent="0.25">
      <c r="A360" s="9"/>
      <c r="B360" s="51" t="s">
        <v>73</v>
      </c>
      <c r="C360" s="52"/>
      <c r="D360" s="52"/>
      <c r="E360" s="52"/>
      <c r="F360" s="52"/>
      <c r="G360" s="53"/>
      <c r="H360" s="20"/>
      <c r="I360" s="9">
        <v>1</v>
      </c>
      <c r="J360" s="9"/>
      <c r="K360" s="9"/>
      <c r="L360" s="9"/>
      <c r="M360" s="9">
        <f t="shared" si="52"/>
        <v>5.9</v>
      </c>
      <c r="N360" s="9">
        <f t="shared" si="53"/>
        <v>2</v>
      </c>
      <c r="O360" s="9">
        <v>5.9</v>
      </c>
      <c r="P360" s="9">
        <v>2</v>
      </c>
      <c r="Q360" s="9" t="s">
        <v>3</v>
      </c>
      <c r="R360" s="1">
        <v>0</v>
      </c>
      <c r="S360" s="26"/>
    </row>
    <row r="361" spans="1:19" ht="16.5" customHeight="1" x14ac:dyDescent="0.25">
      <c r="A361" s="9"/>
      <c r="B361" s="51" t="s">
        <v>74</v>
      </c>
      <c r="C361" s="52"/>
      <c r="D361" s="52"/>
      <c r="E361" s="52"/>
      <c r="F361" s="52"/>
      <c r="G361" s="53"/>
      <c r="H361" s="20"/>
      <c r="I361" s="9">
        <v>2</v>
      </c>
      <c r="J361" s="9"/>
      <c r="K361" s="9"/>
      <c r="L361" s="9"/>
      <c r="M361" s="9">
        <f t="shared" si="52"/>
        <v>14.8</v>
      </c>
      <c r="N361" s="9">
        <f t="shared" si="53"/>
        <v>6</v>
      </c>
      <c r="O361" s="9">
        <v>7.4</v>
      </c>
      <c r="P361" s="9">
        <v>3</v>
      </c>
      <c r="Q361" s="9" t="s">
        <v>6</v>
      </c>
      <c r="R361" s="1">
        <v>0</v>
      </c>
      <c r="S361" s="26"/>
    </row>
    <row r="362" spans="1:19" ht="16.5" customHeight="1" x14ac:dyDescent="0.25">
      <c r="A362" s="9"/>
      <c r="B362" s="51" t="s">
        <v>75</v>
      </c>
      <c r="C362" s="52"/>
      <c r="D362" s="52"/>
      <c r="E362" s="52"/>
      <c r="F362" s="52"/>
      <c r="G362" s="53"/>
      <c r="H362" s="20"/>
      <c r="I362" s="9">
        <v>1</v>
      </c>
      <c r="J362" s="9"/>
      <c r="K362" s="9"/>
      <c r="L362" s="9"/>
      <c r="M362" s="9">
        <f t="shared" si="52"/>
        <v>5.5</v>
      </c>
      <c r="N362" s="9">
        <f t="shared" si="53"/>
        <v>2</v>
      </c>
      <c r="O362" s="9">
        <v>5.5</v>
      </c>
      <c r="P362" s="9">
        <v>2</v>
      </c>
      <c r="Q362" s="9" t="s">
        <v>3</v>
      </c>
      <c r="R362" s="1">
        <v>0</v>
      </c>
      <c r="S362" s="26"/>
    </row>
    <row r="363" spans="1:19" ht="16.5" customHeight="1" x14ac:dyDescent="0.25">
      <c r="A363" s="9"/>
      <c r="B363" s="51" t="s">
        <v>76</v>
      </c>
      <c r="C363" s="52"/>
      <c r="D363" s="52"/>
      <c r="E363" s="52"/>
      <c r="F363" s="52"/>
      <c r="G363" s="53"/>
      <c r="H363" s="20"/>
      <c r="I363" s="9">
        <v>4</v>
      </c>
      <c r="J363" s="9"/>
      <c r="K363" s="9"/>
      <c r="L363" s="9"/>
      <c r="M363" s="9">
        <f t="shared" si="52"/>
        <v>25.2</v>
      </c>
      <c r="N363" s="9">
        <f t="shared" si="53"/>
        <v>8</v>
      </c>
      <c r="O363" s="9">
        <v>6.3</v>
      </c>
      <c r="P363" s="9">
        <v>2</v>
      </c>
      <c r="Q363" s="9" t="s">
        <v>3</v>
      </c>
      <c r="R363" s="1">
        <v>0</v>
      </c>
      <c r="S363" s="26"/>
    </row>
    <row r="364" spans="1:19" ht="16.5" customHeight="1" x14ac:dyDescent="0.25">
      <c r="A364" s="9"/>
      <c r="B364" s="51" t="s">
        <v>77</v>
      </c>
      <c r="C364" s="52"/>
      <c r="D364" s="52"/>
      <c r="E364" s="52"/>
      <c r="F364" s="52"/>
      <c r="G364" s="53"/>
      <c r="H364" s="20"/>
      <c r="I364" s="9">
        <v>3</v>
      </c>
      <c r="J364" s="9"/>
      <c r="K364" s="9"/>
      <c r="L364" s="9"/>
      <c r="M364" s="9">
        <f t="shared" si="52"/>
        <v>19.200000000000003</v>
      </c>
      <c r="N364" s="9">
        <f t="shared" si="53"/>
        <v>6</v>
      </c>
      <c r="O364" s="9">
        <v>6.4</v>
      </c>
      <c r="P364" s="9">
        <v>2</v>
      </c>
      <c r="Q364" s="9" t="s">
        <v>3</v>
      </c>
      <c r="R364" s="1">
        <v>0</v>
      </c>
      <c r="S364" s="26"/>
    </row>
    <row r="365" spans="1:19" ht="16.5" customHeight="1" x14ac:dyDescent="0.25">
      <c r="A365" s="9"/>
      <c r="B365" s="51" t="s">
        <v>78</v>
      </c>
      <c r="C365" s="52"/>
      <c r="D365" s="52"/>
      <c r="E365" s="52"/>
      <c r="F365" s="52"/>
      <c r="G365" s="53"/>
      <c r="H365" s="20"/>
      <c r="I365" s="9">
        <v>4</v>
      </c>
      <c r="J365" s="9"/>
      <c r="K365" s="9"/>
      <c r="L365" s="9"/>
      <c r="M365" s="9">
        <f t="shared" si="52"/>
        <v>22.4</v>
      </c>
      <c r="N365" s="9">
        <f t="shared" si="53"/>
        <v>8</v>
      </c>
      <c r="O365" s="9">
        <v>5.6</v>
      </c>
      <c r="P365" s="9">
        <v>2</v>
      </c>
      <c r="Q365" s="9" t="s">
        <v>3</v>
      </c>
      <c r="R365" s="1">
        <v>0</v>
      </c>
      <c r="S365" s="26"/>
    </row>
    <row r="366" spans="1:19" ht="16.5" hidden="1" customHeight="1" x14ac:dyDescent="0.25">
      <c r="A366" s="21"/>
      <c r="H366" s="21"/>
      <c r="I366" s="21"/>
      <c r="J366" s="21"/>
      <c r="K366" s="21"/>
      <c r="L366" s="21"/>
      <c r="M366" s="9">
        <f t="shared" si="52"/>
        <v>0</v>
      </c>
      <c r="N366" s="9">
        <f t="shared" si="53"/>
        <v>0</v>
      </c>
      <c r="O366" s="21"/>
      <c r="P366" s="21"/>
      <c r="Q366" s="21"/>
      <c r="S366" s="25"/>
    </row>
    <row r="367" spans="1:19" ht="16.5" customHeight="1" x14ac:dyDescent="0.25">
      <c r="A367" s="9"/>
      <c r="B367" s="39" t="s">
        <v>42</v>
      </c>
      <c r="C367" s="40"/>
      <c r="D367" s="40"/>
      <c r="E367" s="40"/>
      <c r="F367" s="40"/>
      <c r="G367" s="41"/>
      <c r="H367" s="23"/>
      <c r="I367" s="24">
        <f>SUM(I358:I366)</f>
        <v>23</v>
      </c>
      <c r="J367" s="9"/>
      <c r="K367" s="9"/>
      <c r="L367" s="9"/>
      <c r="M367" s="9">
        <f t="shared" si="52"/>
        <v>141.91</v>
      </c>
      <c r="N367" s="9">
        <f t="shared" si="53"/>
        <v>48.069999999999993</v>
      </c>
      <c r="O367" s="24">
        <f>ROUND(SUM(M358:M366)/I367,2)</f>
        <v>6.17</v>
      </c>
      <c r="P367" s="24">
        <f>ROUND(SUM(N358:N366)/I367,2)</f>
        <v>2.09</v>
      </c>
      <c r="Q367" s="9"/>
      <c r="S367" s="25"/>
    </row>
    <row r="368" spans="1:19" ht="20.25" customHeight="1" x14ac:dyDescent="0.25">
      <c r="A368" s="27" t="s">
        <v>79</v>
      </c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</row>
    <row r="369" spans="1:19" ht="16.5" customHeight="1" x14ac:dyDescent="0.25">
      <c r="A369" s="9"/>
      <c r="B369" s="51" t="s">
        <v>80</v>
      </c>
      <c r="C369" s="52"/>
      <c r="D369" s="52"/>
      <c r="E369" s="52"/>
      <c r="F369" s="52"/>
      <c r="G369" s="53"/>
      <c r="H369" s="20"/>
      <c r="I369" s="9">
        <v>3</v>
      </c>
      <c r="J369" s="9"/>
      <c r="K369" s="9"/>
      <c r="L369" s="9"/>
      <c r="M369" s="9">
        <f t="shared" ref="M369:M374" si="54">I369*O369</f>
        <v>10.5</v>
      </c>
      <c r="N369" s="9">
        <f t="shared" ref="N369:N374" si="55">I369*P369</f>
        <v>0</v>
      </c>
      <c r="O369" s="9">
        <v>3.5</v>
      </c>
      <c r="P369" s="9">
        <v>0</v>
      </c>
      <c r="Q369" s="9" t="s">
        <v>7</v>
      </c>
      <c r="R369" s="1">
        <v>0</v>
      </c>
      <c r="S369" s="26"/>
    </row>
    <row r="370" spans="1:19" ht="16.5" customHeight="1" x14ac:dyDescent="0.25">
      <c r="A370" s="9"/>
      <c r="B370" s="51" t="s">
        <v>81</v>
      </c>
      <c r="C370" s="52"/>
      <c r="D370" s="52"/>
      <c r="E370" s="52"/>
      <c r="F370" s="52"/>
      <c r="G370" s="53"/>
      <c r="H370" s="20"/>
      <c r="I370" s="9">
        <v>1</v>
      </c>
      <c r="J370" s="9"/>
      <c r="K370" s="9"/>
      <c r="L370" s="9"/>
      <c r="M370" s="9">
        <f t="shared" si="54"/>
        <v>7.5</v>
      </c>
      <c r="N370" s="9">
        <f t="shared" si="55"/>
        <v>3</v>
      </c>
      <c r="O370" s="9">
        <v>7.5</v>
      </c>
      <c r="P370" s="9">
        <v>3</v>
      </c>
      <c r="Q370" s="9" t="s">
        <v>6</v>
      </c>
      <c r="R370" s="1">
        <v>0</v>
      </c>
      <c r="S370" s="26"/>
    </row>
    <row r="371" spans="1:19" ht="16.5" customHeight="1" x14ac:dyDescent="0.25">
      <c r="A371" s="9"/>
      <c r="B371" s="51" t="s">
        <v>82</v>
      </c>
      <c r="C371" s="52"/>
      <c r="D371" s="52"/>
      <c r="E371" s="52"/>
      <c r="F371" s="52"/>
      <c r="G371" s="53"/>
      <c r="H371" s="20"/>
      <c r="I371" s="9">
        <v>3</v>
      </c>
      <c r="J371" s="9"/>
      <c r="K371" s="9"/>
      <c r="L371" s="9"/>
      <c r="M371" s="9">
        <f t="shared" si="54"/>
        <v>21</v>
      </c>
      <c r="N371" s="9">
        <f t="shared" si="55"/>
        <v>9</v>
      </c>
      <c r="O371" s="9">
        <v>7</v>
      </c>
      <c r="P371" s="9">
        <v>3</v>
      </c>
      <c r="Q371" s="9" t="s">
        <v>6</v>
      </c>
      <c r="R371" s="1">
        <v>0</v>
      </c>
      <c r="S371" s="26"/>
    </row>
    <row r="372" spans="1:19" ht="16.5" customHeight="1" x14ac:dyDescent="0.25">
      <c r="A372" s="9"/>
      <c r="B372" s="51" t="s">
        <v>83</v>
      </c>
      <c r="C372" s="52"/>
      <c r="D372" s="52"/>
      <c r="E372" s="52"/>
      <c r="F372" s="52"/>
      <c r="G372" s="53"/>
      <c r="H372" s="20"/>
      <c r="I372" s="9">
        <v>2</v>
      </c>
      <c r="J372" s="9"/>
      <c r="K372" s="9"/>
      <c r="L372" s="9"/>
      <c r="M372" s="9">
        <f t="shared" si="54"/>
        <v>13.8</v>
      </c>
      <c r="N372" s="9">
        <f t="shared" si="55"/>
        <v>5</v>
      </c>
      <c r="O372" s="9">
        <v>6.9</v>
      </c>
      <c r="P372" s="9">
        <v>2.5</v>
      </c>
      <c r="Q372" s="9" t="s">
        <v>5</v>
      </c>
      <c r="R372" s="1">
        <v>0</v>
      </c>
      <c r="S372" s="26"/>
    </row>
    <row r="373" spans="1:19" ht="16.5" customHeight="1" x14ac:dyDescent="0.25">
      <c r="A373" s="9"/>
      <c r="B373" s="51" t="s">
        <v>84</v>
      </c>
      <c r="C373" s="52"/>
      <c r="D373" s="52"/>
      <c r="E373" s="52"/>
      <c r="F373" s="52"/>
      <c r="G373" s="53"/>
      <c r="H373" s="20"/>
      <c r="I373" s="9">
        <v>2</v>
      </c>
      <c r="J373" s="9"/>
      <c r="K373" s="9"/>
      <c r="L373" s="9"/>
      <c r="M373" s="9">
        <f t="shared" si="54"/>
        <v>11.8</v>
      </c>
      <c r="N373" s="9">
        <f t="shared" si="55"/>
        <v>4</v>
      </c>
      <c r="O373" s="9">
        <v>5.9</v>
      </c>
      <c r="P373" s="9">
        <v>2</v>
      </c>
      <c r="Q373" s="9" t="s">
        <v>3</v>
      </c>
      <c r="R373" s="1">
        <v>0</v>
      </c>
      <c r="S373" s="26"/>
    </row>
    <row r="374" spans="1:19" ht="16.5" customHeight="1" x14ac:dyDescent="0.25">
      <c r="A374" s="9"/>
      <c r="B374" s="51" t="s">
        <v>85</v>
      </c>
      <c r="C374" s="52"/>
      <c r="D374" s="52"/>
      <c r="E374" s="52"/>
      <c r="F374" s="52"/>
      <c r="G374" s="53"/>
      <c r="H374" s="20"/>
      <c r="I374" s="9">
        <v>3</v>
      </c>
      <c r="J374" s="9"/>
      <c r="K374" s="9"/>
      <c r="L374" s="9"/>
      <c r="M374" s="9">
        <f t="shared" si="54"/>
        <v>18.899999999999999</v>
      </c>
      <c r="N374" s="9">
        <f t="shared" si="55"/>
        <v>6</v>
      </c>
      <c r="O374" s="9">
        <v>6.3</v>
      </c>
      <c r="P374" s="9">
        <v>2</v>
      </c>
      <c r="Q374" s="9" t="s">
        <v>3</v>
      </c>
      <c r="R374" s="1">
        <v>0</v>
      </c>
      <c r="S374" s="26"/>
    </row>
    <row r="375" spans="1:19" ht="15" customHeight="1" x14ac:dyDescent="0.25">
      <c r="A375" s="36" t="s">
        <v>0</v>
      </c>
      <c r="B375" s="29" t="s">
        <v>1</v>
      </c>
      <c r="C375" s="30"/>
      <c r="D375" s="30"/>
      <c r="E375" s="30"/>
      <c r="F375" s="30"/>
      <c r="G375" s="31"/>
      <c r="H375" s="36" t="s">
        <v>32</v>
      </c>
      <c r="I375" s="36" t="s">
        <v>39</v>
      </c>
      <c r="J375" s="55" t="s">
        <v>2</v>
      </c>
      <c r="K375" s="56"/>
      <c r="L375" s="56"/>
      <c r="M375" s="56"/>
      <c r="N375" s="56"/>
      <c r="O375" s="56"/>
      <c r="P375" s="56"/>
      <c r="Q375" s="57"/>
      <c r="S375" s="36" t="s">
        <v>38</v>
      </c>
    </row>
    <row r="376" spans="1:19" ht="24" customHeight="1" x14ac:dyDescent="0.25">
      <c r="A376" s="37"/>
      <c r="B376" s="32"/>
      <c r="C376" s="33"/>
      <c r="D376" s="33"/>
      <c r="E376" s="33"/>
      <c r="F376" s="33"/>
      <c r="G376" s="34"/>
      <c r="H376" s="37"/>
      <c r="I376" s="37"/>
      <c r="J376" s="7" t="s">
        <v>28</v>
      </c>
      <c r="K376" s="7" t="s">
        <v>29</v>
      </c>
      <c r="L376" s="7" t="s">
        <v>30</v>
      </c>
      <c r="M376" s="7"/>
      <c r="N376" s="7"/>
      <c r="O376" s="6" t="s">
        <v>35</v>
      </c>
      <c r="P376" s="6" t="s">
        <v>36</v>
      </c>
      <c r="Q376" s="6" t="s">
        <v>37</v>
      </c>
      <c r="S376" s="37"/>
    </row>
    <row r="377" spans="1:19" ht="16.5" customHeight="1" x14ac:dyDescent="0.25">
      <c r="A377" s="9"/>
      <c r="B377" s="51" t="s">
        <v>86</v>
      </c>
      <c r="C377" s="52"/>
      <c r="D377" s="52"/>
      <c r="E377" s="52"/>
      <c r="F377" s="52"/>
      <c r="G377" s="53"/>
      <c r="H377" s="20"/>
      <c r="I377" s="9">
        <v>4</v>
      </c>
      <c r="J377" s="9"/>
      <c r="K377" s="9"/>
      <c r="L377" s="9"/>
      <c r="M377" s="9">
        <f t="shared" ref="M377:M382" si="56">I377*O377</f>
        <v>26.8</v>
      </c>
      <c r="N377" s="9">
        <f t="shared" ref="N377:N382" si="57">I377*P377</f>
        <v>10</v>
      </c>
      <c r="O377" s="9">
        <v>6.7</v>
      </c>
      <c r="P377" s="9">
        <v>2.5</v>
      </c>
      <c r="Q377" s="9" t="s">
        <v>5</v>
      </c>
      <c r="R377" s="1">
        <v>0</v>
      </c>
      <c r="S377" s="26"/>
    </row>
    <row r="378" spans="1:19" ht="16.5" customHeight="1" x14ac:dyDescent="0.25">
      <c r="A378" s="9"/>
      <c r="B378" s="51" t="s">
        <v>87</v>
      </c>
      <c r="C378" s="52"/>
      <c r="D378" s="52"/>
      <c r="E378" s="52"/>
      <c r="F378" s="52"/>
      <c r="G378" s="53"/>
      <c r="H378" s="20"/>
      <c r="I378" s="9">
        <v>3</v>
      </c>
      <c r="J378" s="9"/>
      <c r="K378" s="9"/>
      <c r="L378" s="9"/>
      <c r="M378" s="9">
        <f t="shared" si="56"/>
        <v>24.900000000000002</v>
      </c>
      <c r="N378" s="9">
        <f t="shared" si="57"/>
        <v>10.5</v>
      </c>
      <c r="O378" s="9">
        <v>8.3000000000000007</v>
      </c>
      <c r="P378" s="9">
        <v>3.5</v>
      </c>
      <c r="Q378" s="9" t="s">
        <v>9</v>
      </c>
      <c r="R378" s="1">
        <v>0</v>
      </c>
      <c r="S378" s="26"/>
    </row>
    <row r="379" spans="1:19" ht="16.5" customHeight="1" x14ac:dyDescent="0.25">
      <c r="A379" s="9"/>
      <c r="B379" s="51" t="s">
        <v>88</v>
      </c>
      <c r="C379" s="52"/>
      <c r="D379" s="52"/>
      <c r="E379" s="52"/>
      <c r="F379" s="52"/>
      <c r="G379" s="53"/>
      <c r="H379" s="20"/>
      <c r="I379" s="9">
        <v>2</v>
      </c>
      <c r="J379" s="9"/>
      <c r="K379" s="9"/>
      <c r="L379" s="9"/>
      <c r="M379" s="9">
        <f t="shared" si="56"/>
        <v>14.4</v>
      </c>
      <c r="N379" s="9">
        <f t="shared" si="57"/>
        <v>6</v>
      </c>
      <c r="O379" s="9">
        <v>7.2</v>
      </c>
      <c r="P379" s="9">
        <v>3</v>
      </c>
      <c r="Q379" s="9" t="s">
        <v>6</v>
      </c>
      <c r="R379" s="1">
        <v>0</v>
      </c>
      <c r="S379" s="26"/>
    </row>
    <row r="380" spans="1:19" ht="16.5" customHeight="1" x14ac:dyDescent="0.25">
      <c r="A380" s="9"/>
      <c r="B380" s="51" t="s">
        <v>89</v>
      </c>
      <c r="C380" s="52"/>
      <c r="D380" s="52"/>
      <c r="E380" s="52"/>
      <c r="F380" s="52"/>
      <c r="G380" s="53"/>
      <c r="H380" s="20"/>
      <c r="I380" s="9">
        <v>2</v>
      </c>
      <c r="J380" s="9"/>
      <c r="K380" s="9"/>
      <c r="L380" s="9"/>
      <c r="M380" s="9">
        <f t="shared" si="56"/>
        <v>15.4</v>
      </c>
      <c r="N380" s="9">
        <f t="shared" si="57"/>
        <v>6</v>
      </c>
      <c r="O380" s="9">
        <v>7.7</v>
      </c>
      <c r="P380" s="9">
        <v>3</v>
      </c>
      <c r="Q380" s="9" t="s">
        <v>6</v>
      </c>
      <c r="R380" s="1">
        <v>0</v>
      </c>
      <c r="S380" s="26"/>
    </row>
    <row r="381" spans="1:19" ht="16.5" hidden="1" customHeight="1" x14ac:dyDescent="0.25">
      <c r="A381" s="21"/>
      <c r="H381" s="21"/>
      <c r="I381" s="21"/>
      <c r="J381" s="21"/>
      <c r="K381" s="21"/>
      <c r="L381" s="21"/>
      <c r="M381" s="9">
        <f t="shared" si="56"/>
        <v>0</v>
      </c>
      <c r="N381" s="9">
        <f t="shared" si="57"/>
        <v>0</v>
      </c>
      <c r="O381" s="21"/>
      <c r="P381" s="21"/>
      <c r="Q381" s="21"/>
      <c r="S381" s="25"/>
    </row>
    <row r="382" spans="1:19" ht="16.5" customHeight="1" x14ac:dyDescent="0.25">
      <c r="A382" s="9"/>
      <c r="B382" s="39" t="s">
        <v>42</v>
      </c>
      <c r="C382" s="40"/>
      <c r="D382" s="40"/>
      <c r="E382" s="40"/>
      <c r="F382" s="40"/>
      <c r="G382" s="41"/>
      <c r="H382" s="23"/>
      <c r="I382" s="24">
        <f>SUM(I369:I381)</f>
        <v>25</v>
      </c>
      <c r="J382" s="9"/>
      <c r="K382" s="9"/>
      <c r="L382" s="9"/>
      <c r="M382" s="9">
        <f t="shared" si="56"/>
        <v>165</v>
      </c>
      <c r="N382" s="9">
        <f t="shared" si="57"/>
        <v>59.5</v>
      </c>
      <c r="O382" s="24">
        <f>ROUND(SUM(M369:M381)/I382,2)</f>
        <v>6.6</v>
      </c>
      <c r="P382" s="24">
        <f>ROUND(SUM(N369:N381)/I382,2)</f>
        <v>2.38</v>
      </c>
      <c r="Q382" s="9"/>
      <c r="S382" s="25"/>
    </row>
    <row r="383" spans="1:19" ht="20.25" customHeight="1" x14ac:dyDescent="0.25">
      <c r="A383" s="27" t="s">
        <v>142</v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</row>
    <row r="384" spans="1:19" ht="16.5" customHeight="1" x14ac:dyDescent="0.25">
      <c r="A384" s="9"/>
      <c r="B384" s="51" t="s">
        <v>80</v>
      </c>
      <c r="C384" s="52"/>
      <c r="D384" s="52"/>
      <c r="E384" s="52"/>
      <c r="F384" s="52"/>
      <c r="G384" s="53"/>
      <c r="H384" s="20"/>
      <c r="I384" s="9">
        <v>3</v>
      </c>
      <c r="J384" s="9"/>
      <c r="K384" s="9"/>
      <c r="L384" s="9"/>
      <c r="M384" s="9">
        <f>I384*O384</f>
        <v>19.5</v>
      </c>
      <c r="N384" s="9">
        <f>I384*P384</f>
        <v>7.5</v>
      </c>
      <c r="O384" s="9">
        <v>6.5</v>
      </c>
      <c r="P384" s="9">
        <v>2.5</v>
      </c>
      <c r="Q384" s="9" t="s">
        <v>5</v>
      </c>
      <c r="R384" s="1">
        <v>6</v>
      </c>
      <c r="S384" s="26" t="s">
        <v>133</v>
      </c>
    </row>
    <row r="385" spans="1:19" ht="16.5" hidden="1" customHeight="1" x14ac:dyDescent="0.25">
      <c r="A385" s="21"/>
      <c r="H385" s="21"/>
      <c r="I385" s="21"/>
      <c r="J385" s="21"/>
      <c r="K385" s="21"/>
      <c r="L385" s="21"/>
      <c r="M385" s="9">
        <f>I385*O385</f>
        <v>0</v>
      </c>
      <c r="N385" s="9">
        <f>I385*P385</f>
        <v>0</v>
      </c>
      <c r="O385" s="21"/>
      <c r="P385" s="21"/>
      <c r="Q385" s="21"/>
      <c r="S385" s="25"/>
    </row>
    <row r="386" spans="1:19" ht="16.5" customHeight="1" x14ac:dyDescent="0.25">
      <c r="A386" s="9"/>
      <c r="B386" s="39" t="s">
        <v>42</v>
      </c>
      <c r="C386" s="40"/>
      <c r="D386" s="40"/>
      <c r="E386" s="40"/>
      <c r="F386" s="40"/>
      <c r="G386" s="41"/>
      <c r="H386" s="23"/>
      <c r="I386" s="24">
        <f>SUM(I384:I385)</f>
        <v>3</v>
      </c>
      <c r="J386" s="9"/>
      <c r="K386" s="9"/>
      <c r="L386" s="9"/>
      <c r="M386" s="9">
        <f>I386*O386</f>
        <v>19.5</v>
      </c>
      <c r="N386" s="9">
        <f>I386*P386</f>
        <v>7.5</v>
      </c>
      <c r="O386" s="24">
        <f>ROUND(SUM(M384:M385)/I386,2)</f>
        <v>6.5</v>
      </c>
      <c r="P386" s="24">
        <f>ROUND(SUM(N384:N385)/I386,2)</f>
        <v>2.5</v>
      </c>
      <c r="Q386" s="9"/>
      <c r="S386" s="25"/>
    </row>
    <row r="387" spans="1:19" ht="20.25" customHeight="1" x14ac:dyDescent="0.25">
      <c r="A387" s="27" t="s">
        <v>90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</row>
    <row r="388" spans="1:19" ht="16.5" customHeight="1" x14ac:dyDescent="0.25">
      <c r="A388" s="9"/>
      <c r="B388" s="51" t="s">
        <v>98</v>
      </c>
      <c r="C388" s="52"/>
      <c r="D388" s="52"/>
      <c r="E388" s="52"/>
      <c r="F388" s="52"/>
      <c r="G388" s="53"/>
      <c r="H388" s="20"/>
      <c r="I388" s="9">
        <v>3</v>
      </c>
      <c r="J388" s="9"/>
      <c r="K388" s="9"/>
      <c r="L388" s="9"/>
      <c r="M388" s="9">
        <f t="shared" ref="M388:M400" si="58">I388*O388</f>
        <v>9</v>
      </c>
      <c r="N388" s="9">
        <f t="shared" ref="N388:N400" si="59">I388*P388</f>
        <v>0</v>
      </c>
      <c r="O388" s="9">
        <v>3</v>
      </c>
      <c r="P388" s="9">
        <v>0</v>
      </c>
      <c r="Q388" s="9" t="s">
        <v>7</v>
      </c>
      <c r="R388" s="1">
        <v>0</v>
      </c>
      <c r="S388" s="26"/>
    </row>
    <row r="389" spans="1:19" ht="16.5" customHeight="1" x14ac:dyDescent="0.25">
      <c r="A389" s="9"/>
      <c r="B389" s="51" t="s">
        <v>93</v>
      </c>
      <c r="C389" s="52"/>
      <c r="D389" s="52"/>
      <c r="E389" s="52"/>
      <c r="F389" s="52"/>
      <c r="G389" s="53"/>
      <c r="H389" s="20"/>
      <c r="I389" s="9">
        <v>3</v>
      </c>
      <c r="J389" s="9"/>
      <c r="K389" s="9"/>
      <c r="L389" s="9"/>
      <c r="M389" s="9">
        <f t="shared" si="58"/>
        <v>17.700000000000003</v>
      </c>
      <c r="N389" s="9">
        <f t="shared" si="59"/>
        <v>6</v>
      </c>
      <c r="O389" s="9">
        <v>5.9</v>
      </c>
      <c r="P389" s="9">
        <v>2</v>
      </c>
      <c r="Q389" s="9" t="s">
        <v>3</v>
      </c>
      <c r="R389" s="1">
        <v>0</v>
      </c>
      <c r="S389" s="26"/>
    </row>
    <row r="390" spans="1:19" ht="16.5" customHeight="1" x14ac:dyDescent="0.25">
      <c r="A390" s="9"/>
      <c r="B390" s="51" t="s">
        <v>94</v>
      </c>
      <c r="C390" s="52"/>
      <c r="D390" s="52"/>
      <c r="E390" s="52"/>
      <c r="F390" s="52"/>
      <c r="G390" s="53"/>
      <c r="H390" s="20"/>
      <c r="I390" s="9">
        <v>1</v>
      </c>
      <c r="J390" s="9"/>
      <c r="K390" s="9"/>
      <c r="L390" s="9"/>
      <c r="M390" s="9">
        <f t="shared" si="58"/>
        <v>8.4</v>
      </c>
      <c r="N390" s="9">
        <f t="shared" si="59"/>
        <v>3.5</v>
      </c>
      <c r="O390" s="9">
        <v>8.4</v>
      </c>
      <c r="P390" s="9">
        <v>3.5</v>
      </c>
      <c r="Q390" s="9" t="s">
        <v>9</v>
      </c>
      <c r="R390" s="1">
        <v>0</v>
      </c>
      <c r="S390" s="26"/>
    </row>
    <row r="391" spans="1:19" ht="16.5" customHeight="1" x14ac:dyDescent="0.25">
      <c r="A391" s="9"/>
      <c r="B391" s="51" t="s">
        <v>91</v>
      </c>
      <c r="C391" s="52"/>
      <c r="D391" s="52"/>
      <c r="E391" s="52"/>
      <c r="F391" s="52"/>
      <c r="G391" s="53"/>
      <c r="H391" s="20"/>
      <c r="I391" s="9">
        <v>1</v>
      </c>
      <c r="J391" s="9"/>
      <c r="K391" s="9"/>
      <c r="L391" s="9"/>
      <c r="M391" s="9">
        <f t="shared" si="58"/>
        <v>6.6</v>
      </c>
      <c r="N391" s="9">
        <f t="shared" si="59"/>
        <v>2.5</v>
      </c>
      <c r="O391" s="9">
        <v>6.6</v>
      </c>
      <c r="P391" s="9">
        <v>2.5</v>
      </c>
      <c r="Q391" s="9" t="s">
        <v>5</v>
      </c>
      <c r="R391" s="1">
        <v>0</v>
      </c>
      <c r="S391" s="26"/>
    </row>
    <row r="392" spans="1:19" ht="16.5" customHeight="1" x14ac:dyDescent="0.25">
      <c r="A392" s="9"/>
      <c r="B392" s="51" t="s">
        <v>96</v>
      </c>
      <c r="C392" s="52"/>
      <c r="D392" s="52"/>
      <c r="E392" s="52"/>
      <c r="F392" s="52"/>
      <c r="G392" s="53"/>
      <c r="H392" s="20"/>
      <c r="I392" s="9">
        <v>1</v>
      </c>
      <c r="J392" s="9"/>
      <c r="K392" s="9"/>
      <c r="L392" s="9"/>
      <c r="M392" s="9">
        <f t="shared" si="58"/>
        <v>7.6</v>
      </c>
      <c r="N392" s="9">
        <f t="shared" si="59"/>
        <v>3</v>
      </c>
      <c r="O392" s="9">
        <v>7.6</v>
      </c>
      <c r="P392" s="9">
        <v>3</v>
      </c>
      <c r="Q392" s="9" t="s">
        <v>6</v>
      </c>
      <c r="R392" s="1">
        <v>0</v>
      </c>
      <c r="S392" s="26"/>
    </row>
    <row r="393" spans="1:19" ht="16.5" customHeight="1" x14ac:dyDescent="0.25">
      <c r="A393" s="9"/>
      <c r="B393" s="51" t="s">
        <v>95</v>
      </c>
      <c r="C393" s="52"/>
      <c r="D393" s="52"/>
      <c r="E393" s="52"/>
      <c r="F393" s="52"/>
      <c r="G393" s="53"/>
      <c r="H393" s="20"/>
      <c r="I393" s="9">
        <v>1</v>
      </c>
      <c r="J393" s="9"/>
      <c r="K393" s="9"/>
      <c r="L393" s="9"/>
      <c r="M393" s="9">
        <f t="shared" si="58"/>
        <v>7.7</v>
      </c>
      <c r="N393" s="9">
        <f t="shared" si="59"/>
        <v>3</v>
      </c>
      <c r="O393" s="9">
        <v>7.7</v>
      </c>
      <c r="P393" s="9">
        <v>3</v>
      </c>
      <c r="Q393" s="9" t="s">
        <v>6</v>
      </c>
      <c r="R393" s="1">
        <v>0</v>
      </c>
      <c r="S393" s="26"/>
    </row>
    <row r="394" spans="1:19" ht="16.5" customHeight="1" x14ac:dyDescent="0.25">
      <c r="A394" s="9"/>
      <c r="B394" s="51" t="s">
        <v>97</v>
      </c>
      <c r="C394" s="52"/>
      <c r="D394" s="52"/>
      <c r="E394" s="52"/>
      <c r="F394" s="52"/>
      <c r="G394" s="53"/>
      <c r="H394" s="20"/>
      <c r="I394" s="9">
        <v>2</v>
      </c>
      <c r="J394" s="9"/>
      <c r="K394" s="9"/>
      <c r="L394" s="9"/>
      <c r="M394" s="9">
        <f t="shared" si="58"/>
        <v>14</v>
      </c>
      <c r="N394" s="9">
        <f t="shared" si="59"/>
        <v>6</v>
      </c>
      <c r="O394" s="9">
        <v>7</v>
      </c>
      <c r="P394" s="9">
        <v>3</v>
      </c>
      <c r="Q394" s="9" t="s">
        <v>6</v>
      </c>
      <c r="R394" s="1">
        <v>0</v>
      </c>
      <c r="S394" s="26"/>
    </row>
    <row r="395" spans="1:19" ht="16.5" customHeight="1" x14ac:dyDescent="0.25">
      <c r="A395" s="9"/>
      <c r="B395" s="51" t="s">
        <v>92</v>
      </c>
      <c r="C395" s="52"/>
      <c r="D395" s="52"/>
      <c r="E395" s="52"/>
      <c r="F395" s="52"/>
      <c r="G395" s="53"/>
      <c r="H395" s="20"/>
      <c r="I395" s="9">
        <v>2</v>
      </c>
      <c r="J395" s="9"/>
      <c r="K395" s="9"/>
      <c r="L395" s="9"/>
      <c r="M395" s="9">
        <f t="shared" si="58"/>
        <v>10.8</v>
      </c>
      <c r="N395" s="9">
        <f t="shared" si="59"/>
        <v>3</v>
      </c>
      <c r="O395" s="9">
        <v>5.4</v>
      </c>
      <c r="P395" s="9">
        <v>1.5</v>
      </c>
      <c r="Q395" s="9" t="s">
        <v>4</v>
      </c>
      <c r="R395" s="1">
        <v>0</v>
      </c>
      <c r="S395" s="26"/>
    </row>
    <row r="396" spans="1:19" ht="16.5" customHeight="1" x14ac:dyDescent="0.25">
      <c r="A396" s="9"/>
      <c r="B396" s="51" t="s">
        <v>99</v>
      </c>
      <c r="C396" s="52"/>
      <c r="D396" s="52"/>
      <c r="E396" s="52"/>
      <c r="F396" s="52"/>
      <c r="G396" s="53"/>
      <c r="H396" s="20"/>
      <c r="I396" s="9">
        <v>2</v>
      </c>
      <c r="J396" s="9"/>
      <c r="K396" s="9"/>
      <c r="L396" s="9"/>
      <c r="M396" s="9">
        <f t="shared" si="58"/>
        <v>13.4</v>
      </c>
      <c r="N396" s="9">
        <f t="shared" si="59"/>
        <v>5</v>
      </c>
      <c r="O396" s="9">
        <v>6.7</v>
      </c>
      <c r="P396" s="9">
        <v>2.5</v>
      </c>
      <c r="Q396" s="9" t="s">
        <v>5</v>
      </c>
      <c r="R396" s="1">
        <v>0</v>
      </c>
      <c r="S396" s="26"/>
    </row>
    <row r="397" spans="1:19" ht="16.5" customHeight="1" x14ac:dyDescent="0.25">
      <c r="A397" s="9"/>
      <c r="B397" s="51" t="s">
        <v>101</v>
      </c>
      <c r="C397" s="52"/>
      <c r="D397" s="52"/>
      <c r="E397" s="52"/>
      <c r="F397" s="52"/>
      <c r="G397" s="53"/>
      <c r="H397" s="20"/>
      <c r="I397" s="9">
        <v>2</v>
      </c>
      <c r="J397" s="9"/>
      <c r="K397" s="9"/>
      <c r="L397" s="9"/>
      <c r="M397" s="9">
        <f t="shared" si="58"/>
        <v>10.4</v>
      </c>
      <c r="N397" s="9">
        <f t="shared" si="59"/>
        <v>3</v>
      </c>
      <c r="O397" s="9">
        <v>5.2</v>
      </c>
      <c r="P397" s="9">
        <v>1.5</v>
      </c>
      <c r="Q397" s="9" t="s">
        <v>4</v>
      </c>
      <c r="R397" s="1">
        <v>0</v>
      </c>
      <c r="S397" s="26"/>
    </row>
    <row r="398" spans="1:19" ht="16.5" customHeight="1" x14ac:dyDescent="0.25">
      <c r="A398" s="9"/>
      <c r="B398" s="51" t="s">
        <v>100</v>
      </c>
      <c r="C398" s="52"/>
      <c r="D398" s="52"/>
      <c r="E398" s="52"/>
      <c r="F398" s="52"/>
      <c r="G398" s="53"/>
      <c r="H398" s="20"/>
      <c r="I398" s="9">
        <v>4</v>
      </c>
      <c r="J398" s="9"/>
      <c r="K398" s="9"/>
      <c r="L398" s="9"/>
      <c r="M398" s="9">
        <f t="shared" si="58"/>
        <v>8</v>
      </c>
      <c r="N398" s="9">
        <f t="shared" si="59"/>
        <v>0</v>
      </c>
      <c r="O398" s="9">
        <v>2</v>
      </c>
      <c r="P398" s="9">
        <v>0</v>
      </c>
      <c r="Q398" s="9" t="s">
        <v>7</v>
      </c>
      <c r="R398" s="1">
        <v>0</v>
      </c>
      <c r="S398" s="26"/>
    </row>
    <row r="399" spans="1:19" ht="16.5" hidden="1" customHeight="1" x14ac:dyDescent="0.25">
      <c r="A399" s="21"/>
      <c r="H399" s="21"/>
      <c r="I399" s="21"/>
      <c r="J399" s="21"/>
      <c r="K399" s="21"/>
      <c r="L399" s="21"/>
      <c r="M399" s="9">
        <f t="shared" si="58"/>
        <v>0</v>
      </c>
      <c r="N399" s="9">
        <f t="shared" si="59"/>
        <v>0</v>
      </c>
      <c r="O399" s="21"/>
      <c r="P399" s="21"/>
      <c r="Q399" s="21"/>
      <c r="S399" s="25"/>
    </row>
    <row r="400" spans="1:19" ht="16.5" customHeight="1" x14ac:dyDescent="0.25">
      <c r="A400" s="9"/>
      <c r="B400" s="39" t="s">
        <v>42</v>
      </c>
      <c r="C400" s="40"/>
      <c r="D400" s="40"/>
      <c r="E400" s="40"/>
      <c r="F400" s="40"/>
      <c r="G400" s="41"/>
      <c r="H400" s="23"/>
      <c r="I400" s="24">
        <f>SUM(I388:I399)</f>
        <v>22</v>
      </c>
      <c r="J400" s="9"/>
      <c r="K400" s="9"/>
      <c r="L400" s="9"/>
      <c r="M400" s="9">
        <f t="shared" si="58"/>
        <v>113.52000000000001</v>
      </c>
      <c r="N400" s="9">
        <f t="shared" si="59"/>
        <v>34.980000000000004</v>
      </c>
      <c r="O400" s="24">
        <f>ROUND(SUM(M388:M399)/I400,2)</f>
        <v>5.16</v>
      </c>
      <c r="P400" s="24">
        <f>ROUND(SUM(N388:N399)/I400,2)</f>
        <v>1.59</v>
      </c>
      <c r="Q400" s="9"/>
      <c r="S400" s="25"/>
    </row>
    <row r="401" spans="1:19" ht="20.25" customHeight="1" x14ac:dyDescent="0.25">
      <c r="A401" s="27" t="s">
        <v>132</v>
      </c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</row>
    <row r="402" spans="1:19" ht="16.5" customHeight="1" x14ac:dyDescent="0.25">
      <c r="A402" s="9"/>
      <c r="B402" s="51" t="s">
        <v>98</v>
      </c>
      <c r="C402" s="52"/>
      <c r="D402" s="52"/>
      <c r="E402" s="52"/>
      <c r="F402" s="52"/>
      <c r="G402" s="53"/>
      <c r="H402" s="20"/>
      <c r="I402" s="9">
        <v>3</v>
      </c>
      <c r="J402" s="9"/>
      <c r="K402" s="9"/>
      <c r="L402" s="9"/>
      <c r="M402" s="9">
        <f>I402*O402</f>
        <v>15.899999999999999</v>
      </c>
      <c r="N402" s="9">
        <f>I402*P402</f>
        <v>4.5</v>
      </c>
      <c r="O402" s="9">
        <v>5.3</v>
      </c>
      <c r="P402" s="9">
        <v>1.5</v>
      </c>
      <c r="Q402" s="9" t="s">
        <v>4</v>
      </c>
      <c r="R402" s="1">
        <v>6</v>
      </c>
      <c r="S402" s="26" t="s">
        <v>133</v>
      </c>
    </row>
    <row r="403" spans="1:19" ht="16.5" customHeight="1" x14ac:dyDescent="0.25">
      <c r="A403" s="9"/>
      <c r="B403" s="51" t="s">
        <v>100</v>
      </c>
      <c r="C403" s="52"/>
      <c r="D403" s="52"/>
      <c r="E403" s="52"/>
      <c r="F403" s="52"/>
      <c r="G403" s="53"/>
      <c r="H403" s="20"/>
      <c r="I403" s="9">
        <v>4</v>
      </c>
      <c r="J403" s="9"/>
      <c r="K403" s="9"/>
      <c r="L403" s="9"/>
      <c r="M403" s="9">
        <f>I403*O403</f>
        <v>26.8</v>
      </c>
      <c r="N403" s="9">
        <f>I403*P403</f>
        <v>10</v>
      </c>
      <c r="O403" s="9">
        <v>6.7</v>
      </c>
      <c r="P403" s="9">
        <v>2.5</v>
      </c>
      <c r="Q403" s="9" t="s">
        <v>5</v>
      </c>
      <c r="R403" s="1">
        <v>6</v>
      </c>
      <c r="S403" s="26" t="s">
        <v>133</v>
      </c>
    </row>
    <row r="404" spans="1:19" ht="16.5" hidden="1" customHeight="1" x14ac:dyDescent="0.25">
      <c r="A404" s="21"/>
      <c r="H404" s="21"/>
      <c r="I404" s="21"/>
      <c r="J404" s="21"/>
      <c r="K404" s="21"/>
      <c r="L404" s="21"/>
      <c r="M404" s="9">
        <f>I404*O404</f>
        <v>0</v>
      </c>
      <c r="N404" s="9">
        <f>I404*P404</f>
        <v>0</v>
      </c>
      <c r="O404" s="21"/>
      <c r="P404" s="21"/>
      <c r="Q404" s="21"/>
      <c r="S404" s="25"/>
    </row>
    <row r="405" spans="1:19" ht="16.5" customHeight="1" x14ac:dyDescent="0.25">
      <c r="A405" s="9"/>
      <c r="B405" s="39" t="s">
        <v>42</v>
      </c>
      <c r="C405" s="40"/>
      <c r="D405" s="40"/>
      <c r="E405" s="40"/>
      <c r="F405" s="40"/>
      <c r="G405" s="41"/>
      <c r="H405" s="23"/>
      <c r="I405" s="24">
        <f>SUM(I402:I404)</f>
        <v>7</v>
      </c>
      <c r="J405" s="9"/>
      <c r="K405" s="9"/>
      <c r="L405" s="9"/>
      <c r="M405" s="9">
        <f>I405*O405</f>
        <v>42.699999999999996</v>
      </c>
      <c r="N405" s="9">
        <f>I405*P405</f>
        <v>14.489999999999998</v>
      </c>
      <c r="O405" s="24">
        <f>ROUND(SUM(M402:M404)/I405,2)</f>
        <v>6.1</v>
      </c>
      <c r="P405" s="24">
        <f>ROUND(SUM(N402:N404)/I405,2)</f>
        <v>2.0699999999999998</v>
      </c>
      <c r="Q405" s="9"/>
      <c r="S405" s="25"/>
    </row>
    <row r="406" spans="1:19" ht="20.25" customHeight="1" x14ac:dyDescent="0.25">
      <c r="A406" s="27" t="s">
        <v>102</v>
      </c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</row>
    <row r="407" spans="1:19" ht="16.5" customHeight="1" x14ac:dyDescent="0.25">
      <c r="A407" s="9"/>
      <c r="B407" s="51" t="s">
        <v>103</v>
      </c>
      <c r="C407" s="52"/>
      <c r="D407" s="52"/>
      <c r="E407" s="52"/>
      <c r="F407" s="52"/>
      <c r="G407" s="53"/>
      <c r="H407" s="20"/>
      <c r="I407" s="9">
        <v>1</v>
      </c>
      <c r="J407" s="9"/>
      <c r="K407" s="9"/>
      <c r="L407" s="9"/>
      <c r="M407" s="9">
        <f t="shared" ref="M407:M419" si="60">I407*O407</f>
        <v>7.3</v>
      </c>
      <c r="N407" s="9">
        <f t="shared" ref="N407:N419" si="61">I407*P407</f>
        <v>3</v>
      </c>
      <c r="O407" s="9">
        <v>7.3</v>
      </c>
      <c r="P407" s="9">
        <v>3</v>
      </c>
      <c r="Q407" s="9" t="s">
        <v>6</v>
      </c>
      <c r="R407" s="1">
        <v>0</v>
      </c>
      <c r="S407" s="26"/>
    </row>
    <row r="408" spans="1:19" ht="16.5" customHeight="1" x14ac:dyDescent="0.25">
      <c r="A408" s="9"/>
      <c r="B408" s="51" t="s">
        <v>104</v>
      </c>
      <c r="C408" s="52"/>
      <c r="D408" s="52"/>
      <c r="E408" s="52"/>
      <c r="F408" s="52"/>
      <c r="G408" s="53"/>
      <c r="H408" s="20"/>
      <c r="I408" s="9">
        <v>4</v>
      </c>
      <c r="J408" s="9"/>
      <c r="K408" s="9"/>
      <c r="L408" s="9"/>
      <c r="M408" s="9">
        <f t="shared" si="60"/>
        <v>14</v>
      </c>
      <c r="N408" s="9">
        <f t="shared" si="61"/>
        <v>0</v>
      </c>
      <c r="O408" s="9">
        <v>3.5</v>
      </c>
      <c r="P408" s="9">
        <v>0</v>
      </c>
      <c r="Q408" s="9" t="s">
        <v>7</v>
      </c>
      <c r="R408" s="1">
        <v>0</v>
      </c>
      <c r="S408" s="26"/>
    </row>
    <row r="409" spans="1:19" ht="16.5" customHeight="1" x14ac:dyDescent="0.25">
      <c r="A409" s="9"/>
      <c r="B409" s="51" t="s">
        <v>105</v>
      </c>
      <c r="C409" s="52"/>
      <c r="D409" s="52"/>
      <c r="E409" s="52"/>
      <c r="F409" s="52"/>
      <c r="G409" s="53"/>
      <c r="H409" s="20"/>
      <c r="I409" s="9">
        <v>2</v>
      </c>
      <c r="J409" s="9"/>
      <c r="K409" s="9"/>
      <c r="L409" s="9"/>
      <c r="M409" s="9">
        <f t="shared" si="60"/>
        <v>11.6</v>
      </c>
      <c r="N409" s="9">
        <f t="shared" si="61"/>
        <v>4</v>
      </c>
      <c r="O409" s="9">
        <v>5.8</v>
      </c>
      <c r="P409" s="9">
        <v>2</v>
      </c>
      <c r="Q409" s="9" t="s">
        <v>3</v>
      </c>
      <c r="R409" s="1">
        <v>0</v>
      </c>
      <c r="S409" s="26"/>
    </row>
    <row r="410" spans="1:19" ht="16.5" customHeight="1" x14ac:dyDescent="0.25">
      <c r="A410" s="9"/>
      <c r="B410" s="51" t="s">
        <v>106</v>
      </c>
      <c r="C410" s="52"/>
      <c r="D410" s="52"/>
      <c r="E410" s="52"/>
      <c r="F410" s="52"/>
      <c r="G410" s="53"/>
      <c r="H410" s="20"/>
      <c r="I410" s="9">
        <v>3</v>
      </c>
      <c r="J410" s="9"/>
      <c r="K410" s="9"/>
      <c r="L410" s="9"/>
      <c r="M410" s="9">
        <f t="shared" si="60"/>
        <v>21.299999999999997</v>
      </c>
      <c r="N410" s="9">
        <f t="shared" si="61"/>
        <v>9</v>
      </c>
      <c r="O410" s="9">
        <v>7.1</v>
      </c>
      <c r="P410" s="9">
        <v>3</v>
      </c>
      <c r="Q410" s="9" t="s">
        <v>6</v>
      </c>
      <c r="R410" s="1">
        <v>0</v>
      </c>
      <c r="S410" s="26"/>
    </row>
    <row r="411" spans="1:19" ht="16.5" customHeight="1" x14ac:dyDescent="0.25">
      <c r="A411" s="9"/>
      <c r="B411" s="51" t="s">
        <v>107</v>
      </c>
      <c r="C411" s="52"/>
      <c r="D411" s="52"/>
      <c r="E411" s="52"/>
      <c r="F411" s="52"/>
      <c r="G411" s="53"/>
      <c r="H411" s="20"/>
      <c r="I411" s="9">
        <v>2</v>
      </c>
      <c r="J411" s="9"/>
      <c r="K411" s="9"/>
      <c r="L411" s="9"/>
      <c r="M411" s="9">
        <f t="shared" si="60"/>
        <v>13.6</v>
      </c>
      <c r="N411" s="9">
        <f t="shared" si="61"/>
        <v>5</v>
      </c>
      <c r="O411" s="9">
        <v>6.8</v>
      </c>
      <c r="P411" s="9">
        <v>2.5</v>
      </c>
      <c r="Q411" s="9" t="s">
        <v>5</v>
      </c>
      <c r="R411" s="1">
        <v>0</v>
      </c>
      <c r="S411" s="26"/>
    </row>
    <row r="412" spans="1:19" ht="16.5" customHeight="1" x14ac:dyDescent="0.25">
      <c r="A412" s="9"/>
      <c r="B412" s="51" t="s">
        <v>108</v>
      </c>
      <c r="C412" s="52"/>
      <c r="D412" s="52"/>
      <c r="E412" s="52"/>
      <c r="F412" s="52"/>
      <c r="G412" s="53"/>
      <c r="H412" s="20"/>
      <c r="I412" s="9">
        <v>2</v>
      </c>
      <c r="J412" s="9"/>
      <c r="K412" s="9"/>
      <c r="L412" s="9"/>
      <c r="M412" s="9">
        <f t="shared" si="60"/>
        <v>13.8</v>
      </c>
      <c r="N412" s="9">
        <f t="shared" si="61"/>
        <v>5</v>
      </c>
      <c r="O412" s="9">
        <v>6.9</v>
      </c>
      <c r="P412" s="9">
        <v>2.5</v>
      </c>
      <c r="Q412" s="9" t="s">
        <v>5</v>
      </c>
      <c r="R412" s="1">
        <v>0</v>
      </c>
      <c r="S412" s="26"/>
    </row>
    <row r="413" spans="1:19" ht="16.5" customHeight="1" x14ac:dyDescent="0.25">
      <c r="A413" s="9"/>
      <c r="B413" s="51" t="s">
        <v>109</v>
      </c>
      <c r="C413" s="52"/>
      <c r="D413" s="52"/>
      <c r="E413" s="52"/>
      <c r="F413" s="52"/>
      <c r="G413" s="53"/>
      <c r="H413" s="20"/>
      <c r="I413" s="9">
        <v>3</v>
      </c>
      <c r="J413" s="9"/>
      <c r="K413" s="9"/>
      <c r="L413" s="9"/>
      <c r="M413" s="9">
        <f t="shared" si="60"/>
        <v>15.600000000000001</v>
      </c>
      <c r="N413" s="9">
        <f t="shared" si="61"/>
        <v>4.5</v>
      </c>
      <c r="O413" s="9">
        <v>5.2</v>
      </c>
      <c r="P413" s="9">
        <v>1.5</v>
      </c>
      <c r="Q413" s="9" t="s">
        <v>4</v>
      </c>
      <c r="R413" s="1">
        <v>0</v>
      </c>
      <c r="S413" s="26"/>
    </row>
    <row r="414" spans="1:19" ht="16.5" customHeight="1" x14ac:dyDescent="0.25">
      <c r="A414" s="9"/>
      <c r="B414" s="51" t="s">
        <v>110</v>
      </c>
      <c r="C414" s="52"/>
      <c r="D414" s="52"/>
      <c r="E414" s="52"/>
      <c r="F414" s="52"/>
      <c r="G414" s="53"/>
      <c r="H414" s="20"/>
      <c r="I414" s="9">
        <v>2</v>
      </c>
      <c r="J414" s="9"/>
      <c r="K414" s="9"/>
      <c r="L414" s="9"/>
      <c r="M414" s="9">
        <f t="shared" si="60"/>
        <v>12.4</v>
      </c>
      <c r="N414" s="9">
        <f t="shared" si="61"/>
        <v>4</v>
      </c>
      <c r="O414" s="9">
        <v>6.2</v>
      </c>
      <c r="P414" s="9">
        <v>2</v>
      </c>
      <c r="Q414" s="9" t="s">
        <v>3</v>
      </c>
      <c r="R414" s="1">
        <v>0</v>
      </c>
      <c r="S414" s="26"/>
    </row>
    <row r="415" spans="1:19" ht="16.5" customHeight="1" x14ac:dyDescent="0.25">
      <c r="A415" s="9"/>
      <c r="B415" s="51" t="s">
        <v>111</v>
      </c>
      <c r="C415" s="52"/>
      <c r="D415" s="52"/>
      <c r="E415" s="52"/>
      <c r="F415" s="52"/>
      <c r="G415" s="53"/>
      <c r="H415" s="20"/>
      <c r="I415" s="9">
        <v>3</v>
      </c>
      <c r="J415" s="9"/>
      <c r="K415" s="9"/>
      <c r="L415" s="9"/>
      <c r="M415" s="9">
        <f t="shared" si="60"/>
        <v>23.1</v>
      </c>
      <c r="N415" s="9">
        <f t="shared" si="61"/>
        <v>9</v>
      </c>
      <c r="O415" s="9">
        <v>7.7</v>
      </c>
      <c r="P415" s="9">
        <v>3</v>
      </c>
      <c r="Q415" s="9" t="s">
        <v>6</v>
      </c>
      <c r="R415" s="1">
        <v>0</v>
      </c>
      <c r="S415" s="26"/>
    </row>
    <row r="416" spans="1:19" ht="16.5" customHeight="1" x14ac:dyDescent="0.25">
      <c r="A416" s="9"/>
      <c r="B416" s="51" t="s">
        <v>113</v>
      </c>
      <c r="C416" s="52"/>
      <c r="D416" s="52"/>
      <c r="E416" s="52"/>
      <c r="F416" s="52"/>
      <c r="G416" s="53"/>
      <c r="H416" s="20"/>
      <c r="I416" s="9">
        <v>3</v>
      </c>
      <c r="J416" s="9"/>
      <c r="K416" s="9"/>
      <c r="L416" s="9"/>
      <c r="M416" s="9">
        <f t="shared" si="60"/>
        <v>20.100000000000001</v>
      </c>
      <c r="N416" s="9">
        <f t="shared" si="61"/>
        <v>7.5</v>
      </c>
      <c r="O416" s="9">
        <v>6.7</v>
      </c>
      <c r="P416" s="9">
        <v>2.5</v>
      </c>
      <c r="Q416" s="9" t="s">
        <v>5</v>
      </c>
      <c r="R416" s="1">
        <v>0</v>
      </c>
      <c r="S416" s="26"/>
    </row>
    <row r="417" spans="1:19" ht="16.5" customHeight="1" x14ac:dyDescent="0.25">
      <c r="A417" s="9"/>
      <c r="B417" s="51" t="s">
        <v>112</v>
      </c>
      <c r="C417" s="52"/>
      <c r="D417" s="52"/>
      <c r="E417" s="52"/>
      <c r="F417" s="52"/>
      <c r="G417" s="53"/>
      <c r="H417" s="20"/>
      <c r="I417" s="9">
        <v>2</v>
      </c>
      <c r="J417" s="9"/>
      <c r="K417" s="9"/>
      <c r="L417" s="9"/>
      <c r="M417" s="9">
        <f t="shared" si="60"/>
        <v>15.2</v>
      </c>
      <c r="N417" s="9">
        <f t="shared" si="61"/>
        <v>6</v>
      </c>
      <c r="O417" s="9">
        <v>7.6</v>
      </c>
      <c r="P417" s="9">
        <v>3</v>
      </c>
      <c r="Q417" s="9" t="s">
        <v>6</v>
      </c>
      <c r="R417" s="1">
        <v>0</v>
      </c>
      <c r="S417" s="26"/>
    </row>
    <row r="418" spans="1:19" ht="16.5" hidden="1" customHeight="1" x14ac:dyDescent="0.25">
      <c r="A418" s="21"/>
      <c r="H418" s="21"/>
      <c r="I418" s="21"/>
      <c r="J418" s="21"/>
      <c r="K418" s="21"/>
      <c r="L418" s="21"/>
      <c r="M418" s="9">
        <f t="shared" si="60"/>
        <v>0</v>
      </c>
      <c r="N418" s="9">
        <f t="shared" si="61"/>
        <v>0</v>
      </c>
      <c r="O418" s="21"/>
      <c r="P418" s="21"/>
      <c r="Q418" s="21"/>
      <c r="S418" s="25"/>
    </row>
    <row r="419" spans="1:19" ht="16.5" customHeight="1" x14ac:dyDescent="0.25">
      <c r="A419" s="9"/>
      <c r="B419" s="39" t="s">
        <v>42</v>
      </c>
      <c r="C419" s="40"/>
      <c r="D419" s="40"/>
      <c r="E419" s="40"/>
      <c r="F419" s="40"/>
      <c r="G419" s="41"/>
      <c r="H419" s="23"/>
      <c r="I419" s="24">
        <f>SUM(I407:I418)</f>
        <v>27</v>
      </c>
      <c r="J419" s="9"/>
      <c r="K419" s="9"/>
      <c r="L419" s="9"/>
      <c r="M419" s="9">
        <f t="shared" si="60"/>
        <v>167.94</v>
      </c>
      <c r="N419" s="9">
        <f t="shared" si="61"/>
        <v>56.97</v>
      </c>
      <c r="O419" s="24">
        <f>ROUND(SUM(M407:M418)/I419,2)</f>
        <v>6.22</v>
      </c>
      <c r="P419" s="24">
        <f>ROUND(SUM(N407:N418)/I419,2)</f>
        <v>2.11</v>
      </c>
      <c r="Q419" s="9"/>
      <c r="S419" s="25"/>
    </row>
    <row r="420" spans="1:19" ht="20.25" customHeight="1" x14ac:dyDescent="0.25">
      <c r="A420" s="27" t="s">
        <v>143</v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</row>
    <row r="421" spans="1:19" ht="16.5" customHeight="1" x14ac:dyDescent="0.25">
      <c r="A421" s="9"/>
      <c r="B421" s="51" t="s">
        <v>104</v>
      </c>
      <c r="C421" s="52"/>
      <c r="D421" s="52"/>
      <c r="E421" s="52"/>
      <c r="F421" s="52"/>
      <c r="G421" s="53"/>
      <c r="H421" s="20"/>
      <c r="I421" s="9">
        <v>4</v>
      </c>
      <c r="J421" s="9"/>
      <c r="K421" s="9"/>
      <c r="L421" s="9"/>
      <c r="M421" s="9">
        <f>I421*O421</f>
        <v>22.4</v>
      </c>
      <c r="N421" s="9">
        <f>I421*P421</f>
        <v>8</v>
      </c>
      <c r="O421" s="9">
        <v>5.6</v>
      </c>
      <c r="P421" s="9">
        <v>2</v>
      </c>
      <c r="Q421" s="9" t="s">
        <v>3</v>
      </c>
      <c r="R421" s="1">
        <v>6</v>
      </c>
      <c r="S421" s="26" t="s">
        <v>133</v>
      </c>
    </row>
    <row r="422" spans="1:19" ht="16.5" hidden="1" customHeight="1" x14ac:dyDescent="0.25">
      <c r="A422" s="21"/>
      <c r="H422" s="21"/>
      <c r="I422" s="21"/>
      <c r="J422" s="21"/>
      <c r="K422" s="21"/>
      <c r="L422" s="21"/>
      <c r="M422" s="9">
        <f>I422*O422</f>
        <v>0</v>
      </c>
      <c r="N422" s="9">
        <f>I422*P422</f>
        <v>0</v>
      </c>
      <c r="O422" s="21"/>
      <c r="P422" s="21"/>
      <c r="Q422" s="21"/>
      <c r="S422" s="25"/>
    </row>
    <row r="423" spans="1:19" ht="16.5" customHeight="1" x14ac:dyDescent="0.25">
      <c r="A423" s="9"/>
      <c r="B423" s="39" t="s">
        <v>42</v>
      </c>
      <c r="C423" s="40"/>
      <c r="D423" s="40"/>
      <c r="E423" s="40"/>
      <c r="F423" s="40"/>
      <c r="G423" s="41"/>
      <c r="H423" s="23"/>
      <c r="I423" s="24">
        <f>SUM(I421:I422)</f>
        <v>4</v>
      </c>
      <c r="J423" s="9"/>
      <c r="K423" s="9"/>
      <c r="L423" s="9"/>
      <c r="M423" s="9">
        <f>I423*O423</f>
        <v>22.4</v>
      </c>
      <c r="N423" s="9">
        <f>I423*P423</f>
        <v>8</v>
      </c>
      <c r="O423" s="24">
        <f>ROUND(SUM(M421:M422)/I423,2)</f>
        <v>5.6</v>
      </c>
      <c r="P423" s="24">
        <f>ROUND(SUM(N421:N422)/I423,2)</f>
        <v>2</v>
      </c>
      <c r="Q423" s="9"/>
      <c r="S423" s="25"/>
    </row>
    <row r="424" spans="1:19" ht="20.25" customHeight="1" x14ac:dyDescent="0.25">
      <c r="A424" s="27" t="s">
        <v>114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</row>
    <row r="425" spans="1:19" ht="16.5" customHeight="1" x14ac:dyDescent="0.25">
      <c r="A425" s="9"/>
      <c r="B425" s="51" t="s">
        <v>115</v>
      </c>
      <c r="C425" s="52"/>
      <c r="D425" s="52"/>
      <c r="E425" s="52"/>
      <c r="F425" s="52"/>
      <c r="G425" s="53"/>
      <c r="H425" s="20"/>
      <c r="I425" s="9">
        <v>2</v>
      </c>
      <c r="J425" s="9"/>
      <c r="K425" s="9"/>
      <c r="L425" s="9"/>
      <c r="M425" s="9">
        <f t="shared" ref="M425:M435" si="62">I425*O425</f>
        <v>14.2</v>
      </c>
      <c r="N425" s="9">
        <f t="shared" ref="N425:N435" si="63">I425*P425</f>
        <v>6</v>
      </c>
      <c r="O425" s="9">
        <v>7.1</v>
      </c>
      <c r="P425" s="9">
        <v>3</v>
      </c>
      <c r="Q425" s="9" t="s">
        <v>6</v>
      </c>
      <c r="R425" s="1">
        <v>0</v>
      </c>
      <c r="S425" s="26"/>
    </row>
    <row r="426" spans="1:19" ht="16.5" customHeight="1" x14ac:dyDescent="0.25">
      <c r="A426" s="9"/>
      <c r="B426" s="51" t="s">
        <v>118</v>
      </c>
      <c r="C426" s="52"/>
      <c r="D426" s="52"/>
      <c r="E426" s="52"/>
      <c r="F426" s="52"/>
      <c r="G426" s="53"/>
      <c r="H426" s="20"/>
      <c r="I426" s="9">
        <v>3</v>
      </c>
      <c r="J426" s="9"/>
      <c r="K426" s="9"/>
      <c r="L426" s="9"/>
      <c r="M426" s="9">
        <f t="shared" si="62"/>
        <v>21.9</v>
      </c>
      <c r="N426" s="9">
        <f t="shared" si="63"/>
        <v>9</v>
      </c>
      <c r="O426" s="9">
        <v>7.3</v>
      </c>
      <c r="P426" s="9">
        <v>3</v>
      </c>
      <c r="Q426" s="9" t="s">
        <v>6</v>
      </c>
      <c r="R426" s="1">
        <v>0</v>
      </c>
      <c r="S426" s="26"/>
    </row>
    <row r="427" spans="1:19" ht="16.5" customHeight="1" x14ac:dyDescent="0.25">
      <c r="A427" s="9"/>
      <c r="B427" s="51" t="s">
        <v>117</v>
      </c>
      <c r="C427" s="52"/>
      <c r="D427" s="52"/>
      <c r="E427" s="52"/>
      <c r="F427" s="52"/>
      <c r="G427" s="53"/>
      <c r="H427" s="20"/>
      <c r="I427" s="9">
        <v>3</v>
      </c>
      <c r="J427" s="9"/>
      <c r="K427" s="9"/>
      <c r="L427" s="9"/>
      <c r="M427" s="9">
        <f t="shared" si="62"/>
        <v>18.600000000000001</v>
      </c>
      <c r="N427" s="9">
        <f t="shared" si="63"/>
        <v>6</v>
      </c>
      <c r="O427" s="9">
        <v>6.2</v>
      </c>
      <c r="P427" s="9">
        <v>2</v>
      </c>
      <c r="Q427" s="9" t="s">
        <v>3</v>
      </c>
      <c r="R427" s="1">
        <v>0</v>
      </c>
      <c r="S427" s="26"/>
    </row>
    <row r="428" spans="1:19" ht="16.5" customHeight="1" x14ac:dyDescent="0.25">
      <c r="A428" s="9"/>
      <c r="B428" s="51" t="s">
        <v>116</v>
      </c>
      <c r="C428" s="52"/>
      <c r="D428" s="52"/>
      <c r="E428" s="52"/>
      <c r="F428" s="52"/>
      <c r="G428" s="53"/>
      <c r="H428" s="20"/>
      <c r="I428" s="9">
        <v>3</v>
      </c>
      <c r="J428" s="9"/>
      <c r="K428" s="9"/>
      <c r="L428" s="9"/>
      <c r="M428" s="9">
        <f t="shared" si="62"/>
        <v>23.700000000000003</v>
      </c>
      <c r="N428" s="9">
        <f t="shared" si="63"/>
        <v>9</v>
      </c>
      <c r="O428" s="9">
        <v>7.9</v>
      </c>
      <c r="P428" s="9">
        <v>3</v>
      </c>
      <c r="Q428" s="9" t="s">
        <v>6</v>
      </c>
      <c r="R428" s="1">
        <v>0</v>
      </c>
      <c r="S428" s="26"/>
    </row>
    <row r="429" spans="1:19" ht="16.5" customHeight="1" x14ac:dyDescent="0.25">
      <c r="A429" s="9"/>
      <c r="B429" s="51" t="s">
        <v>119</v>
      </c>
      <c r="C429" s="52"/>
      <c r="D429" s="52"/>
      <c r="E429" s="52"/>
      <c r="F429" s="52"/>
      <c r="G429" s="53"/>
      <c r="H429" s="20"/>
      <c r="I429" s="9">
        <v>3</v>
      </c>
      <c r="J429" s="9"/>
      <c r="K429" s="9"/>
      <c r="L429" s="9"/>
      <c r="M429" s="9">
        <f t="shared" si="62"/>
        <v>6</v>
      </c>
      <c r="N429" s="9">
        <f t="shared" si="63"/>
        <v>0</v>
      </c>
      <c r="O429" s="9">
        <v>2</v>
      </c>
      <c r="P429" s="9">
        <v>0</v>
      </c>
      <c r="Q429" s="9" t="s">
        <v>7</v>
      </c>
      <c r="R429" s="1">
        <v>0</v>
      </c>
      <c r="S429" s="26"/>
    </row>
    <row r="430" spans="1:19" ht="16.5" customHeight="1" x14ac:dyDescent="0.25">
      <c r="A430" s="9"/>
      <c r="B430" s="51" t="s">
        <v>122</v>
      </c>
      <c r="C430" s="52"/>
      <c r="D430" s="52"/>
      <c r="E430" s="52"/>
      <c r="F430" s="52"/>
      <c r="G430" s="53"/>
      <c r="H430" s="20"/>
      <c r="I430" s="9">
        <v>1</v>
      </c>
      <c r="J430" s="9"/>
      <c r="K430" s="9"/>
      <c r="L430" s="9"/>
      <c r="M430" s="9">
        <f t="shared" si="62"/>
        <v>7.3</v>
      </c>
      <c r="N430" s="9">
        <f t="shared" si="63"/>
        <v>3</v>
      </c>
      <c r="O430" s="9">
        <v>7.3</v>
      </c>
      <c r="P430" s="9">
        <v>3</v>
      </c>
      <c r="Q430" s="9" t="s">
        <v>6</v>
      </c>
      <c r="R430" s="1">
        <v>0</v>
      </c>
      <c r="S430" s="26"/>
    </row>
    <row r="431" spans="1:19" ht="16.5" customHeight="1" x14ac:dyDescent="0.25">
      <c r="A431" s="9"/>
      <c r="B431" s="51" t="s">
        <v>121</v>
      </c>
      <c r="C431" s="52"/>
      <c r="D431" s="52"/>
      <c r="E431" s="52"/>
      <c r="F431" s="52"/>
      <c r="G431" s="53"/>
      <c r="H431" s="20"/>
      <c r="I431" s="9">
        <v>3</v>
      </c>
      <c r="J431" s="9"/>
      <c r="K431" s="9"/>
      <c r="L431" s="9"/>
      <c r="M431" s="9">
        <f t="shared" si="62"/>
        <v>22.799999999999997</v>
      </c>
      <c r="N431" s="9">
        <f t="shared" si="63"/>
        <v>9</v>
      </c>
      <c r="O431" s="9">
        <v>7.6</v>
      </c>
      <c r="P431" s="9">
        <v>3</v>
      </c>
      <c r="Q431" s="9" t="s">
        <v>6</v>
      </c>
      <c r="R431" s="1">
        <v>0</v>
      </c>
      <c r="S431" s="26"/>
    </row>
    <row r="432" spans="1:19" ht="16.5" customHeight="1" x14ac:dyDescent="0.25">
      <c r="A432" s="9"/>
      <c r="B432" s="51" t="s">
        <v>120</v>
      </c>
      <c r="C432" s="52"/>
      <c r="D432" s="52"/>
      <c r="E432" s="52"/>
      <c r="F432" s="52"/>
      <c r="G432" s="53"/>
      <c r="H432" s="20"/>
      <c r="I432" s="9">
        <v>2</v>
      </c>
      <c r="J432" s="9"/>
      <c r="K432" s="9"/>
      <c r="L432" s="9"/>
      <c r="M432" s="9">
        <f t="shared" si="62"/>
        <v>8</v>
      </c>
      <c r="N432" s="9">
        <f t="shared" si="63"/>
        <v>2</v>
      </c>
      <c r="O432" s="9">
        <v>4</v>
      </c>
      <c r="P432" s="9">
        <v>1</v>
      </c>
      <c r="Q432" s="9" t="s">
        <v>8</v>
      </c>
      <c r="R432" s="1">
        <v>0</v>
      </c>
      <c r="S432" s="26"/>
    </row>
    <row r="433" spans="1:19" ht="31.2" customHeight="1" x14ac:dyDescent="0.25">
      <c r="A433" s="9"/>
      <c r="B433" s="51" t="s">
        <v>123</v>
      </c>
      <c r="C433" s="52"/>
      <c r="D433" s="52"/>
      <c r="E433" s="52"/>
      <c r="F433" s="52"/>
      <c r="G433" s="53"/>
      <c r="H433" s="20"/>
      <c r="I433" s="9">
        <v>3</v>
      </c>
      <c r="J433" s="9"/>
      <c r="K433" s="9"/>
      <c r="L433" s="9"/>
      <c r="M433" s="9">
        <f t="shared" si="62"/>
        <v>21</v>
      </c>
      <c r="N433" s="9">
        <f t="shared" si="63"/>
        <v>9</v>
      </c>
      <c r="O433" s="9">
        <v>7</v>
      </c>
      <c r="P433" s="9">
        <v>3</v>
      </c>
      <c r="Q433" s="9" t="s">
        <v>6</v>
      </c>
      <c r="R433" s="1">
        <v>0</v>
      </c>
      <c r="S433" s="26"/>
    </row>
    <row r="434" spans="1:19" ht="16.5" hidden="1" customHeight="1" x14ac:dyDescent="0.25">
      <c r="A434" s="21"/>
      <c r="H434" s="21"/>
      <c r="I434" s="21"/>
      <c r="J434" s="21"/>
      <c r="K434" s="21"/>
      <c r="L434" s="21"/>
      <c r="M434" s="9">
        <f t="shared" si="62"/>
        <v>0</v>
      </c>
      <c r="N434" s="9">
        <f t="shared" si="63"/>
        <v>0</v>
      </c>
      <c r="O434" s="21"/>
      <c r="P434" s="21"/>
      <c r="Q434" s="21"/>
      <c r="S434" s="25"/>
    </row>
    <row r="435" spans="1:19" ht="16.5" customHeight="1" x14ac:dyDescent="0.25">
      <c r="A435" s="9"/>
      <c r="B435" s="39" t="s">
        <v>42</v>
      </c>
      <c r="C435" s="40"/>
      <c r="D435" s="40"/>
      <c r="E435" s="40"/>
      <c r="F435" s="40"/>
      <c r="G435" s="41"/>
      <c r="H435" s="23"/>
      <c r="I435" s="24">
        <f>SUM(I425:I434)</f>
        <v>23</v>
      </c>
      <c r="J435" s="9"/>
      <c r="K435" s="9"/>
      <c r="L435" s="9"/>
      <c r="M435" s="9">
        <f t="shared" si="62"/>
        <v>143.52000000000001</v>
      </c>
      <c r="N435" s="9">
        <f t="shared" si="63"/>
        <v>52.9</v>
      </c>
      <c r="O435" s="24">
        <f>ROUND(SUM(M425:M434)/I435,2)</f>
        <v>6.24</v>
      </c>
      <c r="P435" s="24">
        <f>ROUND(SUM(N425:N434)/I435,2)</f>
        <v>2.2999999999999998</v>
      </c>
      <c r="Q435" s="9"/>
      <c r="S435" s="25"/>
    </row>
    <row r="436" spans="1:19" ht="16.5" customHeight="1" x14ac:dyDescent="0.25">
      <c r="A436" s="21"/>
      <c r="B436" s="22"/>
      <c r="C436" s="22"/>
      <c r="D436" s="22"/>
      <c r="E436" s="22"/>
      <c r="F436" s="22"/>
      <c r="G436" s="22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8" spans="1:19" ht="18" x14ac:dyDescent="0.25">
      <c r="A438" s="35" t="s">
        <v>138</v>
      </c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</row>
    <row r="439" spans="1:19" ht="18" x14ac:dyDescent="0.25">
      <c r="A439" s="35" t="s">
        <v>139</v>
      </c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</row>
    <row r="440" spans="1:19" ht="18" x14ac:dyDescent="0.25">
      <c r="A440" s="35" t="s">
        <v>140</v>
      </c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</row>
    <row r="441" spans="1:19" ht="18" x14ac:dyDescent="0.25">
      <c r="A441" s="45" t="s">
        <v>141</v>
      </c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</row>
    <row r="442" spans="1:19" ht="19.5" customHeight="1" x14ac:dyDescent="0.25">
      <c r="A442" s="17"/>
      <c r="B442" s="17"/>
      <c r="C442" s="8"/>
      <c r="D442" s="18"/>
      <c r="E442" s="10"/>
      <c r="F442" s="11"/>
      <c r="G442" s="46" t="s">
        <v>49</v>
      </c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</row>
    <row r="443" spans="1:19" ht="31.5" customHeight="1" x14ac:dyDescent="0.3">
      <c r="A443" s="8"/>
      <c r="B443" s="8"/>
      <c r="C443" s="8"/>
      <c r="D443" s="8"/>
      <c r="E443" s="8"/>
      <c r="F443" s="8"/>
      <c r="G443" s="8"/>
      <c r="H443" s="12"/>
      <c r="I443" s="42" t="s">
        <v>40</v>
      </c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 spans="1:19" ht="16.8" x14ac:dyDescent="0.3">
      <c r="A444" s="8"/>
      <c r="B444" s="8"/>
      <c r="C444" s="8"/>
      <c r="D444" s="8"/>
      <c r="E444" s="8"/>
      <c r="F444" s="8"/>
      <c r="G444" s="8"/>
      <c r="H444" s="12"/>
      <c r="I444" s="12"/>
      <c r="J444" s="12"/>
      <c r="K444" s="12"/>
      <c r="L444" s="8"/>
      <c r="M444" s="8"/>
      <c r="N444" s="8"/>
      <c r="O444" s="8"/>
      <c r="P444" s="8"/>
      <c r="Q444" s="8"/>
    </row>
    <row r="445" spans="1:19" ht="33" customHeight="1" x14ac:dyDescent="0.3">
      <c r="A445" s="8"/>
      <c r="B445" s="8"/>
      <c r="C445" s="8"/>
      <c r="D445" s="8"/>
      <c r="E445" s="8"/>
      <c r="F445" s="8"/>
      <c r="G445" s="8"/>
      <c r="H445" s="12"/>
      <c r="I445" s="12"/>
      <c r="J445" s="12"/>
      <c r="K445" s="12"/>
      <c r="L445" s="8"/>
      <c r="M445" s="8"/>
      <c r="N445" s="8"/>
      <c r="O445" s="8"/>
      <c r="P445" s="8"/>
      <c r="Q445" s="8"/>
    </row>
    <row r="446" spans="1:19" ht="11.25" customHeight="1" x14ac:dyDescent="0.3">
      <c r="A446" s="8"/>
      <c r="B446" s="8"/>
      <c r="C446" s="8"/>
      <c r="D446" s="8"/>
      <c r="E446" s="8"/>
      <c r="F446" s="8"/>
      <c r="G446" s="8"/>
      <c r="H446" s="12"/>
      <c r="I446" s="12"/>
      <c r="J446" s="12"/>
      <c r="K446" s="12"/>
      <c r="L446" s="8"/>
      <c r="M446" s="8"/>
      <c r="N446" s="8"/>
      <c r="O446" s="8"/>
      <c r="P446" s="8"/>
      <c r="Q446" s="8"/>
    </row>
    <row r="447" spans="1:19" ht="17.399999999999999" x14ac:dyDescent="0.3">
      <c r="A447" s="8"/>
      <c r="B447" s="8"/>
      <c r="C447" s="8"/>
      <c r="D447" s="8"/>
      <c r="E447" s="8"/>
      <c r="F447" s="8"/>
      <c r="G447" s="47" t="s">
        <v>41</v>
      </c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</row>
    <row r="448" spans="1:19" ht="54" customHeight="1" x14ac:dyDescent="0.25">
      <c r="A448" s="48" t="s">
        <v>33</v>
      </c>
      <c r="B448" s="48"/>
      <c r="C448" s="48"/>
      <c r="D448" s="48"/>
      <c r="E448" s="48"/>
      <c r="F448" s="42" t="s">
        <v>24</v>
      </c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</row>
    <row r="449" spans="1:20" ht="17.399999999999999" x14ac:dyDescent="0.25">
      <c r="A449" s="49" t="s">
        <v>34</v>
      </c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</row>
    <row r="450" spans="1:20" ht="4.5" customHeight="1" x14ac:dyDescent="0.2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</row>
    <row r="451" spans="1:20" ht="5.25" customHeight="1" x14ac:dyDescent="0.2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</row>
    <row r="452" spans="1:20" ht="16.5" customHeight="1" x14ac:dyDescent="0.25">
      <c r="A452" s="54" t="s">
        <v>144</v>
      </c>
      <c r="B452" s="54"/>
      <c r="C452" s="54"/>
      <c r="D452" s="54"/>
      <c r="E452" s="54"/>
      <c r="F452" s="54"/>
      <c r="G452" s="58" t="s">
        <v>145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</row>
    <row r="453" spans="1:20" ht="16.5" customHeight="1" x14ac:dyDescent="0.25">
      <c r="A453" s="54" t="s">
        <v>146</v>
      </c>
      <c r="B453" s="54"/>
      <c r="C453" s="54"/>
      <c r="D453" s="54"/>
      <c r="E453" s="54"/>
      <c r="F453" s="54"/>
      <c r="G453" s="8" t="s">
        <v>46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T453" s="2"/>
    </row>
    <row r="454" spans="1:20" ht="16.5" customHeight="1" x14ac:dyDescent="0.25">
      <c r="A454" s="54" t="s">
        <v>47</v>
      </c>
      <c r="B454" s="54"/>
      <c r="C454" s="54"/>
      <c r="D454" s="54"/>
      <c r="E454" s="54"/>
      <c r="F454" s="54"/>
      <c r="G454" s="58" t="s">
        <v>48</v>
      </c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</row>
    <row r="455" spans="1:20" ht="5.2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19"/>
      <c r="K455" s="19"/>
      <c r="L455" s="19"/>
      <c r="M455" s="19"/>
      <c r="N455" s="19"/>
      <c r="O455" s="19"/>
      <c r="P455" s="19"/>
      <c r="Q455" s="19"/>
    </row>
    <row r="456" spans="1:20" ht="15" customHeight="1" x14ac:dyDescent="0.25">
      <c r="A456" s="36" t="s">
        <v>0</v>
      </c>
      <c r="B456" s="29" t="s">
        <v>1</v>
      </c>
      <c r="C456" s="30"/>
      <c r="D456" s="30"/>
      <c r="E456" s="30"/>
      <c r="F456" s="30"/>
      <c r="G456" s="31"/>
      <c r="H456" s="36" t="s">
        <v>32</v>
      </c>
      <c r="I456" s="36" t="s">
        <v>39</v>
      </c>
      <c r="J456" s="55" t="s">
        <v>2</v>
      </c>
      <c r="K456" s="56"/>
      <c r="L456" s="56"/>
      <c r="M456" s="56"/>
      <c r="N456" s="56"/>
      <c r="O456" s="56"/>
      <c r="P456" s="56"/>
      <c r="Q456" s="57"/>
      <c r="S456" s="36" t="s">
        <v>38</v>
      </c>
    </row>
    <row r="457" spans="1:20" ht="24" customHeight="1" x14ac:dyDescent="0.25">
      <c r="A457" s="37"/>
      <c r="B457" s="32"/>
      <c r="C457" s="33"/>
      <c r="D457" s="33"/>
      <c r="E457" s="33"/>
      <c r="F457" s="33"/>
      <c r="G457" s="34"/>
      <c r="H457" s="37"/>
      <c r="I457" s="37"/>
      <c r="J457" s="7" t="s">
        <v>28</v>
      </c>
      <c r="K457" s="7" t="s">
        <v>29</v>
      </c>
      <c r="L457" s="7" t="s">
        <v>30</v>
      </c>
      <c r="M457" s="7"/>
      <c r="N457" s="7"/>
      <c r="O457" s="6" t="s">
        <v>35</v>
      </c>
      <c r="P457" s="6" t="s">
        <v>36</v>
      </c>
      <c r="Q457" s="6" t="s">
        <v>37</v>
      </c>
      <c r="S457" s="37"/>
    </row>
    <row r="458" spans="1:20" ht="20.25" customHeight="1" x14ac:dyDescent="0.25">
      <c r="A458" s="27" t="s">
        <v>54</v>
      </c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</row>
    <row r="459" spans="1:20" ht="16.5" customHeight="1" x14ac:dyDescent="0.25">
      <c r="A459" s="9"/>
      <c r="B459" s="51" t="s">
        <v>61</v>
      </c>
      <c r="C459" s="52"/>
      <c r="D459" s="52"/>
      <c r="E459" s="52"/>
      <c r="F459" s="52"/>
      <c r="G459" s="53"/>
      <c r="H459" s="20"/>
      <c r="I459" s="9">
        <v>1</v>
      </c>
      <c r="J459" s="9"/>
      <c r="K459" s="9"/>
      <c r="L459" s="9"/>
      <c r="M459" s="9">
        <f t="shared" ref="M459:M467" si="64">I459*O459</f>
        <v>3</v>
      </c>
      <c r="N459" s="9">
        <f t="shared" ref="N459:N467" si="65">I459*P459</f>
        <v>0</v>
      </c>
      <c r="O459" s="9">
        <v>3</v>
      </c>
      <c r="P459" s="9">
        <v>0</v>
      </c>
      <c r="Q459" s="9" t="s">
        <v>7</v>
      </c>
      <c r="R459" s="1">
        <v>0</v>
      </c>
      <c r="S459" s="26"/>
    </row>
    <row r="460" spans="1:20" ht="16.5" customHeight="1" x14ac:dyDescent="0.25">
      <c r="A460" s="9"/>
      <c r="B460" s="51" t="s">
        <v>56</v>
      </c>
      <c r="C460" s="52"/>
      <c r="D460" s="52"/>
      <c r="E460" s="52"/>
      <c r="F460" s="52"/>
      <c r="G460" s="53"/>
      <c r="H460" s="20"/>
      <c r="I460" s="9">
        <v>3</v>
      </c>
      <c r="J460" s="9"/>
      <c r="K460" s="9"/>
      <c r="L460" s="9"/>
      <c r="M460" s="9">
        <f t="shared" si="64"/>
        <v>22.799999999999997</v>
      </c>
      <c r="N460" s="9">
        <f t="shared" si="65"/>
        <v>9</v>
      </c>
      <c r="O460" s="9">
        <v>7.6</v>
      </c>
      <c r="P460" s="9">
        <v>3</v>
      </c>
      <c r="Q460" s="9" t="s">
        <v>6</v>
      </c>
      <c r="R460" s="1">
        <v>0</v>
      </c>
      <c r="S460" s="26"/>
    </row>
    <row r="461" spans="1:20" ht="31.2" customHeight="1" x14ac:dyDescent="0.25">
      <c r="A461" s="9"/>
      <c r="B461" s="51" t="s">
        <v>57</v>
      </c>
      <c r="C461" s="52"/>
      <c r="D461" s="52"/>
      <c r="E461" s="52"/>
      <c r="F461" s="52"/>
      <c r="G461" s="53"/>
      <c r="H461" s="20"/>
      <c r="I461" s="9">
        <v>3</v>
      </c>
      <c r="J461" s="9"/>
      <c r="K461" s="9"/>
      <c r="L461" s="9"/>
      <c r="M461" s="9">
        <f t="shared" si="64"/>
        <v>21.9</v>
      </c>
      <c r="N461" s="9">
        <f t="shared" si="65"/>
        <v>9</v>
      </c>
      <c r="O461" s="9">
        <v>7.3</v>
      </c>
      <c r="P461" s="9">
        <v>3</v>
      </c>
      <c r="Q461" s="9" t="s">
        <v>6</v>
      </c>
      <c r="R461" s="1">
        <v>0</v>
      </c>
      <c r="S461" s="26"/>
    </row>
    <row r="462" spans="1:20" ht="16.5" customHeight="1" x14ac:dyDescent="0.25">
      <c r="A462" s="9"/>
      <c r="B462" s="51" t="s">
        <v>58</v>
      </c>
      <c r="C462" s="52"/>
      <c r="D462" s="52"/>
      <c r="E462" s="52"/>
      <c r="F462" s="52"/>
      <c r="G462" s="53"/>
      <c r="H462" s="20"/>
      <c r="I462" s="9">
        <v>1</v>
      </c>
      <c r="J462" s="9"/>
      <c r="K462" s="9"/>
      <c r="L462" s="9"/>
      <c r="M462" s="9">
        <f t="shared" si="64"/>
        <v>7.6</v>
      </c>
      <c r="N462" s="9">
        <f t="shared" si="65"/>
        <v>3</v>
      </c>
      <c r="O462" s="9">
        <v>7.6</v>
      </c>
      <c r="P462" s="9">
        <v>3</v>
      </c>
      <c r="Q462" s="9" t="s">
        <v>6</v>
      </c>
      <c r="R462" s="1">
        <v>0</v>
      </c>
      <c r="S462" s="26"/>
    </row>
    <row r="463" spans="1:20" ht="16.5" customHeight="1" x14ac:dyDescent="0.25">
      <c r="A463" s="9"/>
      <c r="B463" s="51" t="s">
        <v>59</v>
      </c>
      <c r="C463" s="52"/>
      <c r="D463" s="52"/>
      <c r="E463" s="52"/>
      <c r="F463" s="52"/>
      <c r="G463" s="53"/>
      <c r="H463" s="20"/>
      <c r="I463" s="9">
        <v>1</v>
      </c>
      <c r="J463" s="9"/>
      <c r="K463" s="9"/>
      <c r="L463" s="9"/>
      <c r="M463" s="9">
        <f t="shared" si="64"/>
        <v>7.1</v>
      </c>
      <c r="N463" s="9">
        <f t="shared" si="65"/>
        <v>3</v>
      </c>
      <c r="O463" s="9">
        <v>7.1</v>
      </c>
      <c r="P463" s="9">
        <v>3</v>
      </c>
      <c r="Q463" s="9" t="s">
        <v>6</v>
      </c>
      <c r="R463" s="1">
        <v>0</v>
      </c>
      <c r="S463" s="26"/>
    </row>
    <row r="464" spans="1:20" ht="16.5" customHeight="1" x14ac:dyDescent="0.25">
      <c r="A464" s="9"/>
      <c r="B464" s="51" t="s">
        <v>60</v>
      </c>
      <c r="C464" s="52"/>
      <c r="D464" s="52"/>
      <c r="E464" s="52"/>
      <c r="F464" s="52"/>
      <c r="G464" s="53"/>
      <c r="H464" s="20"/>
      <c r="I464" s="9">
        <v>3</v>
      </c>
      <c r="J464" s="9"/>
      <c r="K464" s="9"/>
      <c r="L464" s="9"/>
      <c r="M464" s="9">
        <f t="shared" si="64"/>
        <v>24.599999999999998</v>
      </c>
      <c r="N464" s="9">
        <f t="shared" si="65"/>
        <v>10.5</v>
      </c>
      <c r="O464" s="9">
        <v>8.1999999999999993</v>
      </c>
      <c r="P464" s="9">
        <v>3.5</v>
      </c>
      <c r="Q464" s="9" t="s">
        <v>9</v>
      </c>
      <c r="R464" s="1">
        <v>0</v>
      </c>
      <c r="S464" s="26"/>
    </row>
    <row r="465" spans="1:19" ht="16.5" customHeight="1" x14ac:dyDescent="0.25">
      <c r="A465" s="9"/>
      <c r="B465" s="51" t="s">
        <v>55</v>
      </c>
      <c r="C465" s="52"/>
      <c r="D465" s="52"/>
      <c r="E465" s="52"/>
      <c r="F465" s="52"/>
      <c r="G465" s="53"/>
      <c r="H465" s="20"/>
      <c r="I465" s="9">
        <v>2</v>
      </c>
      <c r="J465" s="9"/>
      <c r="K465" s="9"/>
      <c r="L465" s="9"/>
      <c r="M465" s="9">
        <f t="shared" si="64"/>
        <v>14</v>
      </c>
      <c r="N465" s="9">
        <f t="shared" si="65"/>
        <v>6</v>
      </c>
      <c r="O465" s="9">
        <v>7</v>
      </c>
      <c r="P465" s="9">
        <v>3</v>
      </c>
      <c r="Q465" s="9" t="s">
        <v>6</v>
      </c>
      <c r="R465" s="1">
        <v>0</v>
      </c>
      <c r="S465" s="26"/>
    </row>
    <row r="466" spans="1:19" ht="16.5" hidden="1" customHeight="1" x14ac:dyDescent="0.25">
      <c r="A466" s="21"/>
      <c r="H466" s="21"/>
      <c r="I466" s="21"/>
      <c r="J466" s="21"/>
      <c r="K466" s="21"/>
      <c r="L466" s="21"/>
      <c r="M466" s="9">
        <f t="shared" si="64"/>
        <v>0</v>
      </c>
      <c r="N466" s="9">
        <f t="shared" si="65"/>
        <v>0</v>
      </c>
      <c r="O466" s="21"/>
      <c r="P466" s="21"/>
      <c r="Q466" s="21"/>
      <c r="S466" s="25"/>
    </row>
    <row r="467" spans="1:19" ht="16.5" customHeight="1" x14ac:dyDescent="0.25">
      <c r="A467" s="9"/>
      <c r="B467" s="39" t="s">
        <v>42</v>
      </c>
      <c r="C467" s="40"/>
      <c r="D467" s="40"/>
      <c r="E467" s="40"/>
      <c r="F467" s="40"/>
      <c r="G467" s="41"/>
      <c r="H467" s="23"/>
      <c r="I467" s="24">
        <f>SUM(I459:I466)</f>
        <v>14</v>
      </c>
      <c r="J467" s="9"/>
      <c r="K467" s="9"/>
      <c r="L467" s="9"/>
      <c r="M467" s="9">
        <f t="shared" si="64"/>
        <v>100.94</v>
      </c>
      <c r="N467" s="9">
        <f t="shared" si="65"/>
        <v>40.46</v>
      </c>
      <c r="O467" s="24">
        <f>ROUND(SUM(M459:M466)/I467,2)</f>
        <v>7.21</v>
      </c>
      <c r="P467" s="24">
        <f>ROUND(SUM(N459:N466)/I467,2)</f>
        <v>2.89</v>
      </c>
      <c r="Q467" s="9"/>
      <c r="S467" s="25"/>
    </row>
    <row r="468" spans="1:19" ht="20.25" customHeight="1" x14ac:dyDescent="0.25">
      <c r="A468" s="27" t="s">
        <v>62</v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</row>
    <row r="469" spans="1:19" ht="16.5" customHeight="1" x14ac:dyDescent="0.25">
      <c r="A469" s="9"/>
      <c r="B469" s="51" t="s">
        <v>63</v>
      </c>
      <c r="C469" s="52"/>
      <c r="D469" s="52"/>
      <c r="E469" s="52"/>
      <c r="F469" s="52"/>
      <c r="G469" s="53"/>
      <c r="H469" s="20"/>
      <c r="I469" s="9">
        <v>4</v>
      </c>
      <c r="J469" s="9"/>
      <c r="K469" s="9"/>
      <c r="L469" s="9"/>
      <c r="M469" s="9">
        <f t="shared" ref="M469:M477" si="66">I469*O469</f>
        <v>24.4</v>
      </c>
      <c r="N469" s="9">
        <f t="shared" ref="N469:N477" si="67">I469*P469</f>
        <v>8</v>
      </c>
      <c r="O469" s="9">
        <v>6.1</v>
      </c>
      <c r="P469" s="9">
        <v>2</v>
      </c>
      <c r="Q469" s="9" t="s">
        <v>3</v>
      </c>
      <c r="R469" s="1">
        <v>0</v>
      </c>
      <c r="S469" s="26"/>
    </row>
    <row r="470" spans="1:19" ht="16.5" customHeight="1" x14ac:dyDescent="0.25">
      <c r="A470" s="9"/>
      <c r="B470" s="51" t="s">
        <v>64</v>
      </c>
      <c r="C470" s="52"/>
      <c r="D470" s="52"/>
      <c r="E470" s="52"/>
      <c r="F470" s="52"/>
      <c r="G470" s="53"/>
      <c r="H470" s="20"/>
      <c r="I470" s="9">
        <v>4</v>
      </c>
      <c r="J470" s="9"/>
      <c r="K470" s="9"/>
      <c r="L470" s="9"/>
      <c r="M470" s="9">
        <f t="shared" si="66"/>
        <v>30</v>
      </c>
      <c r="N470" s="9">
        <f t="shared" si="67"/>
        <v>12</v>
      </c>
      <c r="O470" s="9">
        <v>7.5</v>
      </c>
      <c r="P470" s="9">
        <v>3</v>
      </c>
      <c r="Q470" s="9" t="s">
        <v>6</v>
      </c>
      <c r="R470" s="1">
        <v>0</v>
      </c>
      <c r="S470" s="26"/>
    </row>
    <row r="471" spans="1:19" ht="16.5" customHeight="1" x14ac:dyDescent="0.25">
      <c r="A471" s="9"/>
      <c r="B471" s="51" t="s">
        <v>65</v>
      </c>
      <c r="C471" s="52"/>
      <c r="D471" s="52"/>
      <c r="E471" s="52"/>
      <c r="F471" s="52"/>
      <c r="G471" s="53"/>
      <c r="H471" s="20"/>
      <c r="I471" s="9">
        <v>4</v>
      </c>
      <c r="J471" s="9"/>
      <c r="K471" s="9"/>
      <c r="L471" s="9"/>
      <c r="M471" s="9">
        <f t="shared" si="66"/>
        <v>29.6</v>
      </c>
      <c r="N471" s="9">
        <f t="shared" si="67"/>
        <v>12</v>
      </c>
      <c r="O471" s="9">
        <v>7.4</v>
      </c>
      <c r="P471" s="9">
        <v>3</v>
      </c>
      <c r="Q471" s="9" t="s">
        <v>6</v>
      </c>
      <c r="R471" s="1">
        <v>0</v>
      </c>
      <c r="S471" s="26"/>
    </row>
    <row r="472" spans="1:19" ht="16.5" customHeight="1" x14ac:dyDescent="0.25">
      <c r="A472" s="9"/>
      <c r="B472" s="51" t="s">
        <v>66</v>
      </c>
      <c r="C472" s="52"/>
      <c r="D472" s="52"/>
      <c r="E472" s="52"/>
      <c r="F472" s="52"/>
      <c r="G472" s="53"/>
      <c r="H472" s="20"/>
      <c r="I472" s="9">
        <v>1</v>
      </c>
      <c r="J472" s="9"/>
      <c r="K472" s="9"/>
      <c r="L472" s="9"/>
      <c r="M472" s="9">
        <f t="shared" si="66"/>
        <v>8.1</v>
      </c>
      <c r="N472" s="9">
        <f t="shared" si="67"/>
        <v>3.5</v>
      </c>
      <c r="O472" s="9">
        <v>8.1</v>
      </c>
      <c r="P472" s="9">
        <v>3.5</v>
      </c>
      <c r="Q472" s="9" t="s">
        <v>9</v>
      </c>
      <c r="R472" s="1">
        <v>0</v>
      </c>
      <c r="S472" s="26"/>
    </row>
    <row r="473" spans="1:19" ht="16.5" customHeight="1" x14ac:dyDescent="0.25">
      <c r="A473" s="9"/>
      <c r="B473" s="51" t="s">
        <v>67</v>
      </c>
      <c r="C473" s="52"/>
      <c r="D473" s="52"/>
      <c r="E473" s="52"/>
      <c r="F473" s="52"/>
      <c r="G473" s="53"/>
      <c r="H473" s="20"/>
      <c r="I473" s="9">
        <v>1</v>
      </c>
      <c r="J473" s="9"/>
      <c r="K473" s="9"/>
      <c r="L473" s="9"/>
      <c r="M473" s="9">
        <f t="shared" si="66"/>
        <v>7.7</v>
      </c>
      <c r="N473" s="9">
        <f t="shared" si="67"/>
        <v>3</v>
      </c>
      <c r="O473" s="9">
        <v>7.7</v>
      </c>
      <c r="P473" s="9">
        <v>3</v>
      </c>
      <c r="Q473" s="9" t="s">
        <v>6</v>
      </c>
      <c r="R473" s="1">
        <v>0</v>
      </c>
      <c r="S473" s="26"/>
    </row>
    <row r="474" spans="1:19" ht="16.5" customHeight="1" x14ac:dyDescent="0.25">
      <c r="A474" s="9"/>
      <c r="B474" s="51" t="s">
        <v>69</v>
      </c>
      <c r="C474" s="52"/>
      <c r="D474" s="52"/>
      <c r="E474" s="52"/>
      <c r="F474" s="52"/>
      <c r="G474" s="53"/>
      <c r="H474" s="20"/>
      <c r="I474" s="9">
        <v>1</v>
      </c>
      <c r="J474" s="9"/>
      <c r="K474" s="9"/>
      <c r="L474" s="9"/>
      <c r="M474" s="9">
        <f t="shared" si="66"/>
        <v>7</v>
      </c>
      <c r="N474" s="9">
        <f t="shared" si="67"/>
        <v>3</v>
      </c>
      <c r="O474" s="9">
        <v>7</v>
      </c>
      <c r="P474" s="9">
        <v>3</v>
      </c>
      <c r="Q474" s="9" t="s">
        <v>6</v>
      </c>
      <c r="R474" s="1">
        <v>0</v>
      </c>
      <c r="S474" s="26"/>
    </row>
    <row r="475" spans="1:19" ht="16.5" customHeight="1" x14ac:dyDescent="0.25">
      <c r="A475" s="9"/>
      <c r="B475" s="51" t="s">
        <v>68</v>
      </c>
      <c r="C475" s="52"/>
      <c r="D475" s="52"/>
      <c r="E475" s="52"/>
      <c r="F475" s="52"/>
      <c r="G475" s="53"/>
      <c r="H475" s="20"/>
      <c r="I475" s="9">
        <v>1</v>
      </c>
      <c r="J475" s="9"/>
      <c r="K475" s="9"/>
      <c r="L475" s="9"/>
      <c r="M475" s="9">
        <f t="shared" si="66"/>
        <v>7.3</v>
      </c>
      <c r="N475" s="9">
        <f t="shared" si="67"/>
        <v>3</v>
      </c>
      <c r="O475" s="9">
        <v>7.3</v>
      </c>
      <c r="P475" s="9">
        <v>3</v>
      </c>
      <c r="Q475" s="9" t="s">
        <v>6</v>
      </c>
      <c r="R475" s="1">
        <v>0</v>
      </c>
      <c r="S475" s="26"/>
    </row>
    <row r="476" spans="1:19" ht="16.5" hidden="1" customHeight="1" x14ac:dyDescent="0.25">
      <c r="A476" s="21"/>
      <c r="H476" s="21"/>
      <c r="I476" s="21"/>
      <c r="J476" s="21"/>
      <c r="K476" s="21"/>
      <c r="L476" s="21"/>
      <c r="M476" s="9">
        <f t="shared" si="66"/>
        <v>0</v>
      </c>
      <c r="N476" s="9">
        <f t="shared" si="67"/>
        <v>0</v>
      </c>
      <c r="O476" s="21"/>
      <c r="P476" s="21"/>
      <c r="Q476" s="21"/>
      <c r="S476" s="25"/>
    </row>
    <row r="477" spans="1:19" ht="16.5" customHeight="1" x14ac:dyDescent="0.25">
      <c r="A477" s="9"/>
      <c r="B477" s="39" t="s">
        <v>42</v>
      </c>
      <c r="C477" s="40"/>
      <c r="D477" s="40"/>
      <c r="E477" s="40"/>
      <c r="F477" s="40"/>
      <c r="G477" s="41"/>
      <c r="H477" s="23"/>
      <c r="I477" s="24">
        <f>SUM(I469:I476)</f>
        <v>16</v>
      </c>
      <c r="J477" s="9"/>
      <c r="K477" s="9"/>
      <c r="L477" s="9"/>
      <c r="M477" s="9">
        <f t="shared" si="66"/>
        <v>114.08</v>
      </c>
      <c r="N477" s="9">
        <f t="shared" si="67"/>
        <v>44.48</v>
      </c>
      <c r="O477" s="24">
        <f>ROUND(SUM(M469:M476)/I477,2)</f>
        <v>7.13</v>
      </c>
      <c r="P477" s="24">
        <f>ROUND(SUM(N469:N476)/I477,2)</f>
        <v>2.78</v>
      </c>
      <c r="Q477" s="9"/>
      <c r="S477" s="25"/>
    </row>
    <row r="478" spans="1:19" ht="20.25" customHeight="1" x14ac:dyDescent="0.25">
      <c r="A478" s="27" t="s">
        <v>150</v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</row>
    <row r="479" spans="1:19" ht="16.5" customHeight="1" x14ac:dyDescent="0.25">
      <c r="A479" s="9"/>
      <c r="B479" s="51" t="s">
        <v>61</v>
      </c>
      <c r="C479" s="52"/>
      <c r="D479" s="52"/>
      <c r="E479" s="52"/>
      <c r="F479" s="52"/>
      <c r="G479" s="53"/>
      <c r="H479" s="20"/>
      <c r="I479" s="9">
        <v>1</v>
      </c>
      <c r="J479" s="9"/>
      <c r="K479" s="9"/>
      <c r="L479" s="9"/>
      <c r="M479" s="9">
        <f>I479*O479</f>
        <v>6.3</v>
      </c>
      <c r="N479" s="9">
        <f>I479*P479</f>
        <v>2</v>
      </c>
      <c r="O479" s="9">
        <v>6.3</v>
      </c>
      <c r="P479" s="9">
        <v>2</v>
      </c>
      <c r="Q479" s="9" t="s">
        <v>3</v>
      </c>
      <c r="R479" s="1">
        <v>6</v>
      </c>
      <c r="S479" s="26" t="s">
        <v>133</v>
      </c>
    </row>
    <row r="480" spans="1:19" ht="16.5" hidden="1" customHeight="1" x14ac:dyDescent="0.25">
      <c r="A480" s="21"/>
      <c r="H480" s="21"/>
      <c r="I480" s="21"/>
      <c r="J480" s="21"/>
      <c r="K480" s="21"/>
      <c r="L480" s="21"/>
      <c r="M480" s="9">
        <f>I480*O480</f>
        <v>0</v>
      </c>
      <c r="N480" s="9">
        <f>I480*P480</f>
        <v>0</v>
      </c>
      <c r="O480" s="21"/>
      <c r="P480" s="21"/>
      <c r="Q480" s="21"/>
      <c r="S480" s="25"/>
    </row>
    <row r="481" spans="1:19" ht="16.5" customHeight="1" x14ac:dyDescent="0.25">
      <c r="A481" s="9"/>
      <c r="B481" s="39" t="s">
        <v>42</v>
      </c>
      <c r="C481" s="40"/>
      <c r="D481" s="40"/>
      <c r="E481" s="40"/>
      <c r="F481" s="40"/>
      <c r="G481" s="41"/>
      <c r="H481" s="23"/>
      <c r="I481" s="24">
        <f>SUM(I479:I480)</f>
        <v>1</v>
      </c>
      <c r="J481" s="9"/>
      <c r="K481" s="9"/>
      <c r="L481" s="9"/>
      <c r="M481" s="9">
        <f>I481*O481</f>
        <v>6.3</v>
      </c>
      <c r="N481" s="9">
        <f>I481*P481</f>
        <v>2</v>
      </c>
      <c r="O481" s="24">
        <f>ROUND(SUM(M479:M480)/I481,2)</f>
        <v>6.3</v>
      </c>
      <c r="P481" s="24">
        <f>ROUND(SUM(N479:N480)/I481,2)</f>
        <v>2</v>
      </c>
      <c r="Q481" s="9"/>
      <c r="S481" s="25"/>
    </row>
    <row r="482" spans="1:19" ht="20.25" customHeight="1" x14ac:dyDescent="0.25">
      <c r="A482" s="27" t="s">
        <v>70</v>
      </c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</row>
    <row r="483" spans="1:19" ht="16.5" customHeight="1" x14ac:dyDescent="0.25">
      <c r="A483" s="9"/>
      <c r="B483" s="51" t="s">
        <v>72</v>
      </c>
      <c r="C483" s="52"/>
      <c r="D483" s="52"/>
      <c r="E483" s="52"/>
      <c r="F483" s="52"/>
      <c r="G483" s="53"/>
      <c r="H483" s="20"/>
      <c r="I483" s="9">
        <v>4</v>
      </c>
      <c r="J483" s="9"/>
      <c r="K483" s="9"/>
      <c r="L483" s="9"/>
      <c r="M483" s="9">
        <f t="shared" ref="M483:M492" si="68">I483*O483</f>
        <v>30.4</v>
      </c>
      <c r="N483" s="9">
        <f t="shared" ref="N483:N492" si="69">I483*P483</f>
        <v>12</v>
      </c>
      <c r="O483" s="9">
        <v>7.6</v>
      </c>
      <c r="P483" s="9">
        <v>3</v>
      </c>
      <c r="Q483" s="9" t="s">
        <v>6</v>
      </c>
      <c r="R483" s="1">
        <v>0</v>
      </c>
      <c r="S483" s="26"/>
    </row>
    <row r="484" spans="1:19" ht="16.5" customHeight="1" x14ac:dyDescent="0.25">
      <c r="A484" s="9"/>
      <c r="B484" s="51" t="s">
        <v>71</v>
      </c>
      <c r="C484" s="52"/>
      <c r="D484" s="52"/>
      <c r="E484" s="52"/>
      <c r="F484" s="52"/>
      <c r="G484" s="53"/>
      <c r="H484" s="20"/>
      <c r="I484" s="9">
        <v>4</v>
      </c>
      <c r="J484" s="9"/>
      <c r="K484" s="9"/>
      <c r="L484" s="9"/>
      <c r="M484" s="9">
        <f t="shared" si="68"/>
        <v>34.799999999999997</v>
      </c>
      <c r="N484" s="9">
        <f t="shared" si="69"/>
        <v>14.8</v>
      </c>
      <c r="O484" s="9">
        <v>8.6999999999999993</v>
      </c>
      <c r="P484" s="9">
        <v>3.7</v>
      </c>
      <c r="Q484" s="9" t="s">
        <v>10</v>
      </c>
      <c r="R484" s="1">
        <v>0</v>
      </c>
      <c r="S484" s="26"/>
    </row>
    <row r="485" spans="1:19" ht="16.5" customHeight="1" x14ac:dyDescent="0.25">
      <c r="A485" s="9"/>
      <c r="B485" s="51" t="s">
        <v>74</v>
      </c>
      <c r="C485" s="52"/>
      <c r="D485" s="52"/>
      <c r="E485" s="52"/>
      <c r="F485" s="52"/>
      <c r="G485" s="53"/>
      <c r="H485" s="20"/>
      <c r="I485" s="9">
        <v>2</v>
      </c>
      <c r="J485" s="9"/>
      <c r="K485" s="9"/>
      <c r="L485" s="9"/>
      <c r="M485" s="9">
        <f t="shared" si="68"/>
        <v>15.8</v>
      </c>
      <c r="N485" s="9">
        <f t="shared" si="69"/>
        <v>6</v>
      </c>
      <c r="O485" s="9">
        <v>7.9</v>
      </c>
      <c r="P485" s="9">
        <v>3</v>
      </c>
      <c r="Q485" s="9" t="s">
        <v>6</v>
      </c>
      <c r="R485" s="1">
        <v>0</v>
      </c>
      <c r="S485" s="26"/>
    </row>
    <row r="486" spans="1:19" ht="16.5" customHeight="1" x14ac:dyDescent="0.25">
      <c r="A486" s="9"/>
      <c r="B486" s="51" t="s">
        <v>73</v>
      </c>
      <c r="C486" s="52"/>
      <c r="D486" s="52"/>
      <c r="E486" s="52"/>
      <c r="F486" s="52"/>
      <c r="G486" s="53"/>
      <c r="H486" s="20"/>
      <c r="I486" s="9">
        <v>1</v>
      </c>
      <c r="J486" s="9"/>
      <c r="K486" s="9"/>
      <c r="L486" s="9"/>
      <c r="M486" s="9">
        <f t="shared" si="68"/>
        <v>7.1</v>
      </c>
      <c r="N486" s="9">
        <f t="shared" si="69"/>
        <v>3</v>
      </c>
      <c r="O486" s="9">
        <v>7.1</v>
      </c>
      <c r="P486" s="9">
        <v>3</v>
      </c>
      <c r="Q486" s="9" t="s">
        <v>6</v>
      </c>
      <c r="R486" s="1">
        <v>0</v>
      </c>
      <c r="S486" s="26"/>
    </row>
    <row r="487" spans="1:19" ht="16.5" customHeight="1" x14ac:dyDescent="0.25">
      <c r="A487" s="9"/>
      <c r="B487" s="51" t="s">
        <v>76</v>
      </c>
      <c r="C487" s="52"/>
      <c r="D487" s="52"/>
      <c r="E487" s="52"/>
      <c r="F487" s="52"/>
      <c r="G487" s="53"/>
      <c r="H487" s="20"/>
      <c r="I487" s="9">
        <v>4</v>
      </c>
      <c r="J487" s="9"/>
      <c r="K487" s="9"/>
      <c r="L487" s="9"/>
      <c r="M487" s="9">
        <f t="shared" si="68"/>
        <v>26</v>
      </c>
      <c r="N487" s="9">
        <f t="shared" si="69"/>
        <v>10</v>
      </c>
      <c r="O487" s="9">
        <v>6.5</v>
      </c>
      <c r="P487" s="9">
        <v>2.5</v>
      </c>
      <c r="Q487" s="9" t="s">
        <v>5</v>
      </c>
      <c r="R487" s="1">
        <v>0</v>
      </c>
      <c r="S487" s="26"/>
    </row>
    <row r="488" spans="1:19" ht="16.5" customHeight="1" x14ac:dyDescent="0.25">
      <c r="A488" s="9"/>
      <c r="B488" s="51" t="s">
        <v>75</v>
      </c>
      <c r="C488" s="52"/>
      <c r="D488" s="52"/>
      <c r="E488" s="52"/>
      <c r="F488" s="52"/>
      <c r="G488" s="53"/>
      <c r="H488" s="20"/>
      <c r="I488" s="9">
        <v>1</v>
      </c>
      <c r="J488" s="9"/>
      <c r="K488" s="9"/>
      <c r="L488" s="9"/>
      <c r="M488" s="9">
        <f t="shared" si="68"/>
        <v>6.4</v>
      </c>
      <c r="N488" s="9">
        <f t="shared" si="69"/>
        <v>2</v>
      </c>
      <c r="O488" s="9">
        <v>6.4</v>
      </c>
      <c r="P488" s="9">
        <v>2</v>
      </c>
      <c r="Q488" s="9" t="s">
        <v>3</v>
      </c>
      <c r="R488" s="1">
        <v>0</v>
      </c>
      <c r="S488" s="26"/>
    </row>
    <row r="489" spans="1:19" ht="16.5" customHeight="1" x14ac:dyDescent="0.25">
      <c r="A489" s="9"/>
      <c r="B489" s="51" t="s">
        <v>77</v>
      </c>
      <c r="C489" s="52"/>
      <c r="D489" s="52"/>
      <c r="E489" s="52"/>
      <c r="F489" s="52"/>
      <c r="G489" s="53"/>
      <c r="H489" s="20"/>
      <c r="I489" s="9">
        <v>3</v>
      </c>
      <c r="J489" s="9"/>
      <c r="K489" s="9"/>
      <c r="L489" s="9"/>
      <c r="M489" s="9">
        <f t="shared" si="68"/>
        <v>20.399999999999999</v>
      </c>
      <c r="N489" s="9">
        <f t="shared" si="69"/>
        <v>7.5</v>
      </c>
      <c r="O489" s="9">
        <v>6.8</v>
      </c>
      <c r="P489" s="9">
        <v>2.5</v>
      </c>
      <c r="Q489" s="9" t="s">
        <v>5</v>
      </c>
      <c r="R489" s="1">
        <v>0</v>
      </c>
      <c r="S489" s="26"/>
    </row>
    <row r="490" spans="1:19" ht="16.5" customHeight="1" x14ac:dyDescent="0.25">
      <c r="A490" s="9"/>
      <c r="B490" s="51" t="s">
        <v>78</v>
      </c>
      <c r="C490" s="52"/>
      <c r="D490" s="52"/>
      <c r="E490" s="52"/>
      <c r="F490" s="52"/>
      <c r="G490" s="53"/>
      <c r="H490" s="20"/>
      <c r="I490" s="9">
        <v>4</v>
      </c>
      <c r="J490" s="9"/>
      <c r="K490" s="9"/>
      <c r="L490" s="9"/>
      <c r="M490" s="9">
        <f t="shared" si="68"/>
        <v>24</v>
      </c>
      <c r="N490" s="9">
        <f t="shared" si="69"/>
        <v>8</v>
      </c>
      <c r="O490" s="9">
        <v>6</v>
      </c>
      <c r="P490" s="9">
        <v>2</v>
      </c>
      <c r="Q490" s="9" t="s">
        <v>3</v>
      </c>
      <c r="R490" s="1">
        <v>0</v>
      </c>
      <c r="S490" s="26"/>
    </row>
    <row r="491" spans="1:19" ht="16.5" hidden="1" customHeight="1" x14ac:dyDescent="0.25">
      <c r="A491" s="21"/>
      <c r="H491" s="21"/>
      <c r="I491" s="21"/>
      <c r="J491" s="21"/>
      <c r="K491" s="21"/>
      <c r="L491" s="21"/>
      <c r="M491" s="9">
        <f t="shared" si="68"/>
        <v>0</v>
      </c>
      <c r="N491" s="9">
        <f t="shared" si="69"/>
        <v>0</v>
      </c>
      <c r="O491" s="21"/>
      <c r="P491" s="21"/>
      <c r="Q491" s="21"/>
      <c r="S491" s="25"/>
    </row>
    <row r="492" spans="1:19" ht="16.5" customHeight="1" x14ac:dyDescent="0.25">
      <c r="A492" s="9"/>
      <c r="B492" s="39" t="s">
        <v>42</v>
      </c>
      <c r="C492" s="40"/>
      <c r="D492" s="40"/>
      <c r="E492" s="40"/>
      <c r="F492" s="40"/>
      <c r="G492" s="41"/>
      <c r="H492" s="23"/>
      <c r="I492" s="24">
        <f>SUM(I483:I491)</f>
        <v>23</v>
      </c>
      <c r="J492" s="9"/>
      <c r="K492" s="9"/>
      <c r="L492" s="9"/>
      <c r="M492" s="9">
        <f t="shared" si="68"/>
        <v>164.91</v>
      </c>
      <c r="N492" s="9">
        <f t="shared" si="69"/>
        <v>63.25</v>
      </c>
      <c r="O492" s="24">
        <f>ROUND(SUM(M483:M491)/I492,2)</f>
        <v>7.17</v>
      </c>
      <c r="P492" s="24">
        <f>ROUND(SUM(N483:N491)/I492,2)</f>
        <v>2.75</v>
      </c>
      <c r="Q492" s="9"/>
      <c r="S492" s="25"/>
    </row>
    <row r="493" spans="1:19" ht="20.25" customHeight="1" x14ac:dyDescent="0.25">
      <c r="A493" s="27" t="s">
        <v>79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</row>
    <row r="494" spans="1:19" ht="16.5" customHeight="1" x14ac:dyDescent="0.25">
      <c r="A494" s="9"/>
      <c r="B494" s="51" t="s">
        <v>80</v>
      </c>
      <c r="C494" s="52"/>
      <c r="D494" s="52"/>
      <c r="E494" s="52"/>
      <c r="F494" s="52"/>
      <c r="G494" s="53"/>
      <c r="H494" s="20"/>
      <c r="I494" s="9">
        <v>3</v>
      </c>
      <c r="J494" s="9"/>
      <c r="K494" s="9"/>
      <c r="L494" s="9"/>
      <c r="M494" s="9">
        <f>I494*O494</f>
        <v>20.100000000000001</v>
      </c>
      <c r="N494" s="9">
        <f>I494*P494</f>
        <v>7.5</v>
      </c>
      <c r="O494" s="9">
        <v>6.7</v>
      </c>
      <c r="P494" s="9">
        <v>2.5</v>
      </c>
      <c r="Q494" s="9" t="s">
        <v>5</v>
      </c>
      <c r="R494" s="1">
        <v>0</v>
      </c>
      <c r="S494" s="26"/>
    </row>
    <row r="495" spans="1:19" ht="16.5" customHeight="1" x14ac:dyDescent="0.25">
      <c r="A495" s="9"/>
      <c r="B495" s="51" t="s">
        <v>81</v>
      </c>
      <c r="C495" s="52"/>
      <c r="D495" s="52"/>
      <c r="E495" s="52"/>
      <c r="F495" s="52"/>
      <c r="G495" s="53"/>
      <c r="H495" s="20"/>
      <c r="I495" s="9">
        <v>1</v>
      </c>
      <c r="J495" s="9"/>
      <c r="K495" s="9"/>
      <c r="L495" s="9"/>
      <c r="M495" s="9">
        <f>I495*O495</f>
        <v>8</v>
      </c>
      <c r="N495" s="9">
        <f>I495*P495</f>
        <v>3.5</v>
      </c>
      <c r="O495" s="9">
        <v>8</v>
      </c>
      <c r="P495" s="9">
        <v>3.5</v>
      </c>
      <c r="Q495" s="9" t="s">
        <v>9</v>
      </c>
      <c r="R495" s="1">
        <v>0</v>
      </c>
      <c r="S495" s="26"/>
    </row>
    <row r="496" spans="1:19" ht="15" customHeight="1" x14ac:dyDescent="0.25">
      <c r="A496" s="36" t="s">
        <v>0</v>
      </c>
      <c r="B496" s="29" t="s">
        <v>1</v>
      </c>
      <c r="C496" s="30"/>
      <c r="D496" s="30"/>
      <c r="E496" s="30"/>
      <c r="F496" s="30"/>
      <c r="G496" s="31"/>
      <c r="H496" s="36" t="s">
        <v>32</v>
      </c>
      <c r="I496" s="36" t="s">
        <v>39</v>
      </c>
      <c r="J496" s="55" t="s">
        <v>2</v>
      </c>
      <c r="K496" s="56"/>
      <c r="L496" s="56"/>
      <c r="M496" s="56"/>
      <c r="N496" s="56"/>
      <c r="O496" s="56"/>
      <c r="P496" s="56"/>
      <c r="Q496" s="57"/>
      <c r="S496" s="36" t="s">
        <v>38</v>
      </c>
    </row>
    <row r="497" spans="1:19" ht="24" customHeight="1" x14ac:dyDescent="0.25">
      <c r="A497" s="37"/>
      <c r="B497" s="32"/>
      <c r="C497" s="33"/>
      <c r="D497" s="33"/>
      <c r="E497" s="33"/>
      <c r="F497" s="33"/>
      <c r="G497" s="34"/>
      <c r="H497" s="37"/>
      <c r="I497" s="37"/>
      <c r="J497" s="7" t="s">
        <v>28</v>
      </c>
      <c r="K497" s="7" t="s">
        <v>29</v>
      </c>
      <c r="L497" s="7" t="s">
        <v>30</v>
      </c>
      <c r="M497" s="7"/>
      <c r="N497" s="7"/>
      <c r="O497" s="6" t="s">
        <v>35</v>
      </c>
      <c r="P497" s="6" t="s">
        <v>36</v>
      </c>
      <c r="Q497" s="6" t="s">
        <v>37</v>
      </c>
      <c r="S497" s="37"/>
    </row>
    <row r="498" spans="1:19" ht="16.5" customHeight="1" x14ac:dyDescent="0.25">
      <c r="A498" s="9"/>
      <c r="B498" s="51" t="s">
        <v>82</v>
      </c>
      <c r="C498" s="52"/>
      <c r="D498" s="52"/>
      <c r="E498" s="52"/>
      <c r="F498" s="52"/>
      <c r="G498" s="53"/>
      <c r="H498" s="20"/>
      <c r="I498" s="9">
        <v>3</v>
      </c>
      <c r="J498" s="9"/>
      <c r="K498" s="9"/>
      <c r="L498" s="9"/>
      <c r="M498" s="9">
        <f t="shared" ref="M498:M507" si="70">I498*O498</f>
        <v>21.9</v>
      </c>
      <c r="N498" s="9">
        <f t="shared" ref="N498:N507" si="71">I498*P498</f>
        <v>9</v>
      </c>
      <c r="O498" s="9">
        <v>7.3</v>
      </c>
      <c r="P498" s="9">
        <v>3</v>
      </c>
      <c r="Q498" s="9" t="s">
        <v>6</v>
      </c>
      <c r="R498" s="1">
        <v>0</v>
      </c>
      <c r="S498" s="26"/>
    </row>
    <row r="499" spans="1:19" ht="16.5" customHeight="1" x14ac:dyDescent="0.25">
      <c r="A499" s="9"/>
      <c r="B499" s="51" t="s">
        <v>83</v>
      </c>
      <c r="C499" s="52"/>
      <c r="D499" s="52"/>
      <c r="E499" s="52"/>
      <c r="F499" s="52"/>
      <c r="G499" s="53"/>
      <c r="H499" s="20"/>
      <c r="I499" s="9">
        <v>2</v>
      </c>
      <c r="J499" s="9"/>
      <c r="K499" s="9"/>
      <c r="L499" s="9"/>
      <c r="M499" s="9">
        <f t="shared" si="70"/>
        <v>15.8</v>
      </c>
      <c r="N499" s="9">
        <f t="shared" si="71"/>
        <v>6</v>
      </c>
      <c r="O499" s="9">
        <v>7.9</v>
      </c>
      <c r="P499" s="9">
        <v>3</v>
      </c>
      <c r="Q499" s="9" t="s">
        <v>6</v>
      </c>
      <c r="R499" s="1">
        <v>0</v>
      </c>
      <c r="S499" s="26"/>
    </row>
    <row r="500" spans="1:19" ht="16.5" customHeight="1" x14ac:dyDescent="0.25">
      <c r="A500" s="9"/>
      <c r="B500" s="51" t="s">
        <v>84</v>
      </c>
      <c r="C500" s="52"/>
      <c r="D500" s="52"/>
      <c r="E500" s="52"/>
      <c r="F500" s="52"/>
      <c r="G500" s="53"/>
      <c r="H500" s="20"/>
      <c r="I500" s="9">
        <v>2</v>
      </c>
      <c r="J500" s="9"/>
      <c r="K500" s="9"/>
      <c r="L500" s="9"/>
      <c r="M500" s="9">
        <f t="shared" si="70"/>
        <v>13.6</v>
      </c>
      <c r="N500" s="9">
        <f t="shared" si="71"/>
        <v>5</v>
      </c>
      <c r="O500" s="9">
        <v>6.8</v>
      </c>
      <c r="P500" s="9">
        <v>2.5</v>
      </c>
      <c r="Q500" s="9" t="s">
        <v>5</v>
      </c>
      <c r="R500" s="1">
        <v>0</v>
      </c>
      <c r="S500" s="26"/>
    </row>
    <row r="501" spans="1:19" ht="16.5" customHeight="1" x14ac:dyDescent="0.25">
      <c r="A501" s="9"/>
      <c r="B501" s="51" t="s">
        <v>89</v>
      </c>
      <c r="C501" s="52"/>
      <c r="D501" s="52"/>
      <c r="E501" s="52"/>
      <c r="F501" s="52"/>
      <c r="G501" s="53"/>
      <c r="H501" s="20"/>
      <c r="I501" s="9">
        <v>2</v>
      </c>
      <c r="J501" s="9"/>
      <c r="K501" s="9"/>
      <c r="L501" s="9"/>
      <c r="M501" s="9">
        <f t="shared" si="70"/>
        <v>16.8</v>
      </c>
      <c r="N501" s="9">
        <f t="shared" si="71"/>
        <v>7</v>
      </c>
      <c r="O501" s="9">
        <v>8.4</v>
      </c>
      <c r="P501" s="9">
        <v>3.5</v>
      </c>
      <c r="Q501" s="9" t="s">
        <v>9</v>
      </c>
      <c r="R501" s="1">
        <v>0</v>
      </c>
      <c r="S501" s="26"/>
    </row>
    <row r="502" spans="1:19" ht="16.5" customHeight="1" x14ac:dyDescent="0.25">
      <c r="A502" s="9"/>
      <c r="B502" s="51" t="s">
        <v>86</v>
      </c>
      <c r="C502" s="52"/>
      <c r="D502" s="52"/>
      <c r="E502" s="52"/>
      <c r="F502" s="52"/>
      <c r="G502" s="53"/>
      <c r="H502" s="20"/>
      <c r="I502" s="9">
        <v>4</v>
      </c>
      <c r="J502" s="9"/>
      <c r="K502" s="9"/>
      <c r="L502" s="9"/>
      <c r="M502" s="9">
        <f t="shared" si="70"/>
        <v>32.4</v>
      </c>
      <c r="N502" s="9">
        <f t="shared" si="71"/>
        <v>14</v>
      </c>
      <c r="O502" s="9">
        <v>8.1</v>
      </c>
      <c r="P502" s="9">
        <v>3.5</v>
      </c>
      <c r="Q502" s="9" t="s">
        <v>9</v>
      </c>
      <c r="R502" s="1">
        <v>0</v>
      </c>
      <c r="S502" s="26"/>
    </row>
    <row r="503" spans="1:19" ht="16.5" customHeight="1" x14ac:dyDescent="0.25">
      <c r="A503" s="9"/>
      <c r="B503" s="51" t="s">
        <v>87</v>
      </c>
      <c r="C503" s="52"/>
      <c r="D503" s="52"/>
      <c r="E503" s="52"/>
      <c r="F503" s="52"/>
      <c r="G503" s="53"/>
      <c r="H503" s="20"/>
      <c r="I503" s="9">
        <v>3</v>
      </c>
      <c r="J503" s="9"/>
      <c r="K503" s="9"/>
      <c r="L503" s="9"/>
      <c r="M503" s="9">
        <f t="shared" si="70"/>
        <v>22.200000000000003</v>
      </c>
      <c r="N503" s="9">
        <f t="shared" si="71"/>
        <v>9</v>
      </c>
      <c r="O503" s="9">
        <v>7.4</v>
      </c>
      <c r="P503" s="9">
        <v>3</v>
      </c>
      <c r="Q503" s="9" t="s">
        <v>6</v>
      </c>
      <c r="R503" s="1">
        <v>0</v>
      </c>
      <c r="S503" s="26"/>
    </row>
    <row r="504" spans="1:19" ht="16.5" customHeight="1" x14ac:dyDescent="0.25">
      <c r="A504" s="9"/>
      <c r="B504" s="51" t="s">
        <v>88</v>
      </c>
      <c r="C504" s="52"/>
      <c r="D504" s="52"/>
      <c r="E504" s="52"/>
      <c r="F504" s="52"/>
      <c r="G504" s="53"/>
      <c r="H504" s="20"/>
      <c r="I504" s="9">
        <v>2</v>
      </c>
      <c r="J504" s="9"/>
      <c r="K504" s="9"/>
      <c r="L504" s="9"/>
      <c r="M504" s="9">
        <f t="shared" si="70"/>
        <v>14.6</v>
      </c>
      <c r="N504" s="9">
        <f t="shared" si="71"/>
        <v>6</v>
      </c>
      <c r="O504" s="9">
        <v>7.3</v>
      </c>
      <c r="P504" s="9">
        <v>3</v>
      </c>
      <c r="Q504" s="9" t="s">
        <v>6</v>
      </c>
      <c r="R504" s="1">
        <v>0</v>
      </c>
      <c r="S504" s="26"/>
    </row>
    <row r="505" spans="1:19" ht="16.5" customHeight="1" x14ac:dyDescent="0.25">
      <c r="A505" s="9"/>
      <c r="B505" s="51" t="s">
        <v>85</v>
      </c>
      <c r="C505" s="52"/>
      <c r="D505" s="52"/>
      <c r="E505" s="52"/>
      <c r="F505" s="52"/>
      <c r="G505" s="53"/>
      <c r="H505" s="20"/>
      <c r="I505" s="9">
        <v>3</v>
      </c>
      <c r="J505" s="9"/>
      <c r="K505" s="9"/>
      <c r="L505" s="9"/>
      <c r="M505" s="9">
        <f t="shared" si="70"/>
        <v>20.100000000000001</v>
      </c>
      <c r="N505" s="9">
        <f t="shared" si="71"/>
        <v>7.5</v>
      </c>
      <c r="O505" s="9">
        <v>6.7</v>
      </c>
      <c r="P505" s="9">
        <v>2.5</v>
      </c>
      <c r="Q505" s="9" t="s">
        <v>5</v>
      </c>
      <c r="R505" s="1">
        <v>0</v>
      </c>
      <c r="S505" s="26"/>
    </row>
    <row r="506" spans="1:19" ht="16.5" hidden="1" customHeight="1" x14ac:dyDescent="0.25">
      <c r="A506" s="21"/>
      <c r="H506" s="21"/>
      <c r="I506" s="21"/>
      <c r="J506" s="21"/>
      <c r="K506" s="21"/>
      <c r="L506" s="21"/>
      <c r="M506" s="9">
        <f t="shared" si="70"/>
        <v>0</v>
      </c>
      <c r="N506" s="9">
        <f t="shared" si="71"/>
        <v>0</v>
      </c>
      <c r="O506" s="21"/>
      <c r="P506" s="21"/>
      <c r="Q506" s="21"/>
      <c r="S506" s="25"/>
    </row>
    <row r="507" spans="1:19" ht="16.5" customHeight="1" x14ac:dyDescent="0.25">
      <c r="A507" s="9"/>
      <c r="B507" s="39" t="s">
        <v>42</v>
      </c>
      <c r="C507" s="40"/>
      <c r="D507" s="40"/>
      <c r="E507" s="40"/>
      <c r="F507" s="40"/>
      <c r="G507" s="41"/>
      <c r="H507" s="23"/>
      <c r="I507" s="24">
        <f>SUM(I494:I506)</f>
        <v>25</v>
      </c>
      <c r="J507" s="9"/>
      <c r="K507" s="9"/>
      <c r="L507" s="9"/>
      <c r="M507" s="9">
        <f t="shared" si="70"/>
        <v>185.5</v>
      </c>
      <c r="N507" s="9">
        <f t="shared" si="71"/>
        <v>74.5</v>
      </c>
      <c r="O507" s="24">
        <f>ROUND(SUM(M494:M506)/I507,2)</f>
        <v>7.42</v>
      </c>
      <c r="P507" s="24">
        <f>ROUND(SUM(N494:N506)/I507,2)</f>
        <v>2.98</v>
      </c>
      <c r="Q507" s="9"/>
      <c r="S507" s="25"/>
    </row>
    <row r="508" spans="1:19" ht="20.25" customHeight="1" x14ac:dyDescent="0.25">
      <c r="A508" s="27" t="s">
        <v>90</v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</row>
    <row r="509" spans="1:19" ht="16.5" customHeight="1" x14ac:dyDescent="0.25">
      <c r="A509" s="9"/>
      <c r="B509" s="51" t="s">
        <v>91</v>
      </c>
      <c r="C509" s="52"/>
      <c r="D509" s="52"/>
      <c r="E509" s="52"/>
      <c r="F509" s="52"/>
      <c r="G509" s="53"/>
      <c r="H509" s="20"/>
      <c r="I509" s="9">
        <v>1</v>
      </c>
      <c r="J509" s="9"/>
      <c r="K509" s="9"/>
      <c r="L509" s="9"/>
      <c r="M509" s="9">
        <f t="shared" ref="M509:M521" si="72">I509*O509</f>
        <v>7</v>
      </c>
      <c r="N509" s="9">
        <f t="shared" ref="N509:N521" si="73">I509*P509</f>
        <v>3</v>
      </c>
      <c r="O509" s="9">
        <v>7</v>
      </c>
      <c r="P509" s="9">
        <v>3</v>
      </c>
      <c r="Q509" s="9" t="s">
        <v>6</v>
      </c>
      <c r="R509" s="1">
        <v>0</v>
      </c>
      <c r="S509" s="26"/>
    </row>
    <row r="510" spans="1:19" ht="16.5" customHeight="1" x14ac:dyDescent="0.25">
      <c r="A510" s="9"/>
      <c r="B510" s="51" t="s">
        <v>98</v>
      </c>
      <c r="C510" s="52"/>
      <c r="D510" s="52"/>
      <c r="E510" s="52"/>
      <c r="F510" s="52"/>
      <c r="G510" s="53"/>
      <c r="H510" s="20"/>
      <c r="I510" s="9">
        <v>3</v>
      </c>
      <c r="J510" s="9"/>
      <c r="K510" s="9"/>
      <c r="L510" s="9"/>
      <c r="M510" s="9">
        <f t="shared" si="72"/>
        <v>21.299999999999997</v>
      </c>
      <c r="N510" s="9">
        <f t="shared" si="73"/>
        <v>9</v>
      </c>
      <c r="O510" s="9">
        <v>7.1</v>
      </c>
      <c r="P510" s="9">
        <v>3</v>
      </c>
      <c r="Q510" s="9" t="s">
        <v>6</v>
      </c>
      <c r="R510" s="1">
        <v>0</v>
      </c>
      <c r="S510" s="26"/>
    </row>
    <row r="511" spans="1:19" ht="16.5" customHeight="1" x14ac:dyDescent="0.25">
      <c r="A511" s="9"/>
      <c r="B511" s="51" t="s">
        <v>93</v>
      </c>
      <c r="C511" s="52"/>
      <c r="D511" s="52"/>
      <c r="E511" s="52"/>
      <c r="F511" s="52"/>
      <c r="G511" s="53"/>
      <c r="H511" s="20"/>
      <c r="I511" s="9">
        <v>3</v>
      </c>
      <c r="J511" s="9"/>
      <c r="K511" s="9"/>
      <c r="L511" s="9"/>
      <c r="M511" s="9">
        <f t="shared" si="72"/>
        <v>26.400000000000002</v>
      </c>
      <c r="N511" s="9">
        <f t="shared" si="73"/>
        <v>11.100000000000001</v>
      </c>
      <c r="O511" s="9">
        <v>8.8000000000000007</v>
      </c>
      <c r="P511" s="9">
        <v>3.7</v>
      </c>
      <c r="Q511" s="9" t="s">
        <v>10</v>
      </c>
      <c r="R511" s="1">
        <v>0</v>
      </c>
      <c r="S511" s="26"/>
    </row>
    <row r="512" spans="1:19" ht="16.5" customHeight="1" x14ac:dyDescent="0.25">
      <c r="A512" s="9"/>
      <c r="B512" s="51" t="s">
        <v>94</v>
      </c>
      <c r="C512" s="52"/>
      <c r="D512" s="52"/>
      <c r="E512" s="52"/>
      <c r="F512" s="52"/>
      <c r="G512" s="53"/>
      <c r="H512" s="20"/>
      <c r="I512" s="9">
        <v>1</v>
      </c>
      <c r="J512" s="9"/>
      <c r="K512" s="9"/>
      <c r="L512" s="9"/>
      <c r="M512" s="9">
        <f t="shared" si="72"/>
        <v>8.4</v>
      </c>
      <c r="N512" s="9">
        <f t="shared" si="73"/>
        <v>3.5</v>
      </c>
      <c r="O512" s="9">
        <v>8.4</v>
      </c>
      <c r="P512" s="9">
        <v>3.5</v>
      </c>
      <c r="Q512" s="9" t="s">
        <v>9</v>
      </c>
      <c r="R512" s="1">
        <v>0</v>
      </c>
      <c r="S512" s="26"/>
    </row>
    <row r="513" spans="1:19" ht="16.5" customHeight="1" x14ac:dyDescent="0.25">
      <c r="A513" s="9"/>
      <c r="B513" s="51" t="s">
        <v>95</v>
      </c>
      <c r="C513" s="52"/>
      <c r="D513" s="52"/>
      <c r="E513" s="52"/>
      <c r="F513" s="52"/>
      <c r="G513" s="53"/>
      <c r="H513" s="20"/>
      <c r="I513" s="9">
        <v>1</v>
      </c>
      <c r="J513" s="9"/>
      <c r="K513" s="9"/>
      <c r="L513" s="9"/>
      <c r="M513" s="9">
        <f t="shared" si="72"/>
        <v>7.7</v>
      </c>
      <c r="N513" s="9">
        <f t="shared" si="73"/>
        <v>3</v>
      </c>
      <c r="O513" s="9">
        <v>7.7</v>
      </c>
      <c r="P513" s="9">
        <v>3</v>
      </c>
      <c r="Q513" s="9" t="s">
        <v>6</v>
      </c>
      <c r="R513" s="1">
        <v>0</v>
      </c>
      <c r="S513" s="26"/>
    </row>
    <row r="514" spans="1:19" ht="16.5" customHeight="1" x14ac:dyDescent="0.25">
      <c r="A514" s="9"/>
      <c r="B514" s="51" t="s">
        <v>96</v>
      </c>
      <c r="C514" s="52"/>
      <c r="D514" s="52"/>
      <c r="E514" s="52"/>
      <c r="F514" s="52"/>
      <c r="G514" s="53"/>
      <c r="H514" s="20"/>
      <c r="I514" s="9">
        <v>1</v>
      </c>
      <c r="J514" s="9"/>
      <c r="K514" s="9"/>
      <c r="L514" s="9"/>
      <c r="M514" s="9">
        <f t="shared" si="72"/>
        <v>7.6</v>
      </c>
      <c r="N514" s="9">
        <f t="shared" si="73"/>
        <v>3</v>
      </c>
      <c r="O514" s="9">
        <v>7.6</v>
      </c>
      <c r="P514" s="9">
        <v>3</v>
      </c>
      <c r="Q514" s="9" t="s">
        <v>6</v>
      </c>
      <c r="R514" s="1">
        <v>0</v>
      </c>
      <c r="S514" s="26"/>
    </row>
    <row r="515" spans="1:19" ht="16.5" customHeight="1" x14ac:dyDescent="0.25">
      <c r="A515" s="9"/>
      <c r="B515" s="51" t="s">
        <v>97</v>
      </c>
      <c r="C515" s="52"/>
      <c r="D515" s="52"/>
      <c r="E515" s="52"/>
      <c r="F515" s="52"/>
      <c r="G515" s="53"/>
      <c r="H515" s="20"/>
      <c r="I515" s="9">
        <v>2</v>
      </c>
      <c r="J515" s="9"/>
      <c r="K515" s="9"/>
      <c r="L515" s="9"/>
      <c r="M515" s="9">
        <f t="shared" si="72"/>
        <v>15</v>
      </c>
      <c r="N515" s="9">
        <f t="shared" si="73"/>
        <v>6</v>
      </c>
      <c r="O515" s="9">
        <v>7.5</v>
      </c>
      <c r="P515" s="9">
        <v>3</v>
      </c>
      <c r="Q515" s="9" t="s">
        <v>6</v>
      </c>
      <c r="R515" s="1">
        <v>0</v>
      </c>
      <c r="S515" s="26"/>
    </row>
    <row r="516" spans="1:19" ht="16.5" customHeight="1" x14ac:dyDescent="0.25">
      <c r="A516" s="9"/>
      <c r="B516" s="51" t="s">
        <v>92</v>
      </c>
      <c r="C516" s="52"/>
      <c r="D516" s="52"/>
      <c r="E516" s="52"/>
      <c r="F516" s="52"/>
      <c r="G516" s="53"/>
      <c r="H516" s="20"/>
      <c r="I516" s="9">
        <v>2</v>
      </c>
      <c r="J516" s="9"/>
      <c r="K516" s="9"/>
      <c r="L516" s="9"/>
      <c r="M516" s="9">
        <f t="shared" si="72"/>
        <v>4</v>
      </c>
      <c r="N516" s="9">
        <f t="shared" si="73"/>
        <v>0</v>
      </c>
      <c r="O516" s="9">
        <v>2</v>
      </c>
      <c r="P516" s="9">
        <v>0</v>
      </c>
      <c r="Q516" s="9" t="s">
        <v>7</v>
      </c>
      <c r="R516" s="1">
        <v>0</v>
      </c>
      <c r="S516" s="26"/>
    </row>
    <row r="517" spans="1:19" ht="16.5" customHeight="1" x14ac:dyDescent="0.25">
      <c r="A517" s="9"/>
      <c r="B517" s="51" t="s">
        <v>99</v>
      </c>
      <c r="C517" s="52"/>
      <c r="D517" s="52"/>
      <c r="E517" s="52"/>
      <c r="F517" s="52"/>
      <c r="G517" s="53"/>
      <c r="H517" s="20"/>
      <c r="I517" s="9">
        <v>2</v>
      </c>
      <c r="J517" s="9"/>
      <c r="K517" s="9"/>
      <c r="L517" s="9"/>
      <c r="M517" s="9">
        <f t="shared" si="72"/>
        <v>15.6</v>
      </c>
      <c r="N517" s="9">
        <f t="shared" si="73"/>
        <v>6</v>
      </c>
      <c r="O517" s="9">
        <v>7.8</v>
      </c>
      <c r="P517" s="9">
        <v>3</v>
      </c>
      <c r="Q517" s="9" t="s">
        <v>6</v>
      </c>
      <c r="R517" s="1">
        <v>0</v>
      </c>
      <c r="S517" s="26"/>
    </row>
    <row r="518" spans="1:19" ht="16.5" customHeight="1" x14ac:dyDescent="0.25">
      <c r="A518" s="9"/>
      <c r="B518" s="51" t="s">
        <v>101</v>
      </c>
      <c r="C518" s="52"/>
      <c r="D518" s="52"/>
      <c r="E518" s="52"/>
      <c r="F518" s="52"/>
      <c r="G518" s="53"/>
      <c r="H518" s="20"/>
      <c r="I518" s="9">
        <v>2</v>
      </c>
      <c r="J518" s="9"/>
      <c r="K518" s="9"/>
      <c r="L518" s="9"/>
      <c r="M518" s="9">
        <f t="shared" si="72"/>
        <v>15</v>
      </c>
      <c r="N518" s="9">
        <f t="shared" si="73"/>
        <v>6</v>
      </c>
      <c r="O518" s="9">
        <v>7.5</v>
      </c>
      <c r="P518" s="9">
        <v>3</v>
      </c>
      <c r="Q518" s="9" t="s">
        <v>6</v>
      </c>
      <c r="R518" s="1">
        <v>0</v>
      </c>
      <c r="S518" s="26"/>
    </row>
    <row r="519" spans="1:19" ht="16.5" customHeight="1" x14ac:dyDescent="0.25">
      <c r="A519" s="9"/>
      <c r="B519" s="51" t="s">
        <v>100</v>
      </c>
      <c r="C519" s="52"/>
      <c r="D519" s="52"/>
      <c r="E519" s="52"/>
      <c r="F519" s="52"/>
      <c r="G519" s="53"/>
      <c r="H519" s="20"/>
      <c r="I519" s="9">
        <v>4</v>
      </c>
      <c r="J519" s="9"/>
      <c r="K519" s="9"/>
      <c r="L519" s="9"/>
      <c r="M519" s="9">
        <f t="shared" si="72"/>
        <v>29.6</v>
      </c>
      <c r="N519" s="9">
        <f t="shared" si="73"/>
        <v>12</v>
      </c>
      <c r="O519" s="9">
        <v>7.4</v>
      </c>
      <c r="P519" s="9">
        <v>3</v>
      </c>
      <c r="Q519" s="9" t="s">
        <v>6</v>
      </c>
      <c r="R519" s="1">
        <v>0</v>
      </c>
      <c r="S519" s="26"/>
    </row>
    <row r="520" spans="1:19" ht="16.5" hidden="1" customHeight="1" x14ac:dyDescent="0.25">
      <c r="A520" s="21"/>
      <c r="H520" s="21"/>
      <c r="I520" s="21"/>
      <c r="J520" s="21"/>
      <c r="K520" s="21"/>
      <c r="L520" s="21"/>
      <c r="M520" s="9">
        <f t="shared" si="72"/>
        <v>0</v>
      </c>
      <c r="N520" s="9">
        <f t="shared" si="73"/>
        <v>0</v>
      </c>
      <c r="O520" s="21"/>
      <c r="P520" s="21"/>
      <c r="Q520" s="21"/>
      <c r="S520" s="25"/>
    </row>
    <row r="521" spans="1:19" ht="16.5" customHeight="1" x14ac:dyDescent="0.25">
      <c r="A521" s="9"/>
      <c r="B521" s="39" t="s">
        <v>42</v>
      </c>
      <c r="C521" s="40"/>
      <c r="D521" s="40"/>
      <c r="E521" s="40"/>
      <c r="F521" s="40"/>
      <c r="G521" s="41"/>
      <c r="H521" s="23"/>
      <c r="I521" s="24">
        <f>SUM(I509:I520)</f>
        <v>22</v>
      </c>
      <c r="J521" s="9"/>
      <c r="K521" s="9"/>
      <c r="L521" s="9"/>
      <c r="M521" s="9">
        <f t="shared" si="72"/>
        <v>157.52000000000001</v>
      </c>
      <c r="N521" s="9">
        <f t="shared" si="73"/>
        <v>62.7</v>
      </c>
      <c r="O521" s="24">
        <f>ROUND(SUM(M509:M520)/I521,2)</f>
        <v>7.16</v>
      </c>
      <c r="P521" s="24">
        <f>ROUND(SUM(N509:N520)/I521,2)</f>
        <v>2.85</v>
      </c>
      <c r="Q521" s="9"/>
      <c r="S521" s="25"/>
    </row>
    <row r="522" spans="1:19" ht="20.25" customHeight="1" x14ac:dyDescent="0.25">
      <c r="A522" s="27" t="s">
        <v>132</v>
      </c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</row>
    <row r="523" spans="1:19" ht="16.5" customHeight="1" x14ac:dyDescent="0.25">
      <c r="A523" s="9"/>
      <c r="B523" s="51" t="s">
        <v>92</v>
      </c>
      <c r="C523" s="52"/>
      <c r="D523" s="52"/>
      <c r="E523" s="52"/>
      <c r="F523" s="52"/>
      <c r="G523" s="53"/>
      <c r="H523" s="20"/>
      <c r="I523" s="9">
        <v>2</v>
      </c>
      <c r="J523" s="9"/>
      <c r="K523" s="9"/>
      <c r="L523" s="9"/>
      <c r="M523" s="9">
        <f>I523*O523</f>
        <v>12</v>
      </c>
      <c r="N523" s="9">
        <f>I523*P523</f>
        <v>4</v>
      </c>
      <c r="O523" s="9">
        <v>6</v>
      </c>
      <c r="P523" s="9">
        <v>2</v>
      </c>
      <c r="Q523" s="9" t="s">
        <v>3</v>
      </c>
      <c r="R523" s="1">
        <v>6</v>
      </c>
      <c r="S523" s="26" t="s">
        <v>133</v>
      </c>
    </row>
    <row r="524" spans="1:19" ht="16.5" hidden="1" customHeight="1" x14ac:dyDescent="0.25">
      <c r="A524" s="21"/>
      <c r="H524" s="21"/>
      <c r="I524" s="21"/>
      <c r="J524" s="21"/>
      <c r="K524" s="21"/>
      <c r="L524" s="21"/>
      <c r="M524" s="9">
        <f>I524*O524</f>
        <v>0</v>
      </c>
      <c r="N524" s="9">
        <f>I524*P524</f>
        <v>0</v>
      </c>
      <c r="O524" s="21"/>
      <c r="P524" s="21"/>
      <c r="Q524" s="21"/>
      <c r="S524" s="25"/>
    </row>
    <row r="525" spans="1:19" ht="16.5" customHeight="1" x14ac:dyDescent="0.25">
      <c r="A525" s="9"/>
      <c r="B525" s="39" t="s">
        <v>42</v>
      </c>
      <c r="C525" s="40"/>
      <c r="D525" s="40"/>
      <c r="E525" s="40"/>
      <c r="F525" s="40"/>
      <c r="G525" s="41"/>
      <c r="H525" s="23"/>
      <c r="I525" s="24">
        <f>SUM(I523:I524)</f>
        <v>2</v>
      </c>
      <c r="J525" s="9"/>
      <c r="K525" s="9"/>
      <c r="L525" s="9"/>
      <c r="M525" s="9">
        <f>I525*O525</f>
        <v>12</v>
      </c>
      <c r="N525" s="9">
        <f>I525*P525</f>
        <v>4</v>
      </c>
      <c r="O525" s="24">
        <f>ROUND(SUM(M523:M524)/I525,2)</f>
        <v>6</v>
      </c>
      <c r="P525" s="24">
        <f>ROUND(SUM(N523:N524)/I525,2)</f>
        <v>2</v>
      </c>
      <c r="Q525" s="9"/>
      <c r="S525" s="25"/>
    </row>
    <row r="526" spans="1:19" ht="20.25" customHeight="1" x14ac:dyDescent="0.25">
      <c r="A526" s="27" t="s">
        <v>102</v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</row>
    <row r="527" spans="1:19" ht="16.5" customHeight="1" x14ac:dyDescent="0.25">
      <c r="A527" s="9"/>
      <c r="B527" s="51" t="s">
        <v>103</v>
      </c>
      <c r="C527" s="52"/>
      <c r="D527" s="52"/>
      <c r="E527" s="52"/>
      <c r="F527" s="52"/>
      <c r="G527" s="53"/>
      <c r="H527" s="20"/>
      <c r="I527" s="9">
        <v>1</v>
      </c>
      <c r="J527" s="9"/>
      <c r="K527" s="9"/>
      <c r="L527" s="9"/>
      <c r="M527" s="9">
        <f t="shared" ref="M527:M539" si="74">I527*O527</f>
        <v>7.1</v>
      </c>
      <c r="N527" s="9">
        <f t="shared" ref="N527:N539" si="75">I527*P527</f>
        <v>3</v>
      </c>
      <c r="O527" s="9">
        <v>7.1</v>
      </c>
      <c r="P527" s="9">
        <v>3</v>
      </c>
      <c r="Q527" s="9" t="s">
        <v>6</v>
      </c>
      <c r="R527" s="1">
        <v>0</v>
      </c>
      <c r="S527" s="26"/>
    </row>
    <row r="528" spans="1:19" ht="16.5" customHeight="1" x14ac:dyDescent="0.25">
      <c r="A528" s="9"/>
      <c r="B528" s="51" t="s">
        <v>104</v>
      </c>
      <c r="C528" s="52"/>
      <c r="D528" s="52"/>
      <c r="E528" s="52"/>
      <c r="F528" s="52"/>
      <c r="G528" s="53"/>
      <c r="H528" s="20"/>
      <c r="I528" s="9">
        <v>4</v>
      </c>
      <c r="J528" s="9"/>
      <c r="K528" s="9"/>
      <c r="L528" s="9"/>
      <c r="M528" s="9">
        <f t="shared" si="74"/>
        <v>29.6</v>
      </c>
      <c r="N528" s="9">
        <f t="shared" si="75"/>
        <v>12</v>
      </c>
      <c r="O528" s="9">
        <v>7.4</v>
      </c>
      <c r="P528" s="9">
        <v>3</v>
      </c>
      <c r="Q528" s="9" t="s">
        <v>6</v>
      </c>
      <c r="R528" s="1">
        <v>0</v>
      </c>
      <c r="S528" s="26"/>
    </row>
    <row r="529" spans="1:19" ht="16.5" customHeight="1" x14ac:dyDescent="0.25">
      <c r="A529" s="9"/>
      <c r="B529" s="51" t="s">
        <v>105</v>
      </c>
      <c r="C529" s="52"/>
      <c r="D529" s="52"/>
      <c r="E529" s="52"/>
      <c r="F529" s="52"/>
      <c r="G529" s="53"/>
      <c r="H529" s="20"/>
      <c r="I529" s="9">
        <v>2</v>
      </c>
      <c r="J529" s="9"/>
      <c r="K529" s="9"/>
      <c r="L529" s="9"/>
      <c r="M529" s="9">
        <f t="shared" si="74"/>
        <v>16.600000000000001</v>
      </c>
      <c r="N529" s="9">
        <f t="shared" si="75"/>
        <v>7</v>
      </c>
      <c r="O529" s="9">
        <v>8.3000000000000007</v>
      </c>
      <c r="P529" s="9">
        <v>3.5</v>
      </c>
      <c r="Q529" s="9" t="s">
        <v>9</v>
      </c>
      <c r="R529" s="1">
        <v>0</v>
      </c>
      <c r="S529" s="26"/>
    </row>
    <row r="530" spans="1:19" ht="16.5" customHeight="1" x14ac:dyDescent="0.25">
      <c r="A530" s="9"/>
      <c r="B530" s="51" t="s">
        <v>110</v>
      </c>
      <c r="C530" s="52"/>
      <c r="D530" s="52"/>
      <c r="E530" s="52"/>
      <c r="F530" s="52"/>
      <c r="G530" s="53"/>
      <c r="H530" s="20"/>
      <c r="I530" s="9">
        <v>2</v>
      </c>
      <c r="J530" s="9"/>
      <c r="K530" s="9"/>
      <c r="L530" s="9"/>
      <c r="M530" s="9">
        <f t="shared" si="74"/>
        <v>13</v>
      </c>
      <c r="N530" s="9">
        <f t="shared" si="75"/>
        <v>5</v>
      </c>
      <c r="O530" s="9">
        <v>6.5</v>
      </c>
      <c r="P530" s="9">
        <v>2.5</v>
      </c>
      <c r="Q530" s="9" t="s">
        <v>5</v>
      </c>
      <c r="R530" s="1">
        <v>0</v>
      </c>
      <c r="S530" s="26"/>
    </row>
    <row r="531" spans="1:19" ht="16.5" customHeight="1" x14ac:dyDescent="0.25">
      <c r="A531" s="9"/>
      <c r="B531" s="51" t="s">
        <v>107</v>
      </c>
      <c r="C531" s="52"/>
      <c r="D531" s="52"/>
      <c r="E531" s="52"/>
      <c r="F531" s="52"/>
      <c r="G531" s="53"/>
      <c r="H531" s="20"/>
      <c r="I531" s="9">
        <v>2</v>
      </c>
      <c r="J531" s="9"/>
      <c r="K531" s="9"/>
      <c r="L531" s="9"/>
      <c r="M531" s="9">
        <f t="shared" si="74"/>
        <v>14.2</v>
      </c>
      <c r="N531" s="9">
        <f t="shared" si="75"/>
        <v>6</v>
      </c>
      <c r="O531" s="9">
        <v>7.1</v>
      </c>
      <c r="P531" s="9">
        <v>3</v>
      </c>
      <c r="Q531" s="9" t="s">
        <v>6</v>
      </c>
      <c r="R531" s="1">
        <v>0</v>
      </c>
      <c r="S531" s="26"/>
    </row>
    <row r="532" spans="1:19" ht="16.5" customHeight="1" x14ac:dyDescent="0.25">
      <c r="A532" s="9"/>
      <c r="B532" s="51" t="s">
        <v>108</v>
      </c>
      <c r="C532" s="52"/>
      <c r="D532" s="52"/>
      <c r="E532" s="52"/>
      <c r="F532" s="52"/>
      <c r="G532" s="53"/>
      <c r="H532" s="20"/>
      <c r="I532" s="9">
        <v>2</v>
      </c>
      <c r="J532" s="9"/>
      <c r="K532" s="9"/>
      <c r="L532" s="9"/>
      <c r="M532" s="9">
        <f t="shared" si="74"/>
        <v>15</v>
      </c>
      <c r="N532" s="9">
        <f t="shared" si="75"/>
        <v>6</v>
      </c>
      <c r="O532" s="9">
        <v>7.5</v>
      </c>
      <c r="P532" s="9">
        <v>3</v>
      </c>
      <c r="Q532" s="9" t="s">
        <v>6</v>
      </c>
      <c r="R532" s="1">
        <v>0</v>
      </c>
      <c r="S532" s="26"/>
    </row>
    <row r="533" spans="1:19" ht="16.5" customHeight="1" x14ac:dyDescent="0.25">
      <c r="A533" s="9"/>
      <c r="B533" s="51" t="s">
        <v>109</v>
      </c>
      <c r="C533" s="52"/>
      <c r="D533" s="52"/>
      <c r="E533" s="52"/>
      <c r="F533" s="52"/>
      <c r="G533" s="53"/>
      <c r="H533" s="20"/>
      <c r="I533" s="9">
        <v>3</v>
      </c>
      <c r="J533" s="9"/>
      <c r="K533" s="9"/>
      <c r="L533" s="9"/>
      <c r="M533" s="9">
        <f t="shared" si="74"/>
        <v>23.700000000000003</v>
      </c>
      <c r="N533" s="9">
        <f t="shared" si="75"/>
        <v>9</v>
      </c>
      <c r="O533" s="9">
        <v>7.9</v>
      </c>
      <c r="P533" s="9">
        <v>3</v>
      </c>
      <c r="Q533" s="9" t="s">
        <v>6</v>
      </c>
      <c r="R533" s="1">
        <v>0</v>
      </c>
      <c r="S533" s="26"/>
    </row>
    <row r="534" spans="1:19" ht="16.5" customHeight="1" x14ac:dyDescent="0.25">
      <c r="A534" s="9"/>
      <c r="B534" s="51" t="s">
        <v>106</v>
      </c>
      <c r="C534" s="52"/>
      <c r="D534" s="52"/>
      <c r="E534" s="52"/>
      <c r="F534" s="52"/>
      <c r="G534" s="53"/>
      <c r="H534" s="20"/>
      <c r="I534" s="9">
        <v>3</v>
      </c>
      <c r="J534" s="9"/>
      <c r="K534" s="9"/>
      <c r="L534" s="9"/>
      <c r="M534" s="9">
        <f t="shared" si="74"/>
        <v>21</v>
      </c>
      <c r="N534" s="9">
        <f t="shared" si="75"/>
        <v>9</v>
      </c>
      <c r="O534" s="9">
        <v>7</v>
      </c>
      <c r="P534" s="9">
        <v>3</v>
      </c>
      <c r="Q534" s="9" t="s">
        <v>6</v>
      </c>
      <c r="R534" s="1">
        <v>0</v>
      </c>
      <c r="S534" s="26"/>
    </row>
    <row r="535" spans="1:19" ht="16.5" customHeight="1" x14ac:dyDescent="0.25">
      <c r="A535" s="9"/>
      <c r="B535" s="51" t="s">
        <v>111</v>
      </c>
      <c r="C535" s="52"/>
      <c r="D535" s="52"/>
      <c r="E535" s="52"/>
      <c r="F535" s="52"/>
      <c r="G535" s="53"/>
      <c r="H535" s="20"/>
      <c r="I535" s="9">
        <v>3</v>
      </c>
      <c r="J535" s="9"/>
      <c r="K535" s="9"/>
      <c r="L535" s="9"/>
      <c r="M535" s="9">
        <f t="shared" si="74"/>
        <v>24.900000000000002</v>
      </c>
      <c r="N535" s="9">
        <f t="shared" si="75"/>
        <v>10.5</v>
      </c>
      <c r="O535" s="9">
        <v>8.3000000000000007</v>
      </c>
      <c r="P535" s="9">
        <v>3.5</v>
      </c>
      <c r="Q535" s="9" t="s">
        <v>9</v>
      </c>
      <c r="R535" s="1">
        <v>0</v>
      </c>
      <c r="S535" s="26"/>
    </row>
    <row r="536" spans="1:19" ht="16.5" customHeight="1" x14ac:dyDescent="0.25">
      <c r="A536" s="9"/>
      <c r="B536" s="51" t="s">
        <v>112</v>
      </c>
      <c r="C536" s="52"/>
      <c r="D536" s="52"/>
      <c r="E536" s="52"/>
      <c r="F536" s="52"/>
      <c r="G536" s="53"/>
      <c r="H536" s="20"/>
      <c r="I536" s="9">
        <v>2</v>
      </c>
      <c r="J536" s="9"/>
      <c r="K536" s="9"/>
      <c r="L536" s="9"/>
      <c r="M536" s="9">
        <f t="shared" si="74"/>
        <v>15.2</v>
      </c>
      <c r="N536" s="9">
        <f t="shared" si="75"/>
        <v>6</v>
      </c>
      <c r="O536" s="9">
        <v>7.6</v>
      </c>
      <c r="P536" s="9">
        <v>3</v>
      </c>
      <c r="Q536" s="9" t="s">
        <v>6</v>
      </c>
      <c r="R536" s="1">
        <v>0</v>
      </c>
      <c r="S536" s="26"/>
    </row>
    <row r="537" spans="1:19" ht="16.5" customHeight="1" x14ac:dyDescent="0.25">
      <c r="A537" s="9"/>
      <c r="B537" s="51" t="s">
        <v>113</v>
      </c>
      <c r="C537" s="52"/>
      <c r="D537" s="52"/>
      <c r="E537" s="52"/>
      <c r="F537" s="52"/>
      <c r="G537" s="53"/>
      <c r="H537" s="20"/>
      <c r="I537" s="9">
        <v>3</v>
      </c>
      <c r="J537" s="9"/>
      <c r="K537" s="9"/>
      <c r="L537" s="9"/>
      <c r="M537" s="9">
        <f t="shared" si="74"/>
        <v>24.900000000000002</v>
      </c>
      <c r="N537" s="9">
        <f t="shared" si="75"/>
        <v>10.5</v>
      </c>
      <c r="O537" s="9">
        <v>8.3000000000000007</v>
      </c>
      <c r="P537" s="9">
        <v>3.5</v>
      </c>
      <c r="Q537" s="9" t="s">
        <v>9</v>
      </c>
      <c r="R537" s="1">
        <v>0</v>
      </c>
      <c r="S537" s="26"/>
    </row>
    <row r="538" spans="1:19" ht="16.5" hidden="1" customHeight="1" x14ac:dyDescent="0.25">
      <c r="A538" s="21"/>
      <c r="H538" s="21"/>
      <c r="I538" s="21"/>
      <c r="J538" s="21"/>
      <c r="K538" s="21"/>
      <c r="L538" s="21"/>
      <c r="M538" s="9">
        <f t="shared" si="74"/>
        <v>0</v>
      </c>
      <c r="N538" s="9">
        <f t="shared" si="75"/>
        <v>0</v>
      </c>
      <c r="O538" s="21"/>
      <c r="P538" s="21"/>
      <c r="Q538" s="21"/>
      <c r="S538" s="25"/>
    </row>
    <row r="539" spans="1:19" ht="16.5" customHeight="1" x14ac:dyDescent="0.25">
      <c r="A539" s="9"/>
      <c r="B539" s="39" t="s">
        <v>42</v>
      </c>
      <c r="C539" s="40"/>
      <c r="D539" s="40"/>
      <c r="E539" s="40"/>
      <c r="F539" s="40"/>
      <c r="G539" s="41"/>
      <c r="H539" s="23"/>
      <c r="I539" s="24">
        <f>SUM(I527:I538)</f>
        <v>27</v>
      </c>
      <c r="J539" s="9"/>
      <c r="K539" s="9"/>
      <c r="L539" s="9"/>
      <c r="M539" s="9">
        <f t="shared" si="74"/>
        <v>205.2</v>
      </c>
      <c r="N539" s="9">
        <f t="shared" si="75"/>
        <v>83.97</v>
      </c>
      <c r="O539" s="24">
        <f>ROUND(SUM(M527:M538)/I539,2)</f>
        <v>7.6</v>
      </c>
      <c r="P539" s="24">
        <f>ROUND(SUM(N527:N538)/I539,2)</f>
        <v>3.11</v>
      </c>
      <c r="Q539" s="9"/>
      <c r="S539" s="25"/>
    </row>
    <row r="540" spans="1:19" ht="20.25" customHeight="1" x14ac:dyDescent="0.25">
      <c r="A540" s="27" t="s">
        <v>114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</row>
    <row r="541" spans="1:19" ht="31.2" customHeight="1" x14ac:dyDescent="0.25">
      <c r="A541" s="9"/>
      <c r="B541" s="51" t="s">
        <v>123</v>
      </c>
      <c r="C541" s="52"/>
      <c r="D541" s="52"/>
      <c r="E541" s="52"/>
      <c r="F541" s="52"/>
      <c r="G541" s="53"/>
      <c r="H541" s="20"/>
      <c r="I541" s="9">
        <v>3</v>
      </c>
      <c r="J541" s="9"/>
      <c r="K541" s="9"/>
      <c r="L541" s="9"/>
      <c r="M541" s="9">
        <f t="shared" ref="M541:M551" si="76">I541*O541</f>
        <v>25.200000000000003</v>
      </c>
      <c r="N541" s="9">
        <f t="shared" ref="N541:N551" si="77">I541*P541</f>
        <v>10.5</v>
      </c>
      <c r="O541" s="9">
        <v>8.4</v>
      </c>
      <c r="P541" s="9">
        <v>3.5</v>
      </c>
      <c r="Q541" s="9" t="s">
        <v>9</v>
      </c>
      <c r="R541" s="1">
        <v>0</v>
      </c>
      <c r="S541" s="26"/>
    </row>
    <row r="542" spans="1:19" ht="16.5" customHeight="1" x14ac:dyDescent="0.25">
      <c r="A542" s="9"/>
      <c r="B542" s="51" t="s">
        <v>116</v>
      </c>
      <c r="C542" s="52"/>
      <c r="D542" s="52"/>
      <c r="E542" s="52"/>
      <c r="F542" s="52"/>
      <c r="G542" s="53"/>
      <c r="H542" s="20"/>
      <c r="I542" s="9">
        <v>3</v>
      </c>
      <c r="J542" s="9"/>
      <c r="K542" s="9"/>
      <c r="L542" s="9"/>
      <c r="M542" s="9">
        <f t="shared" si="76"/>
        <v>21.6</v>
      </c>
      <c r="N542" s="9">
        <f t="shared" si="77"/>
        <v>9</v>
      </c>
      <c r="O542" s="9">
        <v>7.2</v>
      </c>
      <c r="P542" s="9">
        <v>3</v>
      </c>
      <c r="Q542" s="9" t="s">
        <v>6</v>
      </c>
      <c r="R542" s="1">
        <v>0</v>
      </c>
      <c r="S542" s="26"/>
    </row>
    <row r="543" spans="1:19" ht="16.5" customHeight="1" x14ac:dyDescent="0.25">
      <c r="A543" s="9"/>
      <c r="B543" s="51" t="s">
        <v>117</v>
      </c>
      <c r="C543" s="52"/>
      <c r="D543" s="52"/>
      <c r="E543" s="52"/>
      <c r="F543" s="52"/>
      <c r="G543" s="53"/>
      <c r="H543" s="20"/>
      <c r="I543" s="9">
        <v>3</v>
      </c>
      <c r="J543" s="9"/>
      <c r="K543" s="9"/>
      <c r="L543" s="9"/>
      <c r="M543" s="9">
        <f t="shared" si="76"/>
        <v>17.100000000000001</v>
      </c>
      <c r="N543" s="9">
        <f t="shared" si="77"/>
        <v>6</v>
      </c>
      <c r="O543" s="9">
        <v>5.7</v>
      </c>
      <c r="P543" s="9">
        <v>2</v>
      </c>
      <c r="Q543" s="9" t="s">
        <v>3</v>
      </c>
      <c r="R543" s="1">
        <v>0</v>
      </c>
      <c r="S543" s="26"/>
    </row>
    <row r="544" spans="1:19" ht="16.5" customHeight="1" x14ac:dyDescent="0.25">
      <c r="A544" s="9"/>
      <c r="B544" s="51" t="s">
        <v>118</v>
      </c>
      <c r="C544" s="52"/>
      <c r="D544" s="52"/>
      <c r="E544" s="52"/>
      <c r="F544" s="52"/>
      <c r="G544" s="53"/>
      <c r="H544" s="20"/>
      <c r="I544" s="9">
        <v>3</v>
      </c>
      <c r="J544" s="9"/>
      <c r="K544" s="9"/>
      <c r="L544" s="9"/>
      <c r="M544" s="9">
        <f t="shared" si="76"/>
        <v>19.799999999999997</v>
      </c>
      <c r="N544" s="9">
        <f t="shared" si="77"/>
        <v>7.5</v>
      </c>
      <c r="O544" s="9">
        <v>6.6</v>
      </c>
      <c r="P544" s="9">
        <v>2.5</v>
      </c>
      <c r="Q544" s="9" t="s">
        <v>5</v>
      </c>
      <c r="R544" s="1">
        <v>0</v>
      </c>
      <c r="S544" s="26"/>
    </row>
    <row r="545" spans="1:19" ht="16.5" customHeight="1" x14ac:dyDescent="0.25">
      <c r="A545" s="9"/>
      <c r="B545" s="51" t="s">
        <v>119</v>
      </c>
      <c r="C545" s="52"/>
      <c r="D545" s="52"/>
      <c r="E545" s="52"/>
      <c r="F545" s="52"/>
      <c r="G545" s="53"/>
      <c r="H545" s="20"/>
      <c r="I545" s="9">
        <v>3</v>
      </c>
      <c r="J545" s="9"/>
      <c r="K545" s="9"/>
      <c r="L545" s="9"/>
      <c r="M545" s="9">
        <f t="shared" si="76"/>
        <v>6</v>
      </c>
      <c r="N545" s="9">
        <f t="shared" si="77"/>
        <v>0</v>
      </c>
      <c r="O545" s="9">
        <v>2</v>
      </c>
      <c r="P545" s="9">
        <v>0</v>
      </c>
      <c r="Q545" s="9" t="s">
        <v>7</v>
      </c>
      <c r="R545" s="1">
        <v>0</v>
      </c>
      <c r="S545" s="26"/>
    </row>
    <row r="546" spans="1:19" ht="16.5" customHeight="1" x14ac:dyDescent="0.25">
      <c r="A546" s="9"/>
      <c r="B546" s="51" t="s">
        <v>120</v>
      </c>
      <c r="C546" s="52"/>
      <c r="D546" s="52"/>
      <c r="E546" s="52"/>
      <c r="F546" s="52"/>
      <c r="G546" s="53"/>
      <c r="H546" s="20"/>
      <c r="I546" s="9">
        <v>2</v>
      </c>
      <c r="J546" s="9"/>
      <c r="K546" s="9"/>
      <c r="L546" s="9"/>
      <c r="M546" s="9">
        <f t="shared" si="76"/>
        <v>12</v>
      </c>
      <c r="N546" s="9">
        <f t="shared" si="77"/>
        <v>4</v>
      </c>
      <c r="O546" s="9">
        <v>6</v>
      </c>
      <c r="P546" s="9">
        <v>2</v>
      </c>
      <c r="Q546" s="9" t="s">
        <v>3</v>
      </c>
      <c r="R546" s="1">
        <v>0</v>
      </c>
      <c r="S546" s="26"/>
    </row>
    <row r="547" spans="1:19" ht="16.5" customHeight="1" x14ac:dyDescent="0.25">
      <c r="A547" s="9"/>
      <c r="B547" s="51" t="s">
        <v>121</v>
      </c>
      <c r="C547" s="52"/>
      <c r="D547" s="52"/>
      <c r="E547" s="52"/>
      <c r="F547" s="52"/>
      <c r="G547" s="53"/>
      <c r="H547" s="20"/>
      <c r="I547" s="9">
        <v>3</v>
      </c>
      <c r="J547" s="9"/>
      <c r="K547" s="9"/>
      <c r="L547" s="9"/>
      <c r="M547" s="9">
        <f t="shared" si="76"/>
        <v>16.799999999999997</v>
      </c>
      <c r="N547" s="9">
        <f t="shared" si="77"/>
        <v>6</v>
      </c>
      <c r="O547" s="9">
        <v>5.6</v>
      </c>
      <c r="P547" s="9">
        <v>2</v>
      </c>
      <c r="Q547" s="9" t="s">
        <v>3</v>
      </c>
      <c r="R547" s="1">
        <v>0</v>
      </c>
      <c r="S547" s="26"/>
    </row>
    <row r="548" spans="1:19" ht="16.5" customHeight="1" x14ac:dyDescent="0.25">
      <c r="A548" s="9"/>
      <c r="B548" s="51" t="s">
        <v>122</v>
      </c>
      <c r="C548" s="52"/>
      <c r="D548" s="52"/>
      <c r="E548" s="52"/>
      <c r="F548" s="52"/>
      <c r="G548" s="53"/>
      <c r="H548" s="20"/>
      <c r="I548" s="9">
        <v>1</v>
      </c>
      <c r="J548" s="9"/>
      <c r="K548" s="9"/>
      <c r="L548" s="9"/>
      <c r="M548" s="9">
        <f t="shared" si="76"/>
        <v>8.1</v>
      </c>
      <c r="N548" s="9">
        <f t="shared" si="77"/>
        <v>3.5</v>
      </c>
      <c r="O548" s="9">
        <v>8.1</v>
      </c>
      <c r="P548" s="9">
        <v>3.5</v>
      </c>
      <c r="Q548" s="9" t="s">
        <v>9</v>
      </c>
      <c r="R548" s="1">
        <v>0</v>
      </c>
      <c r="S548" s="26"/>
    </row>
    <row r="549" spans="1:19" ht="16.5" customHeight="1" x14ac:dyDescent="0.25">
      <c r="A549" s="9"/>
      <c r="B549" s="51" t="s">
        <v>115</v>
      </c>
      <c r="C549" s="52"/>
      <c r="D549" s="52"/>
      <c r="E549" s="52"/>
      <c r="F549" s="52"/>
      <c r="G549" s="53"/>
      <c r="H549" s="20"/>
      <c r="I549" s="9">
        <v>2</v>
      </c>
      <c r="J549" s="9"/>
      <c r="K549" s="9"/>
      <c r="L549" s="9"/>
      <c r="M549" s="9">
        <f t="shared" si="76"/>
        <v>15.2</v>
      </c>
      <c r="N549" s="9">
        <f t="shared" si="77"/>
        <v>6</v>
      </c>
      <c r="O549" s="9">
        <v>7.6</v>
      </c>
      <c r="P549" s="9">
        <v>3</v>
      </c>
      <c r="Q549" s="9" t="s">
        <v>6</v>
      </c>
      <c r="R549" s="1">
        <v>0</v>
      </c>
      <c r="S549" s="26"/>
    </row>
    <row r="550" spans="1:19" ht="16.5" hidden="1" customHeight="1" x14ac:dyDescent="0.25">
      <c r="A550" s="21"/>
      <c r="H550" s="21"/>
      <c r="I550" s="21"/>
      <c r="J550" s="21"/>
      <c r="K550" s="21"/>
      <c r="L550" s="21"/>
      <c r="M550" s="9">
        <f t="shared" si="76"/>
        <v>0</v>
      </c>
      <c r="N550" s="9">
        <f t="shared" si="77"/>
        <v>0</v>
      </c>
      <c r="O550" s="21"/>
      <c r="P550" s="21"/>
      <c r="Q550" s="21"/>
      <c r="S550" s="25"/>
    </row>
    <row r="551" spans="1:19" ht="16.5" customHeight="1" x14ac:dyDescent="0.25">
      <c r="A551" s="9"/>
      <c r="B551" s="39" t="s">
        <v>42</v>
      </c>
      <c r="C551" s="40"/>
      <c r="D551" s="40"/>
      <c r="E551" s="40"/>
      <c r="F551" s="40"/>
      <c r="G551" s="41"/>
      <c r="H551" s="23"/>
      <c r="I551" s="24">
        <f>SUM(I541:I550)</f>
        <v>23</v>
      </c>
      <c r="J551" s="9"/>
      <c r="K551" s="9"/>
      <c r="L551" s="9"/>
      <c r="M551" s="9">
        <f t="shared" si="76"/>
        <v>141.91</v>
      </c>
      <c r="N551" s="9">
        <f t="shared" si="77"/>
        <v>52.44</v>
      </c>
      <c r="O551" s="24">
        <f>ROUND(SUM(M541:M550)/I551,2)</f>
        <v>6.17</v>
      </c>
      <c r="P551" s="24">
        <f>ROUND(SUM(N541:N550)/I551,2)</f>
        <v>2.2799999999999998</v>
      </c>
      <c r="Q551" s="9"/>
      <c r="S551" s="25"/>
    </row>
    <row r="552" spans="1:19" ht="16.5" customHeight="1" x14ac:dyDescent="0.25">
      <c r="A552" s="21"/>
      <c r="B552" s="22"/>
      <c r="C552" s="22"/>
      <c r="D552" s="22"/>
      <c r="E552" s="22"/>
      <c r="F552" s="22"/>
      <c r="G552" s="22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4" spans="1:19" ht="18" x14ac:dyDescent="0.25">
      <c r="A554" s="35" t="s">
        <v>147</v>
      </c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</row>
    <row r="555" spans="1:19" ht="18" x14ac:dyDescent="0.25">
      <c r="A555" s="35" t="s">
        <v>148</v>
      </c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</row>
    <row r="556" spans="1:19" ht="18" x14ac:dyDescent="0.25">
      <c r="A556" s="35" t="s">
        <v>149</v>
      </c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</row>
    <row r="557" spans="1:19" ht="18" x14ac:dyDescent="0.25">
      <c r="A557" s="45" t="s">
        <v>53</v>
      </c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</row>
    <row r="558" spans="1:19" ht="19.5" customHeight="1" x14ac:dyDescent="0.25">
      <c r="A558" s="17"/>
      <c r="B558" s="17"/>
      <c r="C558" s="8"/>
      <c r="D558" s="18"/>
      <c r="E558" s="10"/>
      <c r="F558" s="11"/>
      <c r="G558" s="46" t="s">
        <v>49</v>
      </c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</row>
    <row r="559" spans="1:19" ht="31.5" customHeight="1" x14ac:dyDescent="0.3">
      <c r="A559" s="8"/>
      <c r="B559" s="8"/>
      <c r="C559" s="8"/>
      <c r="D559" s="8"/>
      <c r="E559" s="8"/>
      <c r="F559" s="8"/>
      <c r="G559" s="8"/>
      <c r="H559" s="12"/>
      <c r="I559" s="42" t="s">
        <v>40</v>
      </c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 spans="1:19" ht="16.8" x14ac:dyDescent="0.3">
      <c r="A560" s="8"/>
      <c r="B560" s="8"/>
      <c r="C560" s="8"/>
      <c r="D560" s="8"/>
      <c r="E560" s="8"/>
      <c r="F560" s="8"/>
      <c r="G560" s="8"/>
      <c r="H560" s="12"/>
      <c r="I560" s="12"/>
      <c r="J560" s="12"/>
      <c r="K560" s="12"/>
      <c r="L560" s="8"/>
      <c r="M560" s="8"/>
      <c r="N560" s="8"/>
      <c r="O560" s="8"/>
      <c r="P560" s="8"/>
      <c r="Q560" s="8"/>
    </row>
    <row r="561" spans="1:20" ht="33" customHeight="1" x14ac:dyDescent="0.3">
      <c r="A561" s="8"/>
      <c r="B561" s="8"/>
      <c r="C561" s="8"/>
      <c r="D561" s="8"/>
      <c r="E561" s="8"/>
      <c r="F561" s="8"/>
      <c r="G561" s="8"/>
      <c r="H561" s="12"/>
      <c r="I561" s="12"/>
      <c r="J561" s="12"/>
      <c r="K561" s="12"/>
      <c r="L561" s="8"/>
      <c r="M561" s="8"/>
      <c r="N561" s="8"/>
      <c r="O561" s="8"/>
      <c r="P561" s="8"/>
      <c r="Q561" s="8"/>
    </row>
    <row r="562" spans="1:20" ht="11.25" customHeight="1" x14ac:dyDescent="0.3">
      <c r="A562" s="8"/>
      <c r="B562" s="8"/>
      <c r="C562" s="8"/>
      <c r="D562" s="8"/>
      <c r="E562" s="8"/>
      <c r="F562" s="8"/>
      <c r="G562" s="8"/>
      <c r="H562" s="12"/>
      <c r="I562" s="12"/>
      <c r="J562" s="12"/>
      <c r="K562" s="12"/>
      <c r="L562" s="8"/>
      <c r="M562" s="8"/>
      <c r="N562" s="8"/>
      <c r="O562" s="8"/>
      <c r="P562" s="8"/>
      <c r="Q562" s="8"/>
    </row>
    <row r="563" spans="1:20" ht="17.399999999999999" x14ac:dyDescent="0.3">
      <c r="A563" s="8"/>
      <c r="B563" s="8"/>
      <c r="C563" s="8"/>
      <c r="D563" s="8"/>
      <c r="E563" s="8"/>
      <c r="F563" s="8"/>
      <c r="G563" s="47" t="s">
        <v>41</v>
      </c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</row>
    <row r="564" spans="1:20" ht="54" customHeight="1" x14ac:dyDescent="0.25">
      <c r="A564" s="48" t="s">
        <v>33</v>
      </c>
      <c r="B564" s="48"/>
      <c r="C564" s="48"/>
      <c r="D564" s="48"/>
      <c r="E564" s="48"/>
      <c r="F564" s="42" t="s">
        <v>24</v>
      </c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</row>
    <row r="565" spans="1:20" ht="17.399999999999999" x14ac:dyDescent="0.25">
      <c r="A565" s="49" t="s">
        <v>34</v>
      </c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</row>
    <row r="566" spans="1:20" ht="4.5" customHeight="1" x14ac:dyDescent="0.2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</row>
    <row r="567" spans="1:20" ht="5.25" customHeight="1" x14ac:dyDescent="0.2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</row>
    <row r="568" spans="1:20" ht="16.5" customHeight="1" x14ac:dyDescent="0.25">
      <c r="A568" s="54" t="s">
        <v>151</v>
      </c>
      <c r="B568" s="54"/>
      <c r="C568" s="54"/>
      <c r="D568" s="54"/>
      <c r="E568" s="54"/>
      <c r="F568" s="54"/>
      <c r="G568" s="58" t="s">
        <v>152</v>
      </c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</row>
    <row r="569" spans="1:20" ht="16.5" customHeight="1" x14ac:dyDescent="0.25">
      <c r="A569" s="54" t="s">
        <v>153</v>
      </c>
      <c r="B569" s="54"/>
      <c r="C569" s="54"/>
      <c r="D569" s="54"/>
      <c r="E569" s="54"/>
      <c r="F569" s="54"/>
      <c r="G569" s="8" t="s">
        <v>46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T569" s="2"/>
    </row>
    <row r="570" spans="1:20" ht="16.5" customHeight="1" x14ac:dyDescent="0.25">
      <c r="A570" s="54" t="s">
        <v>47</v>
      </c>
      <c r="B570" s="54"/>
      <c r="C570" s="54"/>
      <c r="D570" s="54"/>
      <c r="E570" s="54"/>
      <c r="F570" s="54"/>
      <c r="G570" s="58" t="s">
        <v>48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</row>
    <row r="571" spans="1:20" ht="5.2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19"/>
      <c r="K571" s="19"/>
      <c r="L571" s="19"/>
      <c r="M571" s="19"/>
      <c r="N571" s="19"/>
      <c r="O571" s="19"/>
      <c r="P571" s="19"/>
      <c r="Q571" s="19"/>
    </row>
    <row r="572" spans="1:20" ht="15" customHeight="1" x14ac:dyDescent="0.25">
      <c r="A572" s="36" t="s">
        <v>0</v>
      </c>
      <c r="B572" s="29" t="s">
        <v>1</v>
      </c>
      <c r="C572" s="30"/>
      <c r="D572" s="30"/>
      <c r="E572" s="30"/>
      <c r="F572" s="30"/>
      <c r="G572" s="31"/>
      <c r="H572" s="36" t="s">
        <v>32</v>
      </c>
      <c r="I572" s="36" t="s">
        <v>39</v>
      </c>
      <c r="J572" s="55" t="s">
        <v>2</v>
      </c>
      <c r="K572" s="56"/>
      <c r="L572" s="56"/>
      <c r="M572" s="56"/>
      <c r="N572" s="56"/>
      <c r="O572" s="56"/>
      <c r="P572" s="56"/>
      <c r="Q572" s="57"/>
      <c r="S572" s="36" t="s">
        <v>38</v>
      </c>
    </row>
    <row r="573" spans="1:20" ht="24" customHeight="1" x14ac:dyDescent="0.25">
      <c r="A573" s="37"/>
      <c r="B573" s="32"/>
      <c r="C573" s="33"/>
      <c r="D573" s="33"/>
      <c r="E573" s="33"/>
      <c r="F573" s="33"/>
      <c r="G573" s="34"/>
      <c r="H573" s="37"/>
      <c r="I573" s="37"/>
      <c r="J573" s="7" t="s">
        <v>28</v>
      </c>
      <c r="K573" s="7" t="s">
        <v>29</v>
      </c>
      <c r="L573" s="7" t="s">
        <v>30</v>
      </c>
      <c r="M573" s="7"/>
      <c r="N573" s="7"/>
      <c r="O573" s="6" t="s">
        <v>35</v>
      </c>
      <c r="P573" s="6" t="s">
        <v>36</v>
      </c>
      <c r="Q573" s="6" t="s">
        <v>37</v>
      </c>
      <c r="S573" s="37"/>
    </row>
    <row r="574" spans="1:20" ht="20.25" customHeight="1" x14ac:dyDescent="0.25">
      <c r="A574" s="27" t="s">
        <v>54</v>
      </c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</row>
    <row r="575" spans="1:20" ht="16.5" customHeight="1" x14ac:dyDescent="0.25">
      <c r="A575" s="9"/>
      <c r="B575" s="51" t="s">
        <v>55</v>
      </c>
      <c r="C575" s="52"/>
      <c r="D575" s="52"/>
      <c r="E575" s="52"/>
      <c r="F575" s="52"/>
      <c r="G575" s="53"/>
      <c r="H575" s="20"/>
      <c r="I575" s="9">
        <v>2</v>
      </c>
      <c r="J575" s="9"/>
      <c r="K575" s="9"/>
      <c r="L575" s="9"/>
      <c r="M575" s="9">
        <f t="shared" ref="M575:M583" si="78">I575*O575</f>
        <v>14.2</v>
      </c>
      <c r="N575" s="9">
        <f t="shared" ref="N575:N583" si="79">I575*P575</f>
        <v>6</v>
      </c>
      <c r="O575" s="9">
        <v>7.1</v>
      </c>
      <c r="P575" s="9">
        <v>3</v>
      </c>
      <c r="Q575" s="9" t="s">
        <v>6</v>
      </c>
      <c r="R575" s="1">
        <v>0</v>
      </c>
      <c r="S575" s="26"/>
    </row>
    <row r="576" spans="1:20" ht="16.5" customHeight="1" x14ac:dyDescent="0.25">
      <c r="A576" s="9"/>
      <c r="B576" s="51" t="s">
        <v>56</v>
      </c>
      <c r="C576" s="52"/>
      <c r="D576" s="52"/>
      <c r="E576" s="52"/>
      <c r="F576" s="52"/>
      <c r="G576" s="53"/>
      <c r="H576" s="20"/>
      <c r="I576" s="9">
        <v>3</v>
      </c>
      <c r="J576" s="9"/>
      <c r="K576" s="9"/>
      <c r="L576" s="9"/>
      <c r="M576" s="9">
        <f t="shared" si="78"/>
        <v>20.100000000000001</v>
      </c>
      <c r="N576" s="9">
        <f t="shared" si="79"/>
        <v>7.5</v>
      </c>
      <c r="O576" s="9">
        <v>6.7</v>
      </c>
      <c r="P576" s="9">
        <v>2.5</v>
      </c>
      <c r="Q576" s="9" t="s">
        <v>5</v>
      </c>
      <c r="R576" s="1">
        <v>0</v>
      </c>
      <c r="S576" s="26"/>
    </row>
    <row r="577" spans="1:19" ht="31.2" customHeight="1" x14ac:dyDescent="0.25">
      <c r="A577" s="9"/>
      <c r="B577" s="51" t="s">
        <v>57</v>
      </c>
      <c r="C577" s="52"/>
      <c r="D577" s="52"/>
      <c r="E577" s="52"/>
      <c r="F577" s="52"/>
      <c r="G577" s="53"/>
      <c r="H577" s="20"/>
      <c r="I577" s="9">
        <v>3</v>
      </c>
      <c r="J577" s="9"/>
      <c r="K577" s="9"/>
      <c r="L577" s="9"/>
      <c r="M577" s="9">
        <f t="shared" si="78"/>
        <v>24.599999999999998</v>
      </c>
      <c r="N577" s="9">
        <f t="shared" si="79"/>
        <v>10.5</v>
      </c>
      <c r="O577" s="9">
        <v>8.1999999999999993</v>
      </c>
      <c r="P577" s="9">
        <v>3.5</v>
      </c>
      <c r="Q577" s="9" t="s">
        <v>9</v>
      </c>
      <c r="R577" s="1">
        <v>0</v>
      </c>
      <c r="S577" s="26"/>
    </row>
    <row r="578" spans="1:19" ht="16.5" customHeight="1" x14ac:dyDescent="0.25">
      <c r="A578" s="9"/>
      <c r="B578" s="51" t="s">
        <v>58</v>
      </c>
      <c r="C578" s="52"/>
      <c r="D578" s="52"/>
      <c r="E578" s="52"/>
      <c r="F578" s="52"/>
      <c r="G578" s="53"/>
      <c r="H578" s="20"/>
      <c r="I578" s="9">
        <v>1</v>
      </c>
      <c r="J578" s="9"/>
      <c r="K578" s="9"/>
      <c r="L578" s="9"/>
      <c r="M578" s="9">
        <f t="shared" si="78"/>
        <v>7</v>
      </c>
      <c r="N578" s="9">
        <f t="shared" si="79"/>
        <v>3</v>
      </c>
      <c r="O578" s="9">
        <v>7</v>
      </c>
      <c r="P578" s="9">
        <v>3</v>
      </c>
      <c r="Q578" s="9" t="s">
        <v>6</v>
      </c>
      <c r="R578" s="1">
        <v>0</v>
      </c>
      <c r="S578" s="26"/>
    </row>
    <row r="579" spans="1:19" ht="16.5" customHeight="1" x14ac:dyDescent="0.25">
      <c r="A579" s="9"/>
      <c r="B579" s="51" t="s">
        <v>59</v>
      </c>
      <c r="C579" s="52"/>
      <c r="D579" s="52"/>
      <c r="E579" s="52"/>
      <c r="F579" s="52"/>
      <c r="G579" s="53"/>
      <c r="H579" s="20"/>
      <c r="I579" s="9">
        <v>1</v>
      </c>
      <c r="J579" s="9"/>
      <c r="K579" s="9"/>
      <c r="L579" s="9"/>
      <c r="M579" s="9">
        <f t="shared" si="78"/>
        <v>7.1</v>
      </c>
      <c r="N579" s="9">
        <f t="shared" si="79"/>
        <v>3</v>
      </c>
      <c r="O579" s="9">
        <v>7.1</v>
      </c>
      <c r="P579" s="9">
        <v>3</v>
      </c>
      <c r="Q579" s="9" t="s">
        <v>6</v>
      </c>
      <c r="R579" s="1">
        <v>0</v>
      </c>
      <c r="S579" s="26"/>
    </row>
    <row r="580" spans="1:19" ht="16.5" customHeight="1" x14ac:dyDescent="0.25">
      <c r="A580" s="9"/>
      <c r="B580" s="51" t="s">
        <v>60</v>
      </c>
      <c r="C580" s="52"/>
      <c r="D580" s="52"/>
      <c r="E580" s="52"/>
      <c r="F580" s="52"/>
      <c r="G580" s="53"/>
      <c r="H580" s="20"/>
      <c r="I580" s="9">
        <v>3</v>
      </c>
      <c r="J580" s="9"/>
      <c r="K580" s="9"/>
      <c r="L580" s="9"/>
      <c r="M580" s="9">
        <f t="shared" si="78"/>
        <v>24.299999999999997</v>
      </c>
      <c r="N580" s="9">
        <f t="shared" si="79"/>
        <v>10.5</v>
      </c>
      <c r="O580" s="9">
        <v>8.1</v>
      </c>
      <c r="P580" s="9">
        <v>3.5</v>
      </c>
      <c r="Q580" s="9" t="s">
        <v>9</v>
      </c>
      <c r="R580" s="1">
        <v>0</v>
      </c>
      <c r="S580" s="26"/>
    </row>
    <row r="581" spans="1:19" ht="16.5" customHeight="1" x14ac:dyDescent="0.25">
      <c r="A581" s="9"/>
      <c r="B581" s="51" t="s">
        <v>61</v>
      </c>
      <c r="C581" s="52"/>
      <c r="D581" s="52"/>
      <c r="E581" s="52"/>
      <c r="F581" s="52"/>
      <c r="G581" s="53"/>
      <c r="H581" s="20"/>
      <c r="I581" s="9">
        <v>1</v>
      </c>
      <c r="J581" s="9"/>
      <c r="K581" s="9"/>
      <c r="L581" s="9"/>
      <c r="M581" s="9">
        <f t="shared" si="78"/>
        <v>6</v>
      </c>
      <c r="N581" s="9">
        <f t="shared" si="79"/>
        <v>2</v>
      </c>
      <c r="O581" s="9">
        <v>6</v>
      </c>
      <c r="P581" s="9">
        <v>2</v>
      </c>
      <c r="Q581" s="9" t="s">
        <v>3</v>
      </c>
      <c r="R581" s="1">
        <v>0</v>
      </c>
      <c r="S581" s="26"/>
    </row>
    <row r="582" spans="1:19" ht="16.5" hidden="1" customHeight="1" x14ac:dyDescent="0.25">
      <c r="A582" s="21"/>
      <c r="H582" s="21"/>
      <c r="I582" s="21"/>
      <c r="J582" s="21"/>
      <c r="K582" s="21"/>
      <c r="L582" s="21"/>
      <c r="M582" s="9">
        <f t="shared" si="78"/>
        <v>0</v>
      </c>
      <c r="N582" s="9">
        <f t="shared" si="79"/>
        <v>0</v>
      </c>
      <c r="O582" s="21"/>
      <c r="P582" s="21"/>
      <c r="Q582" s="21"/>
      <c r="S582" s="25"/>
    </row>
    <row r="583" spans="1:19" ht="16.5" customHeight="1" x14ac:dyDescent="0.25">
      <c r="A583" s="9"/>
      <c r="B583" s="39" t="s">
        <v>42</v>
      </c>
      <c r="C583" s="40"/>
      <c r="D583" s="40"/>
      <c r="E583" s="40"/>
      <c r="F583" s="40"/>
      <c r="G583" s="41"/>
      <c r="H583" s="23"/>
      <c r="I583" s="24">
        <f>SUM(I575:I582)</f>
        <v>14</v>
      </c>
      <c r="J583" s="9"/>
      <c r="K583" s="9"/>
      <c r="L583" s="9"/>
      <c r="M583" s="9">
        <f t="shared" si="78"/>
        <v>103.32</v>
      </c>
      <c r="N583" s="9">
        <f t="shared" si="79"/>
        <v>42.56</v>
      </c>
      <c r="O583" s="24">
        <f>ROUND(SUM(M575:M582)/I583,2)</f>
        <v>7.38</v>
      </c>
      <c r="P583" s="24">
        <f>ROUND(SUM(N575:N582)/I583,2)</f>
        <v>3.04</v>
      </c>
      <c r="Q583" s="9"/>
      <c r="S583" s="25"/>
    </row>
    <row r="584" spans="1:19" ht="20.25" customHeight="1" x14ac:dyDescent="0.25">
      <c r="A584" s="27" t="s">
        <v>62</v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</row>
    <row r="585" spans="1:19" ht="16.5" customHeight="1" x14ac:dyDescent="0.25">
      <c r="A585" s="9"/>
      <c r="B585" s="51" t="s">
        <v>63</v>
      </c>
      <c r="C585" s="52"/>
      <c r="D585" s="52"/>
      <c r="E585" s="52"/>
      <c r="F585" s="52"/>
      <c r="G585" s="53"/>
      <c r="H585" s="20"/>
      <c r="I585" s="9">
        <v>4</v>
      </c>
      <c r="J585" s="9"/>
      <c r="K585" s="9"/>
      <c r="L585" s="9"/>
      <c r="M585" s="9">
        <f t="shared" ref="M585:M593" si="80">I585*O585</f>
        <v>24.8</v>
      </c>
      <c r="N585" s="9">
        <f t="shared" ref="N585:N593" si="81">I585*P585</f>
        <v>8</v>
      </c>
      <c r="O585" s="9">
        <v>6.2</v>
      </c>
      <c r="P585" s="9">
        <v>2</v>
      </c>
      <c r="Q585" s="9" t="s">
        <v>3</v>
      </c>
      <c r="R585" s="1">
        <v>0</v>
      </c>
      <c r="S585" s="26"/>
    </row>
    <row r="586" spans="1:19" ht="16.5" customHeight="1" x14ac:dyDescent="0.25">
      <c r="A586" s="9"/>
      <c r="B586" s="51" t="s">
        <v>64</v>
      </c>
      <c r="C586" s="52"/>
      <c r="D586" s="52"/>
      <c r="E586" s="52"/>
      <c r="F586" s="52"/>
      <c r="G586" s="53"/>
      <c r="H586" s="20"/>
      <c r="I586" s="9">
        <v>4</v>
      </c>
      <c r="J586" s="9"/>
      <c r="K586" s="9"/>
      <c r="L586" s="9"/>
      <c r="M586" s="9">
        <f t="shared" si="80"/>
        <v>22.8</v>
      </c>
      <c r="N586" s="9">
        <f t="shared" si="81"/>
        <v>8</v>
      </c>
      <c r="O586" s="9">
        <v>5.7</v>
      </c>
      <c r="P586" s="9">
        <v>2</v>
      </c>
      <c r="Q586" s="9" t="s">
        <v>3</v>
      </c>
      <c r="R586" s="1">
        <v>0</v>
      </c>
      <c r="S586" s="26"/>
    </row>
    <row r="587" spans="1:19" ht="16.5" customHeight="1" x14ac:dyDescent="0.25">
      <c r="A587" s="9"/>
      <c r="B587" s="51" t="s">
        <v>65</v>
      </c>
      <c r="C587" s="52"/>
      <c r="D587" s="52"/>
      <c r="E587" s="52"/>
      <c r="F587" s="52"/>
      <c r="G587" s="53"/>
      <c r="H587" s="20"/>
      <c r="I587" s="9">
        <v>4</v>
      </c>
      <c r="J587" s="9"/>
      <c r="K587" s="9"/>
      <c r="L587" s="9"/>
      <c r="M587" s="9">
        <f t="shared" si="80"/>
        <v>32</v>
      </c>
      <c r="N587" s="9">
        <f t="shared" si="81"/>
        <v>14</v>
      </c>
      <c r="O587" s="9">
        <v>8</v>
      </c>
      <c r="P587" s="9">
        <v>3.5</v>
      </c>
      <c r="Q587" s="9" t="s">
        <v>9</v>
      </c>
      <c r="R587" s="1">
        <v>0</v>
      </c>
      <c r="S587" s="26"/>
    </row>
    <row r="588" spans="1:19" ht="16.5" customHeight="1" x14ac:dyDescent="0.25">
      <c r="A588" s="9"/>
      <c r="B588" s="51" t="s">
        <v>66</v>
      </c>
      <c r="C588" s="52"/>
      <c r="D588" s="52"/>
      <c r="E588" s="52"/>
      <c r="F588" s="52"/>
      <c r="G588" s="53"/>
      <c r="H588" s="20"/>
      <c r="I588" s="9">
        <v>1</v>
      </c>
      <c r="J588" s="9"/>
      <c r="K588" s="9"/>
      <c r="L588" s="9"/>
      <c r="M588" s="9">
        <f t="shared" si="80"/>
        <v>7.4</v>
      </c>
      <c r="N588" s="9">
        <f t="shared" si="81"/>
        <v>3</v>
      </c>
      <c r="O588" s="9">
        <v>7.4</v>
      </c>
      <c r="P588" s="9">
        <v>3</v>
      </c>
      <c r="Q588" s="9" t="s">
        <v>6</v>
      </c>
      <c r="R588" s="1">
        <v>0</v>
      </c>
      <c r="S588" s="26"/>
    </row>
    <row r="589" spans="1:19" ht="16.5" customHeight="1" x14ac:dyDescent="0.25">
      <c r="A589" s="9"/>
      <c r="B589" s="51" t="s">
        <v>67</v>
      </c>
      <c r="C589" s="52"/>
      <c r="D589" s="52"/>
      <c r="E589" s="52"/>
      <c r="F589" s="52"/>
      <c r="G589" s="53"/>
      <c r="H589" s="20"/>
      <c r="I589" s="9">
        <v>1</v>
      </c>
      <c r="J589" s="9"/>
      <c r="K589" s="9"/>
      <c r="L589" s="9"/>
      <c r="M589" s="9">
        <f t="shared" si="80"/>
        <v>7.4</v>
      </c>
      <c r="N589" s="9">
        <f t="shared" si="81"/>
        <v>3</v>
      </c>
      <c r="O589" s="9">
        <v>7.4</v>
      </c>
      <c r="P589" s="9">
        <v>3</v>
      </c>
      <c r="Q589" s="9" t="s">
        <v>6</v>
      </c>
      <c r="R589" s="1">
        <v>0</v>
      </c>
      <c r="S589" s="26"/>
    </row>
    <row r="590" spans="1:19" ht="16.5" customHeight="1" x14ac:dyDescent="0.25">
      <c r="A590" s="9"/>
      <c r="B590" s="51" t="s">
        <v>68</v>
      </c>
      <c r="C590" s="52"/>
      <c r="D590" s="52"/>
      <c r="E590" s="52"/>
      <c r="F590" s="52"/>
      <c r="G590" s="53"/>
      <c r="H590" s="20"/>
      <c r="I590" s="9">
        <v>1</v>
      </c>
      <c r="J590" s="9"/>
      <c r="K590" s="9"/>
      <c r="L590" s="9"/>
      <c r="M590" s="9">
        <f t="shared" si="80"/>
        <v>7.7</v>
      </c>
      <c r="N590" s="9">
        <f t="shared" si="81"/>
        <v>3</v>
      </c>
      <c r="O590" s="9">
        <v>7.7</v>
      </c>
      <c r="P590" s="9">
        <v>3</v>
      </c>
      <c r="Q590" s="9" t="s">
        <v>6</v>
      </c>
      <c r="R590" s="1">
        <v>0</v>
      </c>
      <c r="S590" s="26"/>
    </row>
    <row r="591" spans="1:19" ht="16.5" customHeight="1" x14ac:dyDescent="0.25">
      <c r="A591" s="9"/>
      <c r="B591" s="51" t="s">
        <v>69</v>
      </c>
      <c r="C591" s="52"/>
      <c r="D591" s="52"/>
      <c r="E591" s="52"/>
      <c r="F591" s="52"/>
      <c r="G591" s="53"/>
      <c r="H591" s="20"/>
      <c r="I591" s="9">
        <v>1</v>
      </c>
      <c r="J591" s="9"/>
      <c r="K591" s="9"/>
      <c r="L591" s="9"/>
      <c r="M591" s="9">
        <f t="shared" si="80"/>
        <v>7</v>
      </c>
      <c r="N591" s="9">
        <f t="shared" si="81"/>
        <v>3</v>
      </c>
      <c r="O591" s="9">
        <v>7</v>
      </c>
      <c r="P591" s="9">
        <v>3</v>
      </c>
      <c r="Q591" s="9" t="s">
        <v>6</v>
      </c>
      <c r="R591" s="1">
        <v>0</v>
      </c>
      <c r="S591" s="26"/>
    </row>
    <row r="592" spans="1:19" ht="16.5" hidden="1" customHeight="1" x14ac:dyDescent="0.25">
      <c r="A592" s="21"/>
      <c r="H592" s="21"/>
      <c r="I592" s="21"/>
      <c r="J592" s="21"/>
      <c r="K592" s="21"/>
      <c r="L592" s="21"/>
      <c r="M592" s="9">
        <f t="shared" si="80"/>
        <v>0</v>
      </c>
      <c r="N592" s="9">
        <f t="shared" si="81"/>
        <v>0</v>
      </c>
      <c r="O592" s="21"/>
      <c r="P592" s="21"/>
      <c r="Q592" s="21"/>
      <c r="S592" s="25"/>
    </row>
    <row r="593" spans="1:19" ht="16.5" customHeight="1" x14ac:dyDescent="0.25">
      <c r="A593" s="9"/>
      <c r="B593" s="39" t="s">
        <v>42</v>
      </c>
      <c r="C593" s="40"/>
      <c r="D593" s="40"/>
      <c r="E593" s="40"/>
      <c r="F593" s="40"/>
      <c r="G593" s="41"/>
      <c r="H593" s="23"/>
      <c r="I593" s="24">
        <f>SUM(I585:I592)</f>
        <v>16</v>
      </c>
      <c r="J593" s="9"/>
      <c r="K593" s="9"/>
      <c r="L593" s="9"/>
      <c r="M593" s="9">
        <f t="shared" si="80"/>
        <v>109.12</v>
      </c>
      <c r="N593" s="9">
        <f t="shared" si="81"/>
        <v>42.08</v>
      </c>
      <c r="O593" s="24">
        <f>ROUND(SUM(M585:M592)/I593,2)</f>
        <v>6.82</v>
      </c>
      <c r="P593" s="24">
        <f>ROUND(SUM(N585:N592)/I593,2)</f>
        <v>2.63</v>
      </c>
      <c r="Q593" s="9"/>
      <c r="S593" s="25"/>
    </row>
    <row r="594" spans="1:19" ht="20.25" customHeight="1" x14ac:dyDescent="0.25">
      <c r="A594" s="27" t="s">
        <v>70</v>
      </c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</row>
    <row r="595" spans="1:19" ht="16.5" customHeight="1" x14ac:dyDescent="0.25">
      <c r="A595" s="9"/>
      <c r="B595" s="51" t="s">
        <v>71</v>
      </c>
      <c r="C595" s="52"/>
      <c r="D595" s="52"/>
      <c r="E595" s="52"/>
      <c r="F595" s="52"/>
      <c r="G595" s="53"/>
      <c r="H595" s="20"/>
      <c r="I595" s="9">
        <v>4</v>
      </c>
      <c r="J595" s="9"/>
      <c r="K595" s="9"/>
      <c r="L595" s="9"/>
      <c r="M595" s="9">
        <f t="shared" ref="M595:M604" si="82">I595*O595</f>
        <v>4</v>
      </c>
      <c r="N595" s="9">
        <f t="shared" ref="N595:N604" si="83">I595*P595</f>
        <v>0</v>
      </c>
      <c r="O595" s="9">
        <v>1</v>
      </c>
      <c r="P595" s="9">
        <v>0</v>
      </c>
      <c r="Q595" s="9" t="s">
        <v>7</v>
      </c>
      <c r="R595" s="1">
        <v>0</v>
      </c>
      <c r="S595" s="26"/>
    </row>
    <row r="596" spans="1:19" ht="16.5" customHeight="1" x14ac:dyDescent="0.25">
      <c r="A596" s="9"/>
      <c r="B596" s="51" t="s">
        <v>72</v>
      </c>
      <c r="C596" s="52"/>
      <c r="D596" s="52"/>
      <c r="E596" s="52"/>
      <c r="F596" s="52"/>
      <c r="G596" s="53"/>
      <c r="H596" s="20"/>
      <c r="I596" s="9">
        <v>4</v>
      </c>
      <c r="J596" s="9"/>
      <c r="K596" s="9"/>
      <c r="L596" s="9"/>
      <c r="M596" s="9">
        <f t="shared" si="82"/>
        <v>26.4</v>
      </c>
      <c r="N596" s="9">
        <f t="shared" si="83"/>
        <v>10</v>
      </c>
      <c r="O596" s="9">
        <v>6.6</v>
      </c>
      <c r="P596" s="9">
        <v>2.5</v>
      </c>
      <c r="Q596" s="9" t="s">
        <v>5</v>
      </c>
      <c r="R596" s="1">
        <v>0</v>
      </c>
      <c r="S596" s="26"/>
    </row>
    <row r="597" spans="1:19" ht="16.5" customHeight="1" x14ac:dyDescent="0.25">
      <c r="A597" s="9"/>
      <c r="B597" s="51" t="s">
        <v>73</v>
      </c>
      <c r="C597" s="52"/>
      <c r="D597" s="52"/>
      <c r="E597" s="52"/>
      <c r="F597" s="52"/>
      <c r="G597" s="53"/>
      <c r="H597" s="20"/>
      <c r="I597" s="9">
        <v>1</v>
      </c>
      <c r="J597" s="9"/>
      <c r="K597" s="9"/>
      <c r="L597" s="9"/>
      <c r="M597" s="9">
        <f t="shared" si="82"/>
        <v>7.1</v>
      </c>
      <c r="N597" s="9">
        <f t="shared" si="83"/>
        <v>3</v>
      </c>
      <c r="O597" s="9">
        <v>7.1</v>
      </c>
      <c r="P597" s="9">
        <v>3</v>
      </c>
      <c r="Q597" s="9" t="s">
        <v>6</v>
      </c>
      <c r="R597" s="1">
        <v>0</v>
      </c>
      <c r="S597" s="26"/>
    </row>
    <row r="598" spans="1:19" ht="16.5" customHeight="1" x14ac:dyDescent="0.25">
      <c r="A598" s="9"/>
      <c r="B598" s="51" t="s">
        <v>74</v>
      </c>
      <c r="C598" s="52"/>
      <c r="D598" s="52"/>
      <c r="E598" s="52"/>
      <c r="F598" s="52"/>
      <c r="G598" s="53"/>
      <c r="H598" s="20"/>
      <c r="I598" s="9">
        <v>2</v>
      </c>
      <c r="J598" s="9"/>
      <c r="K598" s="9"/>
      <c r="L598" s="9"/>
      <c r="M598" s="9">
        <f t="shared" si="82"/>
        <v>11.2</v>
      </c>
      <c r="N598" s="9">
        <f t="shared" si="83"/>
        <v>4</v>
      </c>
      <c r="O598" s="9">
        <v>5.6</v>
      </c>
      <c r="P598" s="9">
        <v>2</v>
      </c>
      <c r="Q598" s="9" t="s">
        <v>3</v>
      </c>
      <c r="R598" s="1">
        <v>0</v>
      </c>
      <c r="S598" s="26"/>
    </row>
    <row r="599" spans="1:19" ht="16.5" customHeight="1" x14ac:dyDescent="0.25">
      <c r="A599" s="9"/>
      <c r="B599" s="51" t="s">
        <v>75</v>
      </c>
      <c r="C599" s="52"/>
      <c r="D599" s="52"/>
      <c r="E599" s="52"/>
      <c r="F599" s="52"/>
      <c r="G599" s="53"/>
      <c r="H599" s="20"/>
      <c r="I599" s="9">
        <v>1</v>
      </c>
      <c r="J599" s="9"/>
      <c r="K599" s="9"/>
      <c r="L599" s="9"/>
      <c r="M599" s="9">
        <f t="shared" si="82"/>
        <v>5.5</v>
      </c>
      <c r="N599" s="9">
        <f t="shared" si="83"/>
        <v>2</v>
      </c>
      <c r="O599" s="9">
        <v>5.5</v>
      </c>
      <c r="P599" s="9">
        <v>2</v>
      </c>
      <c r="Q599" s="9" t="s">
        <v>3</v>
      </c>
      <c r="R599" s="1">
        <v>0</v>
      </c>
      <c r="S599" s="26"/>
    </row>
    <row r="600" spans="1:19" ht="16.5" customHeight="1" x14ac:dyDescent="0.25">
      <c r="A600" s="9"/>
      <c r="B600" s="51" t="s">
        <v>76</v>
      </c>
      <c r="C600" s="52"/>
      <c r="D600" s="52"/>
      <c r="E600" s="52"/>
      <c r="F600" s="52"/>
      <c r="G600" s="53"/>
      <c r="H600" s="20"/>
      <c r="I600" s="9">
        <v>4</v>
      </c>
      <c r="J600" s="9"/>
      <c r="K600" s="9"/>
      <c r="L600" s="9"/>
      <c r="M600" s="9">
        <f t="shared" si="82"/>
        <v>20.399999999999999</v>
      </c>
      <c r="N600" s="9">
        <f t="shared" si="83"/>
        <v>6</v>
      </c>
      <c r="O600" s="9">
        <v>5.0999999999999996</v>
      </c>
      <c r="P600" s="9">
        <v>1.5</v>
      </c>
      <c r="Q600" s="9" t="s">
        <v>4</v>
      </c>
      <c r="R600" s="1">
        <v>0</v>
      </c>
      <c r="S600" s="26"/>
    </row>
    <row r="601" spans="1:19" ht="16.5" customHeight="1" x14ac:dyDescent="0.25">
      <c r="A601" s="9"/>
      <c r="B601" s="51" t="s">
        <v>77</v>
      </c>
      <c r="C601" s="52"/>
      <c r="D601" s="52"/>
      <c r="E601" s="52"/>
      <c r="F601" s="52"/>
      <c r="G601" s="53"/>
      <c r="H601" s="20"/>
      <c r="I601" s="9">
        <v>3</v>
      </c>
      <c r="J601" s="9"/>
      <c r="K601" s="9"/>
      <c r="L601" s="9"/>
      <c r="M601" s="9">
        <f t="shared" si="82"/>
        <v>18.899999999999999</v>
      </c>
      <c r="N601" s="9">
        <f t="shared" si="83"/>
        <v>6</v>
      </c>
      <c r="O601" s="9">
        <v>6.3</v>
      </c>
      <c r="P601" s="9">
        <v>2</v>
      </c>
      <c r="Q601" s="9" t="s">
        <v>3</v>
      </c>
      <c r="R601" s="1">
        <v>0</v>
      </c>
      <c r="S601" s="26"/>
    </row>
    <row r="602" spans="1:19" ht="16.5" customHeight="1" x14ac:dyDescent="0.25">
      <c r="A602" s="9"/>
      <c r="B602" s="51" t="s">
        <v>78</v>
      </c>
      <c r="C602" s="52"/>
      <c r="D602" s="52"/>
      <c r="E602" s="52"/>
      <c r="F602" s="52"/>
      <c r="G602" s="53"/>
      <c r="H602" s="20"/>
      <c r="I602" s="9">
        <v>4</v>
      </c>
      <c r="J602" s="9"/>
      <c r="K602" s="9"/>
      <c r="L602" s="9"/>
      <c r="M602" s="9">
        <f t="shared" si="82"/>
        <v>8</v>
      </c>
      <c r="N602" s="9">
        <f t="shared" si="83"/>
        <v>0</v>
      </c>
      <c r="O602" s="9">
        <v>2</v>
      </c>
      <c r="P602" s="9">
        <v>0</v>
      </c>
      <c r="Q602" s="9" t="s">
        <v>7</v>
      </c>
      <c r="R602" s="1">
        <v>0</v>
      </c>
      <c r="S602" s="26"/>
    </row>
    <row r="603" spans="1:19" ht="16.5" hidden="1" customHeight="1" x14ac:dyDescent="0.25">
      <c r="A603" s="21"/>
      <c r="H603" s="21"/>
      <c r="I603" s="21"/>
      <c r="J603" s="21"/>
      <c r="K603" s="21"/>
      <c r="L603" s="21"/>
      <c r="M603" s="9">
        <f t="shared" si="82"/>
        <v>0</v>
      </c>
      <c r="N603" s="9">
        <f t="shared" si="83"/>
        <v>0</v>
      </c>
      <c r="O603" s="21"/>
      <c r="P603" s="21"/>
      <c r="Q603" s="21"/>
      <c r="S603" s="25"/>
    </row>
    <row r="604" spans="1:19" ht="16.5" customHeight="1" x14ac:dyDescent="0.25">
      <c r="A604" s="9"/>
      <c r="B604" s="39" t="s">
        <v>42</v>
      </c>
      <c r="C604" s="40"/>
      <c r="D604" s="40"/>
      <c r="E604" s="40"/>
      <c r="F604" s="40"/>
      <c r="G604" s="41"/>
      <c r="H604" s="23"/>
      <c r="I604" s="24">
        <f>SUM(I595:I603)</f>
        <v>23</v>
      </c>
      <c r="J604" s="9"/>
      <c r="K604" s="9"/>
      <c r="L604" s="9"/>
      <c r="M604" s="9">
        <f t="shared" si="82"/>
        <v>101.43</v>
      </c>
      <c r="N604" s="9">
        <f t="shared" si="83"/>
        <v>31.05</v>
      </c>
      <c r="O604" s="24">
        <f>ROUND(SUM(M595:M603)/I604,2)</f>
        <v>4.41</v>
      </c>
      <c r="P604" s="24">
        <f>ROUND(SUM(N595:N603)/I604,2)</f>
        <v>1.35</v>
      </c>
      <c r="Q604" s="9"/>
      <c r="S604" s="25"/>
    </row>
    <row r="605" spans="1:19" ht="20.25" customHeight="1" x14ac:dyDescent="0.25">
      <c r="A605" s="27" t="s">
        <v>158</v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</row>
    <row r="606" spans="1:19" ht="16.5" customHeight="1" x14ac:dyDescent="0.25">
      <c r="A606" s="9"/>
      <c r="B606" s="51" t="s">
        <v>71</v>
      </c>
      <c r="C606" s="52"/>
      <c r="D606" s="52"/>
      <c r="E606" s="52"/>
      <c r="F606" s="52"/>
      <c r="G606" s="53"/>
      <c r="H606" s="20"/>
      <c r="I606" s="9">
        <v>4</v>
      </c>
      <c r="J606" s="9"/>
      <c r="K606" s="9"/>
      <c r="L606" s="9"/>
      <c r="M606" s="9">
        <f>I606*O606</f>
        <v>23.6</v>
      </c>
      <c r="N606" s="9">
        <f>I606*P606</f>
        <v>8</v>
      </c>
      <c r="O606" s="9">
        <v>5.9</v>
      </c>
      <c r="P606" s="9">
        <v>2</v>
      </c>
      <c r="Q606" s="9" t="s">
        <v>3</v>
      </c>
      <c r="R606" s="1">
        <v>6</v>
      </c>
      <c r="S606" s="26" t="s">
        <v>133</v>
      </c>
    </row>
    <row r="607" spans="1:19" ht="16.5" customHeight="1" x14ac:dyDescent="0.25">
      <c r="A607" s="9"/>
      <c r="B607" s="51" t="s">
        <v>78</v>
      </c>
      <c r="C607" s="52"/>
      <c r="D607" s="52"/>
      <c r="E607" s="52"/>
      <c r="F607" s="52"/>
      <c r="G607" s="53"/>
      <c r="H607" s="20"/>
      <c r="I607" s="9">
        <v>4</v>
      </c>
      <c r="J607" s="9"/>
      <c r="K607" s="9"/>
      <c r="L607" s="9"/>
      <c r="M607" s="9">
        <f>I607*O607</f>
        <v>27.6</v>
      </c>
      <c r="N607" s="9">
        <f>I607*P607</f>
        <v>10</v>
      </c>
      <c r="O607" s="9">
        <v>6.9</v>
      </c>
      <c r="P607" s="9">
        <v>2.5</v>
      </c>
      <c r="Q607" s="9" t="s">
        <v>5</v>
      </c>
      <c r="R607" s="1">
        <v>6</v>
      </c>
      <c r="S607" s="26" t="s">
        <v>133</v>
      </c>
    </row>
    <row r="608" spans="1:19" ht="16.5" hidden="1" customHeight="1" x14ac:dyDescent="0.25">
      <c r="A608" s="21"/>
      <c r="H608" s="21"/>
      <c r="I608" s="21"/>
      <c r="J608" s="21"/>
      <c r="K608" s="21"/>
      <c r="L608" s="21"/>
      <c r="M608" s="9">
        <f>I608*O608</f>
        <v>0</v>
      </c>
      <c r="N608" s="9">
        <f>I608*P608</f>
        <v>0</v>
      </c>
      <c r="O608" s="21"/>
      <c r="P608" s="21"/>
      <c r="Q608" s="21"/>
      <c r="S608" s="25"/>
    </row>
    <row r="609" spans="1:19" ht="16.5" customHeight="1" x14ac:dyDescent="0.25">
      <c r="A609" s="9"/>
      <c r="B609" s="39" t="s">
        <v>42</v>
      </c>
      <c r="C609" s="40"/>
      <c r="D609" s="40"/>
      <c r="E609" s="40"/>
      <c r="F609" s="40"/>
      <c r="G609" s="41"/>
      <c r="H609" s="23"/>
      <c r="I609" s="24">
        <f>SUM(I606:I608)</f>
        <v>8</v>
      </c>
      <c r="J609" s="9"/>
      <c r="K609" s="9"/>
      <c r="L609" s="9"/>
      <c r="M609" s="9">
        <f>I609*O609</f>
        <v>51.2</v>
      </c>
      <c r="N609" s="9">
        <f>I609*P609</f>
        <v>18</v>
      </c>
      <c r="O609" s="24">
        <f>ROUND(SUM(M606:M608)/I609,2)</f>
        <v>6.4</v>
      </c>
      <c r="P609" s="24">
        <f>ROUND(SUM(N606:N608)/I609,2)</f>
        <v>2.25</v>
      </c>
      <c r="Q609" s="9"/>
      <c r="S609" s="25"/>
    </row>
    <row r="610" spans="1:19" ht="20.25" customHeight="1" x14ac:dyDescent="0.25">
      <c r="A610" s="27" t="s">
        <v>79</v>
      </c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</row>
    <row r="611" spans="1:19" ht="16.5" customHeight="1" x14ac:dyDescent="0.25">
      <c r="A611" s="9"/>
      <c r="B611" s="51" t="s">
        <v>82</v>
      </c>
      <c r="C611" s="52"/>
      <c r="D611" s="52"/>
      <c r="E611" s="52"/>
      <c r="F611" s="52"/>
      <c r="G611" s="53"/>
      <c r="H611" s="20"/>
      <c r="I611" s="9">
        <v>3</v>
      </c>
      <c r="J611" s="9"/>
      <c r="K611" s="9"/>
      <c r="L611" s="9"/>
      <c r="M611" s="9">
        <f>I611*O611</f>
        <v>20.700000000000003</v>
      </c>
      <c r="N611" s="9">
        <f>I611*P611</f>
        <v>7.5</v>
      </c>
      <c r="O611" s="9">
        <v>6.9</v>
      </c>
      <c r="P611" s="9">
        <v>2.5</v>
      </c>
      <c r="Q611" s="9" t="s">
        <v>5</v>
      </c>
      <c r="R611" s="1">
        <v>0</v>
      </c>
      <c r="S611" s="26"/>
    </row>
    <row r="612" spans="1:19" ht="15" customHeight="1" x14ac:dyDescent="0.25">
      <c r="A612" s="36" t="s">
        <v>0</v>
      </c>
      <c r="B612" s="29" t="s">
        <v>1</v>
      </c>
      <c r="C612" s="30"/>
      <c r="D612" s="30"/>
      <c r="E612" s="30"/>
      <c r="F612" s="30"/>
      <c r="G612" s="31"/>
      <c r="H612" s="36" t="s">
        <v>32</v>
      </c>
      <c r="I612" s="36" t="s">
        <v>39</v>
      </c>
      <c r="J612" s="55" t="s">
        <v>2</v>
      </c>
      <c r="K612" s="56"/>
      <c r="L612" s="56"/>
      <c r="M612" s="56"/>
      <c r="N612" s="56"/>
      <c r="O612" s="56"/>
      <c r="P612" s="56"/>
      <c r="Q612" s="57"/>
      <c r="S612" s="36" t="s">
        <v>38</v>
      </c>
    </row>
    <row r="613" spans="1:19" ht="24" customHeight="1" x14ac:dyDescent="0.25">
      <c r="A613" s="37"/>
      <c r="B613" s="32"/>
      <c r="C613" s="33"/>
      <c r="D613" s="33"/>
      <c r="E613" s="33"/>
      <c r="F613" s="33"/>
      <c r="G613" s="34"/>
      <c r="H613" s="37"/>
      <c r="I613" s="37"/>
      <c r="J613" s="7" t="s">
        <v>28</v>
      </c>
      <c r="K613" s="7" t="s">
        <v>29</v>
      </c>
      <c r="L613" s="7" t="s">
        <v>30</v>
      </c>
      <c r="M613" s="7"/>
      <c r="N613" s="7"/>
      <c r="O613" s="6" t="s">
        <v>35</v>
      </c>
      <c r="P613" s="6" t="s">
        <v>36</v>
      </c>
      <c r="Q613" s="6" t="s">
        <v>37</v>
      </c>
      <c r="S613" s="37"/>
    </row>
    <row r="614" spans="1:19" ht="16.5" customHeight="1" x14ac:dyDescent="0.25">
      <c r="A614" s="9"/>
      <c r="B614" s="51" t="s">
        <v>81</v>
      </c>
      <c r="C614" s="52"/>
      <c r="D614" s="52"/>
      <c r="E614" s="52"/>
      <c r="F614" s="52"/>
      <c r="G614" s="53"/>
      <c r="H614" s="20"/>
      <c r="I614" s="9">
        <v>1</v>
      </c>
      <c r="J614" s="9"/>
      <c r="K614" s="9"/>
      <c r="L614" s="9"/>
      <c r="M614" s="9">
        <f t="shared" ref="M614:M624" si="84">I614*O614</f>
        <v>8</v>
      </c>
      <c r="N614" s="9">
        <f t="shared" ref="N614:N624" si="85">I614*P614</f>
        <v>3.5</v>
      </c>
      <c r="O614" s="9">
        <v>8</v>
      </c>
      <c r="P614" s="9">
        <v>3.5</v>
      </c>
      <c r="Q614" s="9" t="s">
        <v>9</v>
      </c>
      <c r="R614" s="1">
        <v>0</v>
      </c>
      <c r="S614" s="26"/>
    </row>
    <row r="615" spans="1:19" ht="16.5" customHeight="1" x14ac:dyDescent="0.25">
      <c r="A615" s="9"/>
      <c r="B615" s="51" t="s">
        <v>80</v>
      </c>
      <c r="C615" s="52"/>
      <c r="D615" s="52"/>
      <c r="E615" s="52"/>
      <c r="F615" s="52"/>
      <c r="G615" s="53"/>
      <c r="H615" s="20"/>
      <c r="I615" s="9">
        <v>3</v>
      </c>
      <c r="J615" s="9"/>
      <c r="K615" s="9"/>
      <c r="L615" s="9"/>
      <c r="M615" s="9">
        <f t="shared" si="84"/>
        <v>20.700000000000003</v>
      </c>
      <c r="N615" s="9">
        <f t="shared" si="85"/>
        <v>7.5</v>
      </c>
      <c r="O615" s="9">
        <v>6.9</v>
      </c>
      <c r="P615" s="9">
        <v>2.5</v>
      </c>
      <c r="Q615" s="9" t="s">
        <v>5</v>
      </c>
      <c r="R615" s="1">
        <v>0</v>
      </c>
      <c r="S615" s="26"/>
    </row>
    <row r="616" spans="1:19" ht="16.5" customHeight="1" x14ac:dyDescent="0.25">
      <c r="A616" s="9"/>
      <c r="B616" s="51" t="s">
        <v>83</v>
      </c>
      <c r="C616" s="52"/>
      <c r="D616" s="52"/>
      <c r="E616" s="52"/>
      <c r="F616" s="52"/>
      <c r="G616" s="53"/>
      <c r="H616" s="20"/>
      <c r="I616" s="9">
        <v>2</v>
      </c>
      <c r="J616" s="9"/>
      <c r="K616" s="9"/>
      <c r="L616" s="9"/>
      <c r="M616" s="9">
        <f t="shared" si="84"/>
        <v>13</v>
      </c>
      <c r="N616" s="9">
        <f t="shared" si="85"/>
        <v>5</v>
      </c>
      <c r="O616" s="9">
        <v>6.5</v>
      </c>
      <c r="P616" s="9">
        <v>2.5</v>
      </c>
      <c r="Q616" s="9" t="s">
        <v>5</v>
      </c>
      <c r="R616" s="1">
        <v>0</v>
      </c>
      <c r="S616" s="26"/>
    </row>
    <row r="617" spans="1:19" ht="16.5" customHeight="1" x14ac:dyDescent="0.25">
      <c r="A617" s="9"/>
      <c r="B617" s="51" t="s">
        <v>86</v>
      </c>
      <c r="C617" s="52"/>
      <c r="D617" s="52"/>
      <c r="E617" s="52"/>
      <c r="F617" s="52"/>
      <c r="G617" s="53"/>
      <c r="H617" s="20"/>
      <c r="I617" s="9">
        <v>4</v>
      </c>
      <c r="J617" s="9"/>
      <c r="K617" s="9"/>
      <c r="L617" s="9"/>
      <c r="M617" s="9">
        <f t="shared" si="84"/>
        <v>25.2</v>
      </c>
      <c r="N617" s="9">
        <f t="shared" si="85"/>
        <v>8</v>
      </c>
      <c r="O617" s="9">
        <v>6.3</v>
      </c>
      <c r="P617" s="9">
        <v>2</v>
      </c>
      <c r="Q617" s="9" t="s">
        <v>3</v>
      </c>
      <c r="R617" s="1">
        <v>0</v>
      </c>
      <c r="S617" s="26"/>
    </row>
    <row r="618" spans="1:19" ht="16.5" customHeight="1" x14ac:dyDescent="0.25">
      <c r="A618" s="9"/>
      <c r="B618" s="51" t="s">
        <v>85</v>
      </c>
      <c r="C618" s="52"/>
      <c r="D618" s="52"/>
      <c r="E618" s="52"/>
      <c r="F618" s="52"/>
      <c r="G618" s="53"/>
      <c r="H618" s="20"/>
      <c r="I618" s="9">
        <v>3</v>
      </c>
      <c r="J618" s="9"/>
      <c r="K618" s="9"/>
      <c r="L618" s="9"/>
      <c r="M618" s="9">
        <f t="shared" si="84"/>
        <v>23.1</v>
      </c>
      <c r="N618" s="9">
        <f t="shared" si="85"/>
        <v>9</v>
      </c>
      <c r="O618" s="9">
        <v>7.7</v>
      </c>
      <c r="P618" s="9">
        <v>3</v>
      </c>
      <c r="Q618" s="9" t="s">
        <v>6</v>
      </c>
      <c r="R618" s="1">
        <v>0</v>
      </c>
      <c r="S618" s="26"/>
    </row>
    <row r="619" spans="1:19" ht="16.5" customHeight="1" x14ac:dyDescent="0.25">
      <c r="A619" s="9"/>
      <c r="B619" s="51" t="s">
        <v>84</v>
      </c>
      <c r="C619" s="52"/>
      <c r="D619" s="52"/>
      <c r="E619" s="52"/>
      <c r="F619" s="52"/>
      <c r="G619" s="53"/>
      <c r="H619" s="20"/>
      <c r="I619" s="9">
        <v>2</v>
      </c>
      <c r="J619" s="9"/>
      <c r="K619" s="9"/>
      <c r="L619" s="9"/>
      <c r="M619" s="9">
        <f t="shared" si="84"/>
        <v>14.2</v>
      </c>
      <c r="N619" s="9">
        <f t="shared" si="85"/>
        <v>6</v>
      </c>
      <c r="O619" s="9">
        <v>7.1</v>
      </c>
      <c r="P619" s="9">
        <v>3</v>
      </c>
      <c r="Q619" s="9" t="s">
        <v>6</v>
      </c>
      <c r="R619" s="1">
        <v>0</v>
      </c>
      <c r="S619" s="26"/>
    </row>
    <row r="620" spans="1:19" ht="16.5" customHeight="1" x14ac:dyDescent="0.25">
      <c r="A620" s="9"/>
      <c r="B620" s="51" t="s">
        <v>87</v>
      </c>
      <c r="C620" s="52"/>
      <c r="D620" s="52"/>
      <c r="E620" s="52"/>
      <c r="F620" s="52"/>
      <c r="G620" s="53"/>
      <c r="H620" s="20"/>
      <c r="I620" s="9">
        <v>3</v>
      </c>
      <c r="J620" s="9"/>
      <c r="K620" s="9"/>
      <c r="L620" s="9"/>
      <c r="M620" s="9">
        <f t="shared" si="84"/>
        <v>17.700000000000003</v>
      </c>
      <c r="N620" s="9">
        <f t="shared" si="85"/>
        <v>6</v>
      </c>
      <c r="O620" s="9">
        <v>5.9</v>
      </c>
      <c r="P620" s="9">
        <v>2</v>
      </c>
      <c r="Q620" s="9" t="s">
        <v>3</v>
      </c>
      <c r="R620" s="1">
        <v>0</v>
      </c>
      <c r="S620" s="26"/>
    </row>
    <row r="621" spans="1:19" ht="16.5" customHeight="1" x14ac:dyDescent="0.25">
      <c r="A621" s="9"/>
      <c r="B621" s="51" t="s">
        <v>88</v>
      </c>
      <c r="C621" s="52"/>
      <c r="D621" s="52"/>
      <c r="E621" s="52"/>
      <c r="F621" s="52"/>
      <c r="G621" s="53"/>
      <c r="H621" s="20"/>
      <c r="I621" s="9">
        <v>2</v>
      </c>
      <c r="J621" s="9"/>
      <c r="K621" s="9"/>
      <c r="L621" s="9"/>
      <c r="M621" s="9">
        <f t="shared" si="84"/>
        <v>14.2</v>
      </c>
      <c r="N621" s="9">
        <f t="shared" si="85"/>
        <v>6</v>
      </c>
      <c r="O621" s="9">
        <v>7.1</v>
      </c>
      <c r="P621" s="9">
        <v>3</v>
      </c>
      <c r="Q621" s="9" t="s">
        <v>6</v>
      </c>
      <c r="R621" s="1">
        <v>0</v>
      </c>
      <c r="S621" s="26"/>
    </row>
    <row r="622" spans="1:19" ht="16.5" customHeight="1" x14ac:dyDescent="0.25">
      <c r="A622" s="9"/>
      <c r="B622" s="51" t="s">
        <v>89</v>
      </c>
      <c r="C622" s="52"/>
      <c r="D622" s="52"/>
      <c r="E622" s="52"/>
      <c r="F622" s="52"/>
      <c r="G622" s="53"/>
      <c r="H622" s="20"/>
      <c r="I622" s="9">
        <v>2</v>
      </c>
      <c r="J622" s="9"/>
      <c r="K622" s="9"/>
      <c r="L622" s="9"/>
      <c r="M622" s="9">
        <f t="shared" si="84"/>
        <v>14.2</v>
      </c>
      <c r="N622" s="9">
        <f t="shared" si="85"/>
        <v>6</v>
      </c>
      <c r="O622" s="9">
        <v>7.1</v>
      </c>
      <c r="P622" s="9">
        <v>3</v>
      </c>
      <c r="Q622" s="9" t="s">
        <v>6</v>
      </c>
      <c r="R622" s="1">
        <v>0</v>
      </c>
      <c r="S622" s="26"/>
    </row>
    <row r="623" spans="1:19" ht="16.5" hidden="1" customHeight="1" x14ac:dyDescent="0.25">
      <c r="A623" s="21"/>
      <c r="H623" s="21"/>
      <c r="I623" s="21"/>
      <c r="J623" s="21"/>
      <c r="K623" s="21"/>
      <c r="L623" s="21"/>
      <c r="M623" s="9">
        <f t="shared" si="84"/>
        <v>0</v>
      </c>
      <c r="N623" s="9">
        <f t="shared" si="85"/>
        <v>0</v>
      </c>
      <c r="O623" s="21"/>
      <c r="P623" s="21"/>
      <c r="Q623" s="21"/>
      <c r="S623" s="25"/>
    </row>
    <row r="624" spans="1:19" ht="16.5" customHeight="1" x14ac:dyDescent="0.25">
      <c r="A624" s="9"/>
      <c r="B624" s="39" t="s">
        <v>42</v>
      </c>
      <c r="C624" s="40"/>
      <c r="D624" s="40"/>
      <c r="E624" s="40"/>
      <c r="F624" s="40"/>
      <c r="G624" s="41"/>
      <c r="H624" s="23"/>
      <c r="I624" s="24">
        <f>SUM(I611:I623)</f>
        <v>25</v>
      </c>
      <c r="J624" s="9"/>
      <c r="K624" s="9"/>
      <c r="L624" s="9"/>
      <c r="M624" s="9">
        <f t="shared" si="84"/>
        <v>171</v>
      </c>
      <c r="N624" s="9">
        <f t="shared" si="85"/>
        <v>64.5</v>
      </c>
      <c r="O624" s="24">
        <f>ROUND(SUM(M611:M623)/I624,2)</f>
        <v>6.84</v>
      </c>
      <c r="P624" s="24">
        <f>ROUND(SUM(N611:N623)/I624,2)</f>
        <v>2.58</v>
      </c>
      <c r="Q624" s="9"/>
      <c r="S624" s="25"/>
    </row>
    <row r="625" spans="1:19" ht="20.25" customHeight="1" x14ac:dyDescent="0.25">
      <c r="A625" s="27" t="s">
        <v>90</v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</row>
    <row r="626" spans="1:19" ht="16.5" customHeight="1" x14ac:dyDescent="0.25">
      <c r="A626" s="9"/>
      <c r="B626" s="51" t="s">
        <v>91</v>
      </c>
      <c r="C626" s="52"/>
      <c r="D626" s="52"/>
      <c r="E626" s="52"/>
      <c r="F626" s="52"/>
      <c r="G626" s="53"/>
      <c r="H626" s="20"/>
      <c r="I626" s="9">
        <v>1</v>
      </c>
      <c r="J626" s="9"/>
      <c r="K626" s="9"/>
      <c r="L626" s="9"/>
      <c r="M626" s="9">
        <f t="shared" ref="M626:M638" si="86">I626*O626</f>
        <v>6.9</v>
      </c>
      <c r="N626" s="9">
        <f t="shared" ref="N626:N638" si="87">I626*P626</f>
        <v>2.5</v>
      </c>
      <c r="O626" s="9">
        <v>6.9</v>
      </c>
      <c r="P626" s="9">
        <v>2.5</v>
      </c>
      <c r="Q626" s="9" t="s">
        <v>5</v>
      </c>
      <c r="R626" s="1">
        <v>0</v>
      </c>
      <c r="S626" s="26"/>
    </row>
    <row r="627" spans="1:19" ht="16.5" customHeight="1" x14ac:dyDescent="0.25">
      <c r="A627" s="9"/>
      <c r="B627" s="51" t="s">
        <v>92</v>
      </c>
      <c r="C627" s="52"/>
      <c r="D627" s="52"/>
      <c r="E627" s="52"/>
      <c r="F627" s="52"/>
      <c r="G627" s="53"/>
      <c r="H627" s="20"/>
      <c r="I627" s="9">
        <v>2</v>
      </c>
      <c r="J627" s="9"/>
      <c r="K627" s="9"/>
      <c r="L627" s="9"/>
      <c r="M627" s="9">
        <f t="shared" si="86"/>
        <v>11.6</v>
      </c>
      <c r="N627" s="9">
        <f t="shared" si="87"/>
        <v>4</v>
      </c>
      <c r="O627" s="9">
        <v>5.8</v>
      </c>
      <c r="P627" s="9">
        <v>2</v>
      </c>
      <c r="Q627" s="9" t="s">
        <v>3</v>
      </c>
      <c r="R627" s="1">
        <v>0</v>
      </c>
      <c r="S627" s="26"/>
    </row>
    <row r="628" spans="1:19" ht="16.5" customHeight="1" x14ac:dyDescent="0.25">
      <c r="A628" s="9"/>
      <c r="B628" s="51" t="s">
        <v>93</v>
      </c>
      <c r="C628" s="52"/>
      <c r="D628" s="52"/>
      <c r="E628" s="52"/>
      <c r="F628" s="52"/>
      <c r="G628" s="53"/>
      <c r="H628" s="20"/>
      <c r="I628" s="9">
        <v>3</v>
      </c>
      <c r="J628" s="9"/>
      <c r="K628" s="9"/>
      <c r="L628" s="9"/>
      <c r="M628" s="9">
        <f t="shared" si="86"/>
        <v>20.100000000000001</v>
      </c>
      <c r="N628" s="9">
        <f t="shared" si="87"/>
        <v>7.5</v>
      </c>
      <c r="O628" s="9">
        <v>6.7</v>
      </c>
      <c r="P628" s="9">
        <v>2.5</v>
      </c>
      <c r="Q628" s="9" t="s">
        <v>5</v>
      </c>
      <c r="R628" s="1">
        <v>0</v>
      </c>
      <c r="S628" s="26"/>
    </row>
    <row r="629" spans="1:19" ht="16.5" customHeight="1" x14ac:dyDescent="0.25">
      <c r="A629" s="9"/>
      <c r="B629" s="51" t="s">
        <v>94</v>
      </c>
      <c r="C629" s="52"/>
      <c r="D629" s="52"/>
      <c r="E629" s="52"/>
      <c r="F629" s="52"/>
      <c r="G629" s="53"/>
      <c r="H629" s="20"/>
      <c r="I629" s="9">
        <v>1</v>
      </c>
      <c r="J629" s="9"/>
      <c r="K629" s="9"/>
      <c r="L629" s="9"/>
      <c r="M629" s="9">
        <f t="shared" si="86"/>
        <v>8.1</v>
      </c>
      <c r="N629" s="9">
        <f t="shared" si="87"/>
        <v>3.5</v>
      </c>
      <c r="O629" s="9">
        <v>8.1</v>
      </c>
      <c r="P629" s="9">
        <v>3.5</v>
      </c>
      <c r="Q629" s="9" t="s">
        <v>9</v>
      </c>
      <c r="R629" s="1">
        <v>0</v>
      </c>
      <c r="S629" s="26"/>
    </row>
    <row r="630" spans="1:19" ht="16.5" customHeight="1" x14ac:dyDescent="0.25">
      <c r="A630" s="9"/>
      <c r="B630" s="51" t="s">
        <v>95</v>
      </c>
      <c r="C630" s="52"/>
      <c r="D630" s="52"/>
      <c r="E630" s="52"/>
      <c r="F630" s="52"/>
      <c r="G630" s="53"/>
      <c r="H630" s="20"/>
      <c r="I630" s="9">
        <v>1</v>
      </c>
      <c r="J630" s="9"/>
      <c r="K630" s="9"/>
      <c r="L630" s="9"/>
      <c r="M630" s="9">
        <f t="shared" si="86"/>
        <v>7.7</v>
      </c>
      <c r="N630" s="9">
        <f t="shared" si="87"/>
        <v>3</v>
      </c>
      <c r="O630" s="9">
        <v>7.7</v>
      </c>
      <c r="P630" s="9">
        <v>3</v>
      </c>
      <c r="Q630" s="9" t="s">
        <v>6</v>
      </c>
      <c r="R630" s="1">
        <v>0</v>
      </c>
      <c r="S630" s="26"/>
    </row>
    <row r="631" spans="1:19" ht="16.5" customHeight="1" x14ac:dyDescent="0.25">
      <c r="A631" s="9"/>
      <c r="B631" s="51" t="s">
        <v>96</v>
      </c>
      <c r="C631" s="52"/>
      <c r="D631" s="52"/>
      <c r="E631" s="52"/>
      <c r="F631" s="52"/>
      <c r="G631" s="53"/>
      <c r="H631" s="20"/>
      <c r="I631" s="9">
        <v>1</v>
      </c>
      <c r="J631" s="9"/>
      <c r="K631" s="9"/>
      <c r="L631" s="9"/>
      <c r="M631" s="9">
        <f t="shared" si="86"/>
        <v>7.4</v>
      </c>
      <c r="N631" s="9">
        <f t="shared" si="87"/>
        <v>3</v>
      </c>
      <c r="O631" s="9">
        <v>7.4</v>
      </c>
      <c r="P631" s="9">
        <v>3</v>
      </c>
      <c r="Q631" s="9" t="s">
        <v>6</v>
      </c>
      <c r="R631" s="1">
        <v>0</v>
      </c>
      <c r="S631" s="26"/>
    </row>
    <row r="632" spans="1:19" ht="16.5" customHeight="1" x14ac:dyDescent="0.25">
      <c r="A632" s="9"/>
      <c r="B632" s="51" t="s">
        <v>97</v>
      </c>
      <c r="C632" s="52"/>
      <c r="D632" s="52"/>
      <c r="E632" s="52"/>
      <c r="F632" s="52"/>
      <c r="G632" s="53"/>
      <c r="H632" s="20"/>
      <c r="I632" s="9">
        <v>2</v>
      </c>
      <c r="J632" s="9"/>
      <c r="K632" s="9"/>
      <c r="L632" s="9"/>
      <c r="M632" s="9">
        <f t="shared" si="86"/>
        <v>15.6</v>
      </c>
      <c r="N632" s="9">
        <f t="shared" si="87"/>
        <v>6</v>
      </c>
      <c r="O632" s="9">
        <v>7.8</v>
      </c>
      <c r="P632" s="9">
        <v>3</v>
      </c>
      <c r="Q632" s="9" t="s">
        <v>6</v>
      </c>
      <c r="R632" s="1">
        <v>0</v>
      </c>
      <c r="S632" s="26"/>
    </row>
    <row r="633" spans="1:19" ht="16.5" customHeight="1" x14ac:dyDescent="0.25">
      <c r="A633" s="9"/>
      <c r="B633" s="51" t="s">
        <v>98</v>
      </c>
      <c r="C633" s="52"/>
      <c r="D633" s="52"/>
      <c r="E633" s="52"/>
      <c r="F633" s="52"/>
      <c r="G633" s="53"/>
      <c r="H633" s="20"/>
      <c r="I633" s="9">
        <v>3</v>
      </c>
      <c r="J633" s="9"/>
      <c r="K633" s="9"/>
      <c r="L633" s="9"/>
      <c r="M633" s="9">
        <f t="shared" si="86"/>
        <v>17.399999999999999</v>
      </c>
      <c r="N633" s="9">
        <f t="shared" si="87"/>
        <v>6</v>
      </c>
      <c r="O633" s="9">
        <v>5.8</v>
      </c>
      <c r="P633" s="9">
        <v>2</v>
      </c>
      <c r="Q633" s="9" t="s">
        <v>3</v>
      </c>
      <c r="R633" s="1">
        <v>0</v>
      </c>
      <c r="S633" s="26"/>
    </row>
    <row r="634" spans="1:19" ht="16.5" customHeight="1" x14ac:dyDescent="0.25">
      <c r="A634" s="9"/>
      <c r="B634" s="51" t="s">
        <v>99</v>
      </c>
      <c r="C634" s="52"/>
      <c r="D634" s="52"/>
      <c r="E634" s="52"/>
      <c r="F634" s="52"/>
      <c r="G634" s="53"/>
      <c r="H634" s="20"/>
      <c r="I634" s="9">
        <v>2</v>
      </c>
      <c r="J634" s="9"/>
      <c r="K634" s="9"/>
      <c r="L634" s="9"/>
      <c r="M634" s="9">
        <f t="shared" si="86"/>
        <v>15.6</v>
      </c>
      <c r="N634" s="9">
        <f t="shared" si="87"/>
        <v>6</v>
      </c>
      <c r="O634" s="9">
        <v>7.8</v>
      </c>
      <c r="P634" s="9">
        <v>3</v>
      </c>
      <c r="Q634" s="9" t="s">
        <v>6</v>
      </c>
      <c r="R634" s="1">
        <v>0</v>
      </c>
      <c r="S634" s="26"/>
    </row>
    <row r="635" spans="1:19" ht="16.5" customHeight="1" x14ac:dyDescent="0.25">
      <c r="A635" s="9"/>
      <c r="B635" s="51" t="s">
        <v>101</v>
      </c>
      <c r="C635" s="52"/>
      <c r="D635" s="52"/>
      <c r="E635" s="52"/>
      <c r="F635" s="52"/>
      <c r="G635" s="53"/>
      <c r="H635" s="20"/>
      <c r="I635" s="9">
        <v>2</v>
      </c>
      <c r="J635" s="9"/>
      <c r="K635" s="9"/>
      <c r="L635" s="9"/>
      <c r="M635" s="9">
        <f t="shared" si="86"/>
        <v>13.8</v>
      </c>
      <c r="N635" s="9">
        <f t="shared" si="87"/>
        <v>5</v>
      </c>
      <c r="O635" s="9">
        <v>6.9</v>
      </c>
      <c r="P635" s="9">
        <v>2.5</v>
      </c>
      <c r="Q635" s="9" t="s">
        <v>5</v>
      </c>
      <c r="R635" s="1">
        <v>0</v>
      </c>
      <c r="S635" s="26"/>
    </row>
    <row r="636" spans="1:19" ht="16.5" customHeight="1" x14ac:dyDescent="0.25">
      <c r="A636" s="9"/>
      <c r="B636" s="51" t="s">
        <v>100</v>
      </c>
      <c r="C636" s="52"/>
      <c r="D636" s="52"/>
      <c r="E636" s="52"/>
      <c r="F636" s="52"/>
      <c r="G636" s="53"/>
      <c r="H636" s="20"/>
      <c r="I636" s="9">
        <v>4</v>
      </c>
      <c r="J636" s="9"/>
      <c r="K636" s="9"/>
      <c r="L636" s="9"/>
      <c r="M636" s="9">
        <f t="shared" si="86"/>
        <v>22</v>
      </c>
      <c r="N636" s="9">
        <f t="shared" si="87"/>
        <v>8</v>
      </c>
      <c r="O636" s="9">
        <v>5.5</v>
      </c>
      <c r="P636" s="9">
        <v>2</v>
      </c>
      <c r="Q636" s="9" t="s">
        <v>3</v>
      </c>
      <c r="R636" s="1">
        <v>0</v>
      </c>
      <c r="S636" s="26"/>
    </row>
    <row r="637" spans="1:19" ht="16.5" hidden="1" customHeight="1" x14ac:dyDescent="0.25">
      <c r="A637" s="21"/>
      <c r="H637" s="21"/>
      <c r="I637" s="21"/>
      <c r="J637" s="21"/>
      <c r="K637" s="21"/>
      <c r="L637" s="21"/>
      <c r="M637" s="9">
        <f t="shared" si="86"/>
        <v>0</v>
      </c>
      <c r="N637" s="9">
        <f t="shared" si="87"/>
        <v>0</v>
      </c>
      <c r="O637" s="21"/>
      <c r="P637" s="21"/>
      <c r="Q637" s="21"/>
      <c r="S637" s="25"/>
    </row>
    <row r="638" spans="1:19" ht="16.5" customHeight="1" x14ac:dyDescent="0.25">
      <c r="A638" s="9"/>
      <c r="B638" s="39" t="s">
        <v>42</v>
      </c>
      <c r="C638" s="40"/>
      <c r="D638" s="40"/>
      <c r="E638" s="40"/>
      <c r="F638" s="40"/>
      <c r="G638" s="41"/>
      <c r="H638" s="23"/>
      <c r="I638" s="24">
        <f>SUM(I626:I637)</f>
        <v>22</v>
      </c>
      <c r="J638" s="9"/>
      <c r="K638" s="9"/>
      <c r="L638" s="9"/>
      <c r="M638" s="9">
        <f t="shared" si="86"/>
        <v>146.30000000000001</v>
      </c>
      <c r="N638" s="9">
        <f t="shared" si="87"/>
        <v>54.56</v>
      </c>
      <c r="O638" s="24">
        <f>ROUND(SUM(M626:M637)/I638,2)</f>
        <v>6.65</v>
      </c>
      <c r="P638" s="24">
        <f>ROUND(SUM(N626:N637)/I638,2)</f>
        <v>2.48</v>
      </c>
      <c r="Q638" s="9"/>
      <c r="S638" s="25"/>
    </row>
    <row r="639" spans="1:19" ht="20.25" customHeight="1" x14ac:dyDescent="0.25">
      <c r="A639" s="27" t="s">
        <v>102</v>
      </c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</row>
    <row r="640" spans="1:19" ht="16.5" customHeight="1" x14ac:dyDescent="0.25">
      <c r="A640" s="9"/>
      <c r="B640" s="51" t="s">
        <v>103</v>
      </c>
      <c r="C640" s="52"/>
      <c r="D640" s="52"/>
      <c r="E640" s="52"/>
      <c r="F640" s="52"/>
      <c r="G640" s="53"/>
      <c r="H640" s="20"/>
      <c r="I640" s="9">
        <v>1</v>
      </c>
      <c r="J640" s="9"/>
      <c r="K640" s="9"/>
      <c r="L640" s="9"/>
      <c r="M640" s="9">
        <f t="shared" ref="M640:M652" si="88">I640*O640</f>
        <v>8</v>
      </c>
      <c r="N640" s="9">
        <f t="shared" ref="N640:N652" si="89">I640*P640</f>
        <v>3.5</v>
      </c>
      <c r="O640" s="9">
        <v>8</v>
      </c>
      <c r="P640" s="9">
        <v>3.5</v>
      </c>
      <c r="Q640" s="9" t="s">
        <v>9</v>
      </c>
      <c r="R640" s="1">
        <v>0</v>
      </c>
      <c r="S640" s="26"/>
    </row>
    <row r="641" spans="1:19" ht="16.5" customHeight="1" x14ac:dyDescent="0.25">
      <c r="A641" s="9"/>
      <c r="B641" s="51" t="s">
        <v>108</v>
      </c>
      <c r="C641" s="52"/>
      <c r="D641" s="52"/>
      <c r="E641" s="52"/>
      <c r="F641" s="52"/>
      <c r="G641" s="53"/>
      <c r="H641" s="20"/>
      <c r="I641" s="9">
        <v>2</v>
      </c>
      <c r="J641" s="9"/>
      <c r="K641" s="9"/>
      <c r="L641" s="9"/>
      <c r="M641" s="9">
        <f t="shared" si="88"/>
        <v>12</v>
      </c>
      <c r="N641" s="9">
        <f t="shared" si="89"/>
        <v>4</v>
      </c>
      <c r="O641" s="9">
        <v>6</v>
      </c>
      <c r="P641" s="9">
        <v>2</v>
      </c>
      <c r="Q641" s="9" t="s">
        <v>3</v>
      </c>
      <c r="R641" s="1">
        <v>0</v>
      </c>
      <c r="S641" s="26"/>
    </row>
    <row r="642" spans="1:19" ht="16.5" customHeight="1" x14ac:dyDescent="0.25">
      <c r="A642" s="9"/>
      <c r="B642" s="51" t="s">
        <v>105</v>
      </c>
      <c r="C642" s="52"/>
      <c r="D642" s="52"/>
      <c r="E642" s="52"/>
      <c r="F642" s="52"/>
      <c r="G642" s="53"/>
      <c r="H642" s="20"/>
      <c r="I642" s="9">
        <v>2</v>
      </c>
      <c r="J642" s="9"/>
      <c r="K642" s="9"/>
      <c r="L642" s="9"/>
      <c r="M642" s="9">
        <f t="shared" si="88"/>
        <v>15.4</v>
      </c>
      <c r="N642" s="9">
        <f t="shared" si="89"/>
        <v>6</v>
      </c>
      <c r="O642" s="9">
        <v>7.7</v>
      </c>
      <c r="P642" s="9">
        <v>3</v>
      </c>
      <c r="Q642" s="9" t="s">
        <v>6</v>
      </c>
      <c r="R642" s="1">
        <v>0</v>
      </c>
      <c r="S642" s="26"/>
    </row>
    <row r="643" spans="1:19" ht="16.5" customHeight="1" x14ac:dyDescent="0.25">
      <c r="A643" s="9"/>
      <c r="B643" s="51" t="s">
        <v>106</v>
      </c>
      <c r="C643" s="52"/>
      <c r="D643" s="52"/>
      <c r="E643" s="52"/>
      <c r="F643" s="52"/>
      <c r="G643" s="53"/>
      <c r="H643" s="20"/>
      <c r="I643" s="9">
        <v>3</v>
      </c>
      <c r="J643" s="9"/>
      <c r="K643" s="9"/>
      <c r="L643" s="9"/>
      <c r="M643" s="9">
        <f t="shared" si="88"/>
        <v>21.9</v>
      </c>
      <c r="N643" s="9">
        <f t="shared" si="89"/>
        <v>9</v>
      </c>
      <c r="O643" s="9">
        <v>7.3</v>
      </c>
      <c r="P643" s="9">
        <v>3</v>
      </c>
      <c r="Q643" s="9" t="s">
        <v>6</v>
      </c>
      <c r="R643" s="1">
        <v>0</v>
      </c>
      <c r="S643" s="26"/>
    </row>
    <row r="644" spans="1:19" ht="16.5" customHeight="1" x14ac:dyDescent="0.25">
      <c r="A644" s="9"/>
      <c r="B644" s="51" t="s">
        <v>107</v>
      </c>
      <c r="C644" s="52"/>
      <c r="D644" s="52"/>
      <c r="E644" s="52"/>
      <c r="F644" s="52"/>
      <c r="G644" s="53"/>
      <c r="H644" s="20"/>
      <c r="I644" s="9">
        <v>2</v>
      </c>
      <c r="J644" s="9"/>
      <c r="K644" s="9"/>
      <c r="L644" s="9"/>
      <c r="M644" s="9">
        <f t="shared" si="88"/>
        <v>15.2</v>
      </c>
      <c r="N644" s="9">
        <f t="shared" si="89"/>
        <v>6</v>
      </c>
      <c r="O644" s="9">
        <v>7.6</v>
      </c>
      <c r="P644" s="9">
        <v>3</v>
      </c>
      <c r="Q644" s="9" t="s">
        <v>6</v>
      </c>
      <c r="R644" s="1">
        <v>0</v>
      </c>
      <c r="S644" s="26"/>
    </row>
    <row r="645" spans="1:19" ht="16.5" customHeight="1" x14ac:dyDescent="0.25">
      <c r="A645" s="9"/>
      <c r="B645" s="51" t="s">
        <v>104</v>
      </c>
      <c r="C645" s="52"/>
      <c r="D645" s="52"/>
      <c r="E645" s="52"/>
      <c r="F645" s="52"/>
      <c r="G645" s="53"/>
      <c r="H645" s="20"/>
      <c r="I645" s="9">
        <v>4</v>
      </c>
      <c r="J645" s="9"/>
      <c r="K645" s="9"/>
      <c r="L645" s="9"/>
      <c r="M645" s="9">
        <f t="shared" si="88"/>
        <v>24.4</v>
      </c>
      <c r="N645" s="9">
        <f t="shared" si="89"/>
        <v>8</v>
      </c>
      <c r="O645" s="9">
        <v>6.1</v>
      </c>
      <c r="P645" s="9">
        <v>2</v>
      </c>
      <c r="Q645" s="9" t="s">
        <v>3</v>
      </c>
      <c r="R645" s="1">
        <v>0</v>
      </c>
      <c r="S645" s="26"/>
    </row>
    <row r="646" spans="1:19" ht="16.5" customHeight="1" x14ac:dyDescent="0.25">
      <c r="A646" s="9"/>
      <c r="B646" s="51" t="s">
        <v>109</v>
      </c>
      <c r="C646" s="52"/>
      <c r="D646" s="52"/>
      <c r="E646" s="52"/>
      <c r="F646" s="52"/>
      <c r="G646" s="53"/>
      <c r="H646" s="20"/>
      <c r="I646" s="9">
        <v>3</v>
      </c>
      <c r="J646" s="9"/>
      <c r="K646" s="9"/>
      <c r="L646" s="9"/>
      <c r="M646" s="9">
        <f t="shared" si="88"/>
        <v>21</v>
      </c>
      <c r="N646" s="9">
        <f t="shared" si="89"/>
        <v>9</v>
      </c>
      <c r="O646" s="9">
        <v>7</v>
      </c>
      <c r="P646" s="9">
        <v>3</v>
      </c>
      <c r="Q646" s="9" t="s">
        <v>6</v>
      </c>
      <c r="R646" s="1">
        <v>0</v>
      </c>
      <c r="S646" s="26"/>
    </row>
    <row r="647" spans="1:19" ht="16.5" customHeight="1" x14ac:dyDescent="0.25">
      <c r="A647" s="9"/>
      <c r="B647" s="51" t="s">
        <v>110</v>
      </c>
      <c r="C647" s="52"/>
      <c r="D647" s="52"/>
      <c r="E647" s="52"/>
      <c r="F647" s="52"/>
      <c r="G647" s="53"/>
      <c r="H647" s="20"/>
      <c r="I647" s="9">
        <v>2</v>
      </c>
      <c r="J647" s="9"/>
      <c r="K647" s="9"/>
      <c r="L647" s="9"/>
      <c r="M647" s="9">
        <f t="shared" si="88"/>
        <v>14.6</v>
      </c>
      <c r="N647" s="9">
        <f t="shared" si="89"/>
        <v>6</v>
      </c>
      <c r="O647" s="9">
        <v>7.3</v>
      </c>
      <c r="P647" s="9">
        <v>3</v>
      </c>
      <c r="Q647" s="9" t="s">
        <v>6</v>
      </c>
      <c r="R647" s="1">
        <v>0</v>
      </c>
      <c r="S647" s="26"/>
    </row>
    <row r="648" spans="1:19" ht="16.5" customHeight="1" x14ac:dyDescent="0.25">
      <c r="A648" s="9"/>
      <c r="B648" s="51" t="s">
        <v>111</v>
      </c>
      <c r="C648" s="52"/>
      <c r="D648" s="52"/>
      <c r="E648" s="52"/>
      <c r="F648" s="52"/>
      <c r="G648" s="53"/>
      <c r="H648" s="20"/>
      <c r="I648" s="9">
        <v>3</v>
      </c>
      <c r="J648" s="9"/>
      <c r="K648" s="9"/>
      <c r="L648" s="9"/>
      <c r="M648" s="9">
        <f t="shared" si="88"/>
        <v>26.700000000000003</v>
      </c>
      <c r="N648" s="9">
        <f t="shared" si="89"/>
        <v>11.100000000000001</v>
      </c>
      <c r="O648" s="9">
        <v>8.9</v>
      </c>
      <c r="P648" s="9">
        <v>3.7</v>
      </c>
      <c r="Q648" s="9" t="s">
        <v>10</v>
      </c>
      <c r="R648" s="1">
        <v>0</v>
      </c>
      <c r="S648" s="26"/>
    </row>
    <row r="649" spans="1:19" ht="16.5" customHeight="1" x14ac:dyDescent="0.25">
      <c r="A649" s="9"/>
      <c r="B649" s="51" t="s">
        <v>112</v>
      </c>
      <c r="C649" s="52"/>
      <c r="D649" s="52"/>
      <c r="E649" s="52"/>
      <c r="F649" s="52"/>
      <c r="G649" s="53"/>
      <c r="H649" s="20"/>
      <c r="I649" s="9">
        <v>2</v>
      </c>
      <c r="J649" s="9"/>
      <c r="K649" s="9"/>
      <c r="L649" s="9"/>
      <c r="M649" s="9">
        <f t="shared" si="88"/>
        <v>17</v>
      </c>
      <c r="N649" s="9">
        <f t="shared" si="89"/>
        <v>7.4</v>
      </c>
      <c r="O649" s="9">
        <v>8.5</v>
      </c>
      <c r="P649" s="9">
        <v>3.7</v>
      </c>
      <c r="Q649" s="9" t="s">
        <v>10</v>
      </c>
      <c r="R649" s="1">
        <v>0</v>
      </c>
      <c r="S649" s="26"/>
    </row>
    <row r="650" spans="1:19" ht="16.5" customHeight="1" x14ac:dyDescent="0.25">
      <c r="A650" s="9"/>
      <c r="B650" s="51" t="s">
        <v>113</v>
      </c>
      <c r="C650" s="52"/>
      <c r="D650" s="52"/>
      <c r="E650" s="52"/>
      <c r="F650" s="52"/>
      <c r="G650" s="53"/>
      <c r="H650" s="20"/>
      <c r="I650" s="9">
        <v>3</v>
      </c>
      <c r="J650" s="9"/>
      <c r="K650" s="9"/>
      <c r="L650" s="9"/>
      <c r="M650" s="9">
        <f t="shared" si="88"/>
        <v>20.100000000000001</v>
      </c>
      <c r="N650" s="9">
        <f t="shared" si="89"/>
        <v>7.5</v>
      </c>
      <c r="O650" s="9">
        <v>6.7</v>
      </c>
      <c r="P650" s="9">
        <v>2.5</v>
      </c>
      <c r="Q650" s="9" t="s">
        <v>5</v>
      </c>
      <c r="R650" s="1">
        <v>0</v>
      </c>
      <c r="S650" s="26"/>
    </row>
    <row r="651" spans="1:19" ht="16.5" hidden="1" customHeight="1" x14ac:dyDescent="0.25">
      <c r="A651" s="21"/>
      <c r="H651" s="21"/>
      <c r="I651" s="21"/>
      <c r="J651" s="21"/>
      <c r="K651" s="21"/>
      <c r="L651" s="21"/>
      <c r="M651" s="9">
        <f t="shared" si="88"/>
        <v>0</v>
      </c>
      <c r="N651" s="9">
        <f t="shared" si="89"/>
        <v>0</v>
      </c>
      <c r="O651" s="21"/>
      <c r="P651" s="21"/>
      <c r="Q651" s="21"/>
      <c r="S651" s="25"/>
    </row>
    <row r="652" spans="1:19" ht="16.5" customHeight="1" x14ac:dyDescent="0.25">
      <c r="A652" s="9"/>
      <c r="B652" s="39" t="s">
        <v>42</v>
      </c>
      <c r="C652" s="40"/>
      <c r="D652" s="40"/>
      <c r="E652" s="40"/>
      <c r="F652" s="40"/>
      <c r="G652" s="41"/>
      <c r="H652" s="23"/>
      <c r="I652" s="24">
        <f>SUM(I640:I651)</f>
        <v>27</v>
      </c>
      <c r="J652" s="9"/>
      <c r="K652" s="9"/>
      <c r="L652" s="9"/>
      <c r="M652" s="9">
        <f t="shared" si="88"/>
        <v>196.29</v>
      </c>
      <c r="N652" s="9">
        <f t="shared" si="89"/>
        <v>77.490000000000009</v>
      </c>
      <c r="O652" s="24">
        <f>ROUND(SUM(M640:M651)/I652,2)</f>
        <v>7.27</v>
      </c>
      <c r="P652" s="24">
        <f>ROUND(SUM(N640:N651)/I652,2)</f>
        <v>2.87</v>
      </c>
      <c r="Q652" s="9"/>
      <c r="S652" s="25"/>
    </row>
    <row r="653" spans="1:19" ht="20.25" customHeight="1" x14ac:dyDescent="0.25">
      <c r="A653" s="27" t="s">
        <v>114</v>
      </c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</row>
    <row r="654" spans="1:19" ht="16.5" customHeight="1" x14ac:dyDescent="0.25">
      <c r="A654" s="9"/>
      <c r="B654" s="51" t="s">
        <v>115</v>
      </c>
      <c r="C654" s="52"/>
      <c r="D654" s="52"/>
      <c r="E654" s="52"/>
      <c r="F654" s="52"/>
      <c r="G654" s="53"/>
      <c r="H654" s="20"/>
      <c r="I654" s="9">
        <v>2</v>
      </c>
      <c r="J654" s="9"/>
      <c r="K654" s="9"/>
      <c r="L654" s="9"/>
      <c r="M654" s="9">
        <f t="shared" ref="M654:M664" si="90">I654*O654</f>
        <v>16.8</v>
      </c>
      <c r="N654" s="9">
        <f t="shared" ref="N654:N664" si="91">I654*P654</f>
        <v>7</v>
      </c>
      <c r="O654" s="9">
        <v>8.4</v>
      </c>
      <c r="P654" s="9">
        <v>3.5</v>
      </c>
      <c r="Q654" s="9" t="s">
        <v>9</v>
      </c>
      <c r="R654" s="1">
        <v>0</v>
      </c>
      <c r="S654" s="26"/>
    </row>
    <row r="655" spans="1:19" ht="16.5" customHeight="1" x14ac:dyDescent="0.25">
      <c r="A655" s="9"/>
      <c r="B655" s="51" t="s">
        <v>122</v>
      </c>
      <c r="C655" s="52"/>
      <c r="D655" s="52"/>
      <c r="E655" s="52"/>
      <c r="F655" s="52"/>
      <c r="G655" s="53"/>
      <c r="H655" s="20"/>
      <c r="I655" s="9">
        <v>1</v>
      </c>
      <c r="J655" s="9"/>
      <c r="K655" s="9"/>
      <c r="L655" s="9"/>
      <c r="M655" s="9">
        <f t="shared" si="90"/>
        <v>7.5</v>
      </c>
      <c r="N655" s="9">
        <f t="shared" si="91"/>
        <v>3</v>
      </c>
      <c r="O655" s="9">
        <v>7.5</v>
      </c>
      <c r="P655" s="9">
        <v>3</v>
      </c>
      <c r="Q655" s="9" t="s">
        <v>6</v>
      </c>
      <c r="R655" s="1">
        <v>0</v>
      </c>
      <c r="S655" s="26"/>
    </row>
    <row r="656" spans="1:19" ht="16.5" customHeight="1" x14ac:dyDescent="0.25">
      <c r="A656" s="9"/>
      <c r="B656" s="51" t="s">
        <v>117</v>
      </c>
      <c r="C656" s="52"/>
      <c r="D656" s="52"/>
      <c r="E656" s="52"/>
      <c r="F656" s="52"/>
      <c r="G656" s="53"/>
      <c r="H656" s="20"/>
      <c r="I656" s="9">
        <v>3</v>
      </c>
      <c r="J656" s="9"/>
      <c r="K656" s="9"/>
      <c r="L656" s="9"/>
      <c r="M656" s="9">
        <f t="shared" si="90"/>
        <v>22.200000000000003</v>
      </c>
      <c r="N656" s="9">
        <f t="shared" si="91"/>
        <v>9</v>
      </c>
      <c r="O656" s="9">
        <v>7.4</v>
      </c>
      <c r="P656" s="9">
        <v>3</v>
      </c>
      <c r="Q656" s="9" t="s">
        <v>6</v>
      </c>
      <c r="R656" s="1">
        <v>0</v>
      </c>
      <c r="S656" s="26"/>
    </row>
    <row r="657" spans="1:19" ht="16.5" customHeight="1" x14ac:dyDescent="0.25">
      <c r="A657" s="9"/>
      <c r="B657" s="51" t="s">
        <v>118</v>
      </c>
      <c r="C657" s="52"/>
      <c r="D657" s="52"/>
      <c r="E657" s="52"/>
      <c r="F657" s="52"/>
      <c r="G657" s="53"/>
      <c r="H657" s="20"/>
      <c r="I657" s="9">
        <v>3</v>
      </c>
      <c r="J657" s="9"/>
      <c r="K657" s="9"/>
      <c r="L657" s="9"/>
      <c r="M657" s="9">
        <f t="shared" si="90"/>
        <v>21.299999999999997</v>
      </c>
      <c r="N657" s="9">
        <f t="shared" si="91"/>
        <v>9</v>
      </c>
      <c r="O657" s="9">
        <v>7.1</v>
      </c>
      <c r="P657" s="9">
        <v>3</v>
      </c>
      <c r="Q657" s="9" t="s">
        <v>6</v>
      </c>
      <c r="R657" s="1">
        <v>0</v>
      </c>
      <c r="S657" s="26"/>
    </row>
    <row r="658" spans="1:19" ht="16.5" customHeight="1" x14ac:dyDescent="0.25">
      <c r="A658" s="9"/>
      <c r="B658" s="51" t="s">
        <v>119</v>
      </c>
      <c r="C658" s="52"/>
      <c r="D658" s="52"/>
      <c r="E658" s="52"/>
      <c r="F658" s="52"/>
      <c r="G658" s="53"/>
      <c r="H658" s="20"/>
      <c r="I658" s="9">
        <v>3</v>
      </c>
      <c r="J658" s="9"/>
      <c r="K658" s="9"/>
      <c r="L658" s="9"/>
      <c r="M658" s="9">
        <f t="shared" si="90"/>
        <v>15.899999999999999</v>
      </c>
      <c r="N658" s="9">
        <f t="shared" si="91"/>
        <v>4.5</v>
      </c>
      <c r="O658" s="9">
        <v>5.3</v>
      </c>
      <c r="P658" s="9">
        <v>1.5</v>
      </c>
      <c r="Q658" s="9" t="s">
        <v>4</v>
      </c>
      <c r="R658" s="1">
        <v>0</v>
      </c>
      <c r="S658" s="26"/>
    </row>
    <row r="659" spans="1:19" ht="16.5" customHeight="1" x14ac:dyDescent="0.25">
      <c r="A659" s="9"/>
      <c r="B659" s="51" t="s">
        <v>116</v>
      </c>
      <c r="C659" s="52"/>
      <c r="D659" s="52"/>
      <c r="E659" s="52"/>
      <c r="F659" s="52"/>
      <c r="G659" s="53"/>
      <c r="H659" s="20"/>
      <c r="I659" s="9">
        <v>3</v>
      </c>
      <c r="J659" s="9"/>
      <c r="K659" s="9"/>
      <c r="L659" s="9"/>
      <c r="M659" s="9">
        <f t="shared" si="90"/>
        <v>19.799999999999997</v>
      </c>
      <c r="N659" s="9">
        <f t="shared" si="91"/>
        <v>7.5</v>
      </c>
      <c r="O659" s="9">
        <v>6.6</v>
      </c>
      <c r="P659" s="9">
        <v>2.5</v>
      </c>
      <c r="Q659" s="9" t="s">
        <v>5</v>
      </c>
      <c r="R659" s="1">
        <v>0</v>
      </c>
      <c r="S659" s="26"/>
    </row>
    <row r="660" spans="1:19" ht="16.5" customHeight="1" x14ac:dyDescent="0.25">
      <c r="A660" s="9"/>
      <c r="B660" s="51" t="s">
        <v>121</v>
      </c>
      <c r="C660" s="52"/>
      <c r="D660" s="52"/>
      <c r="E660" s="52"/>
      <c r="F660" s="52"/>
      <c r="G660" s="53"/>
      <c r="H660" s="20"/>
      <c r="I660" s="9">
        <v>3</v>
      </c>
      <c r="J660" s="9"/>
      <c r="K660" s="9"/>
      <c r="L660" s="9"/>
      <c r="M660" s="9">
        <f t="shared" si="90"/>
        <v>22.5</v>
      </c>
      <c r="N660" s="9">
        <f t="shared" si="91"/>
        <v>9</v>
      </c>
      <c r="O660" s="9">
        <v>7.5</v>
      </c>
      <c r="P660" s="9">
        <v>3</v>
      </c>
      <c r="Q660" s="9" t="s">
        <v>6</v>
      </c>
      <c r="R660" s="1">
        <v>0</v>
      </c>
      <c r="S660" s="26"/>
    </row>
    <row r="661" spans="1:19" ht="16.5" customHeight="1" x14ac:dyDescent="0.25">
      <c r="A661" s="9"/>
      <c r="B661" s="51" t="s">
        <v>120</v>
      </c>
      <c r="C661" s="52"/>
      <c r="D661" s="52"/>
      <c r="E661" s="52"/>
      <c r="F661" s="52"/>
      <c r="G661" s="53"/>
      <c r="H661" s="20"/>
      <c r="I661" s="9">
        <v>2</v>
      </c>
      <c r="J661" s="9"/>
      <c r="K661" s="9"/>
      <c r="L661" s="9"/>
      <c r="M661" s="9">
        <f t="shared" si="90"/>
        <v>12</v>
      </c>
      <c r="N661" s="9">
        <f t="shared" si="91"/>
        <v>4</v>
      </c>
      <c r="O661" s="9">
        <v>6</v>
      </c>
      <c r="P661" s="9">
        <v>2</v>
      </c>
      <c r="Q661" s="9" t="s">
        <v>3</v>
      </c>
      <c r="R661" s="1">
        <v>0</v>
      </c>
      <c r="S661" s="26"/>
    </row>
    <row r="662" spans="1:19" ht="31.2" customHeight="1" x14ac:dyDescent="0.25">
      <c r="A662" s="9"/>
      <c r="B662" s="51" t="s">
        <v>123</v>
      </c>
      <c r="C662" s="52"/>
      <c r="D662" s="52"/>
      <c r="E662" s="52"/>
      <c r="F662" s="52"/>
      <c r="G662" s="53"/>
      <c r="H662" s="20"/>
      <c r="I662" s="9">
        <v>3</v>
      </c>
      <c r="J662" s="9"/>
      <c r="K662" s="9"/>
      <c r="L662" s="9"/>
      <c r="M662" s="9">
        <f t="shared" si="90"/>
        <v>22.5</v>
      </c>
      <c r="N662" s="9">
        <f t="shared" si="91"/>
        <v>9</v>
      </c>
      <c r="O662" s="9">
        <v>7.5</v>
      </c>
      <c r="P662" s="9">
        <v>3</v>
      </c>
      <c r="Q662" s="9" t="s">
        <v>6</v>
      </c>
      <c r="R662" s="1">
        <v>0</v>
      </c>
      <c r="S662" s="26"/>
    </row>
    <row r="663" spans="1:19" ht="16.5" hidden="1" customHeight="1" x14ac:dyDescent="0.25">
      <c r="A663" s="21"/>
      <c r="H663" s="21"/>
      <c r="I663" s="21"/>
      <c r="J663" s="21"/>
      <c r="K663" s="21"/>
      <c r="L663" s="21"/>
      <c r="M663" s="9">
        <f t="shared" si="90"/>
        <v>0</v>
      </c>
      <c r="N663" s="9">
        <f t="shared" si="91"/>
        <v>0</v>
      </c>
      <c r="O663" s="21"/>
      <c r="P663" s="21"/>
      <c r="Q663" s="21"/>
      <c r="S663" s="25"/>
    </row>
    <row r="664" spans="1:19" ht="16.5" customHeight="1" x14ac:dyDescent="0.25">
      <c r="A664" s="9"/>
      <c r="B664" s="39" t="s">
        <v>42</v>
      </c>
      <c r="C664" s="40"/>
      <c r="D664" s="40"/>
      <c r="E664" s="40"/>
      <c r="F664" s="40"/>
      <c r="G664" s="41"/>
      <c r="H664" s="23"/>
      <c r="I664" s="24">
        <f>SUM(I654:I663)</f>
        <v>23</v>
      </c>
      <c r="J664" s="9"/>
      <c r="K664" s="9"/>
      <c r="L664" s="9"/>
      <c r="M664" s="9">
        <f t="shared" si="90"/>
        <v>160.54000000000002</v>
      </c>
      <c r="N664" s="9">
        <f t="shared" si="91"/>
        <v>62.1</v>
      </c>
      <c r="O664" s="24">
        <f>ROUND(SUM(M654:M663)/I664,2)</f>
        <v>6.98</v>
      </c>
      <c r="P664" s="24">
        <f>ROUND(SUM(N654:N663)/I664,2)</f>
        <v>2.7</v>
      </c>
      <c r="Q664" s="9"/>
      <c r="S664" s="25"/>
    </row>
    <row r="665" spans="1:19" ht="16.5" customHeight="1" x14ac:dyDescent="0.25">
      <c r="A665" s="21"/>
      <c r="B665" s="22"/>
      <c r="C665" s="22"/>
      <c r="D665" s="22"/>
      <c r="E665" s="22"/>
      <c r="F665" s="22"/>
      <c r="G665" s="22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7" spans="1:19" ht="18" x14ac:dyDescent="0.25">
      <c r="A667" s="35" t="s">
        <v>154</v>
      </c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</row>
    <row r="668" spans="1:19" ht="18" x14ac:dyDescent="0.25">
      <c r="A668" s="35" t="s">
        <v>155</v>
      </c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</row>
    <row r="669" spans="1:19" ht="18" x14ac:dyDescent="0.25">
      <c r="A669" s="35" t="s">
        <v>156</v>
      </c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</row>
    <row r="670" spans="1:19" ht="18" x14ac:dyDescent="0.25">
      <c r="A670" s="45" t="s">
        <v>157</v>
      </c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</row>
    <row r="671" spans="1:19" ht="19.5" customHeight="1" x14ac:dyDescent="0.25">
      <c r="A671" s="17"/>
      <c r="B671" s="17"/>
      <c r="C671" s="8"/>
      <c r="D671" s="18"/>
      <c r="E671" s="10"/>
      <c r="F671" s="11"/>
      <c r="G671" s="46" t="s">
        <v>49</v>
      </c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</row>
    <row r="672" spans="1:19" ht="31.5" customHeight="1" x14ac:dyDescent="0.3">
      <c r="A672" s="8"/>
      <c r="B672" s="8"/>
      <c r="C672" s="8"/>
      <c r="D672" s="8"/>
      <c r="E672" s="8"/>
      <c r="F672" s="8"/>
      <c r="G672" s="8"/>
      <c r="H672" s="12"/>
      <c r="I672" s="42" t="s">
        <v>40</v>
      </c>
      <c r="J672" s="43"/>
      <c r="K672" s="43"/>
      <c r="L672" s="43"/>
      <c r="M672" s="43"/>
      <c r="N672" s="43"/>
      <c r="O672" s="43"/>
      <c r="P672" s="43"/>
      <c r="Q672" s="43"/>
      <c r="R672" s="43"/>
      <c r="S672" s="43"/>
    </row>
    <row r="673" spans="1:20" ht="16.8" x14ac:dyDescent="0.3">
      <c r="A673" s="8"/>
      <c r="B673" s="8"/>
      <c r="C673" s="8"/>
      <c r="D673" s="8"/>
      <c r="E673" s="8"/>
      <c r="F673" s="8"/>
      <c r="G673" s="8"/>
      <c r="H673" s="12"/>
      <c r="I673" s="12"/>
      <c r="J673" s="12"/>
      <c r="K673" s="12"/>
      <c r="L673" s="8"/>
      <c r="M673" s="8"/>
      <c r="N673" s="8"/>
      <c r="O673" s="8"/>
      <c r="P673" s="8"/>
      <c r="Q673" s="8"/>
    </row>
    <row r="674" spans="1:20" ht="33" customHeight="1" x14ac:dyDescent="0.3">
      <c r="A674" s="8"/>
      <c r="B674" s="8"/>
      <c r="C674" s="8"/>
      <c r="D674" s="8"/>
      <c r="E674" s="8"/>
      <c r="F674" s="8"/>
      <c r="G674" s="8"/>
      <c r="H674" s="12"/>
      <c r="I674" s="12"/>
      <c r="J674" s="12"/>
      <c r="K674" s="12"/>
      <c r="L674" s="8"/>
      <c r="M674" s="8"/>
      <c r="N674" s="8"/>
      <c r="O674" s="8"/>
      <c r="P674" s="8"/>
      <c r="Q674" s="8"/>
    </row>
    <row r="675" spans="1:20" ht="11.25" customHeight="1" x14ac:dyDescent="0.3">
      <c r="A675" s="8"/>
      <c r="B675" s="8"/>
      <c r="C675" s="8"/>
      <c r="D675" s="8"/>
      <c r="E675" s="8"/>
      <c r="F675" s="8"/>
      <c r="G675" s="8"/>
      <c r="H675" s="12"/>
      <c r="I675" s="12"/>
      <c r="J675" s="12"/>
      <c r="K675" s="12"/>
      <c r="L675" s="8"/>
      <c r="M675" s="8"/>
      <c r="N675" s="8"/>
      <c r="O675" s="8"/>
      <c r="P675" s="8"/>
      <c r="Q675" s="8"/>
    </row>
    <row r="676" spans="1:20" ht="17.399999999999999" x14ac:dyDescent="0.3">
      <c r="A676" s="8"/>
      <c r="B676" s="8"/>
      <c r="C676" s="8"/>
      <c r="D676" s="8"/>
      <c r="E676" s="8"/>
      <c r="F676" s="8"/>
      <c r="G676" s="47" t="s">
        <v>41</v>
      </c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</row>
    <row r="677" spans="1:20" ht="54" customHeight="1" x14ac:dyDescent="0.25">
      <c r="A677" s="48" t="s">
        <v>33</v>
      </c>
      <c r="B677" s="48"/>
      <c r="C677" s="48"/>
      <c r="D677" s="48"/>
      <c r="E677" s="48"/>
      <c r="F677" s="42" t="s">
        <v>24</v>
      </c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</row>
    <row r="678" spans="1:20" ht="17.399999999999999" x14ac:dyDescent="0.25">
      <c r="A678" s="49" t="s">
        <v>34</v>
      </c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</row>
    <row r="679" spans="1:20" ht="4.5" customHeight="1" x14ac:dyDescent="0.2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</row>
    <row r="680" spans="1:20" ht="5.25" customHeight="1" x14ac:dyDescent="0.2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</row>
    <row r="681" spans="1:20" ht="16.5" customHeight="1" x14ac:dyDescent="0.25">
      <c r="A681" s="54" t="s">
        <v>159</v>
      </c>
      <c r="B681" s="54"/>
      <c r="C681" s="54"/>
      <c r="D681" s="54"/>
      <c r="E681" s="54"/>
      <c r="F681" s="54"/>
      <c r="G681" s="58" t="s">
        <v>160</v>
      </c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</row>
    <row r="682" spans="1:20" ht="16.5" customHeight="1" x14ac:dyDescent="0.25">
      <c r="A682" s="54" t="s">
        <v>161</v>
      </c>
      <c r="B682" s="54"/>
      <c r="C682" s="54"/>
      <c r="D682" s="54"/>
      <c r="E682" s="54"/>
      <c r="F682" s="54"/>
      <c r="G682" s="8" t="s">
        <v>46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T682" s="2"/>
    </row>
    <row r="683" spans="1:20" ht="16.5" customHeight="1" x14ac:dyDescent="0.25">
      <c r="A683" s="54" t="s">
        <v>47</v>
      </c>
      <c r="B683" s="54"/>
      <c r="C683" s="54"/>
      <c r="D683" s="54"/>
      <c r="E683" s="54"/>
      <c r="F683" s="54"/>
      <c r="G683" s="58" t="s">
        <v>48</v>
      </c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</row>
    <row r="684" spans="1:20" ht="5.2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19"/>
      <c r="K684" s="19"/>
      <c r="L684" s="19"/>
      <c r="M684" s="19"/>
      <c r="N684" s="19"/>
      <c r="O684" s="19"/>
      <c r="P684" s="19"/>
      <c r="Q684" s="19"/>
    </row>
    <row r="685" spans="1:20" ht="15" customHeight="1" x14ac:dyDescent="0.25">
      <c r="A685" s="36" t="s">
        <v>0</v>
      </c>
      <c r="B685" s="29" t="s">
        <v>1</v>
      </c>
      <c r="C685" s="30"/>
      <c r="D685" s="30"/>
      <c r="E685" s="30"/>
      <c r="F685" s="30"/>
      <c r="G685" s="31"/>
      <c r="H685" s="36" t="s">
        <v>32</v>
      </c>
      <c r="I685" s="36" t="s">
        <v>39</v>
      </c>
      <c r="J685" s="55" t="s">
        <v>2</v>
      </c>
      <c r="K685" s="56"/>
      <c r="L685" s="56"/>
      <c r="M685" s="56"/>
      <c r="N685" s="56"/>
      <c r="O685" s="56"/>
      <c r="P685" s="56"/>
      <c r="Q685" s="57"/>
      <c r="S685" s="36" t="s">
        <v>38</v>
      </c>
    </row>
    <row r="686" spans="1:20" ht="24" customHeight="1" x14ac:dyDescent="0.25">
      <c r="A686" s="37"/>
      <c r="B686" s="32"/>
      <c r="C686" s="33"/>
      <c r="D686" s="33"/>
      <c r="E686" s="33"/>
      <c r="F686" s="33"/>
      <c r="G686" s="34"/>
      <c r="H686" s="37"/>
      <c r="I686" s="37"/>
      <c r="J686" s="7" t="s">
        <v>28</v>
      </c>
      <c r="K686" s="7" t="s">
        <v>29</v>
      </c>
      <c r="L686" s="7" t="s">
        <v>30</v>
      </c>
      <c r="M686" s="7"/>
      <c r="N686" s="7"/>
      <c r="O686" s="6" t="s">
        <v>35</v>
      </c>
      <c r="P686" s="6" t="s">
        <v>36</v>
      </c>
      <c r="Q686" s="6" t="s">
        <v>37</v>
      </c>
      <c r="S686" s="37"/>
    </row>
    <row r="687" spans="1:20" ht="20.25" customHeight="1" x14ac:dyDescent="0.25">
      <c r="A687" s="27" t="s">
        <v>54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</row>
    <row r="688" spans="1:20" ht="16.5" customHeight="1" x14ac:dyDescent="0.25">
      <c r="A688" s="9"/>
      <c r="B688" s="51" t="s">
        <v>61</v>
      </c>
      <c r="C688" s="52"/>
      <c r="D688" s="52"/>
      <c r="E688" s="52"/>
      <c r="F688" s="52"/>
      <c r="G688" s="53"/>
      <c r="H688" s="20"/>
      <c r="I688" s="9">
        <v>1</v>
      </c>
      <c r="J688" s="9"/>
      <c r="K688" s="9"/>
      <c r="L688" s="9"/>
      <c r="M688" s="9">
        <f t="shared" ref="M688:M696" si="92">I688*O688</f>
        <v>9.1</v>
      </c>
      <c r="N688" s="9">
        <f t="shared" ref="N688:N696" si="93">I688*P688</f>
        <v>4</v>
      </c>
      <c r="O688" s="9">
        <v>9.1</v>
      </c>
      <c r="P688" s="9">
        <v>4</v>
      </c>
      <c r="Q688" s="9" t="s">
        <v>12</v>
      </c>
      <c r="R688" s="1">
        <v>0</v>
      </c>
      <c r="S688" s="26"/>
    </row>
    <row r="689" spans="1:19" ht="16.5" customHeight="1" x14ac:dyDescent="0.25">
      <c r="A689" s="9"/>
      <c r="B689" s="51" t="s">
        <v>56</v>
      </c>
      <c r="C689" s="52"/>
      <c r="D689" s="52"/>
      <c r="E689" s="52"/>
      <c r="F689" s="52"/>
      <c r="G689" s="53"/>
      <c r="H689" s="20"/>
      <c r="I689" s="9">
        <v>3</v>
      </c>
      <c r="J689" s="9"/>
      <c r="K689" s="9"/>
      <c r="L689" s="9"/>
      <c r="M689" s="9">
        <f t="shared" si="92"/>
        <v>9</v>
      </c>
      <c r="N689" s="9">
        <f t="shared" si="93"/>
        <v>0</v>
      </c>
      <c r="O689" s="9">
        <v>3</v>
      </c>
      <c r="P689" s="9">
        <v>0</v>
      </c>
      <c r="Q689" s="9" t="s">
        <v>7</v>
      </c>
      <c r="R689" s="1">
        <v>0</v>
      </c>
      <c r="S689" s="26"/>
    </row>
    <row r="690" spans="1:19" ht="31.2" customHeight="1" x14ac:dyDescent="0.25">
      <c r="A690" s="9"/>
      <c r="B690" s="51" t="s">
        <v>57</v>
      </c>
      <c r="C690" s="52"/>
      <c r="D690" s="52"/>
      <c r="E690" s="52"/>
      <c r="F690" s="52"/>
      <c r="G690" s="53"/>
      <c r="H690" s="20"/>
      <c r="I690" s="9">
        <v>3</v>
      </c>
      <c r="J690" s="9"/>
      <c r="K690" s="9"/>
      <c r="L690" s="9"/>
      <c r="M690" s="9">
        <f t="shared" si="92"/>
        <v>22.799999999999997</v>
      </c>
      <c r="N690" s="9">
        <f t="shared" si="93"/>
        <v>9</v>
      </c>
      <c r="O690" s="9">
        <v>7.6</v>
      </c>
      <c r="P690" s="9">
        <v>3</v>
      </c>
      <c r="Q690" s="9" t="s">
        <v>6</v>
      </c>
      <c r="R690" s="1">
        <v>0</v>
      </c>
      <c r="S690" s="26"/>
    </row>
    <row r="691" spans="1:19" ht="16.5" customHeight="1" x14ac:dyDescent="0.25">
      <c r="A691" s="9"/>
      <c r="B691" s="51" t="s">
        <v>58</v>
      </c>
      <c r="C691" s="52"/>
      <c r="D691" s="52"/>
      <c r="E691" s="52"/>
      <c r="F691" s="52"/>
      <c r="G691" s="53"/>
      <c r="H691" s="20"/>
      <c r="I691" s="9">
        <v>1</v>
      </c>
      <c r="J691" s="9"/>
      <c r="K691" s="9"/>
      <c r="L691" s="9"/>
      <c r="M691" s="9">
        <f t="shared" si="92"/>
        <v>7.3</v>
      </c>
      <c r="N691" s="9">
        <f t="shared" si="93"/>
        <v>3</v>
      </c>
      <c r="O691" s="9">
        <v>7.3</v>
      </c>
      <c r="P691" s="9">
        <v>3</v>
      </c>
      <c r="Q691" s="9" t="s">
        <v>6</v>
      </c>
      <c r="R691" s="1">
        <v>0</v>
      </c>
      <c r="S691" s="26"/>
    </row>
    <row r="692" spans="1:19" ht="16.5" customHeight="1" x14ac:dyDescent="0.25">
      <c r="A692" s="9"/>
      <c r="B692" s="51" t="s">
        <v>59</v>
      </c>
      <c r="C692" s="52"/>
      <c r="D692" s="52"/>
      <c r="E692" s="52"/>
      <c r="F692" s="52"/>
      <c r="G692" s="53"/>
      <c r="H692" s="20"/>
      <c r="I692" s="9">
        <v>1</v>
      </c>
      <c r="J692" s="9"/>
      <c r="K692" s="9"/>
      <c r="L692" s="9"/>
      <c r="M692" s="9">
        <f t="shared" si="92"/>
        <v>5.9</v>
      </c>
      <c r="N692" s="9">
        <f t="shared" si="93"/>
        <v>2</v>
      </c>
      <c r="O692" s="9">
        <v>5.9</v>
      </c>
      <c r="P692" s="9">
        <v>2</v>
      </c>
      <c r="Q692" s="9" t="s">
        <v>3</v>
      </c>
      <c r="R692" s="1">
        <v>0</v>
      </c>
      <c r="S692" s="26"/>
    </row>
    <row r="693" spans="1:19" ht="16.5" customHeight="1" x14ac:dyDescent="0.25">
      <c r="A693" s="9"/>
      <c r="B693" s="51" t="s">
        <v>60</v>
      </c>
      <c r="C693" s="52"/>
      <c r="D693" s="52"/>
      <c r="E693" s="52"/>
      <c r="F693" s="52"/>
      <c r="G693" s="53"/>
      <c r="H693" s="20"/>
      <c r="I693" s="9">
        <v>3</v>
      </c>
      <c r="J693" s="9"/>
      <c r="K693" s="9"/>
      <c r="L693" s="9"/>
      <c r="M693" s="9">
        <f t="shared" si="92"/>
        <v>23.1</v>
      </c>
      <c r="N693" s="9">
        <f t="shared" si="93"/>
        <v>9</v>
      </c>
      <c r="O693" s="9">
        <v>7.7</v>
      </c>
      <c r="P693" s="9">
        <v>3</v>
      </c>
      <c r="Q693" s="9" t="s">
        <v>6</v>
      </c>
      <c r="R693" s="1">
        <v>0</v>
      </c>
      <c r="S693" s="26"/>
    </row>
    <row r="694" spans="1:19" ht="16.5" customHeight="1" x14ac:dyDescent="0.25">
      <c r="A694" s="9"/>
      <c r="B694" s="51" t="s">
        <v>55</v>
      </c>
      <c r="C694" s="52"/>
      <c r="D694" s="52"/>
      <c r="E694" s="52"/>
      <c r="F694" s="52"/>
      <c r="G694" s="53"/>
      <c r="H694" s="20"/>
      <c r="I694" s="9">
        <v>2</v>
      </c>
      <c r="J694" s="9"/>
      <c r="K694" s="9"/>
      <c r="L694" s="9"/>
      <c r="M694" s="9">
        <f t="shared" si="92"/>
        <v>14.2</v>
      </c>
      <c r="N694" s="9">
        <f t="shared" si="93"/>
        <v>6</v>
      </c>
      <c r="O694" s="9">
        <v>7.1</v>
      </c>
      <c r="P694" s="9">
        <v>3</v>
      </c>
      <c r="Q694" s="9" t="s">
        <v>6</v>
      </c>
      <c r="R694" s="1">
        <v>0</v>
      </c>
      <c r="S694" s="26"/>
    </row>
    <row r="695" spans="1:19" ht="16.5" hidden="1" customHeight="1" x14ac:dyDescent="0.25">
      <c r="A695" s="21"/>
      <c r="H695" s="21"/>
      <c r="I695" s="21"/>
      <c r="J695" s="21"/>
      <c r="K695" s="21"/>
      <c r="L695" s="21"/>
      <c r="M695" s="9">
        <f t="shared" si="92"/>
        <v>0</v>
      </c>
      <c r="N695" s="9">
        <f t="shared" si="93"/>
        <v>0</v>
      </c>
      <c r="O695" s="21"/>
      <c r="P695" s="21"/>
      <c r="Q695" s="21"/>
      <c r="S695" s="25"/>
    </row>
    <row r="696" spans="1:19" ht="16.5" customHeight="1" x14ac:dyDescent="0.25">
      <c r="A696" s="9"/>
      <c r="B696" s="39" t="s">
        <v>42</v>
      </c>
      <c r="C696" s="40"/>
      <c r="D696" s="40"/>
      <c r="E696" s="40"/>
      <c r="F696" s="40"/>
      <c r="G696" s="41"/>
      <c r="H696" s="23"/>
      <c r="I696" s="24">
        <f>SUM(I688:I695)</f>
        <v>14</v>
      </c>
      <c r="J696" s="9"/>
      <c r="K696" s="9"/>
      <c r="L696" s="9"/>
      <c r="M696" s="9">
        <f t="shared" si="92"/>
        <v>91.42</v>
      </c>
      <c r="N696" s="9">
        <f t="shared" si="93"/>
        <v>33.04</v>
      </c>
      <c r="O696" s="24">
        <f>ROUND(SUM(M688:M695)/I696,2)</f>
        <v>6.53</v>
      </c>
      <c r="P696" s="24">
        <f>ROUND(SUM(N688:N695)/I696,2)</f>
        <v>2.36</v>
      </c>
      <c r="Q696" s="9"/>
      <c r="S696" s="25"/>
    </row>
    <row r="697" spans="1:19" ht="20.25" customHeight="1" x14ac:dyDescent="0.25">
      <c r="A697" s="27" t="s">
        <v>62</v>
      </c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</row>
    <row r="698" spans="1:19" ht="16.5" customHeight="1" x14ac:dyDescent="0.25">
      <c r="A698" s="9"/>
      <c r="B698" s="51" t="s">
        <v>63</v>
      </c>
      <c r="C698" s="52"/>
      <c r="D698" s="52"/>
      <c r="E698" s="52"/>
      <c r="F698" s="52"/>
      <c r="G698" s="53"/>
      <c r="H698" s="20"/>
      <c r="I698" s="9">
        <v>4</v>
      </c>
      <c r="J698" s="9"/>
      <c r="K698" s="9"/>
      <c r="L698" s="9"/>
      <c r="M698" s="9">
        <f t="shared" ref="M698:M706" si="94">I698*O698</f>
        <v>24</v>
      </c>
      <c r="N698" s="9">
        <f t="shared" ref="N698:N706" si="95">I698*P698</f>
        <v>8</v>
      </c>
      <c r="O698" s="9">
        <v>6</v>
      </c>
      <c r="P698" s="9">
        <v>2</v>
      </c>
      <c r="Q698" s="9" t="s">
        <v>3</v>
      </c>
      <c r="R698" s="1">
        <v>0</v>
      </c>
      <c r="S698" s="26"/>
    </row>
    <row r="699" spans="1:19" ht="16.5" customHeight="1" x14ac:dyDescent="0.25">
      <c r="A699" s="9"/>
      <c r="B699" s="51" t="s">
        <v>64</v>
      </c>
      <c r="C699" s="52"/>
      <c r="D699" s="52"/>
      <c r="E699" s="52"/>
      <c r="F699" s="52"/>
      <c r="G699" s="53"/>
      <c r="H699" s="20"/>
      <c r="I699" s="9">
        <v>4</v>
      </c>
      <c r="J699" s="9"/>
      <c r="K699" s="9"/>
      <c r="L699" s="9"/>
      <c r="M699" s="9">
        <f t="shared" si="94"/>
        <v>22.8</v>
      </c>
      <c r="N699" s="9">
        <f t="shared" si="95"/>
        <v>8</v>
      </c>
      <c r="O699" s="9">
        <v>5.7</v>
      </c>
      <c r="P699" s="9">
        <v>2</v>
      </c>
      <c r="Q699" s="9" t="s">
        <v>3</v>
      </c>
      <c r="R699" s="1">
        <v>0</v>
      </c>
      <c r="S699" s="26"/>
    </row>
    <row r="700" spans="1:19" ht="16.5" customHeight="1" x14ac:dyDescent="0.25">
      <c r="A700" s="9"/>
      <c r="B700" s="51" t="s">
        <v>65</v>
      </c>
      <c r="C700" s="52"/>
      <c r="D700" s="52"/>
      <c r="E700" s="52"/>
      <c r="F700" s="52"/>
      <c r="G700" s="53"/>
      <c r="H700" s="20"/>
      <c r="I700" s="9">
        <v>4</v>
      </c>
      <c r="J700" s="9"/>
      <c r="K700" s="9"/>
      <c r="L700" s="9"/>
      <c r="M700" s="9">
        <f t="shared" si="94"/>
        <v>25.6</v>
      </c>
      <c r="N700" s="9">
        <f t="shared" si="95"/>
        <v>8</v>
      </c>
      <c r="O700" s="9">
        <v>6.4</v>
      </c>
      <c r="P700" s="9">
        <v>2</v>
      </c>
      <c r="Q700" s="9" t="s">
        <v>3</v>
      </c>
      <c r="R700" s="1">
        <v>0</v>
      </c>
      <c r="S700" s="26"/>
    </row>
    <row r="701" spans="1:19" ht="16.5" customHeight="1" x14ac:dyDescent="0.25">
      <c r="A701" s="9"/>
      <c r="B701" s="51" t="s">
        <v>66</v>
      </c>
      <c r="C701" s="52"/>
      <c r="D701" s="52"/>
      <c r="E701" s="52"/>
      <c r="F701" s="52"/>
      <c r="G701" s="53"/>
      <c r="H701" s="20"/>
      <c r="I701" s="9">
        <v>1</v>
      </c>
      <c r="J701" s="9"/>
      <c r="K701" s="9"/>
      <c r="L701" s="9"/>
      <c r="M701" s="9">
        <f t="shared" si="94"/>
        <v>7.6</v>
      </c>
      <c r="N701" s="9">
        <f t="shared" si="95"/>
        <v>3</v>
      </c>
      <c r="O701" s="9">
        <v>7.6</v>
      </c>
      <c r="P701" s="9">
        <v>3</v>
      </c>
      <c r="Q701" s="9" t="s">
        <v>6</v>
      </c>
      <c r="R701" s="1">
        <v>0</v>
      </c>
      <c r="S701" s="26"/>
    </row>
    <row r="702" spans="1:19" ht="16.5" customHeight="1" x14ac:dyDescent="0.25">
      <c r="A702" s="9"/>
      <c r="B702" s="51" t="s">
        <v>67</v>
      </c>
      <c r="C702" s="52"/>
      <c r="D702" s="52"/>
      <c r="E702" s="52"/>
      <c r="F702" s="52"/>
      <c r="G702" s="53"/>
      <c r="H702" s="20"/>
      <c r="I702" s="9">
        <v>1</v>
      </c>
      <c r="J702" s="9"/>
      <c r="K702" s="9"/>
      <c r="L702" s="9"/>
      <c r="M702" s="9">
        <f t="shared" si="94"/>
        <v>7.7</v>
      </c>
      <c r="N702" s="9">
        <f t="shared" si="95"/>
        <v>3</v>
      </c>
      <c r="O702" s="9">
        <v>7.7</v>
      </c>
      <c r="P702" s="9">
        <v>3</v>
      </c>
      <c r="Q702" s="9" t="s">
        <v>6</v>
      </c>
      <c r="R702" s="1">
        <v>0</v>
      </c>
      <c r="S702" s="26"/>
    </row>
    <row r="703" spans="1:19" ht="16.5" customHeight="1" x14ac:dyDescent="0.25">
      <c r="A703" s="9"/>
      <c r="B703" s="51" t="s">
        <v>68</v>
      </c>
      <c r="C703" s="52"/>
      <c r="D703" s="52"/>
      <c r="E703" s="52"/>
      <c r="F703" s="52"/>
      <c r="G703" s="53"/>
      <c r="H703" s="20"/>
      <c r="I703" s="9">
        <v>1</v>
      </c>
      <c r="J703" s="9"/>
      <c r="K703" s="9"/>
      <c r="L703" s="9"/>
      <c r="M703" s="9">
        <f t="shared" si="94"/>
        <v>7.3</v>
      </c>
      <c r="N703" s="9">
        <f t="shared" si="95"/>
        <v>3</v>
      </c>
      <c r="O703" s="9">
        <v>7.3</v>
      </c>
      <c r="P703" s="9">
        <v>3</v>
      </c>
      <c r="Q703" s="9" t="s">
        <v>6</v>
      </c>
      <c r="R703" s="1">
        <v>0</v>
      </c>
      <c r="S703" s="26"/>
    </row>
    <row r="704" spans="1:19" ht="16.5" customHeight="1" x14ac:dyDescent="0.25">
      <c r="A704" s="9"/>
      <c r="B704" s="51" t="s">
        <v>69</v>
      </c>
      <c r="C704" s="52"/>
      <c r="D704" s="52"/>
      <c r="E704" s="52"/>
      <c r="F704" s="52"/>
      <c r="G704" s="53"/>
      <c r="H704" s="20"/>
      <c r="I704" s="9">
        <v>1</v>
      </c>
      <c r="J704" s="9"/>
      <c r="K704" s="9"/>
      <c r="L704" s="9"/>
      <c r="M704" s="9">
        <f t="shared" si="94"/>
        <v>7</v>
      </c>
      <c r="N704" s="9">
        <f t="shared" si="95"/>
        <v>3</v>
      </c>
      <c r="O704" s="9">
        <v>7</v>
      </c>
      <c r="P704" s="9">
        <v>3</v>
      </c>
      <c r="Q704" s="9" t="s">
        <v>6</v>
      </c>
      <c r="R704" s="1">
        <v>0</v>
      </c>
      <c r="S704" s="26"/>
    </row>
    <row r="705" spans="1:19" ht="16.5" hidden="1" customHeight="1" x14ac:dyDescent="0.25">
      <c r="A705" s="21"/>
      <c r="H705" s="21"/>
      <c r="I705" s="21"/>
      <c r="J705" s="21"/>
      <c r="K705" s="21"/>
      <c r="L705" s="21"/>
      <c r="M705" s="9">
        <f t="shared" si="94"/>
        <v>0</v>
      </c>
      <c r="N705" s="9">
        <f t="shared" si="95"/>
        <v>0</v>
      </c>
      <c r="O705" s="21"/>
      <c r="P705" s="21"/>
      <c r="Q705" s="21"/>
      <c r="S705" s="25"/>
    </row>
    <row r="706" spans="1:19" ht="16.5" customHeight="1" x14ac:dyDescent="0.25">
      <c r="A706" s="9"/>
      <c r="B706" s="39" t="s">
        <v>42</v>
      </c>
      <c r="C706" s="40"/>
      <c r="D706" s="40"/>
      <c r="E706" s="40"/>
      <c r="F706" s="40"/>
      <c r="G706" s="41"/>
      <c r="H706" s="23"/>
      <c r="I706" s="24">
        <f>SUM(I698:I705)</f>
        <v>16</v>
      </c>
      <c r="J706" s="9"/>
      <c r="K706" s="9"/>
      <c r="L706" s="9"/>
      <c r="M706" s="9">
        <f t="shared" si="94"/>
        <v>102.08</v>
      </c>
      <c r="N706" s="9">
        <f t="shared" si="95"/>
        <v>36</v>
      </c>
      <c r="O706" s="24">
        <f>ROUND(SUM(M698:M705)/I706,2)</f>
        <v>6.38</v>
      </c>
      <c r="P706" s="24">
        <f>ROUND(SUM(N698:N705)/I706,2)</f>
        <v>2.25</v>
      </c>
      <c r="Q706" s="9"/>
      <c r="S706" s="25"/>
    </row>
    <row r="707" spans="1:19" ht="20.25" customHeight="1" x14ac:dyDescent="0.25">
      <c r="A707" s="27" t="s">
        <v>162</v>
      </c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</row>
    <row r="708" spans="1:19" ht="16.5" customHeight="1" x14ac:dyDescent="0.25">
      <c r="A708" s="9"/>
      <c r="B708" s="51" t="s">
        <v>56</v>
      </c>
      <c r="C708" s="52"/>
      <c r="D708" s="52"/>
      <c r="E708" s="52"/>
      <c r="F708" s="52"/>
      <c r="G708" s="53"/>
      <c r="H708" s="20"/>
      <c r="I708" s="9">
        <v>3</v>
      </c>
      <c r="J708" s="9"/>
      <c r="K708" s="9"/>
      <c r="L708" s="9"/>
      <c r="M708" s="9">
        <f>I708*O708</f>
        <v>6</v>
      </c>
      <c r="N708" s="9">
        <f>I708*P708</f>
        <v>0</v>
      </c>
      <c r="O708" s="9">
        <v>2</v>
      </c>
      <c r="P708" s="9">
        <v>0</v>
      </c>
      <c r="Q708" s="9" t="s">
        <v>7</v>
      </c>
      <c r="R708" s="1">
        <v>6</v>
      </c>
      <c r="S708" s="26" t="s">
        <v>133</v>
      </c>
    </row>
    <row r="709" spans="1:19" ht="16.5" hidden="1" customHeight="1" x14ac:dyDescent="0.25">
      <c r="A709" s="21"/>
      <c r="H709" s="21"/>
      <c r="I709" s="21"/>
      <c r="J709" s="21"/>
      <c r="K709" s="21"/>
      <c r="L709" s="21"/>
      <c r="M709" s="9">
        <f>I709*O709</f>
        <v>0</v>
      </c>
      <c r="N709" s="9">
        <f>I709*P709</f>
        <v>0</v>
      </c>
      <c r="O709" s="21"/>
      <c r="P709" s="21"/>
      <c r="Q709" s="21"/>
      <c r="S709" s="25"/>
    </row>
    <row r="710" spans="1:19" ht="16.5" customHeight="1" x14ac:dyDescent="0.25">
      <c r="A710" s="9"/>
      <c r="B710" s="39" t="s">
        <v>42</v>
      </c>
      <c r="C710" s="40"/>
      <c r="D710" s="40"/>
      <c r="E710" s="40"/>
      <c r="F710" s="40"/>
      <c r="G710" s="41"/>
      <c r="H710" s="23"/>
      <c r="I710" s="24">
        <f>SUM(I708:I709)</f>
        <v>3</v>
      </c>
      <c r="J710" s="9"/>
      <c r="K710" s="9"/>
      <c r="L710" s="9"/>
      <c r="M710" s="9">
        <f>I710*O710</f>
        <v>6</v>
      </c>
      <c r="N710" s="9">
        <f>I710*P710</f>
        <v>0</v>
      </c>
      <c r="O710" s="24">
        <f>ROUND(SUM(M708:M709)/I710,2)</f>
        <v>2</v>
      </c>
      <c r="P710" s="24">
        <f>ROUND(SUM(N708:N709)/I710,2)</f>
        <v>0</v>
      </c>
      <c r="Q710" s="9"/>
      <c r="S710" s="25"/>
    </row>
    <row r="711" spans="1:19" ht="20.25" customHeight="1" x14ac:dyDescent="0.25">
      <c r="A711" s="27" t="s">
        <v>150</v>
      </c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</row>
    <row r="712" spans="1:19" ht="16.5" customHeight="1" x14ac:dyDescent="0.25">
      <c r="A712" s="9"/>
      <c r="B712" s="51" t="s">
        <v>56</v>
      </c>
      <c r="C712" s="52"/>
      <c r="D712" s="52"/>
      <c r="E712" s="52"/>
      <c r="F712" s="52"/>
      <c r="G712" s="53"/>
      <c r="H712" s="20"/>
      <c r="I712" s="9">
        <v>3</v>
      </c>
      <c r="J712" s="9"/>
      <c r="K712" s="9"/>
      <c r="L712" s="9"/>
      <c r="M712" s="9">
        <f>I712*O712</f>
        <v>18</v>
      </c>
      <c r="N712" s="9">
        <f>I712*P712</f>
        <v>6</v>
      </c>
      <c r="O712" s="9">
        <v>6</v>
      </c>
      <c r="P712" s="9">
        <v>2</v>
      </c>
      <c r="Q712" s="9" t="s">
        <v>3</v>
      </c>
      <c r="R712" s="1">
        <v>4</v>
      </c>
      <c r="S712" s="26" t="s">
        <v>163</v>
      </c>
    </row>
    <row r="713" spans="1:19" ht="16.5" hidden="1" customHeight="1" x14ac:dyDescent="0.25">
      <c r="A713" s="21"/>
      <c r="H713" s="21"/>
      <c r="I713" s="21"/>
      <c r="J713" s="21"/>
      <c r="K713" s="21"/>
      <c r="L713" s="21"/>
      <c r="M713" s="9">
        <f>I713*O713</f>
        <v>0</v>
      </c>
      <c r="N713" s="9">
        <f>I713*P713</f>
        <v>0</v>
      </c>
      <c r="O713" s="21"/>
      <c r="P713" s="21"/>
      <c r="Q713" s="21"/>
      <c r="S713" s="25"/>
    </row>
    <row r="714" spans="1:19" ht="16.5" customHeight="1" x14ac:dyDescent="0.25">
      <c r="A714" s="9"/>
      <c r="B714" s="39" t="s">
        <v>42</v>
      </c>
      <c r="C714" s="40"/>
      <c r="D714" s="40"/>
      <c r="E714" s="40"/>
      <c r="F714" s="40"/>
      <c r="G714" s="41"/>
      <c r="H714" s="23"/>
      <c r="I714" s="24">
        <f>SUM(I712:I713)</f>
        <v>3</v>
      </c>
      <c r="J714" s="9"/>
      <c r="K714" s="9"/>
      <c r="L714" s="9"/>
      <c r="M714" s="9">
        <f>I714*O714</f>
        <v>18</v>
      </c>
      <c r="N714" s="9">
        <f>I714*P714</f>
        <v>6</v>
      </c>
      <c r="O714" s="24">
        <f>ROUND(SUM(M712:M713)/I714,2)</f>
        <v>6</v>
      </c>
      <c r="P714" s="24">
        <f>ROUND(SUM(N712:N713)/I714,2)</f>
        <v>2</v>
      </c>
      <c r="Q714" s="9"/>
      <c r="S714" s="25"/>
    </row>
    <row r="715" spans="1:19" ht="20.25" customHeight="1" x14ac:dyDescent="0.25">
      <c r="A715" s="27" t="s">
        <v>70</v>
      </c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</row>
    <row r="716" spans="1:19" ht="16.5" customHeight="1" x14ac:dyDescent="0.25">
      <c r="A716" s="9"/>
      <c r="B716" s="51" t="s">
        <v>71</v>
      </c>
      <c r="C716" s="52"/>
      <c r="D716" s="52"/>
      <c r="E716" s="52"/>
      <c r="F716" s="52"/>
      <c r="G716" s="53"/>
      <c r="H716" s="20"/>
      <c r="I716" s="9">
        <v>4</v>
      </c>
      <c r="J716" s="9"/>
      <c r="K716" s="9"/>
      <c r="L716" s="9"/>
      <c r="M716" s="9">
        <f t="shared" ref="M716:M724" si="96">I716*O716</f>
        <v>24</v>
      </c>
      <c r="N716" s="9">
        <f t="shared" ref="N716:N724" si="97">I716*P716</f>
        <v>8</v>
      </c>
      <c r="O716" s="9">
        <v>6</v>
      </c>
      <c r="P716" s="9">
        <v>2</v>
      </c>
      <c r="Q716" s="9" t="s">
        <v>3</v>
      </c>
      <c r="R716" s="1">
        <v>0</v>
      </c>
      <c r="S716" s="26"/>
    </row>
    <row r="717" spans="1:19" ht="16.5" customHeight="1" x14ac:dyDescent="0.25">
      <c r="A717" s="9"/>
      <c r="B717" s="51" t="s">
        <v>74</v>
      </c>
      <c r="C717" s="52"/>
      <c r="D717" s="52"/>
      <c r="E717" s="52"/>
      <c r="F717" s="52"/>
      <c r="G717" s="53"/>
      <c r="H717" s="20"/>
      <c r="I717" s="9">
        <v>2</v>
      </c>
      <c r="J717" s="9"/>
      <c r="K717" s="9"/>
      <c r="L717" s="9"/>
      <c r="M717" s="9">
        <f t="shared" si="96"/>
        <v>12.4</v>
      </c>
      <c r="N717" s="9">
        <f t="shared" si="97"/>
        <v>4</v>
      </c>
      <c r="O717" s="9">
        <v>6.2</v>
      </c>
      <c r="P717" s="9">
        <v>2</v>
      </c>
      <c r="Q717" s="9" t="s">
        <v>3</v>
      </c>
      <c r="R717" s="1">
        <v>0</v>
      </c>
      <c r="S717" s="26"/>
    </row>
    <row r="718" spans="1:19" ht="16.5" customHeight="1" x14ac:dyDescent="0.25">
      <c r="A718" s="9"/>
      <c r="B718" s="51" t="s">
        <v>73</v>
      </c>
      <c r="C718" s="52"/>
      <c r="D718" s="52"/>
      <c r="E718" s="52"/>
      <c r="F718" s="52"/>
      <c r="G718" s="53"/>
      <c r="H718" s="20"/>
      <c r="I718" s="9">
        <v>1</v>
      </c>
      <c r="J718" s="9"/>
      <c r="K718" s="9"/>
      <c r="L718" s="9"/>
      <c r="M718" s="9">
        <f t="shared" si="96"/>
        <v>7.6</v>
      </c>
      <c r="N718" s="9">
        <f t="shared" si="97"/>
        <v>3</v>
      </c>
      <c r="O718" s="9">
        <v>7.6</v>
      </c>
      <c r="P718" s="9">
        <v>3</v>
      </c>
      <c r="Q718" s="9" t="s">
        <v>6</v>
      </c>
      <c r="R718" s="1">
        <v>0</v>
      </c>
      <c r="S718" s="26"/>
    </row>
    <row r="719" spans="1:19" ht="16.5" customHeight="1" x14ac:dyDescent="0.25">
      <c r="A719" s="9"/>
      <c r="B719" s="51" t="s">
        <v>72</v>
      </c>
      <c r="C719" s="52"/>
      <c r="D719" s="52"/>
      <c r="E719" s="52"/>
      <c r="F719" s="52"/>
      <c r="G719" s="53"/>
      <c r="H719" s="20"/>
      <c r="I719" s="9">
        <v>4</v>
      </c>
      <c r="J719" s="9"/>
      <c r="K719" s="9"/>
      <c r="L719" s="9"/>
      <c r="M719" s="9">
        <f t="shared" si="96"/>
        <v>20.399999999999999</v>
      </c>
      <c r="N719" s="9">
        <f t="shared" si="97"/>
        <v>6</v>
      </c>
      <c r="O719" s="9">
        <v>5.0999999999999996</v>
      </c>
      <c r="P719" s="9">
        <v>1.5</v>
      </c>
      <c r="Q719" s="9" t="s">
        <v>4</v>
      </c>
      <c r="R719" s="1">
        <v>0</v>
      </c>
      <c r="S719" s="26"/>
    </row>
    <row r="720" spans="1:19" ht="16.5" customHeight="1" x14ac:dyDescent="0.25">
      <c r="A720" s="9"/>
      <c r="B720" s="51" t="s">
        <v>75</v>
      </c>
      <c r="C720" s="52"/>
      <c r="D720" s="52"/>
      <c r="E720" s="52"/>
      <c r="F720" s="52"/>
      <c r="G720" s="53"/>
      <c r="H720" s="20"/>
      <c r="I720" s="9">
        <v>1</v>
      </c>
      <c r="J720" s="9"/>
      <c r="K720" s="9"/>
      <c r="L720" s="9"/>
      <c r="M720" s="9">
        <f t="shared" si="96"/>
        <v>7.3</v>
      </c>
      <c r="N720" s="9">
        <f t="shared" si="97"/>
        <v>3</v>
      </c>
      <c r="O720" s="9">
        <v>7.3</v>
      </c>
      <c r="P720" s="9">
        <v>3</v>
      </c>
      <c r="Q720" s="9" t="s">
        <v>6</v>
      </c>
      <c r="R720" s="1">
        <v>0</v>
      </c>
      <c r="S720" s="26"/>
    </row>
    <row r="721" spans="1:19" ht="16.5" customHeight="1" x14ac:dyDescent="0.25">
      <c r="A721" s="9"/>
      <c r="B721" s="51" t="s">
        <v>77</v>
      </c>
      <c r="C721" s="52"/>
      <c r="D721" s="52"/>
      <c r="E721" s="52"/>
      <c r="F721" s="52"/>
      <c r="G721" s="53"/>
      <c r="H721" s="20"/>
      <c r="I721" s="9">
        <v>3</v>
      </c>
      <c r="J721" s="9"/>
      <c r="K721" s="9"/>
      <c r="L721" s="9"/>
      <c r="M721" s="9">
        <f t="shared" si="96"/>
        <v>19.799999999999997</v>
      </c>
      <c r="N721" s="9">
        <f t="shared" si="97"/>
        <v>7.5</v>
      </c>
      <c r="O721" s="9">
        <v>6.6</v>
      </c>
      <c r="P721" s="9">
        <v>2.5</v>
      </c>
      <c r="Q721" s="9" t="s">
        <v>5</v>
      </c>
      <c r="R721" s="1">
        <v>0</v>
      </c>
      <c r="S721" s="26"/>
    </row>
    <row r="722" spans="1:19" ht="16.5" customHeight="1" x14ac:dyDescent="0.25">
      <c r="A722" s="9"/>
      <c r="B722" s="51" t="s">
        <v>76</v>
      </c>
      <c r="C722" s="52"/>
      <c r="D722" s="52"/>
      <c r="E722" s="52"/>
      <c r="F722" s="52"/>
      <c r="G722" s="53"/>
      <c r="H722" s="20"/>
      <c r="I722" s="9">
        <v>4</v>
      </c>
      <c r="J722" s="9"/>
      <c r="K722" s="9"/>
      <c r="L722" s="9"/>
      <c r="M722" s="9">
        <f t="shared" si="96"/>
        <v>19.2</v>
      </c>
      <c r="N722" s="9">
        <f t="shared" si="97"/>
        <v>4</v>
      </c>
      <c r="O722" s="9">
        <v>4.8</v>
      </c>
      <c r="P722" s="9">
        <v>1</v>
      </c>
      <c r="Q722" s="9" t="s">
        <v>8</v>
      </c>
      <c r="R722" s="1">
        <v>0</v>
      </c>
      <c r="S722" s="26"/>
    </row>
    <row r="723" spans="1:19" ht="16.5" customHeight="1" x14ac:dyDescent="0.25">
      <c r="A723" s="9"/>
      <c r="B723" s="51" t="s">
        <v>78</v>
      </c>
      <c r="C723" s="52"/>
      <c r="D723" s="52"/>
      <c r="E723" s="52"/>
      <c r="F723" s="52"/>
      <c r="G723" s="53"/>
      <c r="H723" s="20"/>
      <c r="I723" s="9">
        <v>4</v>
      </c>
      <c r="J723" s="9"/>
      <c r="K723" s="9"/>
      <c r="L723" s="9"/>
      <c r="M723" s="9">
        <f t="shared" si="96"/>
        <v>12</v>
      </c>
      <c r="N723" s="9">
        <f t="shared" si="97"/>
        <v>0</v>
      </c>
      <c r="O723" s="9">
        <v>3</v>
      </c>
      <c r="P723" s="9">
        <v>0</v>
      </c>
      <c r="Q723" s="9" t="s">
        <v>7</v>
      </c>
      <c r="R723" s="1">
        <v>0</v>
      </c>
      <c r="S723" s="26"/>
    </row>
    <row r="724" spans="1:19" ht="16.5" hidden="1" customHeight="1" x14ac:dyDescent="0.25">
      <c r="A724" s="21"/>
      <c r="H724" s="21"/>
      <c r="I724" s="21"/>
      <c r="J724" s="21"/>
      <c r="K724" s="21"/>
      <c r="L724" s="21"/>
      <c r="M724" s="9">
        <f t="shared" si="96"/>
        <v>0</v>
      </c>
      <c r="N724" s="9">
        <f t="shared" si="97"/>
        <v>0</v>
      </c>
      <c r="O724" s="21"/>
      <c r="P724" s="21"/>
      <c r="Q724" s="21"/>
      <c r="S724" s="25"/>
    </row>
    <row r="725" spans="1:19" ht="15" customHeight="1" x14ac:dyDescent="0.25">
      <c r="A725" s="36" t="s">
        <v>0</v>
      </c>
      <c r="B725" s="29" t="s">
        <v>1</v>
      </c>
      <c r="C725" s="30"/>
      <c r="D725" s="30"/>
      <c r="E725" s="30"/>
      <c r="F725" s="30"/>
      <c r="G725" s="31"/>
      <c r="H725" s="36" t="s">
        <v>32</v>
      </c>
      <c r="I725" s="36" t="s">
        <v>39</v>
      </c>
      <c r="J725" s="55" t="s">
        <v>2</v>
      </c>
      <c r="K725" s="56"/>
      <c r="L725" s="56"/>
      <c r="M725" s="56"/>
      <c r="N725" s="56"/>
      <c r="O725" s="56"/>
      <c r="P725" s="56"/>
      <c r="Q725" s="57"/>
      <c r="S725" s="36" t="s">
        <v>38</v>
      </c>
    </row>
    <row r="726" spans="1:19" ht="24" customHeight="1" x14ac:dyDescent="0.25">
      <c r="A726" s="37"/>
      <c r="B726" s="32"/>
      <c r="C726" s="33"/>
      <c r="D726" s="33"/>
      <c r="E726" s="33"/>
      <c r="F726" s="33"/>
      <c r="G726" s="34"/>
      <c r="H726" s="37"/>
      <c r="I726" s="37"/>
      <c r="J726" s="7" t="s">
        <v>28</v>
      </c>
      <c r="K726" s="7" t="s">
        <v>29</v>
      </c>
      <c r="L726" s="7" t="s">
        <v>30</v>
      </c>
      <c r="M726" s="7"/>
      <c r="N726" s="7"/>
      <c r="O726" s="6" t="s">
        <v>35</v>
      </c>
      <c r="P726" s="6" t="s">
        <v>36</v>
      </c>
      <c r="Q726" s="6" t="s">
        <v>37</v>
      </c>
      <c r="S726" s="37"/>
    </row>
    <row r="727" spans="1:19" ht="16.5" customHeight="1" x14ac:dyDescent="0.25">
      <c r="A727" s="9"/>
      <c r="B727" s="39" t="s">
        <v>42</v>
      </c>
      <c r="C727" s="40"/>
      <c r="D727" s="40"/>
      <c r="E727" s="40"/>
      <c r="F727" s="40"/>
      <c r="G727" s="41"/>
      <c r="H727" s="23"/>
      <c r="I727" s="24">
        <f>SUM(I716:I724)</f>
        <v>23</v>
      </c>
      <c r="J727" s="9"/>
      <c r="K727" s="9"/>
      <c r="L727" s="9"/>
      <c r="M727" s="9">
        <f>I727*O727</f>
        <v>122.59</v>
      </c>
      <c r="N727" s="9">
        <f>I727*P727</f>
        <v>35.42</v>
      </c>
      <c r="O727" s="24">
        <f>ROUND(SUM(M716:M724)/I727,2)</f>
        <v>5.33</v>
      </c>
      <c r="P727" s="24">
        <f>ROUND(SUM(N716:N724)/I727,2)</f>
        <v>1.54</v>
      </c>
      <c r="Q727" s="9"/>
      <c r="S727" s="25"/>
    </row>
    <row r="728" spans="1:19" ht="20.25" customHeight="1" x14ac:dyDescent="0.25">
      <c r="A728" s="27" t="s">
        <v>158</v>
      </c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</row>
    <row r="729" spans="1:19" ht="16.5" customHeight="1" x14ac:dyDescent="0.25">
      <c r="A729" s="9"/>
      <c r="B729" s="51" t="s">
        <v>78</v>
      </c>
      <c r="C729" s="52"/>
      <c r="D729" s="52"/>
      <c r="E729" s="52"/>
      <c r="F729" s="52"/>
      <c r="G729" s="53"/>
      <c r="H729" s="20"/>
      <c r="I729" s="9">
        <v>4</v>
      </c>
      <c r="J729" s="9"/>
      <c r="K729" s="9"/>
      <c r="L729" s="9"/>
      <c r="M729" s="9">
        <f>I729*O729</f>
        <v>27.6</v>
      </c>
      <c r="N729" s="9">
        <f>I729*P729</f>
        <v>10</v>
      </c>
      <c r="O729" s="9">
        <v>6.9</v>
      </c>
      <c r="P729" s="9">
        <v>2.5</v>
      </c>
      <c r="Q729" s="9" t="s">
        <v>5</v>
      </c>
      <c r="R729" s="1">
        <v>6</v>
      </c>
      <c r="S729" s="26" t="s">
        <v>133</v>
      </c>
    </row>
    <row r="730" spans="1:19" ht="16.5" hidden="1" customHeight="1" x14ac:dyDescent="0.25">
      <c r="A730" s="21"/>
      <c r="H730" s="21"/>
      <c r="I730" s="21"/>
      <c r="J730" s="21"/>
      <c r="K730" s="21"/>
      <c r="L730" s="21"/>
      <c r="M730" s="9">
        <f>I730*O730</f>
        <v>0</v>
      </c>
      <c r="N730" s="9">
        <f>I730*P730</f>
        <v>0</v>
      </c>
      <c r="O730" s="21"/>
      <c r="P730" s="21"/>
      <c r="Q730" s="21"/>
      <c r="S730" s="25"/>
    </row>
    <row r="731" spans="1:19" ht="16.5" customHeight="1" x14ac:dyDescent="0.25">
      <c r="A731" s="9"/>
      <c r="B731" s="39" t="s">
        <v>42</v>
      </c>
      <c r="C731" s="40"/>
      <c r="D731" s="40"/>
      <c r="E731" s="40"/>
      <c r="F731" s="40"/>
      <c r="G731" s="41"/>
      <c r="H731" s="23"/>
      <c r="I731" s="24">
        <f>SUM(I729:I730)</f>
        <v>4</v>
      </c>
      <c r="J731" s="9"/>
      <c r="K731" s="9"/>
      <c r="L731" s="9"/>
      <c r="M731" s="9">
        <f>I731*O731</f>
        <v>27.6</v>
      </c>
      <c r="N731" s="9">
        <f>I731*P731</f>
        <v>10</v>
      </c>
      <c r="O731" s="24">
        <f>ROUND(SUM(M729:M730)/I731,2)</f>
        <v>6.9</v>
      </c>
      <c r="P731" s="24">
        <f>ROUND(SUM(N729:N730)/I731,2)</f>
        <v>2.5</v>
      </c>
      <c r="Q731" s="9"/>
      <c r="S731" s="25"/>
    </row>
    <row r="732" spans="1:19" ht="20.25" customHeight="1" x14ac:dyDescent="0.25">
      <c r="A732" s="27" t="s">
        <v>79</v>
      </c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</row>
    <row r="733" spans="1:19" ht="16.5" customHeight="1" x14ac:dyDescent="0.25">
      <c r="A733" s="9"/>
      <c r="B733" s="51" t="s">
        <v>80</v>
      </c>
      <c r="C733" s="52"/>
      <c r="D733" s="52"/>
      <c r="E733" s="52"/>
      <c r="F733" s="52"/>
      <c r="G733" s="53"/>
      <c r="H733" s="20"/>
      <c r="I733" s="9">
        <v>3</v>
      </c>
      <c r="J733" s="9"/>
      <c r="K733" s="9"/>
      <c r="L733" s="9"/>
      <c r="M733" s="9">
        <f t="shared" ref="M733:M744" si="98">I733*O733</f>
        <v>17.399999999999999</v>
      </c>
      <c r="N733" s="9">
        <f t="shared" ref="N733:N744" si="99">I733*P733</f>
        <v>6</v>
      </c>
      <c r="O733" s="9">
        <v>5.8</v>
      </c>
      <c r="P733" s="9">
        <v>2</v>
      </c>
      <c r="Q733" s="9" t="s">
        <v>3</v>
      </c>
      <c r="R733" s="1">
        <v>0</v>
      </c>
      <c r="S733" s="26"/>
    </row>
    <row r="734" spans="1:19" ht="16.5" customHeight="1" x14ac:dyDescent="0.25">
      <c r="A734" s="9"/>
      <c r="B734" s="51" t="s">
        <v>81</v>
      </c>
      <c r="C734" s="52"/>
      <c r="D734" s="52"/>
      <c r="E734" s="52"/>
      <c r="F734" s="52"/>
      <c r="G734" s="53"/>
      <c r="H734" s="20"/>
      <c r="I734" s="9">
        <v>1</v>
      </c>
      <c r="J734" s="9"/>
      <c r="K734" s="9"/>
      <c r="L734" s="9"/>
      <c r="M734" s="9">
        <f t="shared" si="98"/>
        <v>7.5</v>
      </c>
      <c r="N734" s="9">
        <f t="shared" si="99"/>
        <v>3</v>
      </c>
      <c r="O734" s="9">
        <v>7.5</v>
      </c>
      <c r="P734" s="9">
        <v>3</v>
      </c>
      <c r="Q734" s="9" t="s">
        <v>6</v>
      </c>
      <c r="R734" s="1">
        <v>0</v>
      </c>
      <c r="S734" s="26"/>
    </row>
    <row r="735" spans="1:19" ht="16.5" customHeight="1" x14ac:dyDescent="0.25">
      <c r="A735" s="9"/>
      <c r="B735" s="51" t="s">
        <v>82</v>
      </c>
      <c r="C735" s="52"/>
      <c r="D735" s="52"/>
      <c r="E735" s="52"/>
      <c r="F735" s="52"/>
      <c r="G735" s="53"/>
      <c r="H735" s="20"/>
      <c r="I735" s="9">
        <v>3</v>
      </c>
      <c r="J735" s="9"/>
      <c r="K735" s="9"/>
      <c r="L735" s="9"/>
      <c r="M735" s="9">
        <f t="shared" si="98"/>
        <v>19.5</v>
      </c>
      <c r="N735" s="9">
        <f t="shared" si="99"/>
        <v>7.5</v>
      </c>
      <c r="O735" s="9">
        <v>6.5</v>
      </c>
      <c r="P735" s="9">
        <v>2.5</v>
      </c>
      <c r="Q735" s="9" t="s">
        <v>5</v>
      </c>
      <c r="R735" s="1">
        <v>0</v>
      </c>
      <c r="S735" s="26"/>
    </row>
    <row r="736" spans="1:19" ht="16.5" customHeight="1" x14ac:dyDescent="0.25">
      <c r="A736" s="9"/>
      <c r="B736" s="51" t="s">
        <v>83</v>
      </c>
      <c r="C736" s="52"/>
      <c r="D736" s="52"/>
      <c r="E736" s="52"/>
      <c r="F736" s="52"/>
      <c r="G736" s="53"/>
      <c r="H736" s="20"/>
      <c r="I736" s="9">
        <v>2</v>
      </c>
      <c r="J736" s="9"/>
      <c r="K736" s="9"/>
      <c r="L736" s="9"/>
      <c r="M736" s="9">
        <f t="shared" si="98"/>
        <v>14.2</v>
      </c>
      <c r="N736" s="9">
        <f t="shared" si="99"/>
        <v>6</v>
      </c>
      <c r="O736" s="9">
        <v>7.1</v>
      </c>
      <c r="P736" s="9">
        <v>3</v>
      </c>
      <c r="Q736" s="9" t="s">
        <v>6</v>
      </c>
      <c r="R736" s="1">
        <v>0</v>
      </c>
      <c r="S736" s="26"/>
    </row>
    <row r="737" spans="1:19" ht="16.5" customHeight="1" x14ac:dyDescent="0.25">
      <c r="A737" s="9"/>
      <c r="B737" s="51" t="s">
        <v>84</v>
      </c>
      <c r="C737" s="52"/>
      <c r="D737" s="52"/>
      <c r="E737" s="52"/>
      <c r="F737" s="52"/>
      <c r="G737" s="53"/>
      <c r="H737" s="20"/>
      <c r="I737" s="9">
        <v>2</v>
      </c>
      <c r="J737" s="9"/>
      <c r="K737" s="9"/>
      <c r="L737" s="9"/>
      <c r="M737" s="9">
        <f t="shared" si="98"/>
        <v>13</v>
      </c>
      <c r="N737" s="9">
        <f t="shared" si="99"/>
        <v>5</v>
      </c>
      <c r="O737" s="9">
        <v>6.5</v>
      </c>
      <c r="P737" s="9">
        <v>2.5</v>
      </c>
      <c r="Q737" s="9" t="s">
        <v>5</v>
      </c>
      <c r="R737" s="1">
        <v>0</v>
      </c>
      <c r="S737" s="26"/>
    </row>
    <row r="738" spans="1:19" ht="16.5" customHeight="1" x14ac:dyDescent="0.25">
      <c r="A738" s="9"/>
      <c r="B738" s="51" t="s">
        <v>85</v>
      </c>
      <c r="C738" s="52"/>
      <c r="D738" s="52"/>
      <c r="E738" s="52"/>
      <c r="F738" s="52"/>
      <c r="G738" s="53"/>
      <c r="H738" s="20"/>
      <c r="I738" s="9">
        <v>3</v>
      </c>
      <c r="J738" s="9"/>
      <c r="K738" s="9"/>
      <c r="L738" s="9"/>
      <c r="M738" s="9">
        <f t="shared" si="98"/>
        <v>22.799999999999997</v>
      </c>
      <c r="N738" s="9">
        <f t="shared" si="99"/>
        <v>9</v>
      </c>
      <c r="O738" s="9">
        <v>7.6</v>
      </c>
      <c r="P738" s="9">
        <v>3</v>
      </c>
      <c r="Q738" s="9" t="s">
        <v>6</v>
      </c>
      <c r="R738" s="1">
        <v>0</v>
      </c>
      <c r="S738" s="26"/>
    </row>
    <row r="739" spans="1:19" ht="16.5" customHeight="1" x14ac:dyDescent="0.25">
      <c r="A739" s="9"/>
      <c r="B739" s="51" t="s">
        <v>86</v>
      </c>
      <c r="C739" s="52"/>
      <c r="D739" s="52"/>
      <c r="E739" s="52"/>
      <c r="F739" s="52"/>
      <c r="G739" s="53"/>
      <c r="H739" s="20"/>
      <c r="I739" s="9">
        <v>4</v>
      </c>
      <c r="J739" s="9"/>
      <c r="K739" s="9"/>
      <c r="L739" s="9"/>
      <c r="M739" s="9">
        <f t="shared" si="98"/>
        <v>24.8</v>
      </c>
      <c r="N739" s="9">
        <f t="shared" si="99"/>
        <v>8</v>
      </c>
      <c r="O739" s="9">
        <v>6.2</v>
      </c>
      <c r="P739" s="9">
        <v>2</v>
      </c>
      <c r="Q739" s="9" t="s">
        <v>3</v>
      </c>
      <c r="R739" s="1">
        <v>0</v>
      </c>
      <c r="S739" s="26"/>
    </row>
    <row r="740" spans="1:19" ht="16.5" customHeight="1" x14ac:dyDescent="0.25">
      <c r="A740" s="9"/>
      <c r="B740" s="51" t="s">
        <v>87</v>
      </c>
      <c r="C740" s="52"/>
      <c r="D740" s="52"/>
      <c r="E740" s="52"/>
      <c r="F740" s="52"/>
      <c r="G740" s="53"/>
      <c r="H740" s="20"/>
      <c r="I740" s="9">
        <v>3</v>
      </c>
      <c r="J740" s="9"/>
      <c r="K740" s="9"/>
      <c r="L740" s="9"/>
      <c r="M740" s="9">
        <f t="shared" si="98"/>
        <v>17.700000000000003</v>
      </c>
      <c r="N740" s="9">
        <f t="shared" si="99"/>
        <v>6</v>
      </c>
      <c r="O740" s="9">
        <v>5.9</v>
      </c>
      <c r="P740" s="9">
        <v>2</v>
      </c>
      <c r="Q740" s="9" t="s">
        <v>3</v>
      </c>
      <c r="R740" s="1">
        <v>0</v>
      </c>
      <c r="S740" s="26"/>
    </row>
    <row r="741" spans="1:19" ht="16.5" customHeight="1" x14ac:dyDescent="0.25">
      <c r="A741" s="9"/>
      <c r="B741" s="51" t="s">
        <v>88</v>
      </c>
      <c r="C741" s="52"/>
      <c r="D741" s="52"/>
      <c r="E741" s="52"/>
      <c r="F741" s="52"/>
      <c r="G741" s="53"/>
      <c r="H741" s="20"/>
      <c r="I741" s="9">
        <v>2</v>
      </c>
      <c r="J741" s="9"/>
      <c r="K741" s="9"/>
      <c r="L741" s="9"/>
      <c r="M741" s="9">
        <f t="shared" si="98"/>
        <v>15.2</v>
      </c>
      <c r="N741" s="9">
        <f t="shared" si="99"/>
        <v>6</v>
      </c>
      <c r="O741" s="9">
        <v>7.6</v>
      </c>
      <c r="P741" s="9">
        <v>3</v>
      </c>
      <c r="Q741" s="9" t="s">
        <v>6</v>
      </c>
      <c r="R741" s="1">
        <v>0</v>
      </c>
      <c r="S741" s="26"/>
    </row>
    <row r="742" spans="1:19" ht="16.5" customHeight="1" x14ac:dyDescent="0.25">
      <c r="A742" s="9"/>
      <c r="B742" s="51" t="s">
        <v>89</v>
      </c>
      <c r="C742" s="52"/>
      <c r="D742" s="52"/>
      <c r="E742" s="52"/>
      <c r="F742" s="52"/>
      <c r="G742" s="53"/>
      <c r="H742" s="20"/>
      <c r="I742" s="9">
        <v>2</v>
      </c>
      <c r="J742" s="9"/>
      <c r="K742" s="9"/>
      <c r="L742" s="9"/>
      <c r="M742" s="9">
        <f t="shared" si="98"/>
        <v>16.600000000000001</v>
      </c>
      <c r="N742" s="9">
        <f t="shared" si="99"/>
        <v>7</v>
      </c>
      <c r="O742" s="9">
        <v>8.3000000000000007</v>
      </c>
      <c r="P742" s="9">
        <v>3.5</v>
      </c>
      <c r="Q742" s="9" t="s">
        <v>9</v>
      </c>
      <c r="R742" s="1">
        <v>0</v>
      </c>
      <c r="S742" s="26"/>
    </row>
    <row r="743" spans="1:19" ht="16.5" hidden="1" customHeight="1" x14ac:dyDescent="0.25">
      <c r="A743" s="21"/>
      <c r="H743" s="21"/>
      <c r="I743" s="21"/>
      <c r="J743" s="21"/>
      <c r="K743" s="21"/>
      <c r="L743" s="21"/>
      <c r="M743" s="9">
        <f t="shared" si="98"/>
        <v>0</v>
      </c>
      <c r="N743" s="9">
        <f t="shared" si="99"/>
        <v>0</v>
      </c>
      <c r="O743" s="21"/>
      <c r="P743" s="21"/>
      <c r="Q743" s="21"/>
      <c r="S743" s="25"/>
    </row>
    <row r="744" spans="1:19" ht="16.5" customHeight="1" x14ac:dyDescent="0.25">
      <c r="A744" s="9"/>
      <c r="B744" s="39" t="s">
        <v>42</v>
      </c>
      <c r="C744" s="40"/>
      <c r="D744" s="40"/>
      <c r="E744" s="40"/>
      <c r="F744" s="40"/>
      <c r="G744" s="41"/>
      <c r="H744" s="23"/>
      <c r="I744" s="24">
        <f>SUM(I733:I743)</f>
        <v>25</v>
      </c>
      <c r="J744" s="9"/>
      <c r="K744" s="9"/>
      <c r="L744" s="9"/>
      <c r="M744" s="9">
        <f t="shared" si="98"/>
        <v>168.75</v>
      </c>
      <c r="N744" s="9">
        <f t="shared" si="99"/>
        <v>63.5</v>
      </c>
      <c r="O744" s="24">
        <f>ROUND(SUM(M733:M743)/I744,2)</f>
        <v>6.75</v>
      </c>
      <c r="P744" s="24">
        <f>ROUND(SUM(N733:N743)/I744,2)</f>
        <v>2.54</v>
      </c>
      <c r="Q744" s="9"/>
      <c r="S744" s="25"/>
    </row>
    <row r="745" spans="1:19" ht="20.25" customHeight="1" x14ac:dyDescent="0.25">
      <c r="A745" s="27" t="s">
        <v>90</v>
      </c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</row>
    <row r="746" spans="1:19" ht="16.5" customHeight="1" x14ac:dyDescent="0.25">
      <c r="A746" s="9"/>
      <c r="B746" s="51" t="s">
        <v>91</v>
      </c>
      <c r="C746" s="52"/>
      <c r="D746" s="52"/>
      <c r="E746" s="52"/>
      <c r="F746" s="52"/>
      <c r="G746" s="53"/>
      <c r="H746" s="20"/>
      <c r="I746" s="9">
        <v>1</v>
      </c>
      <c r="J746" s="9"/>
      <c r="K746" s="9"/>
      <c r="L746" s="9"/>
      <c r="M746" s="9">
        <f t="shared" ref="M746:M758" si="100">I746*O746</f>
        <v>6.3</v>
      </c>
      <c r="N746" s="9">
        <f t="shared" ref="N746:N758" si="101">I746*P746</f>
        <v>2</v>
      </c>
      <c r="O746" s="9">
        <v>6.3</v>
      </c>
      <c r="P746" s="9">
        <v>2</v>
      </c>
      <c r="Q746" s="9" t="s">
        <v>3</v>
      </c>
      <c r="R746" s="1">
        <v>0</v>
      </c>
      <c r="S746" s="26"/>
    </row>
    <row r="747" spans="1:19" ht="16.5" customHeight="1" x14ac:dyDescent="0.25">
      <c r="A747" s="9"/>
      <c r="B747" s="51" t="s">
        <v>98</v>
      </c>
      <c r="C747" s="52"/>
      <c r="D747" s="52"/>
      <c r="E747" s="52"/>
      <c r="F747" s="52"/>
      <c r="G747" s="53"/>
      <c r="H747" s="20"/>
      <c r="I747" s="9">
        <v>3</v>
      </c>
      <c r="J747" s="9"/>
      <c r="K747" s="9"/>
      <c r="L747" s="9"/>
      <c r="M747" s="9">
        <f t="shared" si="100"/>
        <v>17.100000000000001</v>
      </c>
      <c r="N747" s="9">
        <f t="shared" si="101"/>
        <v>6</v>
      </c>
      <c r="O747" s="9">
        <v>5.7</v>
      </c>
      <c r="P747" s="9">
        <v>2</v>
      </c>
      <c r="Q747" s="9" t="s">
        <v>3</v>
      </c>
      <c r="R747" s="1">
        <v>0</v>
      </c>
      <c r="S747" s="26"/>
    </row>
    <row r="748" spans="1:19" ht="16.5" customHeight="1" x14ac:dyDescent="0.25">
      <c r="A748" s="9"/>
      <c r="B748" s="51" t="s">
        <v>93</v>
      </c>
      <c r="C748" s="52"/>
      <c r="D748" s="52"/>
      <c r="E748" s="52"/>
      <c r="F748" s="52"/>
      <c r="G748" s="53"/>
      <c r="H748" s="20"/>
      <c r="I748" s="9">
        <v>3</v>
      </c>
      <c r="J748" s="9"/>
      <c r="K748" s="9"/>
      <c r="L748" s="9"/>
      <c r="M748" s="9">
        <f t="shared" si="100"/>
        <v>16.200000000000003</v>
      </c>
      <c r="N748" s="9">
        <f t="shared" si="101"/>
        <v>4.5</v>
      </c>
      <c r="O748" s="9">
        <v>5.4</v>
      </c>
      <c r="P748" s="9">
        <v>1.5</v>
      </c>
      <c r="Q748" s="9" t="s">
        <v>4</v>
      </c>
      <c r="R748" s="1">
        <v>0</v>
      </c>
      <c r="S748" s="26"/>
    </row>
    <row r="749" spans="1:19" ht="16.5" customHeight="1" x14ac:dyDescent="0.25">
      <c r="A749" s="9"/>
      <c r="B749" s="51" t="s">
        <v>94</v>
      </c>
      <c r="C749" s="52"/>
      <c r="D749" s="52"/>
      <c r="E749" s="52"/>
      <c r="F749" s="52"/>
      <c r="G749" s="53"/>
      <c r="H749" s="20"/>
      <c r="I749" s="9">
        <v>1</v>
      </c>
      <c r="J749" s="9"/>
      <c r="K749" s="9"/>
      <c r="L749" s="9"/>
      <c r="M749" s="9">
        <f t="shared" si="100"/>
        <v>8.1</v>
      </c>
      <c r="N749" s="9">
        <f t="shared" si="101"/>
        <v>3.5</v>
      </c>
      <c r="O749" s="9">
        <v>8.1</v>
      </c>
      <c r="P749" s="9">
        <v>3.5</v>
      </c>
      <c r="Q749" s="9" t="s">
        <v>9</v>
      </c>
      <c r="R749" s="1">
        <v>0</v>
      </c>
      <c r="S749" s="26"/>
    </row>
    <row r="750" spans="1:19" ht="16.5" customHeight="1" x14ac:dyDescent="0.25">
      <c r="A750" s="9"/>
      <c r="B750" s="51" t="s">
        <v>95</v>
      </c>
      <c r="C750" s="52"/>
      <c r="D750" s="52"/>
      <c r="E750" s="52"/>
      <c r="F750" s="52"/>
      <c r="G750" s="53"/>
      <c r="H750" s="20"/>
      <c r="I750" s="9">
        <v>1</v>
      </c>
      <c r="J750" s="9"/>
      <c r="K750" s="9"/>
      <c r="L750" s="9"/>
      <c r="M750" s="9">
        <f t="shared" si="100"/>
        <v>7.7</v>
      </c>
      <c r="N750" s="9">
        <f t="shared" si="101"/>
        <v>3</v>
      </c>
      <c r="O750" s="9">
        <v>7.7</v>
      </c>
      <c r="P750" s="9">
        <v>3</v>
      </c>
      <c r="Q750" s="9" t="s">
        <v>6</v>
      </c>
      <c r="R750" s="1">
        <v>0</v>
      </c>
      <c r="S750" s="26"/>
    </row>
    <row r="751" spans="1:19" ht="16.5" customHeight="1" x14ac:dyDescent="0.25">
      <c r="A751" s="9"/>
      <c r="B751" s="51" t="s">
        <v>96</v>
      </c>
      <c r="C751" s="52"/>
      <c r="D751" s="52"/>
      <c r="E751" s="52"/>
      <c r="F751" s="52"/>
      <c r="G751" s="53"/>
      <c r="H751" s="20"/>
      <c r="I751" s="9">
        <v>1</v>
      </c>
      <c r="J751" s="9"/>
      <c r="K751" s="9"/>
      <c r="L751" s="9"/>
      <c r="M751" s="9">
        <f t="shared" si="100"/>
        <v>7.6</v>
      </c>
      <c r="N751" s="9">
        <f t="shared" si="101"/>
        <v>3</v>
      </c>
      <c r="O751" s="9">
        <v>7.6</v>
      </c>
      <c r="P751" s="9">
        <v>3</v>
      </c>
      <c r="Q751" s="9" t="s">
        <v>6</v>
      </c>
      <c r="R751" s="1">
        <v>0</v>
      </c>
      <c r="S751" s="26"/>
    </row>
    <row r="752" spans="1:19" ht="16.5" customHeight="1" x14ac:dyDescent="0.25">
      <c r="A752" s="9"/>
      <c r="B752" s="51" t="s">
        <v>99</v>
      </c>
      <c r="C752" s="52"/>
      <c r="D752" s="52"/>
      <c r="E752" s="52"/>
      <c r="F752" s="52"/>
      <c r="G752" s="53"/>
      <c r="H752" s="20"/>
      <c r="I752" s="9">
        <v>2</v>
      </c>
      <c r="J752" s="9"/>
      <c r="K752" s="9"/>
      <c r="L752" s="9"/>
      <c r="M752" s="9">
        <f t="shared" si="100"/>
        <v>13.2</v>
      </c>
      <c r="N752" s="9">
        <f t="shared" si="101"/>
        <v>5</v>
      </c>
      <c r="O752" s="9">
        <v>6.6</v>
      </c>
      <c r="P752" s="9">
        <v>2.5</v>
      </c>
      <c r="Q752" s="9" t="s">
        <v>5</v>
      </c>
      <c r="R752" s="1">
        <v>0</v>
      </c>
      <c r="S752" s="26"/>
    </row>
    <row r="753" spans="1:19" ht="16.5" customHeight="1" x14ac:dyDescent="0.25">
      <c r="A753" s="9"/>
      <c r="B753" s="51" t="s">
        <v>92</v>
      </c>
      <c r="C753" s="52"/>
      <c r="D753" s="52"/>
      <c r="E753" s="52"/>
      <c r="F753" s="52"/>
      <c r="G753" s="53"/>
      <c r="H753" s="20"/>
      <c r="I753" s="9">
        <v>2</v>
      </c>
      <c r="J753" s="9"/>
      <c r="K753" s="9"/>
      <c r="L753" s="9"/>
      <c r="M753" s="9">
        <f t="shared" si="100"/>
        <v>15</v>
      </c>
      <c r="N753" s="9">
        <f t="shared" si="101"/>
        <v>6</v>
      </c>
      <c r="O753" s="9">
        <v>7.5</v>
      </c>
      <c r="P753" s="9">
        <v>3</v>
      </c>
      <c r="Q753" s="9" t="s">
        <v>6</v>
      </c>
      <c r="R753" s="1">
        <v>0</v>
      </c>
      <c r="S753" s="26"/>
    </row>
    <row r="754" spans="1:19" ht="16.5" customHeight="1" x14ac:dyDescent="0.25">
      <c r="A754" s="9"/>
      <c r="B754" s="51" t="s">
        <v>97</v>
      </c>
      <c r="C754" s="52"/>
      <c r="D754" s="52"/>
      <c r="E754" s="52"/>
      <c r="F754" s="52"/>
      <c r="G754" s="53"/>
      <c r="H754" s="20"/>
      <c r="I754" s="9">
        <v>2</v>
      </c>
      <c r="J754" s="9"/>
      <c r="K754" s="9"/>
      <c r="L754" s="9"/>
      <c r="M754" s="9">
        <f t="shared" si="100"/>
        <v>13.8</v>
      </c>
      <c r="N754" s="9">
        <f t="shared" si="101"/>
        <v>5</v>
      </c>
      <c r="O754" s="9">
        <v>6.9</v>
      </c>
      <c r="P754" s="9">
        <v>2.5</v>
      </c>
      <c r="Q754" s="9" t="s">
        <v>5</v>
      </c>
      <c r="R754" s="1">
        <v>0</v>
      </c>
      <c r="S754" s="26"/>
    </row>
    <row r="755" spans="1:19" ht="16.5" customHeight="1" x14ac:dyDescent="0.25">
      <c r="A755" s="9"/>
      <c r="B755" s="51" t="s">
        <v>100</v>
      </c>
      <c r="C755" s="52"/>
      <c r="D755" s="52"/>
      <c r="E755" s="52"/>
      <c r="F755" s="52"/>
      <c r="G755" s="53"/>
      <c r="H755" s="20"/>
      <c r="I755" s="9">
        <v>4</v>
      </c>
      <c r="J755" s="9"/>
      <c r="K755" s="9"/>
      <c r="L755" s="9"/>
      <c r="M755" s="9">
        <f t="shared" si="100"/>
        <v>10</v>
      </c>
      <c r="N755" s="9">
        <f t="shared" si="101"/>
        <v>0</v>
      </c>
      <c r="O755" s="9">
        <v>2.5</v>
      </c>
      <c r="P755" s="9">
        <v>0</v>
      </c>
      <c r="Q755" s="9" t="s">
        <v>7</v>
      </c>
      <c r="R755" s="1">
        <v>0</v>
      </c>
      <c r="S755" s="26"/>
    </row>
    <row r="756" spans="1:19" ht="16.5" customHeight="1" x14ac:dyDescent="0.25">
      <c r="A756" s="9"/>
      <c r="B756" s="51" t="s">
        <v>101</v>
      </c>
      <c r="C756" s="52"/>
      <c r="D756" s="52"/>
      <c r="E756" s="52"/>
      <c r="F756" s="52"/>
      <c r="G756" s="53"/>
      <c r="H756" s="20"/>
      <c r="I756" s="9">
        <v>2</v>
      </c>
      <c r="J756" s="9"/>
      <c r="K756" s="9"/>
      <c r="L756" s="9"/>
      <c r="M756" s="9">
        <f t="shared" si="100"/>
        <v>12.6</v>
      </c>
      <c r="N756" s="9">
        <f t="shared" si="101"/>
        <v>4</v>
      </c>
      <c r="O756" s="9">
        <v>6.3</v>
      </c>
      <c r="P756" s="9">
        <v>2</v>
      </c>
      <c r="Q756" s="9" t="s">
        <v>3</v>
      </c>
      <c r="R756" s="1">
        <v>0</v>
      </c>
      <c r="S756" s="26"/>
    </row>
    <row r="757" spans="1:19" ht="16.5" hidden="1" customHeight="1" x14ac:dyDescent="0.25">
      <c r="A757" s="21"/>
      <c r="H757" s="21"/>
      <c r="I757" s="21"/>
      <c r="J757" s="21"/>
      <c r="K757" s="21"/>
      <c r="L757" s="21"/>
      <c r="M757" s="9">
        <f t="shared" si="100"/>
        <v>0</v>
      </c>
      <c r="N757" s="9">
        <f t="shared" si="101"/>
        <v>0</v>
      </c>
      <c r="O757" s="21"/>
      <c r="P757" s="21"/>
      <c r="Q757" s="21"/>
      <c r="S757" s="25"/>
    </row>
    <row r="758" spans="1:19" ht="16.5" customHeight="1" x14ac:dyDescent="0.25">
      <c r="A758" s="9"/>
      <c r="B758" s="39" t="s">
        <v>42</v>
      </c>
      <c r="C758" s="40"/>
      <c r="D758" s="40"/>
      <c r="E758" s="40"/>
      <c r="F758" s="40"/>
      <c r="G758" s="41"/>
      <c r="H758" s="23"/>
      <c r="I758" s="24">
        <f>SUM(I746:I757)</f>
        <v>22</v>
      </c>
      <c r="J758" s="9"/>
      <c r="K758" s="9"/>
      <c r="L758" s="9"/>
      <c r="M758" s="9">
        <f t="shared" si="100"/>
        <v>127.6</v>
      </c>
      <c r="N758" s="9">
        <f t="shared" si="101"/>
        <v>42.019999999999996</v>
      </c>
      <c r="O758" s="24">
        <f>ROUND(SUM(M746:M757)/I758,2)</f>
        <v>5.8</v>
      </c>
      <c r="P758" s="24">
        <f>ROUND(SUM(N746:N757)/I758,2)</f>
        <v>1.91</v>
      </c>
      <c r="Q758" s="9"/>
      <c r="S758" s="25"/>
    </row>
    <row r="759" spans="1:19" ht="20.25" customHeight="1" x14ac:dyDescent="0.25">
      <c r="A759" s="27" t="s">
        <v>132</v>
      </c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</row>
    <row r="760" spans="1:19" ht="16.5" customHeight="1" x14ac:dyDescent="0.25">
      <c r="A760" s="9"/>
      <c r="B760" s="51" t="s">
        <v>100</v>
      </c>
      <c r="C760" s="52"/>
      <c r="D760" s="52"/>
      <c r="E760" s="52"/>
      <c r="F760" s="52"/>
      <c r="G760" s="53"/>
      <c r="H760" s="20"/>
      <c r="I760" s="9">
        <v>4</v>
      </c>
      <c r="J760" s="9"/>
      <c r="K760" s="9"/>
      <c r="L760" s="9"/>
      <c r="M760" s="9">
        <f>I760*O760</f>
        <v>26</v>
      </c>
      <c r="N760" s="9">
        <f>I760*P760</f>
        <v>10</v>
      </c>
      <c r="O760" s="9">
        <v>6.5</v>
      </c>
      <c r="P760" s="9">
        <v>2.5</v>
      </c>
      <c r="Q760" s="9" t="s">
        <v>5</v>
      </c>
      <c r="R760" s="1">
        <v>6</v>
      </c>
      <c r="S760" s="26" t="s">
        <v>133</v>
      </c>
    </row>
    <row r="761" spans="1:19" ht="16.5" hidden="1" customHeight="1" x14ac:dyDescent="0.25">
      <c r="A761" s="21"/>
      <c r="H761" s="21"/>
      <c r="I761" s="21"/>
      <c r="J761" s="21"/>
      <c r="K761" s="21"/>
      <c r="L761" s="21"/>
      <c r="M761" s="9">
        <f>I761*O761</f>
        <v>0</v>
      </c>
      <c r="N761" s="9">
        <f>I761*P761</f>
        <v>0</v>
      </c>
      <c r="O761" s="21"/>
      <c r="P761" s="21"/>
      <c r="Q761" s="21"/>
      <c r="S761" s="25"/>
    </row>
    <row r="762" spans="1:19" ht="16.5" customHeight="1" x14ac:dyDescent="0.25">
      <c r="A762" s="9"/>
      <c r="B762" s="39" t="s">
        <v>42</v>
      </c>
      <c r="C762" s="40"/>
      <c r="D762" s="40"/>
      <c r="E762" s="40"/>
      <c r="F762" s="40"/>
      <c r="G762" s="41"/>
      <c r="H762" s="23"/>
      <c r="I762" s="24">
        <f>SUM(I760:I761)</f>
        <v>4</v>
      </c>
      <c r="J762" s="9"/>
      <c r="K762" s="9"/>
      <c r="L762" s="9"/>
      <c r="M762" s="9">
        <f>I762*O762</f>
        <v>26</v>
      </c>
      <c r="N762" s="9">
        <f>I762*P762</f>
        <v>10</v>
      </c>
      <c r="O762" s="24">
        <f>ROUND(SUM(M760:M761)/I762,2)</f>
        <v>6.5</v>
      </c>
      <c r="P762" s="24">
        <f>ROUND(SUM(N760:N761)/I762,2)</f>
        <v>2.5</v>
      </c>
      <c r="Q762" s="9"/>
      <c r="S762" s="25"/>
    </row>
    <row r="763" spans="1:19" ht="20.25" customHeight="1" x14ac:dyDescent="0.25">
      <c r="A763" s="27" t="s">
        <v>102</v>
      </c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</row>
    <row r="764" spans="1:19" ht="16.5" customHeight="1" x14ac:dyDescent="0.25">
      <c r="A764" s="9"/>
      <c r="B764" s="51" t="s">
        <v>103</v>
      </c>
      <c r="C764" s="52"/>
      <c r="D764" s="52"/>
      <c r="E764" s="52"/>
      <c r="F764" s="52"/>
      <c r="G764" s="53"/>
      <c r="H764" s="20"/>
      <c r="I764" s="9">
        <v>1</v>
      </c>
      <c r="J764" s="9"/>
      <c r="K764" s="9"/>
      <c r="L764" s="9"/>
      <c r="M764" s="9">
        <f t="shared" ref="M764:M776" si="102">I764*O764</f>
        <v>7.3</v>
      </c>
      <c r="N764" s="9">
        <f t="shared" ref="N764:N776" si="103">I764*P764</f>
        <v>3</v>
      </c>
      <c r="O764" s="9">
        <v>7.3</v>
      </c>
      <c r="P764" s="9">
        <v>3</v>
      </c>
      <c r="Q764" s="9" t="s">
        <v>6</v>
      </c>
      <c r="R764" s="1">
        <v>0</v>
      </c>
      <c r="S764" s="26"/>
    </row>
    <row r="765" spans="1:19" ht="16.5" customHeight="1" x14ac:dyDescent="0.25">
      <c r="A765" s="9"/>
      <c r="B765" s="51" t="s">
        <v>104</v>
      </c>
      <c r="C765" s="52"/>
      <c r="D765" s="52"/>
      <c r="E765" s="52"/>
      <c r="F765" s="52"/>
      <c r="G765" s="53"/>
      <c r="H765" s="20"/>
      <c r="I765" s="9">
        <v>4</v>
      </c>
      <c r="J765" s="9"/>
      <c r="K765" s="9"/>
      <c r="L765" s="9"/>
      <c r="M765" s="9">
        <f t="shared" si="102"/>
        <v>26</v>
      </c>
      <c r="N765" s="9">
        <f t="shared" si="103"/>
        <v>10</v>
      </c>
      <c r="O765" s="9">
        <v>6.5</v>
      </c>
      <c r="P765" s="9">
        <v>2.5</v>
      </c>
      <c r="Q765" s="9" t="s">
        <v>5</v>
      </c>
      <c r="R765" s="1">
        <v>0</v>
      </c>
      <c r="S765" s="26"/>
    </row>
    <row r="766" spans="1:19" ht="16.5" customHeight="1" x14ac:dyDescent="0.25">
      <c r="A766" s="9"/>
      <c r="B766" s="51" t="s">
        <v>105</v>
      </c>
      <c r="C766" s="52"/>
      <c r="D766" s="52"/>
      <c r="E766" s="52"/>
      <c r="F766" s="52"/>
      <c r="G766" s="53"/>
      <c r="H766" s="20"/>
      <c r="I766" s="9">
        <v>2</v>
      </c>
      <c r="J766" s="9"/>
      <c r="K766" s="9"/>
      <c r="L766" s="9"/>
      <c r="M766" s="9">
        <f t="shared" si="102"/>
        <v>11.6</v>
      </c>
      <c r="N766" s="9">
        <f t="shared" si="103"/>
        <v>4</v>
      </c>
      <c r="O766" s="9">
        <v>5.8</v>
      </c>
      <c r="P766" s="9">
        <v>2</v>
      </c>
      <c r="Q766" s="9" t="s">
        <v>3</v>
      </c>
      <c r="R766" s="1">
        <v>0</v>
      </c>
      <c r="S766" s="26"/>
    </row>
    <row r="767" spans="1:19" ht="16.5" customHeight="1" x14ac:dyDescent="0.25">
      <c r="A767" s="9"/>
      <c r="B767" s="51" t="s">
        <v>106</v>
      </c>
      <c r="C767" s="52"/>
      <c r="D767" s="52"/>
      <c r="E767" s="52"/>
      <c r="F767" s="52"/>
      <c r="G767" s="53"/>
      <c r="H767" s="20"/>
      <c r="I767" s="9">
        <v>3</v>
      </c>
      <c r="J767" s="9"/>
      <c r="K767" s="9"/>
      <c r="L767" s="9"/>
      <c r="M767" s="9">
        <f t="shared" si="102"/>
        <v>21.9</v>
      </c>
      <c r="N767" s="9">
        <f t="shared" si="103"/>
        <v>9</v>
      </c>
      <c r="O767" s="9">
        <v>7.3</v>
      </c>
      <c r="P767" s="9">
        <v>3</v>
      </c>
      <c r="Q767" s="9" t="s">
        <v>6</v>
      </c>
      <c r="R767" s="1">
        <v>0</v>
      </c>
      <c r="S767" s="26"/>
    </row>
    <row r="768" spans="1:19" ht="16.5" customHeight="1" x14ac:dyDescent="0.25">
      <c r="A768" s="9"/>
      <c r="B768" s="51" t="s">
        <v>107</v>
      </c>
      <c r="C768" s="52"/>
      <c r="D768" s="52"/>
      <c r="E768" s="52"/>
      <c r="F768" s="52"/>
      <c r="G768" s="53"/>
      <c r="H768" s="20"/>
      <c r="I768" s="9">
        <v>2</v>
      </c>
      <c r="J768" s="9"/>
      <c r="K768" s="9"/>
      <c r="L768" s="9"/>
      <c r="M768" s="9">
        <f t="shared" si="102"/>
        <v>14.8</v>
      </c>
      <c r="N768" s="9">
        <f t="shared" si="103"/>
        <v>6</v>
      </c>
      <c r="O768" s="9">
        <v>7.4</v>
      </c>
      <c r="P768" s="9">
        <v>3</v>
      </c>
      <c r="Q768" s="9" t="s">
        <v>6</v>
      </c>
      <c r="R768" s="1">
        <v>0</v>
      </c>
      <c r="S768" s="26"/>
    </row>
    <row r="769" spans="1:19" ht="16.5" customHeight="1" x14ac:dyDescent="0.25">
      <c r="A769" s="9"/>
      <c r="B769" s="51" t="s">
        <v>108</v>
      </c>
      <c r="C769" s="52"/>
      <c r="D769" s="52"/>
      <c r="E769" s="52"/>
      <c r="F769" s="52"/>
      <c r="G769" s="53"/>
      <c r="H769" s="20"/>
      <c r="I769" s="9">
        <v>2</v>
      </c>
      <c r="J769" s="9"/>
      <c r="K769" s="9"/>
      <c r="L769" s="9"/>
      <c r="M769" s="9">
        <f t="shared" si="102"/>
        <v>12.4</v>
      </c>
      <c r="N769" s="9">
        <f t="shared" si="103"/>
        <v>4</v>
      </c>
      <c r="O769" s="9">
        <v>6.2</v>
      </c>
      <c r="P769" s="9">
        <v>2</v>
      </c>
      <c r="Q769" s="9" t="s">
        <v>3</v>
      </c>
      <c r="R769" s="1">
        <v>0</v>
      </c>
      <c r="S769" s="26"/>
    </row>
    <row r="770" spans="1:19" ht="16.5" customHeight="1" x14ac:dyDescent="0.25">
      <c r="A770" s="9"/>
      <c r="B770" s="51" t="s">
        <v>109</v>
      </c>
      <c r="C770" s="52"/>
      <c r="D770" s="52"/>
      <c r="E770" s="52"/>
      <c r="F770" s="52"/>
      <c r="G770" s="53"/>
      <c r="H770" s="20"/>
      <c r="I770" s="9">
        <v>3</v>
      </c>
      <c r="J770" s="9"/>
      <c r="K770" s="9"/>
      <c r="L770" s="9"/>
      <c r="M770" s="9">
        <f t="shared" si="102"/>
        <v>22.799999999999997</v>
      </c>
      <c r="N770" s="9">
        <f t="shared" si="103"/>
        <v>9</v>
      </c>
      <c r="O770" s="9">
        <v>7.6</v>
      </c>
      <c r="P770" s="9">
        <v>3</v>
      </c>
      <c r="Q770" s="9" t="s">
        <v>6</v>
      </c>
      <c r="R770" s="1">
        <v>0</v>
      </c>
      <c r="S770" s="26"/>
    </row>
    <row r="771" spans="1:19" ht="16.5" customHeight="1" x14ac:dyDescent="0.25">
      <c r="A771" s="9"/>
      <c r="B771" s="51" t="s">
        <v>110</v>
      </c>
      <c r="C771" s="52"/>
      <c r="D771" s="52"/>
      <c r="E771" s="52"/>
      <c r="F771" s="52"/>
      <c r="G771" s="53"/>
      <c r="H771" s="20"/>
      <c r="I771" s="9">
        <v>2</v>
      </c>
      <c r="J771" s="9"/>
      <c r="K771" s="9"/>
      <c r="L771" s="9"/>
      <c r="M771" s="9">
        <f t="shared" si="102"/>
        <v>11.6</v>
      </c>
      <c r="N771" s="9">
        <f t="shared" si="103"/>
        <v>4</v>
      </c>
      <c r="O771" s="9">
        <v>5.8</v>
      </c>
      <c r="P771" s="9">
        <v>2</v>
      </c>
      <c r="Q771" s="9" t="s">
        <v>3</v>
      </c>
      <c r="R771" s="1">
        <v>0</v>
      </c>
      <c r="S771" s="26"/>
    </row>
    <row r="772" spans="1:19" ht="16.5" customHeight="1" x14ac:dyDescent="0.25">
      <c r="A772" s="9"/>
      <c r="B772" s="51" t="s">
        <v>111</v>
      </c>
      <c r="C772" s="52"/>
      <c r="D772" s="52"/>
      <c r="E772" s="52"/>
      <c r="F772" s="52"/>
      <c r="G772" s="53"/>
      <c r="H772" s="20"/>
      <c r="I772" s="9">
        <v>3</v>
      </c>
      <c r="J772" s="9"/>
      <c r="K772" s="9"/>
      <c r="L772" s="9"/>
      <c r="M772" s="9">
        <f t="shared" si="102"/>
        <v>21.299999999999997</v>
      </c>
      <c r="N772" s="9">
        <f t="shared" si="103"/>
        <v>9</v>
      </c>
      <c r="O772" s="9">
        <v>7.1</v>
      </c>
      <c r="P772" s="9">
        <v>3</v>
      </c>
      <c r="Q772" s="9" t="s">
        <v>6</v>
      </c>
      <c r="R772" s="1">
        <v>0</v>
      </c>
      <c r="S772" s="26"/>
    </row>
    <row r="773" spans="1:19" ht="16.5" customHeight="1" x14ac:dyDescent="0.25">
      <c r="A773" s="9"/>
      <c r="B773" s="51" t="s">
        <v>112</v>
      </c>
      <c r="C773" s="52"/>
      <c r="D773" s="52"/>
      <c r="E773" s="52"/>
      <c r="F773" s="52"/>
      <c r="G773" s="53"/>
      <c r="H773" s="20"/>
      <c r="I773" s="9">
        <v>2</v>
      </c>
      <c r="J773" s="9"/>
      <c r="K773" s="9"/>
      <c r="L773" s="9"/>
      <c r="M773" s="9">
        <f t="shared" si="102"/>
        <v>15.2</v>
      </c>
      <c r="N773" s="9">
        <f t="shared" si="103"/>
        <v>6</v>
      </c>
      <c r="O773" s="9">
        <v>7.6</v>
      </c>
      <c r="P773" s="9">
        <v>3</v>
      </c>
      <c r="Q773" s="9" t="s">
        <v>6</v>
      </c>
      <c r="R773" s="1">
        <v>0</v>
      </c>
      <c r="S773" s="26"/>
    </row>
    <row r="774" spans="1:19" ht="16.5" customHeight="1" x14ac:dyDescent="0.25">
      <c r="A774" s="9"/>
      <c r="B774" s="51" t="s">
        <v>113</v>
      </c>
      <c r="C774" s="52"/>
      <c r="D774" s="52"/>
      <c r="E774" s="52"/>
      <c r="F774" s="52"/>
      <c r="G774" s="53"/>
      <c r="H774" s="20"/>
      <c r="I774" s="9">
        <v>3</v>
      </c>
      <c r="J774" s="9"/>
      <c r="K774" s="9"/>
      <c r="L774" s="9"/>
      <c r="M774" s="9">
        <f t="shared" si="102"/>
        <v>19.200000000000003</v>
      </c>
      <c r="N774" s="9">
        <f t="shared" si="103"/>
        <v>6</v>
      </c>
      <c r="O774" s="9">
        <v>6.4</v>
      </c>
      <c r="P774" s="9">
        <v>2</v>
      </c>
      <c r="Q774" s="9" t="s">
        <v>3</v>
      </c>
      <c r="R774" s="1">
        <v>0</v>
      </c>
      <c r="S774" s="26"/>
    </row>
    <row r="775" spans="1:19" ht="16.5" hidden="1" customHeight="1" x14ac:dyDescent="0.25">
      <c r="A775" s="21"/>
      <c r="H775" s="21"/>
      <c r="I775" s="21"/>
      <c r="J775" s="21"/>
      <c r="K775" s="21"/>
      <c r="L775" s="21"/>
      <c r="M775" s="9">
        <f t="shared" si="102"/>
        <v>0</v>
      </c>
      <c r="N775" s="9">
        <f t="shared" si="103"/>
        <v>0</v>
      </c>
      <c r="O775" s="21"/>
      <c r="P775" s="21"/>
      <c r="Q775" s="21"/>
      <c r="S775" s="25"/>
    </row>
    <row r="776" spans="1:19" ht="16.5" customHeight="1" x14ac:dyDescent="0.25">
      <c r="A776" s="9"/>
      <c r="B776" s="39" t="s">
        <v>42</v>
      </c>
      <c r="C776" s="40"/>
      <c r="D776" s="40"/>
      <c r="E776" s="40"/>
      <c r="F776" s="40"/>
      <c r="G776" s="41"/>
      <c r="H776" s="23"/>
      <c r="I776" s="24">
        <f>SUM(I764:I775)</f>
        <v>27</v>
      </c>
      <c r="J776" s="9"/>
      <c r="K776" s="9"/>
      <c r="L776" s="9"/>
      <c r="M776" s="9">
        <f t="shared" si="102"/>
        <v>184.14000000000001</v>
      </c>
      <c r="N776" s="9">
        <f t="shared" si="103"/>
        <v>69.929999999999993</v>
      </c>
      <c r="O776" s="24">
        <f>ROUND(SUM(M764:M775)/I776,2)</f>
        <v>6.82</v>
      </c>
      <c r="P776" s="24">
        <f>ROUND(SUM(N764:N775)/I776,2)</f>
        <v>2.59</v>
      </c>
      <c r="Q776" s="9"/>
      <c r="S776" s="25"/>
    </row>
    <row r="777" spans="1:19" ht="20.25" customHeight="1" x14ac:dyDescent="0.25">
      <c r="A777" s="27" t="s">
        <v>114</v>
      </c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</row>
    <row r="778" spans="1:19" ht="31.2" customHeight="1" x14ac:dyDescent="0.25">
      <c r="A778" s="9"/>
      <c r="B778" s="51" t="s">
        <v>123</v>
      </c>
      <c r="C778" s="52"/>
      <c r="D778" s="52"/>
      <c r="E778" s="52"/>
      <c r="F778" s="52"/>
      <c r="G778" s="53"/>
      <c r="H778" s="20"/>
      <c r="I778" s="9">
        <v>3</v>
      </c>
      <c r="J778" s="9"/>
      <c r="K778" s="9"/>
      <c r="L778" s="9"/>
      <c r="M778" s="9">
        <f t="shared" ref="M778:M788" si="104">I778*O778</f>
        <v>24.900000000000002</v>
      </c>
      <c r="N778" s="9">
        <f t="shared" ref="N778:N788" si="105">I778*P778</f>
        <v>10.5</v>
      </c>
      <c r="O778" s="9">
        <v>8.3000000000000007</v>
      </c>
      <c r="P778" s="9">
        <v>3.5</v>
      </c>
      <c r="Q778" s="9" t="s">
        <v>9</v>
      </c>
      <c r="R778" s="1">
        <v>0</v>
      </c>
      <c r="S778" s="26"/>
    </row>
    <row r="779" spans="1:19" ht="16.5" customHeight="1" x14ac:dyDescent="0.25">
      <c r="A779" s="9"/>
      <c r="B779" s="51" t="s">
        <v>120</v>
      </c>
      <c r="C779" s="52"/>
      <c r="D779" s="52"/>
      <c r="E779" s="52"/>
      <c r="F779" s="52"/>
      <c r="G779" s="53"/>
      <c r="H779" s="20"/>
      <c r="I779" s="9">
        <v>2</v>
      </c>
      <c r="J779" s="9"/>
      <c r="K779" s="9"/>
      <c r="L779" s="9"/>
      <c r="M779" s="9">
        <f t="shared" si="104"/>
        <v>14</v>
      </c>
      <c r="N779" s="9">
        <f t="shared" si="105"/>
        <v>6</v>
      </c>
      <c r="O779" s="9">
        <v>7</v>
      </c>
      <c r="P779" s="9">
        <v>3</v>
      </c>
      <c r="Q779" s="9" t="s">
        <v>6</v>
      </c>
      <c r="R779" s="1">
        <v>0</v>
      </c>
      <c r="S779" s="26"/>
    </row>
    <row r="780" spans="1:19" ht="16.5" customHeight="1" x14ac:dyDescent="0.25">
      <c r="A780" s="9"/>
      <c r="B780" s="51" t="s">
        <v>117</v>
      </c>
      <c r="C780" s="52"/>
      <c r="D780" s="52"/>
      <c r="E780" s="52"/>
      <c r="F780" s="52"/>
      <c r="G780" s="53"/>
      <c r="H780" s="20"/>
      <c r="I780" s="9">
        <v>3</v>
      </c>
      <c r="J780" s="9"/>
      <c r="K780" s="9"/>
      <c r="L780" s="9"/>
      <c r="M780" s="9">
        <f t="shared" si="104"/>
        <v>20.399999999999999</v>
      </c>
      <c r="N780" s="9">
        <f t="shared" si="105"/>
        <v>7.5</v>
      </c>
      <c r="O780" s="9">
        <v>6.8</v>
      </c>
      <c r="P780" s="9">
        <v>2.5</v>
      </c>
      <c r="Q780" s="9" t="s">
        <v>5</v>
      </c>
      <c r="R780" s="1">
        <v>0</v>
      </c>
      <c r="S780" s="26"/>
    </row>
    <row r="781" spans="1:19" ht="16.5" customHeight="1" x14ac:dyDescent="0.25">
      <c r="A781" s="9"/>
      <c r="B781" s="51" t="s">
        <v>118</v>
      </c>
      <c r="C781" s="52"/>
      <c r="D781" s="52"/>
      <c r="E781" s="52"/>
      <c r="F781" s="52"/>
      <c r="G781" s="53"/>
      <c r="H781" s="20"/>
      <c r="I781" s="9">
        <v>3</v>
      </c>
      <c r="J781" s="9"/>
      <c r="K781" s="9"/>
      <c r="L781" s="9"/>
      <c r="M781" s="9">
        <f t="shared" si="104"/>
        <v>19.799999999999997</v>
      </c>
      <c r="N781" s="9">
        <f t="shared" si="105"/>
        <v>7.5</v>
      </c>
      <c r="O781" s="9">
        <v>6.6</v>
      </c>
      <c r="P781" s="9">
        <v>2.5</v>
      </c>
      <c r="Q781" s="9" t="s">
        <v>5</v>
      </c>
      <c r="R781" s="1">
        <v>0</v>
      </c>
      <c r="S781" s="26"/>
    </row>
    <row r="782" spans="1:19" ht="16.5" customHeight="1" x14ac:dyDescent="0.25">
      <c r="A782" s="9"/>
      <c r="B782" s="51" t="s">
        <v>119</v>
      </c>
      <c r="C782" s="52"/>
      <c r="D782" s="52"/>
      <c r="E782" s="52"/>
      <c r="F782" s="52"/>
      <c r="G782" s="53"/>
      <c r="H782" s="20"/>
      <c r="I782" s="9">
        <v>3</v>
      </c>
      <c r="J782" s="9"/>
      <c r="K782" s="9"/>
      <c r="L782" s="9"/>
      <c r="M782" s="9">
        <f t="shared" si="104"/>
        <v>6</v>
      </c>
      <c r="N782" s="9">
        <f t="shared" si="105"/>
        <v>0</v>
      </c>
      <c r="O782" s="9">
        <v>2</v>
      </c>
      <c r="P782" s="9">
        <v>0</v>
      </c>
      <c r="Q782" s="9" t="s">
        <v>7</v>
      </c>
      <c r="R782" s="1">
        <v>0</v>
      </c>
      <c r="S782" s="26"/>
    </row>
    <row r="783" spans="1:19" ht="16.5" customHeight="1" x14ac:dyDescent="0.25">
      <c r="A783" s="9"/>
      <c r="B783" s="51" t="s">
        <v>116</v>
      </c>
      <c r="C783" s="52"/>
      <c r="D783" s="52"/>
      <c r="E783" s="52"/>
      <c r="F783" s="52"/>
      <c r="G783" s="53"/>
      <c r="H783" s="20"/>
      <c r="I783" s="9">
        <v>3</v>
      </c>
      <c r="J783" s="9"/>
      <c r="K783" s="9"/>
      <c r="L783" s="9"/>
      <c r="M783" s="9">
        <f t="shared" si="104"/>
        <v>23.4</v>
      </c>
      <c r="N783" s="9">
        <f t="shared" si="105"/>
        <v>9</v>
      </c>
      <c r="O783" s="9">
        <v>7.8</v>
      </c>
      <c r="P783" s="9">
        <v>3</v>
      </c>
      <c r="Q783" s="9" t="s">
        <v>6</v>
      </c>
      <c r="R783" s="1">
        <v>0</v>
      </c>
      <c r="S783" s="26"/>
    </row>
    <row r="784" spans="1:19" ht="16.5" customHeight="1" x14ac:dyDescent="0.25">
      <c r="A784" s="9"/>
      <c r="B784" s="51" t="s">
        <v>121</v>
      </c>
      <c r="C784" s="52"/>
      <c r="D784" s="52"/>
      <c r="E784" s="52"/>
      <c r="F784" s="52"/>
      <c r="G784" s="53"/>
      <c r="H784" s="20"/>
      <c r="I784" s="9">
        <v>3</v>
      </c>
      <c r="J784" s="9"/>
      <c r="K784" s="9"/>
      <c r="L784" s="9"/>
      <c r="M784" s="9">
        <f t="shared" si="104"/>
        <v>16.799999999999997</v>
      </c>
      <c r="N784" s="9">
        <f t="shared" si="105"/>
        <v>6</v>
      </c>
      <c r="O784" s="9">
        <v>5.6</v>
      </c>
      <c r="P784" s="9">
        <v>2</v>
      </c>
      <c r="Q784" s="9" t="s">
        <v>3</v>
      </c>
      <c r="R784" s="1">
        <v>0</v>
      </c>
      <c r="S784" s="26"/>
    </row>
    <row r="785" spans="1:19" ht="16.5" customHeight="1" x14ac:dyDescent="0.25">
      <c r="A785" s="9"/>
      <c r="B785" s="51" t="s">
        <v>122</v>
      </c>
      <c r="C785" s="52"/>
      <c r="D785" s="52"/>
      <c r="E785" s="52"/>
      <c r="F785" s="52"/>
      <c r="G785" s="53"/>
      <c r="H785" s="20"/>
      <c r="I785" s="9">
        <v>1</v>
      </c>
      <c r="J785" s="9"/>
      <c r="K785" s="9"/>
      <c r="L785" s="9"/>
      <c r="M785" s="9">
        <f t="shared" si="104"/>
        <v>7.5</v>
      </c>
      <c r="N785" s="9">
        <f t="shared" si="105"/>
        <v>3</v>
      </c>
      <c r="O785" s="9">
        <v>7.5</v>
      </c>
      <c r="P785" s="9">
        <v>3</v>
      </c>
      <c r="Q785" s="9" t="s">
        <v>6</v>
      </c>
      <c r="R785" s="1">
        <v>0</v>
      </c>
      <c r="S785" s="26"/>
    </row>
    <row r="786" spans="1:19" ht="16.5" customHeight="1" x14ac:dyDescent="0.25">
      <c r="A786" s="9"/>
      <c r="B786" s="51" t="s">
        <v>115</v>
      </c>
      <c r="C786" s="52"/>
      <c r="D786" s="52"/>
      <c r="E786" s="52"/>
      <c r="F786" s="52"/>
      <c r="G786" s="53"/>
      <c r="H786" s="20"/>
      <c r="I786" s="9">
        <v>2</v>
      </c>
      <c r="J786" s="9"/>
      <c r="K786" s="9"/>
      <c r="L786" s="9"/>
      <c r="M786" s="9">
        <f t="shared" si="104"/>
        <v>16</v>
      </c>
      <c r="N786" s="9">
        <f t="shared" si="105"/>
        <v>7</v>
      </c>
      <c r="O786" s="9">
        <v>8</v>
      </c>
      <c r="P786" s="9">
        <v>3.5</v>
      </c>
      <c r="Q786" s="9" t="s">
        <v>9</v>
      </c>
      <c r="R786" s="1">
        <v>0</v>
      </c>
      <c r="S786" s="26"/>
    </row>
    <row r="787" spans="1:19" ht="16.5" hidden="1" customHeight="1" x14ac:dyDescent="0.25">
      <c r="A787" s="21"/>
      <c r="H787" s="21"/>
      <c r="I787" s="21"/>
      <c r="J787" s="21"/>
      <c r="K787" s="21"/>
      <c r="L787" s="21"/>
      <c r="M787" s="9">
        <f t="shared" si="104"/>
        <v>0</v>
      </c>
      <c r="N787" s="9">
        <f t="shared" si="105"/>
        <v>0</v>
      </c>
      <c r="O787" s="21"/>
      <c r="P787" s="21"/>
      <c r="Q787" s="21"/>
      <c r="S787" s="25"/>
    </row>
    <row r="788" spans="1:19" ht="16.5" customHeight="1" x14ac:dyDescent="0.25">
      <c r="A788" s="9"/>
      <c r="B788" s="39" t="s">
        <v>42</v>
      </c>
      <c r="C788" s="40"/>
      <c r="D788" s="40"/>
      <c r="E788" s="40"/>
      <c r="F788" s="40"/>
      <c r="G788" s="41"/>
      <c r="H788" s="23"/>
      <c r="I788" s="24">
        <f>SUM(I778:I787)</f>
        <v>23</v>
      </c>
      <c r="J788" s="9"/>
      <c r="K788" s="9"/>
      <c r="L788" s="9"/>
      <c r="M788" s="9">
        <f t="shared" si="104"/>
        <v>148.81</v>
      </c>
      <c r="N788" s="9">
        <f t="shared" si="105"/>
        <v>56.58</v>
      </c>
      <c r="O788" s="24">
        <f>ROUND(SUM(M778:M787)/I788,2)</f>
        <v>6.47</v>
      </c>
      <c r="P788" s="24">
        <f>ROUND(SUM(N778:N787)/I788,2)</f>
        <v>2.46</v>
      </c>
      <c r="Q788" s="9"/>
      <c r="S788" s="25"/>
    </row>
    <row r="789" spans="1:19" ht="16.5" customHeight="1" x14ac:dyDescent="0.25">
      <c r="A789" s="21"/>
      <c r="B789" s="22"/>
      <c r="C789" s="22"/>
      <c r="D789" s="22"/>
      <c r="E789" s="22"/>
      <c r="F789" s="22"/>
      <c r="G789" s="22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1" spans="1:19" ht="18" x14ac:dyDescent="0.25">
      <c r="A791" s="35" t="s">
        <v>138</v>
      </c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</row>
    <row r="792" spans="1:19" ht="18" x14ac:dyDescent="0.25">
      <c r="A792" s="35" t="s">
        <v>139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</row>
    <row r="793" spans="1:19" ht="18" x14ac:dyDescent="0.25">
      <c r="A793" s="35" t="s">
        <v>140</v>
      </c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</row>
    <row r="794" spans="1:19" ht="18" x14ac:dyDescent="0.25">
      <c r="A794" s="45" t="s">
        <v>141</v>
      </c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</row>
    <row r="795" spans="1:19" ht="19.5" customHeight="1" x14ac:dyDescent="0.25">
      <c r="A795" s="17"/>
      <c r="B795" s="17"/>
      <c r="C795" s="8"/>
      <c r="D795" s="18"/>
      <c r="E795" s="10"/>
      <c r="F795" s="11"/>
      <c r="G795" s="46" t="s">
        <v>49</v>
      </c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</row>
    <row r="796" spans="1:19" ht="31.5" customHeight="1" x14ac:dyDescent="0.3">
      <c r="A796" s="8"/>
      <c r="B796" s="8"/>
      <c r="C796" s="8"/>
      <c r="D796" s="8"/>
      <c r="E796" s="8"/>
      <c r="F796" s="8"/>
      <c r="G796" s="8"/>
      <c r="H796" s="12"/>
      <c r="I796" s="42" t="s">
        <v>40</v>
      </c>
      <c r="J796" s="43"/>
      <c r="K796" s="43"/>
      <c r="L796" s="43"/>
      <c r="M796" s="43"/>
      <c r="N796" s="43"/>
      <c r="O796" s="43"/>
      <c r="P796" s="43"/>
      <c r="Q796" s="43"/>
      <c r="R796" s="43"/>
      <c r="S796" s="43"/>
    </row>
    <row r="797" spans="1:19" ht="16.8" x14ac:dyDescent="0.3">
      <c r="A797" s="8"/>
      <c r="B797" s="8"/>
      <c r="C797" s="8"/>
      <c r="D797" s="8"/>
      <c r="E797" s="8"/>
      <c r="F797" s="8"/>
      <c r="G797" s="8"/>
      <c r="H797" s="12"/>
      <c r="I797" s="12"/>
      <c r="J797" s="12"/>
      <c r="K797" s="12"/>
      <c r="L797" s="8"/>
      <c r="M797" s="8"/>
      <c r="N797" s="8"/>
      <c r="O797" s="8"/>
      <c r="P797" s="8"/>
      <c r="Q797" s="8"/>
    </row>
    <row r="798" spans="1:19" ht="33" customHeight="1" x14ac:dyDescent="0.3">
      <c r="A798" s="8"/>
      <c r="B798" s="8"/>
      <c r="C798" s="8"/>
      <c r="D798" s="8"/>
      <c r="E798" s="8"/>
      <c r="F798" s="8"/>
      <c r="G798" s="8"/>
      <c r="H798" s="12"/>
      <c r="I798" s="12"/>
      <c r="J798" s="12"/>
      <c r="K798" s="12"/>
      <c r="L798" s="8"/>
      <c r="M798" s="8"/>
      <c r="N798" s="8"/>
      <c r="O798" s="8"/>
      <c r="P798" s="8"/>
      <c r="Q798" s="8"/>
    </row>
    <row r="799" spans="1:19" ht="11.25" customHeight="1" x14ac:dyDescent="0.3">
      <c r="A799" s="8"/>
      <c r="B799" s="8"/>
      <c r="C799" s="8"/>
      <c r="D799" s="8"/>
      <c r="E799" s="8"/>
      <c r="F799" s="8"/>
      <c r="G799" s="8"/>
      <c r="H799" s="12"/>
      <c r="I799" s="12"/>
      <c r="J799" s="12"/>
      <c r="K799" s="12"/>
      <c r="L799" s="8"/>
      <c r="M799" s="8"/>
      <c r="N799" s="8"/>
      <c r="O799" s="8"/>
      <c r="P799" s="8"/>
      <c r="Q799" s="8"/>
    </row>
    <row r="800" spans="1:19" ht="17.399999999999999" x14ac:dyDescent="0.3">
      <c r="A800" s="8"/>
      <c r="B800" s="8"/>
      <c r="C800" s="8"/>
      <c r="D800" s="8"/>
      <c r="E800" s="8"/>
      <c r="F800" s="8"/>
      <c r="G800" s="47" t="s">
        <v>41</v>
      </c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</row>
    <row r="801" spans="1:20" ht="54" customHeight="1" x14ac:dyDescent="0.25">
      <c r="A801" s="48" t="s">
        <v>33</v>
      </c>
      <c r="B801" s="48"/>
      <c r="C801" s="48"/>
      <c r="D801" s="48"/>
      <c r="E801" s="48"/>
      <c r="F801" s="42" t="s">
        <v>24</v>
      </c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</row>
    <row r="802" spans="1:20" ht="17.399999999999999" x14ac:dyDescent="0.25">
      <c r="A802" s="49" t="s">
        <v>34</v>
      </c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</row>
    <row r="803" spans="1:20" ht="4.5" customHeight="1" x14ac:dyDescent="0.2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</row>
    <row r="804" spans="1:20" ht="5.25" customHeight="1" x14ac:dyDescent="0.2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</row>
    <row r="805" spans="1:20" ht="16.5" customHeight="1" x14ac:dyDescent="0.25">
      <c r="A805" s="54" t="s">
        <v>164</v>
      </c>
      <c r="B805" s="54"/>
      <c r="C805" s="54"/>
      <c r="D805" s="54"/>
      <c r="E805" s="54"/>
      <c r="F805" s="54"/>
      <c r="G805" s="58" t="s">
        <v>165</v>
      </c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</row>
    <row r="806" spans="1:20" ht="16.5" customHeight="1" x14ac:dyDescent="0.25">
      <c r="A806" s="54" t="s">
        <v>166</v>
      </c>
      <c r="B806" s="54"/>
      <c r="C806" s="54"/>
      <c r="D806" s="54"/>
      <c r="E806" s="54"/>
      <c r="F806" s="54"/>
      <c r="G806" s="8" t="s">
        <v>46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T806" s="2"/>
    </row>
    <row r="807" spans="1:20" ht="16.5" customHeight="1" x14ac:dyDescent="0.25">
      <c r="A807" s="54" t="s">
        <v>47</v>
      </c>
      <c r="B807" s="54"/>
      <c r="C807" s="54"/>
      <c r="D807" s="54"/>
      <c r="E807" s="54"/>
      <c r="F807" s="54"/>
      <c r="G807" s="58" t="s">
        <v>48</v>
      </c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</row>
    <row r="808" spans="1:20" ht="5.2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19"/>
      <c r="K808" s="19"/>
      <c r="L808" s="19"/>
      <c r="M808" s="19"/>
      <c r="N808" s="19"/>
      <c r="O808" s="19"/>
      <c r="P808" s="19"/>
      <c r="Q808" s="19"/>
    </row>
    <row r="809" spans="1:20" ht="15" customHeight="1" x14ac:dyDescent="0.25">
      <c r="A809" s="36" t="s">
        <v>0</v>
      </c>
      <c r="B809" s="29" t="s">
        <v>1</v>
      </c>
      <c r="C809" s="30"/>
      <c r="D809" s="30"/>
      <c r="E809" s="30"/>
      <c r="F809" s="30"/>
      <c r="G809" s="31"/>
      <c r="H809" s="36" t="s">
        <v>32</v>
      </c>
      <c r="I809" s="36" t="s">
        <v>39</v>
      </c>
      <c r="J809" s="55" t="s">
        <v>2</v>
      </c>
      <c r="K809" s="56"/>
      <c r="L809" s="56"/>
      <c r="M809" s="56"/>
      <c r="N809" s="56"/>
      <c r="O809" s="56"/>
      <c r="P809" s="56"/>
      <c r="Q809" s="57"/>
      <c r="S809" s="36" t="s">
        <v>38</v>
      </c>
    </row>
    <row r="810" spans="1:20" ht="24" customHeight="1" x14ac:dyDescent="0.25">
      <c r="A810" s="37"/>
      <c r="B810" s="32"/>
      <c r="C810" s="33"/>
      <c r="D810" s="33"/>
      <c r="E810" s="33"/>
      <c r="F810" s="33"/>
      <c r="G810" s="34"/>
      <c r="H810" s="37"/>
      <c r="I810" s="37"/>
      <c r="J810" s="7" t="s">
        <v>28</v>
      </c>
      <c r="K810" s="7" t="s">
        <v>29</v>
      </c>
      <c r="L810" s="7" t="s">
        <v>30</v>
      </c>
      <c r="M810" s="7"/>
      <c r="N810" s="7"/>
      <c r="O810" s="6" t="s">
        <v>35</v>
      </c>
      <c r="P810" s="6" t="s">
        <v>36</v>
      </c>
      <c r="Q810" s="6" t="s">
        <v>37</v>
      </c>
      <c r="S810" s="37"/>
    </row>
    <row r="811" spans="1:20" ht="20.25" customHeight="1" x14ac:dyDescent="0.25">
      <c r="A811" s="27" t="s">
        <v>54</v>
      </c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</row>
    <row r="812" spans="1:20" ht="16.5" customHeight="1" x14ac:dyDescent="0.25">
      <c r="A812" s="9"/>
      <c r="B812" s="51" t="s">
        <v>55</v>
      </c>
      <c r="C812" s="52"/>
      <c r="D812" s="52"/>
      <c r="E812" s="52"/>
      <c r="F812" s="52"/>
      <c r="G812" s="53"/>
      <c r="H812" s="20"/>
      <c r="I812" s="9">
        <v>2</v>
      </c>
      <c r="J812" s="9"/>
      <c r="K812" s="9"/>
      <c r="L812" s="9"/>
      <c r="M812" s="9">
        <f t="shared" ref="M812:M820" si="106">I812*O812</f>
        <v>15.2</v>
      </c>
      <c r="N812" s="9">
        <f t="shared" ref="N812:N820" si="107">I812*P812</f>
        <v>6</v>
      </c>
      <c r="O812" s="9">
        <v>7.6</v>
      </c>
      <c r="P812" s="9">
        <v>3</v>
      </c>
      <c r="Q812" s="9" t="s">
        <v>6</v>
      </c>
      <c r="R812" s="1">
        <v>0</v>
      </c>
      <c r="S812" s="26"/>
    </row>
    <row r="813" spans="1:20" ht="16.5" customHeight="1" x14ac:dyDescent="0.25">
      <c r="A813" s="9"/>
      <c r="B813" s="51" t="s">
        <v>56</v>
      </c>
      <c r="C813" s="52"/>
      <c r="D813" s="52"/>
      <c r="E813" s="52"/>
      <c r="F813" s="52"/>
      <c r="G813" s="53"/>
      <c r="H813" s="20"/>
      <c r="I813" s="9">
        <v>3</v>
      </c>
      <c r="J813" s="9"/>
      <c r="K813" s="9"/>
      <c r="L813" s="9"/>
      <c r="M813" s="9">
        <f t="shared" si="106"/>
        <v>14.700000000000001</v>
      </c>
      <c r="N813" s="9">
        <f t="shared" si="107"/>
        <v>3</v>
      </c>
      <c r="O813" s="9">
        <v>4.9000000000000004</v>
      </c>
      <c r="P813" s="9">
        <v>1</v>
      </c>
      <c r="Q813" s="9" t="s">
        <v>8</v>
      </c>
      <c r="R813" s="1">
        <v>0</v>
      </c>
      <c r="S813" s="26"/>
    </row>
    <row r="814" spans="1:20" ht="31.2" customHeight="1" x14ac:dyDescent="0.25">
      <c r="A814" s="9"/>
      <c r="B814" s="51" t="s">
        <v>57</v>
      </c>
      <c r="C814" s="52"/>
      <c r="D814" s="52"/>
      <c r="E814" s="52"/>
      <c r="F814" s="52"/>
      <c r="G814" s="53"/>
      <c r="H814" s="20"/>
      <c r="I814" s="9">
        <v>3</v>
      </c>
      <c r="J814" s="9"/>
      <c r="K814" s="9"/>
      <c r="L814" s="9"/>
      <c r="M814" s="9">
        <f t="shared" si="106"/>
        <v>23.700000000000003</v>
      </c>
      <c r="N814" s="9">
        <f t="shared" si="107"/>
        <v>9</v>
      </c>
      <c r="O814" s="9">
        <v>7.9</v>
      </c>
      <c r="P814" s="9">
        <v>3</v>
      </c>
      <c r="Q814" s="9" t="s">
        <v>6</v>
      </c>
      <c r="R814" s="1">
        <v>0</v>
      </c>
      <c r="S814" s="26"/>
    </row>
    <row r="815" spans="1:20" ht="16.5" customHeight="1" x14ac:dyDescent="0.25">
      <c r="A815" s="9"/>
      <c r="B815" s="51" t="s">
        <v>58</v>
      </c>
      <c r="C815" s="52"/>
      <c r="D815" s="52"/>
      <c r="E815" s="52"/>
      <c r="F815" s="52"/>
      <c r="G815" s="53"/>
      <c r="H815" s="20"/>
      <c r="I815" s="9">
        <v>1</v>
      </c>
      <c r="J815" s="9"/>
      <c r="K815" s="9"/>
      <c r="L815" s="9"/>
      <c r="M815" s="9">
        <f t="shared" si="106"/>
        <v>6.8</v>
      </c>
      <c r="N815" s="9">
        <f t="shared" si="107"/>
        <v>2.5</v>
      </c>
      <c r="O815" s="9">
        <v>6.8</v>
      </c>
      <c r="P815" s="9">
        <v>2.5</v>
      </c>
      <c r="Q815" s="9" t="s">
        <v>5</v>
      </c>
      <c r="R815" s="1">
        <v>0</v>
      </c>
      <c r="S815" s="26"/>
    </row>
    <row r="816" spans="1:20" ht="16.5" customHeight="1" x14ac:dyDescent="0.25">
      <c r="A816" s="9"/>
      <c r="B816" s="51" t="s">
        <v>59</v>
      </c>
      <c r="C816" s="52"/>
      <c r="D816" s="52"/>
      <c r="E816" s="52"/>
      <c r="F816" s="52"/>
      <c r="G816" s="53"/>
      <c r="H816" s="20"/>
      <c r="I816" s="9">
        <v>1</v>
      </c>
      <c r="J816" s="9"/>
      <c r="K816" s="9"/>
      <c r="L816" s="9"/>
      <c r="M816" s="9">
        <f t="shared" si="106"/>
        <v>6.8</v>
      </c>
      <c r="N816" s="9">
        <f t="shared" si="107"/>
        <v>2.5</v>
      </c>
      <c r="O816" s="9">
        <v>6.8</v>
      </c>
      <c r="P816" s="9">
        <v>2.5</v>
      </c>
      <c r="Q816" s="9" t="s">
        <v>5</v>
      </c>
      <c r="R816" s="1">
        <v>0</v>
      </c>
      <c r="S816" s="26"/>
    </row>
    <row r="817" spans="1:19" ht="16.5" customHeight="1" x14ac:dyDescent="0.25">
      <c r="A817" s="9"/>
      <c r="B817" s="51" t="s">
        <v>60</v>
      </c>
      <c r="C817" s="52"/>
      <c r="D817" s="52"/>
      <c r="E817" s="52"/>
      <c r="F817" s="52"/>
      <c r="G817" s="53"/>
      <c r="H817" s="20"/>
      <c r="I817" s="9">
        <v>3</v>
      </c>
      <c r="J817" s="9"/>
      <c r="K817" s="9"/>
      <c r="L817" s="9"/>
      <c r="M817" s="9">
        <f t="shared" si="106"/>
        <v>24</v>
      </c>
      <c r="N817" s="9">
        <f t="shared" si="107"/>
        <v>10.5</v>
      </c>
      <c r="O817" s="9">
        <v>8</v>
      </c>
      <c r="P817" s="9">
        <v>3.5</v>
      </c>
      <c r="Q817" s="9" t="s">
        <v>9</v>
      </c>
      <c r="R817" s="1">
        <v>0</v>
      </c>
      <c r="S817" s="26"/>
    </row>
    <row r="818" spans="1:19" ht="16.5" customHeight="1" x14ac:dyDescent="0.25">
      <c r="A818" s="9"/>
      <c r="B818" s="51" t="s">
        <v>61</v>
      </c>
      <c r="C818" s="52"/>
      <c r="D818" s="52"/>
      <c r="E818" s="52"/>
      <c r="F818" s="52"/>
      <c r="G818" s="53"/>
      <c r="H818" s="20"/>
      <c r="I818" s="9">
        <v>1</v>
      </c>
      <c r="J818" s="9"/>
      <c r="K818" s="9"/>
      <c r="L818" s="9"/>
      <c r="M818" s="9">
        <f t="shared" si="106"/>
        <v>6.4</v>
      </c>
      <c r="N818" s="9">
        <f t="shared" si="107"/>
        <v>2</v>
      </c>
      <c r="O818" s="9">
        <v>6.4</v>
      </c>
      <c r="P818" s="9">
        <v>2</v>
      </c>
      <c r="Q818" s="9" t="s">
        <v>3</v>
      </c>
      <c r="R818" s="1">
        <v>0</v>
      </c>
      <c r="S818" s="26"/>
    </row>
    <row r="819" spans="1:19" ht="16.5" hidden="1" customHeight="1" x14ac:dyDescent="0.25">
      <c r="A819" s="21"/>
      <c r="H819" s="21"/>
      <c r="I819" s="21"/>
      <c r="J819" s="21"/>
      <c r="K819" s="21"/>
      <c r="L819" s="21"/>
      <c r="M819" s="9">
        <f t="shared" si="106"/>
        <v>0</v>
      </c>
      <c r="N819" s="9">
        <f t="shared" si="107"/>
        <v>0</v>
      </c>
      <c r="O819" s="21"/>
      <c r="P819" s="21"/>
      <c r="Q819" s="21"/>
      <c r="S819" s="25"/>
    </row>
    <row r="820" spans="1:19" ht="16.5" customHeight="1" x14ac:dyDescent="0.25">
      <c r="A820" s="9"/>
      <c r="B820" s="39" t="s">
        <v>42</v>
      </c>
      <c r="C820" s="40"/>
      <c r="D820" s="40"/>
      <c r="E820" s="40"/>
      <c r="F820" s="40"/>
      <c r="G820" s="41"/>
      <c r="H820" s="23"/>
      <c r="I820" s="24">
        <f>SUM(I812:I819)</f>
        <v>14</v>
      </c>
      <c r="J820" s="9"/>
      <c r="K820" s="9"/>
      <c r="L820" s="9"/>
      <c r="M820" s="9">
        <f t="shared" si="106"/>
        <v>97.58</v>
      </c>
      <c r="N820" s="9">
        <f t="shared" si="107"/>
        <v>35.56</v>
      </c>
      <c r="O820" s="24">
        <f>ROUND(SUM(M812:M819)/I820,2)</f>
        <v>6.97</v>
      </c>
      <c r="P820" s="24">
        <f>ROUND(SUM(N812:N819)/I820,2)</f>
        <v>2.54</v>
      </c>
      <c r="Q820" s="9"/>
      <c r="S820" s="25"/>
    </row>
    <row r="821" spans="1:19" ht="20.25" customHeight="1" x14ac:dyDescent="0.25">
      <c r="A821" s="27" t="s">
        <v>62</v>
      </c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</row>
    <row r="822" spans="1:19" ht="16.5" customHeight="1" x14ac:dyDescent="0.25">
      <c r="A822" s="9"/>
      <c r="B822" s="51" t="s">
        <v>63</v>
      </c>
      <c r="C822" s="52"/>
      <c r="D822" s="52"/>
      <c r="E822" s="52"/>
      <c r="F822" s="52"/>
      <c r="G822" s="53"/>
      <c r="H822" s="20"/>
      <c r="I822" s="9">
        <v>4</v>
      </c>
      <c r="J822" s="9"/>
      <c r="K822" s="9"/>
      <c r="L822" s="9"/>
      <c r="M822" s="9">
        <f t="shared" ref="M822:M830" si="108">I822*O822</f>
        <v>22.4</v>
      </c>
      <c r="N822" s="9">
        <f t="shared" ref="N822:N830" si="109">I822*P822</f>
        <v>8</v>
      </c>
      <c r="O822" s="9">
        <v>5.6</v>
      </c>
      <c r="P822" s="9">
        <v>2</v>
      </c>
      <c r="Q822" s="9" t="s">
        <v>3</v>
      </c>
      <c r="R822" s="1">
        <v>0</v>
      </c>
      <c r="S822" s="26"/>
    </row>
    <row r="823" spans="1:19" ht="16.5" customHeight="1" x14ac:dyDescent="0.25">
      <c r="A823" s="9"/>
      <c r="B823" s="51" t="s">
        <v>64</v>
      </c>
      <c r="C823" s="52"/>
      <c r="D823" s="52"/>
      <c r="E823" s="52"/>
      <c r="F823" s="52"/>
      <c r="G823" s="53"/>
      <c r="H823" s="20"/>
      <c r="I823" s="9">
        <v>4</v>
      </c>
      <c r="J823" s="9"/>
      <c r="K823" s="9"/>
      <c r="L823" s="9"/>
      <c r="M823" s="9">
        <f t="shared" si="108"/>
        <v>24.8</v>
      </c>
      <c r="N823" s="9">
        <f t="shared" si="109"/>
        <v>8</v>
      </c>
      <c r="O823" s="9">
        <v>6.2</v>
      </c>
      <c r="P823" s="9">
        <v>2</v>
      </c>
      <c r="Q823" s="9" t="s">
        <v>3</v>
      </c>
      <c r="R823" s="1">
        <v>0</v>
      </c>
      <c r="S823" s="26"/>
    </row>
    <row r="824" spans="1:19" ht="16.5" customHeight="1" x14ac:dyDescent="0.25">
      <c r="A824" s="9"/>
      <c r="B824" s="51" t="s">
        <v>65</v>
      </c>
      <c r="C824" s="52"/>
      <c r="D824" s="52"/>
      <c r="E824" s="52"/>
      <c r="F824" s="52"/>
      <c r="G824" s="53"/>
      <c r="H824" s="20"/>
      <c r="I824" s="9">
        <v>4</v>
      </c>
      <c r="J824" s="9"/>
      <c r="K824" s="9"/>
      <c r="L824" s="9"/>
      <c r="M824" s="9">
        <f t="shared" si="108"/>
        <v>28</v>
      </c>
      <c r="N824" s="9">
        <f t="shared" si="109"/>
        <v>12</v>
      </c>
      <c r="O824" s="9">
        <v>7</v>
      </c>
      <c r="P824" s="9">
        <v>3</v>
      </c>
      <c r="Q824" s="9" t="s">
        <v>6</v>
      </c>
      <c r="R824" s="1">
        <v>0</v>
      </c>
      <c r="S824" s="26"/>
    </row>
    <row r="825" spans="1:19" ht="16.5" customHeight="1" x14ac:dyDescent="0.25">
      <c r="A825" s="9"/>
      <c r="B825" s="51" t="s">
        <v>66</v>
      </c>
      <c r="C825" s="52"/>
      <c r="D825" s="52"/>
      <c r="E825" s="52"/>
      <c r="F825" s="52"/>
      <c r="G825" s="53"/>
      <c r="H825" s="20"/>
      <c r="I825" s="9">
        <v>1</v>
      </c>
      <c r="J825" s="9"/>
      <c r="K825" s="9"/>
      <c r="L825" s="9"/>
      <c r="M825" s="9">
        <f t="shared" si="108"/>
        <v>7.9</v>
      </c>
      <c r="N825" s="9">
        <f t="shared" si="109"/>
        <v>3</v>
      </c>
      <c r="O825" s="9">
        <v>7.9</v>
      </c>
      <c r="P825" s="9">
        <v>3</v>
      </c>
      <c r="Q825" s="9" t="s">
        <v>6</v>
      </c>
      <c r="R825" s="1">
        <v>0</v>
      </c>
      <c r="S825" s="26"/>
    </row>
    <row r="826" spans="1:19" ht="16.5" customHeight="1" x14ac:dyDescent="0.25">
      <c r="A826" s="9"/>
      <c r="B826" s="51" t="s">
        <v>67</v>
      </c>
      <c r="C826" s="52"/>
      <c r="D826" s="52"/>
      <c r="E826" s="52"/>
      <c r="F826" s="52"/>
      <c r="G826" s="53"/>
      <c r="H826" s="20"/>
      <c r="I826" s="9">
        <v>1</v>
      </c>
      <c r="J826" s="9"/>
      <c r="K826" s="9"/>
      <c r="L826" s="9"/>
      <c r="M826" s="9">
        <f t="shared" si="108"/>
        <v>8.1999999999999993</v>
      </c>
      <c r="N826" s="9">
        <f t="shared" si="109"/>
        <v>3.5</v>
      </c>
      <c r="O826" s="9">
        <v>8.1999999999999993</v>
      </c>
      <c r="P826" s="9">
        <v>3.5</v>
      </c>
      <c r="Q826" s="9" t="s">
        <v>9</v>
      </c>
      <c r="R826" s="1">
        <v>0</v>
      </c>
      <c r="S826" s="26"/>
    </row>
    <row r="827" spans="1:19" ht="16.5" customHeight="1" x14ac:dyDescent="0.25">
      <c r="A827" s="9"/>
      <c r="B827" s="51" t="s">
        <v>68</v>
      </c>
      <c r="C827" s="52"/>
      <c r="D827" s="52"/>
      <c r="E827" s="52"/>
      <c r="F827" s="52"/>
      <c r="G827" s="53"/>
      <c r="H827" s="20"/>
      <c r="I827" s="9">
        <v>1</v>
      </c>
      <c r="J827" s="9"/>
      <c r="K827" s="9"/>
      <c r="L827" s="9"/>
      <c r="M827" s="9">
        <f t="shared" si="108"/>
        <v>7.4</v>
      </c>
      <c r="N827" s="9">
        <f t="shared" si="109"/>
        <v>3</v>
      </c>
      <c r="O827" s="9">
        <v>7.4</v>
      </c>
      <c r="P827" s="9">
        <v>3</v>
      </c>
      <c r="Q827" s="9" t="s">
        <v>6</v>
      </c>
      <c r="R827" s="1">
        <v>0</v>
      </c>
      <c r="S827" s="26"/>
    </row>
    <row r="828" spans="1:19" ht="16.5" customHeight="1" x14ac:dyDescent="0.25">
      <c r="A828" s="9"/>
      <c r="B828" s="51" t="s">
        <v>69</v>
      </c>
      <c r="C828" s="52"/>
      <c r="D828" s="52"/>
      <c r="E828" s="52"/>
      <c r="F828" s="52"/>
      <c r="G828" s="53"/>
      <c r="H828" s="20"/>
      <c r="I828" s="9">
        <v>1</v>
      </c>
      <c r="J828" s="9"/>
      <c r="K828" s="9"/>
      <c r="L828" s="9"/>
      <c r="M828" s="9">
        <f t="shared" si="108"/>
        <v>8.1</v>
      </c>
      <c r="N828" s="9">
        <f t="shared" si="109"/>
        <v>3.5</v>
      </c>
      <c r="O828" s="9">
        <v>8.1</v>
      </c>
      <c r="P828" s="9">
        <v>3.5</v>
      </c>
      <c r="Q828" s="9" t="s">
        <v>9</v>
      </c>
      <c r="R828" s="1">
        <v>0</v>
      </c>
      <c r="S828" s="26"/>
    </row>
    <row r="829" spans="1:19" ht="16.5" hidden="1" customHeight="1" x14ac:dyDescent="0.25">
      <c r="A829" s="21"/>
      <c r="H829" s="21"/>
      <c r="I829" s="21"/>
      <c r="J829" s="21"/>
      <c r="K829" s="21"/>
      <c r="L829" s="21"/>
      <c r="M829" s="9">
        <f t="shared" si="108"/>
        <v>0</v>
      </c>
      <c r="N829" s="9">
        <f t="shared" si="109"/>
        <v>0</v>
      </c>
      <c r="O829" s="21"/>
      <c r="P829" s="21"/>
      <c r="Q829" s="21"/>
      <c r="S829" s="25"/>
    </row>
    <row r="830" spans="1:19" ht="16.5" customHeight="1" x14ac:dyDescent="0.25">
      <c r="A830" s="9"/>
      <c r="B830" s="39" t="s">
        <v>42</v>
      </c>
      <c r="C830" s="40"/>
      <c r="D830" s="40"/>
      <c r="E830" s="40"/>
      <c r="F830" s="40"/>
      <c r="G830" s="41"/>
      <c r="H830" s="23"/>
      <c r="I830" s="24">
        <f>SUM(I822:I829)</f>
        <v>16</v>
      </c>
      <c r="J830" s="9"/>
      <c r="K830" s="9"/>
      <c r="L830" s="9"/>
      <c r="M830" s="9">
        <f t="shared" si="108"/>
        <v>106.88</v>
      </c>
      <c r="N830" s="9">
        <f t="shared" si="109"/>
        <v>40.96</v>
      </c>
      <c r="O830" s="24">
        <f>ROUND(SUM(M822:M829)/I830,2)</f>
        <v>6.68</v>
      </c>
      <c r="P830" s="24">
        <f>ROUND(SUM(N822:N829)/I830,2)</f>
        <v>2.56</v>
      </c>
      <c r="Q830" s="9"/>
      <c r="S830" s="25"/>
    </row>
    <row r="831" spans="1:19" ht="20.25" customHeight="1" x14ac:dyDescent="0.25">
      <c r="A831" s="27" t="s">
        <v>70</v>
      </c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</row>
    <row r="832" spans="1:19" ht="16.5" customHeight="1" x14ac:dyDescent="0.25">
      <c r="A832" s="9"/>
      <c r="B832" s="51" t="s">
        <v>71</v>
      </c>
      <c r="C832" s="52"/>
      <c r="D832" s="52"/>
      <c r="E832" s="52"/>
      <c r="F832" s="52"/>
      <c r="G832" s="53"/>
      <c r="H832" s="20"/>
      <c r="I832" s="9">
        <v>4</v>
      </c>
      <c r="J832" s="9"/>
      <c r="K832" s="9"/>
      <c r="L832" s="9"/>
      <c r="M832" s="9">
        <f t="shared" ref="M832:M841" si="110">I832*O832</f>
        <v>2</v>
      </c>
      <c r="N832" s="9">
        <f t="shared" ref="N832:N841" si="111">I832*P832</f>
        <v>0</v>
      </c>
      <c r="O832" s="9">
        <v>0.5</v>
      </c>
      <c r="P832" s="9">
        <v>0</v>
      </c>
      <c r="Q832" s="9" t="s">
        <v>7</v>
      </c>
      <c r="R832" s="1">
        <v>0</v>
      </c>
      <c r="S832" s="26"/>
    </row>
    <row r="833" spans="1:19" ht="16.5" customHeight="1" x14ac:dyDescent="0.25">
      <c r="A833" s="9"/>
      <c r="B833" s="51" t="s">
        <v>72</v>
      </c>
      <c r="C833" s="52"/>
      <c r="D833" s="52"/>
      <c r="E833" s="52"/>
      <c r="F833" s="52"/>
      <c r="G833" s="53"/>
      <c r="H833" s="20"/>
      <c r="I833" s="9">
        <v>4</v>
      </c>
      <c r="J833" s="9"/>
      <c r="K833" s="9"/>
      <c r="L833" s="9"/>
      <c r="M833" s="9">
        <f t="shared" si="110"/>
        <v>12</v>
      </c>
      <c r="N833" s="9">
        <f t="shared" si="111"/>
        <v>0</v>
      </c>
      <c r="O833" s="9">
        <v>3</v>
      </c>
      <c r="P833" s="9">
        <v>0</v>
      </c>
      <c r="Q833" s="9" t="s">
        <v>7</v>
      </c>
      <c r="R833" s="1">
        <v>0</v>
      </c>
      <c r="S833" s="26"/>
    </row>
    <row r="834" spans="1:19" ht="16.5" customHeight="1" x14ac:dyDescent="0.25">
      <c r="A834" s="9"/>
      <c r="B834" s="51" t="s">
        <v>73</v>
      </c>
      <c r="C834" s="52"/>
      <c r="D834" s="52"/>
      <c r="E834" s="52"/>
      <c r="F834" s="52"/>
      <c r="G834" s="53"/>
      <c r="H834" s="20"/>
      <c r="I834" s="9">
        <v>1</v>
      </c>
      <c r="J834" s="9"/>
      <c r="K834" s="9"/>
      <c r="L834" s="9"/>
      <c r="M834" s="9">
        <f t="shared" si="110"/>
        <v>6.9</v>
      </c>
      <c r="N834" s="9">
        <f t="shared" si="111"/>
        <v>2.5</v>
      </c>
      <c r="O834" s="9">
        <v>6.9</v>
      </c>
      <c r="P834" s="9">
        <v>2.5</v>
      </c>
      <c r="Q834" s="9" t="s">
        <v>5</v>
      </c>
      <c r="R834" s="1">
        <v>0</v>
      </c>
      <c r="S834" s="26"/>
    </row>
    <row r="835" spans="1:19" ht="16.5" customHeight="1" x14ac:dyDescent="0.25">
      <c r="A835" s="9"/>
      <c r="B835" s="51" t="s">
        <v>74</v>
      </c>
      <c r="C835" s="52"/>
      <c r="D835" s="52"/>
      <c r="E835" s="52"/>
      <c r="F835" s="52"/>
      <c r="G835" s="53"/>
      <c r="H835" s="20"/>
      <c r="I835" s="9">
        <v>2</v>
      </c>
      <c r="J835" s="9"/>
      <c r="K835" s="9"/>
      <c r="L835" s="9"/>
      <c r="M835" s="9">
        <f t="shared" si="110"/>
        <v>7</v>
      </c>
      <c r="N835" s="9">
        <f t="shared" si="111"/>
        <v>0</v>
      </c>
      <c r="O835" s="9">
        <v>3.5</v>
      </c>
      <c r="P835" s="9">
        <v>0</v>
      </c>
      <c r="Q835" s="9" t="s">
        <v>7</v>
      </c>
      <c r="R835" s="1">
        <v>0</v>
      </c>
      <c r="S835" s="26"/>
    </row>
    <row r="836" spans="1:19" ht="16.5" customHeight="1" x14ac:dyDescent="0.25">
      <c r="A836" s="9"/>
      <c r="B836" s="51" t="s">
        <v>75</v>
      </c>
      <c r="C836" s="52"/>
      <c r="D836" s="52"/>
      <c r="E836" s="52"/>
      <c r="F836" s="52"/>
      <c r="G836" s="53"/>
      <c r="H836" s="20"/>
      <c r="I836" s="9">
        <v>1</v>
      </c>
      <c r="J836" s="9"/>
      <c r="K836" s="9"/>
      <c r="L836" s="9"/>
      <c r="M836" s="9">
        <f t="shared" si="110"/>
        <v>1</v>
      </c>
      <c r="N836" s="9">
        <f t="shared" si="111"/>
        <v>0</v>
      </c>
      <c r="O836" s="9">
        <v>1</v>
      </c>
      <c r="P836" s="9">
        <v>0</v>
      </c>
      <c r="Q836" s="9" t="s">
        <v>7</v>
      </c>
      <c r="R836" s="1">
        <v>0</v>
      </c>
      <c r="S836" s="26"/>
    </row>
    <row r="837" spans="1:19" ht="16.5" customHeight="1" x14ac:dyDescent="0.25">
      <c r="A837" s="9"/>
      <c r="B837" s="51" t="s">
        <v>76</v>
      </c>
      <c r="C837" s="52"/>
      <c r="D837" s="52"/>
      <c r="E837" s="52"/>
      <c r="F837" s="52"/>
      <c r="G837" s="53"/>
      <c r="H837" s="20"/>
      <c r="I837" s="9">
        <v>4</v>
      </c>
      <c r="J837" s="9"/>
      <c r="K837" s="9"/>
      <c r="L837" s="9"/>
      <c r="M837" s="9">
        <f t="shared" si="110"/>
        <v>20</v>
      </c>
      <c r="N837" s="9">
        <f t="shared" si="111"/>
        <v>6</v>
      </c>
      <c r="O837" s="9">
        <v>5</v>
      </c>
      <c r="P837" s="9">
        <v>1.5</v>
      </c>
      <c r="Q837" s="9" t="s">
        <v>4</v>
      </c>
      <c r="R837" s="1">
        <v>0</v>
      </c>
      <c r="S837" s="26"/>
    </row>
    <row r="838" spans="1:19" ht="16.5" customHeight="1" x14ac:dyDescent="0.25">
      <c r="A838" s="9"/>
      <c r="B838" s="51" t="s">
        <v>77</v>
      </c>
      <c r="C838" s="52"/>
      <c r="D838" s="52"/>
      <c r="E838" s="52"/>
      <c r="F838" s="52"/>
      <c r="G838" s="53"/>
      <c r="H838" s="20"/>
      <c r="I838" s="9">
        <v>3</v>
      </c>
      <c r="J838" s="9"/>
      <c r="K838" s="9"/>
      <c r="L838" s="9"/>
      <c r="M838" s="9">
        <f t="shared" si="110"/>
        <v>10.5</v>
      </c>
      <c r="N838" s="9">
        <f t="shared" si="111"/>
        <v>0</v>
      </c>
      <c r="O838" s="9">
        <v>3.5</v>
      </c>
      <c r="P838" s="9">
        <v>0</v>
      </c>
      <c r="Q838" s="9" t="s">
        <v>7</v>
      </c>
      <c r="R838" s="1">
        <v>0</v>
      </c>
      <c r="S838" s="26"/>
    </row>
    <row r="839" spans="1:19" ht="16.5" customHeight="1" x14ac:dyDescent="0.25">
      <c r="A839" s="9"/>
      <c r="B839" s="51" t="s">
        <v>78</v>
      </c>
      <c r="C839" s="52"/>
      <c r="D839" s="52"/>
      <c r="E839" s="52"/>
      <c r="F839" s="52"/>
      <c r="G839" s="53"/>
      <c r="H839" s="20"/>
      <c r="I839" s="9">
        <v>4</v>
      </c>
      <c r="J839" s="9"/>
      <c r="K839" s="9"/>
      <c r="L839" s="9"/>
      <c r="M839" s="9">
        <f t="shared" si="110"/>
        <v>22</v>
      </c>
      <c r="N839" s="9">
        <f t="shared" si="111"/>
        <v>8</v>
      </c>
      <c r="O839" s="9">
        <v>5.5</v>
      </c>
      <c r="P839" s="9">
        <v>2</v>
      </c>
      <c r="Q839" s="9" t="s">
        <v>3</v>
      </c>
      <c r="R839" s="1">
        <v>0</v>
      </c>
      <c r="S839" s="26"/>
    </row>
    <row r="840" spans="1:19" ht="16.5" hidden="1" customHeight="1" x14ac:dyDescent="0.25">
      <c r="A840" s="21"/>
      <c r="H840" s="21"/>
      <c r="I840" s="21"/>
      <c r="J840" s="21"/>
      <c r="K840" s="21"/>
      <c r="L840" s="21"/>
      <c r="M840" s="9">
        <f t="shared" si="110"/>
        <v>0</v>
      </c>
      <c r="N840" s="9">
        <f t="shared" si="111"/>
        <v>0</v>
      </c>
      <c r="O840" s="21"/>
      <c r="P840" s="21"/>
      <c r="Q840" s="21"/>
      <c r="S840" s="25"/>
    </row>
    <row r="841" spans="1:19" ht="16.5" customHeight="1" x14ac:dyDescent="0.25">
      <c r="A841" s="9"/>
      <c r="B841" s="39" t="s">
        <v>42</v>
      </c>
      <c r="C841" s="40"/>
      <c r="D841" s="40"/>
      <c r="E841" s="40"/>
      <c r="F841" s="40"/>
      <c r="G841" s="41"/>
      <c r="H841" s="23"/>
      <c r="I841" s="24">
        <f>SUM(I832:I840)</f>
        <v>23</v>
      </c>
      <c r="J841" s="9"/>
      <c r="K841" s="9"/>
      <c r="L841" s="9"/>
      <c r="M841" s="9">
        <f t="shared" si="110"/>
        <v>81.42</v>
      </c>
      <c r="N841" s="9">
        <f t="shared" si="111"/>
        <v>16.559999999999999</v>
      </c>
      <c r="O841" s="24">
        <f>ROUND(SUM(M832:M840)/I841,2)</f>
        <v>3.54</v>
      </c>
      <c r="P841" s="24">
        <f>ROUND(SUM(N832:N840)/I841,2)</f>
        <v>0.72</v>
      </c>
      <c r="Q841" s="9"/>
      <c r="S841" s="25"/>
    </row>
    <row r="842" spans="1:19" ht="20.25" customHeight="1" x14ac:dyDescent="0.25">
      <c r="A842" s="27" t="s">
        <v>158</v>
      </c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</row>
    <row r="843" spans="1:19" ht="16.5" customHeight="1" x14ac:dyDescent="0.25">
      <c r="A843" s="9"/>
      <c r="B843" s="51" t="s">
        <v>71</v>
      </c>
      <c r="C843" s="52"/>
      <c r="D843" s="52"/>
      <c r="E843" s="52"/>
      <c r="F843" s="52"/>
      <c r="G843" s="53"/>
      <c r="H843" s="20"/>
      <c r="I843" s="9">
        <v>4</v>
      </c>
      <c r="J843" s="9"/>
      <c r="K843" s="9"/>
      <c r="L843" s="9"/>
      <c r="M843" s="9">
        <f t="shared" ref="M843:M848" si="112">I843*O843</f>
        <v>22.4</v>
      </c>
      <c r="N843" s="9">
        <f t="shared" ref="N843:N848" si="113">I843*P843</f>
        <v>8</v>
      </c>
      <c r="O843" s="9">
        <v>5.6</v>
      </c>
      <c r="P843" s="9">
        <v>2</v>
      </c>
      <c r="Q843" s="9" t="s">
        <v>3</v>
      </c>
      <c r="R843" s="1">
        <v>6</v>
      </c>
      <c r="S843" s="26" t="s">
        <v>133</v>
      </c>
    </row>
    <row r="844" spans="1:19" ht="16.5" customHeight="1" x14ac:dyDescent="0.25">
      <c r="A844" s="9"/>
      <c r="B844" s="51" t="s">
        <v>74</v>
      </c>
      <c r="C844" s="52"/>
      <c r="D844" s="52"/>
      <c r="E844" s="52"/>
      <c r="F844" s="52"/>
      <c r="G844" s="53"/>
      <c r="H844" s="20"/>
      <c r="I844" s="9">
        <v>2</v>
      </c>
      <c r="J844" s="9"/>
      <c r="K844" s="9"/>
      <c r="L844" s="9"/>
      <c r="M844" s="9">
        <f t="shared" si="112"/>
        <v>11.2</v>
      </c>
      <c r="N844" s="9">
        <f t="shared" si="113"/>
        <v>4</v>
      </c>
      <c r="O844" s="9">
        <v>5.6</v>
      </c>
      <c r="P844" s="9">
        <v>2</v>
      </c>
      <c r="Q844" s="9" t="s">
        <v>3</v>
      </c>
      <c r="R844" s="1">
        <v>6</v>
      </c>
      <c r="S844" s="26" t="s">
        <v>133</v>
      </c>
    </row>
    <row r="845" spans="1:19" ht="16.5" customHeight="1" x14ac:dyDescent="0.25">
      <c r="A845" s="9"/>
      <c r="B845" s="51" t="s">
        <v>75</v>
      </c>
      <c r="C845" s="52"/>
      <c r="D845" s="52"/>
      <c r="E845" s="52"/>
      <c r="F845" s="52"/>
      <c r="G845" s="53"/>
      <c r="H845" s="20"/>
      <c r="I845" s="9">
        <v>1</v>
      </c>
      <c r="J845" s="9"/>
      <c r="K845" s="9"/>
      <c r="L845" s="9"/>
      <c r="M845" s="9">
        <f t="shared" si="112"/>
        <v>4.3</v>
      </c>
      <c r="N845" s="9">
        <f t="shared" si="113"/>
        <v>1</v>
      </c>
      <c r="O845" s="9">
        <v>4.3</v>
      </c>
      <c r="P845" s="9">
        <v>1</v>
      </c>
      <c r="Q845" s="9" t="s">
        <v>8</v>
      </c>
      <c r="R845" s="1">
        <v>6</v>
      </c>
      <c r="S845" s="26" t="s">
        <v>133</v>
      </c>
    </row>
    <row r="846" spans="1:19" ht="16.5" customHeight="1" x14ac:dyDescent="0.25">
      <c r="A846" s="9"/>
      <c r="B846" s="51" t="s">
        <v>72</v>
      </c>
      <c r="C846" s="52"/>
      <c r="D846" s="52"/>
      <c r="E846" s="52"/>
      <c r="F846" s="52"/>
      <c r="G846" s="53"/>
      <c r="H846" s="20"/>
      <c r="I846" s="9">
        <v>4</v>
      </c>
      <c r="J846" s="9"/>
      <c r="K846" s="9"/>
      <c r="L846" s="9"/>
      <c r="M846" s="9">
        <f t="shared" si="112"/>
        <v>21.6</v>
      </c>
      <c r="N846" s="9">
        <f t="shared" si="113"/>
        <v>6</v>
      </c>
      <c r="O846" s="9">
        <v>5.4</v>
      </c>
      <c r="P846" s="9">
        <v>1.5</v>
      </c>
      <c r="Q846" s="9" t="s">
        <v>4</v>
      </c>
      <c r="R846" s="1">
        <v>6</v>
      </c>
      <c r="S846" s="26" t="s">
        <v>133</v>
      </c>
    </row>
    <row r="847" spans="1:19" ht="16.5" customHeight="1" x14ac:dyDescent="0.25">
      <c r="A847" s="9"/>
      <c r="B847" s="51" t="s">
        <v>77</v>
      </c>
      <c r="C847" s="52"/>
      <c r="D847" s="52"/>
      <c r="E847" s="52"/>
      <c r="F847" s="52"/>
      <c r="G847" s="53"/>
      <c r="H847" s="20"/>
      <c r="I847" s="9">
        <v>3</v>
      </c>
      <c r="J847" s="9"/>
      <c r="K847" s="9"/>
      <c r="L847" s="9"/>
      <c r="M847" s="9">
        <f t="shared" si="112"/>
        <v>17.700000000000003</v>
      </c>
      <c r="N847" s="9">
        <f t="shared" si="113"/>
        <v>6</v>
      </c>
      <c r="O847" s="9">
        <v>5.9</v>
      </c>
      <c r="P847" s="9">
        <v>2</v>
      </c>
      <c r="Q847" s="9" t="s">
        <v>3</v>
      </c>
      <c r="R847" s="1">
        <v>6</v>
      </c>
      <c r="S847" s="26" t="s">
        <v>133</v>
      </c>
    </row>
    <row r="848" spans="1:19" ht="16.5" hidden="1" customHeight="1" x14ac:dyDescent="0.25">
      <c r="A848" s="21"/>
      <c r="H848" s="21"/>
      <c r="I848" s="21"/>
      <c r="J848" s="21"/>
      <c r="K848" s="21"/>
      <c r="L848" s="21"/>
      <c r="M848" s="9">
        <f t="shared" si="112"/>
        <v>0</v>
      </c>
      <c r="N848" s="9">
        <f t="shared" si="113"/>
        <v>0</v>
      </c>
      <c r="O848" s="21"/>
      <c r="P848" s="21"/>
      <c r="Q848" s="21"/>
      <c r="S848" s="25"/>
    </row>
    <row r="849" spans="1:19" ht="15" customHeight="1" x14ac:dyDescent="0.25">
      <c r="A849" s="36" t="s">
        <v>0</v>
      </c>
      <c r="B849" s="29" t="s">
        <v>1</v>
      </c>
      <c r="C849" s="30"/>
      <c r="D849" s="30"/>
      <c r="E849" s="30"/>
      <c r="F849" s="30"/>
      <c r="G849" s="31"/>
      <c r="H849" s="36" t="s">
        <v>32</v>
      </c>
      <c r="I849" s="36" t="s">
        <v>39</v>
      </c>
      <c r="J849" s="55" t="s">
        <v>2</v>
      </c>
      <c r="K849" s="56"/>
      <c r="L849" s="56"/>
      <c r="M849" s="56"/>
      <c r="N849" s="56"/>
      <c r="O849" s="56"/>
      <c r="P849" s="56"/>
      <c r="Q849" s="57"/>
      <c r="S849" s="36" t="s">
        <v>38</v>
      </c>
    </row>
    <row r="850" spans="1:19" ht="24" customHeight="1" x14ac:dyDescent="0.25">
      <c r="A850" s="37"/>
      <c r="B850" s="32"/>
      <c r="C850" s="33"/>
      <c r="D850" s="33"/>
      <c r="E850" s="33"/>
      <c r="F850" s="33"/>
      <c r="G850" s="34"/>
      <c r="H850" s="37"/>
      <c r="I850" s="37"/>
      <c r="J850" s="7" t="s">
        <v>28</v>
      </c>
      <c r="K850" s="7" t="s">
        <v>29</v>
      </c>
      <c r="L850" s="7" t="s">
        <v>30</v>
      </c>
      <c r="M850" s="7"/>
      <c r="N850" s="7"/>
      <c r="O850" s="6" t="s">
        <v>35</v>
      </c>
      <c r="P850" s="6" t="s">
        <v>36</v>
      </c>
      <c r="Q850" s="6" t="s">
        <v>37</v>
      </c>
      <c r="S850" s="37"/>
    </row>
    <row r="851" spans="1:19" ht="16.5" customHeight="1" x14ac:dyDescent="0.25">
      <c r="A851" s="9"/>
      <c r="B851" s="39" t="s">
        <v>42</v>
      </c>
      <c r="C851" s="40"/>
      <c r="D851" s="40"/>
      <c r="E851" s="40"/>
      <c r="F851" s="40"/>
      <c r="G851" s="41"/>
      <c r="H851" s="23"/>
      <c r="I851" s="24">
        <f>SUM(I843:I848)</f>
        <v>14</v>
      </c>
      <c r="J851" s="9"/>
      <c r="K851" s="9"/>
      <c r="L851" s="9"/>
      <c r="M851" s="9">
        <f>I851*O851</f>
        <v>77.14</v>
      </c>
      <c r="N851" s="9">
        <f>I851*P851</f>
        <v>25.060000000000002</v>
      </c>
      <c r="O851" s="24">
        <f>ROUND(SUM(M843:M848)/I851,2)</f>
        <v>5.51</v>
      </c>
      <c r="P851" s="24">
        <f>ROUND(SUM(N843:N848)/I851,2)</f>
        <v>1.79</v>
      </c>
      <c r="Q851" s="9"/>
      <c r="S851" s="25"/>
    </row>
    <row r="852" spans="1:19" ht="20.25" customHeight="1" x14ac:dyDescent="0.25">
      <c r="A852" s="27" t="s">
        <v>79</v>
      </c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</row>
    <row r="853" spans="1:19" ht="16.5" customHeight="1" x14ac:dyDescent="0.25">
      <c r="A853" s="9"/>
      <c r="B853" s="51" t="s">
        <v>80</v>
      </c>
      <c r="C853" s="52"/>
      <c r="D853" s="52"/>
      <c r="E853" s="52"/>
      <c r="F853" s="52"/>
      <c r="G853" s="53"/>
      <c r="H853" s="20"/>
      <c r="I853" s="9">
        <v>3</v>
      </c>
      <c r="J853" s="9"/>
      <c r="K853" s="9"/>
      <c r="L853" s="9"/>
      <c r="M853" s="9">
        <f t="shared" ref="M853:M864" si="114">I853*O853</f>
        <v>9</v>
      </c>
      <c r="N853" s="9">
        <f t="shared" ref="N853:N864" si="115">I853*P853</f>
        <v>0</v>
      </c>
      <c r="O853" s="9">
        <v>3</v>
      </c>
      <c r="P853" s="9">
        <v>0</v>
      </c>
      <c r="Q853" s="9" t="s">
        <v>7</v>
      </c>
      <c r="R853" s="1">
        <v>0</v>
      </c>
      <c r="S853" s="26"/>
    </row>
    <row r="854" spans="1:19" ht="16.5" customHeight="1" x14ac:dyDescent="0.25">
      <c r="A854" s="9"/>
      <c r="B854" s="51" t="s">
        <v>83</v>
      </c>
      <c r="C854" s="52"/>
      <c r="D854" s="52"/>
      <c r="E854" s="52"/>
      <c r="F854" s="52"/>
      <c r="G854" s="53"/>
      <c r="H854" s="20"/>
      <c r="I854" s="9">
        <v>2</v>
      </c>
      <c r="J854" s="9"/>
      <c r="K854" s="9"/>
      <c r="L854" s="9"/>
      <c r="M854" s="9">
        <f t="shared" si="114"/>
        <v>15.4</v>
      </c>
      <c r="N854" s="9">
        <f t="shared" si="115"/>
        <v>6</v>
      </c>
      <c r="O854" s="9">
        <v>7.7</v>
      </c>
      <c r="P854" s="9">
        <v>3</v>
      </c>
      <c r="Q854" s="9" t="s">
        <v>6</v>
      </c>
      <c r="R854" s="1">
        <v>0</v>
      </c>
      <c r="S854" s="26"/>
    </row>
    <row r="855" spans="1:19" ht="16.5" customHeight="1" x14ac:dyDescent="0.25">
      <c r="A855" s="9"/>
      <c r="B855" s="51" t="s">
        <v>82</v>
      </c>
      <c r="C855" s="52"/>
      <c r="D855" s="52"/>
      <c r="E855" s="52"/>
      <c r="F855" s="52"/>
      <c r="G855" s="53"/>
      <c r="H855" s="20"/>
      <c r="I855" s="9">
        <v>3</v>
      </c>
      <c r="J855" s="9"/>
      <c r="K855" s="9"/>
      <c r="L855" s="9"/>
      <c r="M855" s="9">
        <f t="shared" si="114"/>
        <v>22.799999999999997</v>
      </c>
      <c r="N855" s="9">
        <f t="shared" si="115"/>
        <v>9</v>
      </c>
      <c r="O855" s="9">
        <v>7.6</v>
      </c>
      <c r="P855" s="9">
        <v>3</v>
      </c>
      <c r="Q855" s="9" t="s">
        <v>6</v>
      </c>
      <c r="R855" s="1">
        <v>0</v>
      </c>
      <c r="S855" s="26"/>
    </row>
    <row r="856" spans="1:19" ht="16.5" customHeight="1" x14ac:dyDescent="0.25">
      <c r="A856" s="9"/>
      <c r="B856" s="51" t="s">
        <v>81</v>
      </c>
      <c r="C856" s="52"/>
      <c r="D856" s="52"/>
      <c r="E856" s="52"/>
      <c r="F856" s="52"/>
      <c r="G856" s="53"/>
      <c r="H856" s="20"/>
      <c r="I856" s="9">
        <v>1</v>
      </c>
      <c r="J856" s="9"/>
      <c r="K856" s="9"/>
      <c r="L856" s="9"/>
      <c r="M856" s="9">
        <f t="shared" si="114"/>
        <v>8</v>
      </c>
      <c r="N856" s="9">
        <f t="shared" si="115"/>
        <v>3.5</v>
      </c>
      <c r="O856" s="9">
        <v>8</v>
      </c>
      <c r="P856" s="9">
        <v>3.5</v>
      </c>
      <c r="Q856" s="9" t="s">
        <v>9</v>
      </c>
      <c r="R856" s="1">
        <v>0</v>
      </c>
      <c r="S856" s="26"/>
    </row>
    <row r="857" spans="1:19" ht="16.5" customHeight="1" x14ac:dyDescent="0.25">
      <c r="A857" s="9"/>
      <c r="B857" s="51" t="s">
        <v>84</v>
      </c>
      <c r="C857" s="52"/>
      <c r="D857" s="52"/>
      <c r="E857" s="52"/>
      <c r="F857" s="52"/>
      <c r="G857" s="53"/>
      <c r="H857" s="20"/>
      <c r="I857" s="9">
        <v>2</v>
      </c>
      <c r="J857" s="9"/>
      <c r="K857" s="9"/>
      <c r="L857" s="9"/>
      <c r="M857" s="9">
        <f t="shared" si="114"/>
        <v>14.2</v>
      </c>
      <c r="N857" s="9">
        <f t="shared" si="115"/>
        <v>6</v>
      </c>
      <c r="O857" s="9">
        <v>7.1</v>
      </c>
      <c r="P857" s="9">
        <v>3</v>
      </c>
      <c r="Q857" s="9" t="s">
        <v>6</v>
      </c>
      <c r="R857" s="1">
        <v>0</v>
      </c>
      <c r="S857" s="26"/>
    </row>
    <row r="858" spans="1:19" ht="16.5" customHeight="1" x14ac:dyDescent="0.25">
      <c r="A858" s="9"/>
      <c r="B858" s="51" t="s">
        <v>85</v>
      </c>
      <c r="C858" s="52"/>
      <c r="D858" s="52"/>
      <c r="E858" s="52"/>
      <c r="F858" s="52"/>
      <c r="G858" s="53"/>
      <c r="H858" s="20"/>
      <c r="I858" s="9">
        <v>3</v>
      </c>
      <c r="J858" s="9"/>
      <c r="K858" s="9"/>
      <c r="L858" s="9"/>
      <c r="M858" s="9">
        <f t="shared" si="114"/>
        <v>21.9</v>
      </c>
      <c r="N858" s="9">
        <f t="shared" si="115"/>
        <v>9</v>
      </c>
      <c r="O858" s="9">
        <v>7.3</v>
      </c>
      <c r="P858" s="9">
        <v>3</v>
      </c>
      <c r="Q858" s="9" t="s">
        <v>6</v>
      </c>
      <c r="R858" s="1">
        <v>0</v>
      </c>
      <c r="S858" s="26"/>
    </row>
    <row r="859" spans="1:19" ht="16.5" customHeight="1" x14ac:dyDescent="0.25">
      <c r="A859" s="9"/>
      <c r="B859" s="51" t="s">
        <v>86</v>
      </c>
      <c r="C859" s="52"/>
      <c r="D859" s="52"/>
      <c r="E859" s="52"/>
      <c r="F859" s="52"/>
      <c r="G859" s="53"/>
      <c r="H859" s="20"/>
      <c r="I859" s="9">
        <v>4</v>
      </c>
      <c r="J859" s="9"/>
      <c r="K859" s="9"/>
      <c r="L859" s="9"/>
      <c r="M859" s="9">
        <f t="shared" si="114"/>
        <v>4</v>
      </c>
      <c r="N859" s="9">
        <f t="shared" si="115"/>
        <v>0</v>
      </c>
      <c r="O859" s="9">
        <v>1</v>
      </c>
      <c r="P859" s="9">
        <v>0</v>
      </c>
      <c r="Q859" s="9" t="s">
        <v>7</v>
      </c>
      <c r="R859" s="1">
        <v>0</v>
      </c>
      <c r="S859" s="26"/>
    </row>
    <row r="860" spans="1:19" ht="16.5" customHeight="1" x14ac:dyDescent="0.25">
      <c r="A860" s="9"/>
      <c r="B860" s="51" t="s">
        <v>87</v>
      </c>
      <c r="C860" s="52"/>
      <c r="D860" s="52"/>
      <c r="E860" s="52"/>
      <c r="F860" s="52"/>
      <c r="G860" s="53"/>
      <c r="H860" s="20"/>
      <c r="I860" s="9">
        <v>3</v>
      </c>
      <c r="J860" s="9"/>
      <c r="K860" s="9"/>
      <c r="L860" s="9"/>
      <c r="M860" s="9">
        <f t="shared" si="114"/>
        <v>23.4</v>
      </c>
      <c r="N860" s="9">
        <f t="shared" si="115"/>
        <v>9</v>
      </c>
      <c r="O860" s="9">
        <v>7.8</v>
      </c>
      <c r="P860" s="9">
        <v>3</v>
      </c>
      <c r="Q860" s="9" t="s">
        <v>6</v>
      </c>
      <c r="R860" s="1">
        <v>0</v>
      </c>
      <c r="S860" s="26"/>
    </row>
    <row r="861" spans="1:19" ht="16.5" customHeight="1" x14ac:dyDescent="0.25">
      <c r="A861" s="9"/>
      <c r="B861" s="51" t="s">
        <v>88</v>
      </c>
      <c r="C861" s="52"/>
      <c r="D861" s="52"/>
      <c r="E861" s="52"/>
      <c r="F861" s="52"/>
      <c r="G861" s="53"/>
      <c r="H861" s="20"/>
      <c r="I861" s="9">
        <v>2</v>
      </c>
      <c r="J861" s="9"/>
      <c r="K861" s="9"/>
      <c r="L861" s="9"/>
      <c r="M861" s="9">
        <f t="shared" si="114"/>
        <v>14.6</v>
      </c>
      <c r="N861" s="9">
        <f t="shared" si="115"/>
        <v>6</v>
      </c>
      <c r="O861" s="9">
        <v>7.3</v>
      </c>
      <c r="P861" s="9">
        <v>3</v>
      </c>
      <c r="Q861" s="9" t="s">
        <v>6</v>
      </c>
      <c r="R861" s="1">
        <v>0</v>
      </c>
      <c r="S861" s="26"/>
    </row>
    <row r="862" spans="1:19" ht="16.5" customHeight="1" x14ac:dyDescent="0.25">
      <c r="A862" s="9"/>
      <c r="B862" s="51" t="s">
        <v>89</v>
      </c>
      <c r="C862" s="52"/>
      <c r="D862" s="52"/>
      <c r="E862" s="52"/>
      <c r="F862" s="52"/>
      <c r="G862" s="53"/>
      <c r="H862" s="20"/>
      <c r="I862" s="9">
        <v>2</v>
      </c>
      <c r="J862" s="9"/>
      <c r="K862" s="9"/>
      <c r="L862" s="9"/>
      <c r="M862" s="9">
        <f t="shared" si="114"/>
        <v>14.2</v>
      </c>
      <c r="N862" s="9">
        <f t="shared" si="115"/>
        <v>6</v>
      </c>
      <c r="O862" s="9">
        <v>7.1</v>
      </c>
      <c r="P862" s="9">
        <v>3</v>
      </c>
      <c r="Q862" s="9" t="s">
        <v>6</v>
      </c>
      <c r="R862" s="1">
        <v>0</v>
      </c>
      <c r="S862" s="26"/>
    </row>
    <row r="863" spans="1:19" ht="16.5" hidden="1" customHeight="1" x14ac:dyDescent="0.25">
      <c r="A863" s="21"/>
      <c r="H863" s="21"/>
      <c r="I863" s="21"/>
      <c r="J863" s="21"/>
      <c r="K863" s="21"/>
      <c r="L863" s="21"/>
      <c r="M863" s="9">
        <f t="shared" si="114"/>
        <v>0</v>
      </c>
      <c r="N863" s="9">
        <f t="shared" si="115"/>
        <v>0</v>
      </c>
      <c r="O863" s="21"/>
      <c r="P863" s="21"/>
      <c r="Q863" s="21"/>
      <c r="S863" s="25"/>
    </row>
    <row r="864" spans="1:19" ht="16.5" customHeight="1" x14ac:dyDescent="0.25">
      <c r="A864" s="9"/>
      <c r="B864" s="39" t="s">
        <v>42</v>
      </c>
      <c r="C864" s="40"/>
      <c r="D864" s="40"/>
      <c r="E864" s="40"/>
      <c r="F864" s="40"/>
      <c r="G864" s="41"/>
      <c r="H864" s="23"/>
      <c r="I864" s="24">
        <f>SUM(I853:I863)</f>
        <v>25</v>
      </c>
      <c r="J864" s="9"/>
      <c r="K864" s="9"/>
      <c r="L864" s="9"/>
      <c r="M864" s="9">
        <f t="shared" si="114"/>
        <v>147.5</v>
      </c>
      <c r="N864" s="9">
        <f t="shared" si="115"/>
        <v>54.500000000000007</v>
      </c>
      <c r="O864" s="24">
        <f>ROUND(SUM(M853:M863)/I864,2)</f>
        <v>5.9</v>
      </c>
      <c r="P864" s="24">
        <f>ROUND(SUM(N853:N863)/I864,2)</f>
        <v>2.1800000000000002</v>
      </c>
      <c r="Q864" s="9"/>
      <c r="S864" s="25"/>
    </row>
    <row r="865" spans="1:19" ht="20.25" customHeight="1" x14ac:dyDescent="0.25">
      <c r="A865" s="27" t="s">
        <v>142</v>
      </c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</row>
    <row r="866" spans="1:19" ht="16.5" customHeight="1" x14ac:dyDescent="0.25">
      <c r="A866" s="9"/>
      <c r="B866" s="51" t="s">
        <v>80</v>
      </c>
      <c r="C866" s="52"/>
      <c r="D866" s="52"/>
      <c r="E866" s="52"/>
      <c r="F866" s="52"/>
      <c r="G866" s="53"/>
      <c r="H866" s="20"/>
      <c r="I866" s="9">
        <v>3</v>
      </c>
      <c r="J866" s="9"/>
      <c r="K866" s="9"/>
      <c r="L866" s="9"/>
      <c r="M866" s="9">
        <f>I866*O866</f>
        <v>10.5</v>
      </c>
      <c r="N866" s="9">
        <f>I866*P866</f>
        <v>0</v>
      </c>
      <c r="O866" s="9">
        <v>3.5</v>
      </c>
      <c r="P866" s="9">
        <v>0</v>
      </c>
      <c r="Q866" s="9" t="s">
        <v>7</v>
      </c>
      <c r="R866" s="1">
        <v>6</v>
      </c>
      <c r="S866" s="26" t="s">
        <v>133</v>
      </c>
    </row>
    <row r="867" spans="1:19" ht="16.5" customHeight="1" x14ac:dyDescent="0.25">
      <c r="A867" s="9"/>
      <c r="B867" s="51" t="s">
        <v>86</v>
      </c>
      <c r="C867" s="52"/>
      <c r="D867" s="52"/>
      <c r="E867" s="52"/>
      <c r="F867" s="52"/>
      <c r="G867" s="53"/>
      <c r="H867" s="20"/>
      <c r="I867" s="9">
        <v>4</v>
      </c>
      <c r="J867" s="9"/>
      <c r="K867" s="9"/>
      <c r="L867" s="9"/>
      <c r="M867" s="9">
        <f>I867*O867</f>
        <v>26</v>
      </c>
      <c r="N867" s="9">
        <f>I867*P867</f>
        <v>10</v>
      </c>
      <c r="O867" s="9">
        <v>6.5</v>
      </c>
      <c r="P867" s="9">
        <v>2.5</v>
      </c>
      <c r="Q867" s="9" t="s">
        <v>5</v>
      </c>
      <c r="R867" s="1">
        <v>6</v>
      </c>
      <c r="S867" s="26" t="s">
        <v>133</v>
      </c>
    </row>
    <row r="868" spans="1:19" ht="16.5" hidden="1" customHeight="1" x14ac:dyDescent="0.25">
      <c r="A868" s="21"/>
      <c r="H868" s="21"/>
      <c r="I868" s="21"/>
      <c r="J868" s="21"/>
      <c r="K868" s="21"/>
      <c r="L868" s="21"/>
      <c r="M868" s="9">
        <f>I868*O868</f>
        <v>0</v>
      </c>
      <c r="N868" s="9">
        <f>I868*P868</f>
        <v>0</v>
      </c>
      <c r="O868" s="21"/>
      <c r="P868" s="21"/>
      <c r="Q868" s="21"/>
      <c r="S868" s="25"/>
    </row>
    <row r="869" spans="1:19" ht="16.5" customHeight="1" x14ac:dyDescent="0.25">
      <c r="A869" s="9"/>
      <c r="B869" s="39" t="s">
        <v>42</v>
      </c>
      <c r="C869" s="40"/>
      <c r="D869" s="40"/>
      <c r="E869" s="40"/>
      <c r="F869" s="40"/>
      <c r="G869" s="41"/>
      <c r="H869" s="23"/>
      <c r="I869" s="24">
        <f>SUM(I866:I868)</f>
        <v>7</v>
      </c>
      <c r="J869" s="9"/>
      <c r="K869" s="9"/>
      <c r="L869" s="9"/>
      <c r="M869" s="9">
        <f>I869*O869</f>
        <v>36.47</v>
      </c>
      <c r="N869" s="9">
        <f>I869*P869</f>
        <v>10.01</v>
      </c>
      <c r="O869" s="24">
        <f>ROUND(SUM(M866:M868)/I869,2)</f>
        <v>5.21</v>
      </c>
      <c r="P869" s="24">
        <f>ROUND(SUM(N866:N868)/I869,2)</f>
        <v>1.43</v>
      </c>
      <c r="Q869" s="9"/>
      <c r="S869" s="25"/>
    </row>
    <row r="870" spans="1:19" ht="20.25" customHeight="1" x14ac:dyDescent="0.25">
      <c r="A870" s="27" t="s">
        <v>90</v>
      </c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</row>
    <row r="871" spans="1:19" ht="16.5" customHeight="1" x14ac:dyDescent="0.25">
      <c r="A871" s="9"/>
      <c r="B871" s="51" t="s">
        <v>92</v>
      </c>
      <c r="C871" s="52"/>
      <c r="D871" s="52"/>
      <c r="E871" s="52"/>
      <c r="F871" s="52"/>
      <c r="G871" s="53"/>
      <c r="H871" s="20"/>
      <c r="I871" s="9">
        <v>2</v>
      </c>
      <c r="J871" s="9"/>
      <c r="K871" s="9"/>
      <c r="L871" s="9"/>
      <c r="M871" s="9">
        <f t="shared" ref="M871:M884" si="116">I871*O871</f>
        <v>9.1999999999999993</v>
      </c>
      <c r="N871" s="9">
        <f t="shared" ref="N871:N884" si="117">I871*P871</f>
        <v>2</v>
      </c>
      <c r="O871" s="9">
        <v>4.5999999999999996</v>
      </c>
      <c r="P871" s="9">
        <v>1</v>
      </c>
      <c r="Q871" s="9" t="s">
        <v>8</v>
      </c>
      <c r="R871" s="1">
        <v>0</v>
      </c>
      <c r="S871" s="26"/>
    </row>
    <row r="872" spans="1:19" ht="16.5" customHeight="1" x14ac:dyDescent="0.25">
      <c r="A872" s="9"/>
      <c r="B872" s="51" t="s">
        <v>91</v>
      </c>
      <c r="C872" s="52"/>
      <c r="D872" s="52"/>
      <c r="E872" s="52"/>
      <c r="F872" s="52"/>
      <c r="G872" s="53"/>
      <c r="H872" s="20"/>
      <c r="I872" s="9">
        <v>1</v>
      </c>
      <c r="J872" s="9"/>
      <c r="K872" s="9"/>
      <c r="L872" s="9"/>
      <c r="M872" s="9">
        <f t="shared" si="116"/>
        <v>6.6</v>
      </c>
      <c r="N872" s="9">
        <f t="shared" si="117"/>
        <v>2.5</v>
      </c>
      <c r="O872" s="9">
        <v>6.6</v>
      </c>
      <c r="P872" s="9">
        <v>2.5</v>
      </c>
      <c r="Q872" s="9" t="s">
        <v>5</v>
      </c>
      <c r="R872" s="1">
        <v>0</v>
      </c>
      <c r="S872" s="26"/>
    </row>
    <row r="873" spans="1:19" ht="16.5" customHeight="1" x14ac:dyDescent="0.25">
      <c r="A873" s="9"/>
      <c r="B873" s="51" t="s">
        <v>94</v>
      </c>
      <c r="C873" s="52"/>
      <c r="D873" s="52"/>
      <c r="E873" s="52"/>
      <c r="F873" s="52"/>
      <c r="G873" s="53"/>
      <c r="H873" s="20"/>
      <c r="I873" s="9">
        <v>1</v>
      </c>
      <c r="J873" s="9"/>
      <c r="K873" s="9"/>
      <c r="L873" s="9"/>
      <c r="M873" s="9">
        <f t="shared" si="116"/>
        <v>8.4</v>
      </c>
      <c r="N873" s="9">
        <f t="shared" si="117"/>
        <v>3.5</v>
      </c>
      <c r="O873" s="9">
        <v>8.4</v>
      </c>
      <c r="P873" s="9">
        <v>3.5</v>
      </c>
      <c r="Q873" s="9" t="s">
        <v>9</v>
      </c>
      <c r="R873" s="1">
        <v>0</v>
      </c>
      <c r="S873" s="26"/>
    </row>
    <row r="874" spans="1:19" ht="16.5" customHeight="1" x14ac:dyDescent="0.25">
      <c r="A874" s="9"/>
      <c r="B874" s="51" t="s">
        <v>93</v>
      </c>
      <c r="C874" s="52"/>
      <c r="D874" s="52"/>
      <c r="E874" s="52"/>
      <c r="F874" s="52"/>
      <c r="G874" s="53"/>
      <c r="H874" s="20"/>
      <c r="I874" s="9">
        <v>3</v>
      </c>
      <c r="J874" s="9"/>
      <c r="K874" s="9"/>
      <c r="L874" s="9"/>
      <c r="M874" s="9">
        <f t="shared" si="116"/>
        <v>15.899999999999999</v>
      </c>
      <c r="N874" s="9">
        <f t="shared" si="117"/>
        <v>4.5</v>
      </c>
      <c r="O874" s="9">
        <v>5.3</v>
      </c>
      <c r="P874" s="9">
        <v>1.5</v>
      </c>
      <c r="Q874" s="9" t="s">
        <v>4</v>
      </c>
      <c r="R874" s="1">
        <v>0</v>
      </c>
      <c r="S874" s="26"/>
    </row>
    <row r="875" spans="1:19" ht="16.5" customHeight="1" x14ac:dyDescent="0.25">
      <c r="A875" s="9"/>
      <c r="B875" s="51" t="s">
        <v>96</v>
      </c>
      <c r="C875" s="52"/>
      <c r="D875" s="52"/>
      <c r="E875" s="52"/>
      <c r="F875" s="52"/>
      <c r="G875" s="53"/>
      <c r="H875" s="20"/>
      <c r="I875" s="9">
        <v>1</v>
      </c>
      <c r="J875" s="9"/>
      <c r="K875" s="9"/>
      <c r="L875" s="9"/>
      <c r="M875" s="9">
        <f t="shared" si="116"/>
        <v>7.6</v>
      </c>
      <c r="N875" s="9">
        <f t="shared" si="117"/>
        <v>3</v>
      </c>
      <c r="O875" s="9">
        <v>7.6</v>
      </c>
      <c r="P875" s="9">
        <v>3</v>
      </c>
      <c r="Q875" s="9" t="s">
        <v>6</v>
      </c>
      <c r="R875" s="1">
        <v>0</v>
      </c>
      <c r="S875" s="26"/>
    </row>
    <row r="876" spans="1:19" ht="16.5" customHeight="1" x14ac:dyDescent="0.25">
      <c r="A876" s="9"/>
      <c r="B876" s="51" t="s">
        <v>80</v>
      </c>
      <c r="C876" s="52"/>
      <c r="D876" s="52"/>
      <c r="E876" s="52"/>
      <c r="F876" s="52"/>
      <c r="G876" s="53"/>
      <c r="H876" s="20"/>
      <c r="I876" s="9">
        <v>3</v>
      </c>
      <c r="J876" s="9"/>
      <c r="K876" s="9"/>
      <c r="L876" s="9"/>
      <c r="M876" s="9">
        <f t="shared" si="116"/>
        <v>19.200000000000003</v>
      </c>
      <c r="N876" s="9">
        <f t="shared" si="117"/>
        <v>6</v>
      </c>
      <c r="O876" s="9">
        <v>6.4</v>
      </c>
      <c r="P876" s="9">
        <v>2</v>
      </c>
      <c r="Q876" s="9" t="s">
        <v>3</v>
      </c>
      <c r="R876" s="1">
        <v>5</v>
      </c>
      <c r="S876" s="26" t="s">
        <v>170</v>
      </c>
    </row>
    <row r="877" spans="1:19" ht="16.5" customHeight="1" x14ac:dyDescent="0.25">
      <c r="A877" s="9"/>
      <c r="B877" s="51" t="s">
        <v>97</v>
      </c>
      <c r="C877" s="52"/>
      <c r="D877" s="52"/>
      <c r="E877" s="52"/>
      <c r="F877" s="52"/>
      <c r="G877" s="53"/>
      <c r="H877" s="20"/>
      <c r="I877" s="9">
        <v>2</v>
      </c>
      <c r="J877" s="9"/>
      <c r="K877" s="9"/>
      <c r="L877" s="9"/>
      <c r="M877" s="9">
        <f t="shared" si="116"/>
        <v>14.6</v>
      </c>
      <c r="N877" s="9">
        <f t="shared" si="117"/>
        <v>6</v>
      </c>
      <c r="O877" s="9">
        <v>7.3</v>
      </c>
      <c r="P877" s="9">
        <v>3</v>
      </c>
      <c r="Q877" s="9" t="s">
        <v>6</v>
      </c>
      <c r="R877" s="1">
        <v>0</v>
      </c>
      <c r="S877" s="26"/>
    </row>
    <row r="878" spans="1:19" ht="16.5" customHeight="1" x14ac:dyDescent="0.25">
      <c r="A878" s="9"/>
      <c r="B878" s="51" t="s">
        <v>95</v>
      </c>
      <c r="C878" s="52"/>
      <c r="D878" s="52"/>
      <c r="E878" s="52"/>
      <c r="F878" s="52"/>
      <c r="G878" s="53"/>
      <c r="H878" s="20"/>
      <c r="I878" s="9">
        <v>1</v>
      </c>
      <c r="J878" s="9"/>
      <c r="K878" s="9"/>
      <c r="L878" s="9"/>
      <c r="M878" s="9">
        <f t="shared" si="116"/>
        <v>7.7</v>
      </c>
      <c r="N878" s="9">
        <f t="shared" si="117"/>
        <v>3</v>
      </c>
      <c r="O878" s="9">
        <v>7.7</v>
      </c>
      <c r="P878" s="9">
        <v>3</v>
      </c>
      <c r="Q878" s="9" t="s">
        <v>6</v>
      </c>
      <c r="R878" s="1">
        <v>0</v>
      </c>
      <c r="S878" s="26"/>
    </row>
    <row r="879" spans="1:19" ht="16.5" customHeight="1" x14ac:dyDescent="0.25">
      <c r="A879" s="9"/>
      <c r="B879" s="51" t="s">
        <v>98</v>
      </c>
      <c r="C879" s="52"/>
      <c r="D879" s="52"/>
      <c r="E879" s="52"/>
      <c r="F879" s="52"/>
      <c r="G879" s="53"/>
      <c r="H879" s="20"/>
      <c r="I879" s="9">
        <v>3</v>
      </c>
      <c r="J879" s="9"/>
      <c r="K879" s="9"/>
      <c r="L879" s="9"/>
      <c r="M879" s="9">
        <f t="shared" si="116"/>
        <v>21.299999999999997</v>
      </c>
      <c r="N879" s="9">
        <f t="shared" si="117"/>
        <v>9</v>
      </c>
      <c r="O879" s="9">
        <v>7.1</v>
      </c>
      <c r="P879" s="9">
        <v>3</v>
      </c>
      <c r="Q879" s="9" t="s">
        <v>6</v>
      </c>
      <c r="R879" s="1">
        <v>0</v>
      </c>
      <c r="S879" s="26"/>
    </row>
    <row r="880" spans="1:19" ht="16.5" customHeight="1" x14ac:dyDescent="0.25">
      <c r="A880" s="9"/>
      <c r="B880" s="51" t="s">
        <v>99</v>
      </c>
      <c r="C880" s="52"/>
      <c r="D880" s="52"/>
      <c r="E880" s="52"/>
      <c r="F880" s="52"/>
      <c r="G880" s="53"/>
      <c r="H880" s="20"/>
      <c r="I880" s="9">
        <v>2</v>
      </c>
      <c r="J880" s="9"/>
      <c r="K880" s="9"/>
      <c r="L880" s="9"/>
      <c r="M880" s="9">
        <f t="shared" si="116"/>
        <v>13.4</v>
      </c>
      <c r="N880" s="9">
        <f t="shared" si="117"/>
        <v>5</v>
      </c>
      <c r="O880" s="9">
        <v>6.7</v>
      </c>
      <c r="P880" s="9">
        <v>2.5</v>
      </c>
      <c r="Q880" s="9" t="s">
        <v>5</v>
      </c>
      <c r="R880" s="1">
        <v>0</v>
      </c>
      <c r="S880" s="26"/>
    </row>
    <row r="881" spans="1:19" ht="16.5" customHeight="1" x14ac:dyDescent="0.25">
      <c r="A881" s="9"/>
      <c r="B881" s="51" t="s">
        <v>101</v>
      </c>
      <c r="C881" s="52"/>
      <c r="D881" s="52"/>
      <c r="E881" s="52"/>
      <c r="F881" s="52"/>
      <c r="G881" s="53"/>
      <c r="H881" s="20"/>
      <c r="I881" s="9">
        <v>2</v>
      </c>
      <c r="J881" s="9"/>
      <c r="K881" s="9"/>
      <c r="L881" s="9"/>
      <c r="M881" s="9">
        <f t="shared" si="116"/>
        <v>13.2</v>
      </c>
      <c r="N881" s="9">
        <f t="shared" si="117"/>
        <v>5</v>
      </c>
      <c r="O881" s="9">
        <v>6.6</v>
      </c>
      <c r="P881" s="9">
        <v>2.5</v>
      </c>
      <c r="Q881" s="9" t="s">
        <v>5</v>
      </c>
      <c r="R881" s="1">
        <v>0</v>
      </c>
      <c r="S881" s="26"/>
    </row>
    <row r="882" spans="1:19" ht="16.5" customHeight="1" x14ac:dyDescent="0.25">
      <c r="A882" s="9"/>
      <c r="B882" s="51" t="s">
        <v>100</v>
      </c>
      <c r="C882" s="52"/>
      <c r="D882" s="52"/>
      <c r="E882" s="52"/>
      <c r="F882" s="52"/>
      <c r="G882" s="53"/>
      <c r="H882" s="20"/>
      <c r="I882" s="9">
        <v>4</v>
      </c>
      <c r="J882" s="9"/>
      <c r="K882" s="9"/>
      <c r="L882" s="9"/>
      <c r="M882" s="9">
        <f t="shared" si="116"/>
        <v>20</v>
      </c>
      <c r="N882" s="9">
        <f t="shared" si="117"/>
        <v>6</v>
      </c>
      <c r="O882" s="9">
        <v>5</v>
      </c>
      <c r="P882" s="9">
        <v>1.5</v>
      </c>
      <c r="Q882" s="9" t="s">
        <v>4</v>
      </c>
      <c r="R882" s="1">
        <v>0</v>
      </c>
      <c r="S882" s="26"/>
    </row>
    <row r="883" spans="1:19" ht="16.5" hidden="1" customHeight="1" x14ac:dyDescent="0.25">
      <c r="A883" s="21"/>
      <c r="H883" s="21"/>
      <c r="I883" s="21"/>
      <c r="J883" s="21"/>
      <c r="K883" s="21"/>
      <c r="L883" s="21"/>
      <c r="M883" s="9">
        <f t="shared" si="116"/>
        <v>0</v>
      </c>
      <c r="N883" s="9">
        <f t="shared" si="117"/>
        <v>0</v>
      </c>
      <c r="O883" s="21"/>
      <c r="P883" s="21"/>
      <c r="Q883" s="21"/>
      <c r="S883" s="25"/>
    </row>
    <row r="884" spans="1:19" ht="16.5" customHeight="1" x14ac:dyDescent="0.25">
      <c r="A884" s="9"/>
      <c r="B884" s="39" t="s">
        <v>42</v>
      </c>
      <c r="C884" s="40"/>
      <c r="D884" s="40"/>
      <c r="E884" s="40"/>
      <c r="F884" s="40"/>
      <c r="G884" s="41"/>
      <c r="H884" s="23"/>
      <c r="I884" s="24">
        <f>SUM(I871:I883)</f>
        <v>25</v>
      </c>
      <c r="J884" s="9"/>
      <c r="K884" s="9"/>
      <c r="L884" s="9"/>
      <c r="M884" s="9">
        <f t="shared" si="116"/>
        <v>157</v>
      </c>
      <c r="N884" s="9">
        <f t="shared" si="117"/>
        <v>55.500000000000007</v>
      </c>
      <c r="O884" s="24">
        <f>ROUND(SUM(M871:M883)/I884,2)</f>
        <v>6.28</v>
      </c>
      <c r="P884" s="24">
        <f>ROUND(SUM(N871:N883)/I884,2)</f>
        <v>2.2200000000000002</v>
      </c>
      <c r="Q884" s="9"/>
      <c r="S884" s="25"/>
    </row>
    <row r="885" spans="1:19" ht="20.25" customHeight="1" x14ac:dyDescent="0.25">
      <c r="A885" s="27" t="s">
        <v>102</v>
      </c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</row>
    <row r="886" spans="1:19" ht="16.5" customHeight="1" x14ac:dyDescent="0.25">
      <c r="A886" s="9"/>
      <c r="B886" s="51" t="s">
        <v>107</v>
      </c>
      <c r="C886" s="52"/>
      <c r="D886" s="52"/>
      <c r="E886" s="52"/>
      <c r="F886" s="52"/>
      <c r="G886" s="53"/>
      <c r="H886" s="20"/>
      <c r="I886" s="9">
        <v>2</v>
      </c>
      <c r="J886" s="9"/>
      <c r="K886" s="9"/>
      <c r="L886" s="9"/>
      <c r="M886" s="9">
        <f t="shared" ref="M886:M898" si="118">I886*O886</f>
        <v>16.8</v>
      </c>
      <c r="N886" s="9">
        <f t="shared" ref="N886:N898" si="119">I886*P886</f>
        <v>7</v>
      </c>
      <c r="O886" s="9">
        <v>8.4</v>
      </c>
      <c r="P886" s="9">
        <v>3.5</v>
      </c>
      <c r="Q886" s="9" t="s">
        <v>9</v>
      </c>
      <c r="R886" s="1">
        <v>0</v>
      </c>
      <c r="S886" s="26"/>
    </row>
    <row r="887" spans="1:19" ht="16.5" customHeight="1" x14ac:dyDescent="0.25">
      <c r="A887" s="9"/>
      <c r="B887" s="51" t="s">
        <v>104</v>
      </c>
      <c r="C887" s="52"/>
      <c r="D887" s="52"/>
      <c r="E887" s="52"/>
      <c r="F887" s="52"/>
      <c r="G887" s="53"/>
      <c r="H887" s="20"/>
      <c r="I887" s="9">
        <v>4</v>
      </c>
      <c r="J887" s="9"/>
      <c r="K887" s="9"/>
      <c r="L887" s="9"/>
      <c r="M887" s="9">
        <f t="shared" si="118"/>
        <v>26</v>
      </c>
      <c r="N887" s="9">
        <f t="shared" si="119"/>
        <v>10</v>
      </c>
      <c r="O887" s="9">
        <v>6.5</v>
      </c>
      <c r="P887" s="9">
        <v>2.5</v>
      </c>
      <c r="Q887" s="9" t="s">
        <v>5</v>
      </c>
      <c r="R887" s="1">
        <v>0</v>
      </c>
      <c r="S887" s="26"/>
    </row>
    <row r="888" spans="1:19" ht="16.5" customHeight="1" x14ac:dyDescent="0.25">
      <c r="A888" s="9"/>
      <c r="B888" s="51" t="s">
        <v>111</v>
      </c>
      <c r="C888" s="52"/>
      <c r="D888" s="52"/>
      <c r="E888" s="52"/>
      <c r="F888" s="52"/>
      <c r="G888" s="53"/>
      <c r="H888" s="20"/>
      <c r="I888" s="9">
        <v>3</v>
      </c>
      <c r="J888" s="9"/>
      <c r="K888" s="9"/>
      <c r="L888" s="9"/>
      <c r="M888" s="9">
        <f t="shared" si="118"/>
        <v>23.1</v>
      </c>
      <c r="N888" s="9">
        <f t="shared" si="119"/>
        <v>9</v>
      </c>
      <c r="O888" s="9">
        <v>7.7</v>
      </c>
      <c r="P888" s="9">
        <v>3</v>
      </c>
      <c r="Q888" s="9" t="s">
        <v>6</v>
      </c>
      <c r="R888" s="1">
        <v>0</v>
      </c>
      <c r="S888" s="26"/>
    </row>
    <row r="889" spans="1:19" ht="16.5" customHeight="1" x14ac:dyDescent="0.25">
      <c r="A889" s="9"/>
      <c r="B889" s="51" t="s">
        <v>106</v>
      </c>
      <c r="C889" s="52"/>
      <c r="D889" s="52"/>
      <c r="E889" s="52"/>
      <c r="F889" s="52"/>
      <c r="G889" s="53"/>
      <c r="H889" s="20"/>
      <c r="I889" s="9">
        <v>3</v>
      </c>
      <c r="J889" s="9"/>
      <c r="K889" s="9"/>
      <c r="L889" s="9"/>
      <c r="M889" s="9">
        <f t="shared" si="118"/>
        <v>20.399999999999999</v>
      </c>
      <c r="N889" s="9">
        <f t="shared" si="119"/>
        <v>7.5</v>
      </c>
      <c r="O889" s="9">
        <v>6.8</v>
      </c>
      <c r="P889" s="9">
        <v>2.5</v>
      </c>
      <c r="Q889" s="9" t="s">
        <v>5</v>
      </c>
      <c r="R889" s="1">
        <v>0</v>
      </c>
      <c r="S889" s="26"/>
    </row>
    <row r="890" spans="1:19" ht="16.5" customHeight="1" x14ac:dyDescent="0.25">
      <c r="A890" s="9"/>
      <c r="B890" s="51" t="s">
        <v>103</v>
      </c>
      <c r="C890" s="52"/>
      <c r="D890" s="52"/>
      <c r="E890" s="52"/>
      <c r="F890" s="52"/>
      <c r="G890" s="53"/>
      <c r="H890" s="20"/>
      <c r="I890" s="9">
        <v>1</v>
      </c>
      <c r="J890" s="9"/>
      <c r="K890" s="9"/>
      <c r="L890" s="9"/>
      <c r="M890" s="9">
        <f t="shared" si="118"/>
        <v>7.4</v>
      </c>
      <c r="N890" s="9">
        <f t="shared" si="119"/>
        <v>3</v>
      </c>
      <c r="O890" s="9">
        <v>7.4</v>
      </c>
      <c r="P890" s="9">
        <v>3</v>
      </c>
      <c r="Q890" s="9" t="s">
        <v>6</v>
      </c>
      <c r="R890" s="1">
        <v>0</v>
      </c>
      <c r="S890" s="26"/>
    </row>
    <row r="891" spans="1:19" ht="16.5" customHeight="1" x14ac:dyDescent="0.25">
      <c r="A891" s="9"/>
      <c r="B891" s="51" t="s">
        <v>108</v>
      </c>
      <c r="C891" s="52"/>
      <c r="D891" s="52"/>
      <c r="E891" s="52"/>
      <c r="F891" s="52"/>
      <c r="G891" s="53"/>
      <c r="H891" s="20"/>
      <c r="I891" s="9">
        <v>2</v>
      </c>
      <c r="J891" s="9"/>
      <c r="K891" s="9"/>
      <c r="L891" s="9"/>
      <c r="M891" s="9">
        <f t="shared" si="118"/>
        <v>12.8</v>
      </c>
      <c r="N891" s="9">
        <f t="shared" si="119"/>
        <v>4</v>
      </c>
      <c r="O891" s="9">
        <v>6.4</v>
      </c>
      <c r="P891" s="9">
        <v>2</v>
      </c>
      <c r="Q891" s="9" t="s">
        <v>3</v>
      </c>
      <c r="R891" s="1">
        <v>0</v>
      </c>
      <c r="S891" s="26"/>
    </row>
    <row r="892" spans="1:19" ht="16.5" customHeight="1" x14ac:dyDescent="0.25">
      <c r="A892" s="9"/>
      <c r="B892" s="51" t="s">
        <v>109</v>
      </c>
      <c r="C892" s="52"/>
      <c r="D892" s="52"/>
      <c r="E892" s="52"/>
      <c r="F892" s="52"/>
      <c r="G892" s="53"/>
      <c r="H892" s="20"/>
      <c r="I892" s="9">
        <v>3</v>
      </c>
      <c r="J892" s="9"/>
      <c r="K892" s="9"/>
      <c r="L892" s="9"/>
      <c r="M892" s="9">
        <f t="shared" si="118"/>
        <v>19.200000000000003</v>
      </c>
      <c r="N892" s="9">
        <f t="shared" si="119"/>
        <v>6</v>
      </c>
      <c r="O892" s="9">
        <v>6.4</v>
      </c>
      <c r="P892" s="9">
        <v>2</v>
      </c>
      <c r="Q892" s="9" t="s">
        <v>3</v>
      </c>
      <c r="R892" s="1">
        <v>0</v>
      </c>
      <c r="S892" s="26"/>
    </row>
    <row r="893" spans="1:19" ht="16.5" customHeight="1" x14ac:dyDescent="0.25">
      <c r="A893" s="9"/>
      <c r="B893" s="51" t="s">
        <v>110</v>
      </c>
      <c r="C893" s="52"/>
      <c r="D893" s="52"/>
      <c r="E893" s="52"/>
      <c r="F893" s="52"/>
      <c r="G893" s="53"/>
      <c r="H893" s="20"/>
      <c r="I893" s="9">
        <v>2</v>
      </c>
      <c r="J893" s="9"/>
      <c r="K893" s="9"/>
      <c r="L893" s="9"/>
      <c r="M893" s="9">
        <f t="shared" si="118"/>
        <v>13.6</v>
      </c>
      <c r="N893" s="9">
        <f t="shared" si="119"/>
        <v>5</v>
      </c>
      <c r="O893" s="9">
        <v>6.8</v>
      </c>
      <c r="P893" s="9">
        <v>2.5</v>
      </c>
      <c r="Q893" s="9" t="s">
        <v>5</v>
      </c>
      <c r="R893" s="1">
        <v>0</v>
      </c>
      <c r="S893" s="26"/>
    </row>
    <row r="894" spans="1:19" ht="16.5" customHeight="1" x14ac:dyDescent="0.25">
      <c r="A894" s="9"/>
      <c r="B894" s="51" t="s">
        <v>105</v>
      </c>
      <c r="C894" s="52"/>
      <c r="D894" s="52"/>
      <c r="E894" s="52"/>
      <c r="F894" s="52"/>
      <c r="G894" s="53"/>
      <c r="H894" s="20"/>
      <c r="I894" s="9">
        <v>2</v>
      </c>
      <c r="J894" s="9"/>
      <c r="K894" s="9"/>
      <c r="L894" s="9"/>
      <c r="M894" s="9">
        <f t="shared" si="118"/>
        <v>11.8</v>
      </c>
      <c r="N894" s="9">
        <f t="shared" si="119"/>
        <v>4</v>
      </c>
      <c r="O894" s="9">
        <v>5.9</v>
      </c>
      <c r="P894" s="9">
        <v>2</v>
      </c>
      <c r="Q894" s="9" t="s">
        <v>3</v>
      </c>
      <c r="R894" s="1">
        <v>0</v>
      </c>
      <c r="S894" s="26"/>
    </row>
    <row r="895" spans="1:19" ht="16.5" customHeight="1" x14ac:dyDescent="0.25">
      <c r="A895" s="9"/>
      <c r="B895" s="51" t="s">
        <v>113</v>
      </c>
      <c r="C895" s="52"/>
      <c r="D895" s="52"/>
      <c r="E895" s="52"/>
      <c r="F895" s="52"/>
      <c r="G895" s="53"/>
      <c r="H895" s="20"/>
      <c r="I895" s="9">
        <v>3</v>
      </c>
      <c r="J895" s="9"/>
      <c r="K895" s="9"/>
      <c r="L895" s="9"/>
      <c r="M895" s="9">
        <f t="shared" si="118"/>
        <v>19.200000000000003</v>
      </c>
      <c r="N895" s="9">
        <f t="shared" si="119"/>
        <v>6</v>
      </c>
      <c r="O895" s="9">
        <v>6.4</v>
      </c>
      <c r="P895" s="9">
        <v>2</v>
      </c>
      <c r="Q895" s="9" t="s">
        <v>3</v>
      </c>
      <c r="R895" s="1">
        <v>0</v>
      </c>
      <c r="S895" s="26"/>
    </row>
    <row r="896" spans="1:19" ht="16.5" customHeight="1" x14ac:dyDescent="0.25">
      <c r="A896" s="9"/>
      <c r="B896" s="51" t="s">
        <v>112</v>
      </c>
      <c r="C896" s="52"/>
      <c r="D896" s="52"/>
      <c r="E896" s="52"/>
      <c r="F896" s="52"/>
      <c r="G896" s="53"/>
      <c r="H896" s="20"/>
      <c r="I896" s="9">
        <v>2</v>
      </c>
      <c r="J896" s="9"/>
      <c r="K896" s="9"/>
      <c r="L896" s="9"/>
      <c r="M896" s="9">
        <f t="shared" si="118"/>
        <v>15.2</v>
      </c>
      <c r="N896" s="9">
        <f t="shared" si="119"/>
        <v>6</v>
      </c>
      <c r="O896" s="9">
        <v>7.6</v>
      </c>
      <c r="P896" s="9">
        <v>3</v>
      </c>
      <c r="Q896" s="9" t="s">
        <v>6</v>
      </c>
      <c r="R896" s="1">
        <v>0</v>
      </c>
      <c r="S896" s="26"/>
    </row>
    <row r="897" spans="1:19" ht="16.5" hidden="1" customHeight="1" x14ac:dyDescent="0.25">
      <c r="A897" s="21"/>
      <c r="H897" s="21"/>
      <c r="I897" s="21"/>
      <c r="J897" s="21"/>
      <c r="K897" s="21"/>
      <c r="L897" s="21"/>
      <c r="M897" s="9">
        <f t="shared" si="118"/>
        <v>0</v>
      </c>
      <c r="N897" s="9">
        <f t="shared" si="119"/>
        <v>0</v>
      </c>
      <c r="O897" s="21"/>
      <c r="P897" s="21"/>
      <c r="Q897" s="21"/>
      <c r="S897" s="25"/>
    </row>
    <row r="898" spans="1:19" ht="16.5" customHeight="1" x14ac:dyDescent="0.25">
      <c r="A898" s="9"/>
      <c r="B898" s="39" t="s">
        <v>42</v>
      </c>
      <c r="C898" s="40"/>
      <c r="D898" s="40"/>
      <c r="E898" s="40"/>
      <c r="F898" s="40"/>
      <c r="G898" s="41"/>
      <c r="H898" s="23"/>
      <c r="I898" s="24">
        <f>SUM(I886:I897)</f>
        <v>27</v>
      </c>
      <c r="J898" s="9"/>
      <c r="K898" s="9"/>
      <c r="L898" s="9"/>
      <c r="M898" s="9">
        <f t="shared" si="118"/>
        <v>185.49</v>
      </c>
      <c r="N898" s="9">
        <f t="shared" si="119"/>
        <v>67.5</v>
      </c>
      <c r="O898" s="24">
        <f>ROUND(SUM(M886:M897)/I898,2)</f>
        <v>6.87</v>
      </c>
      <c r="P898" s="24">
        <f>ROUND(SUM(N886:N897)/I898,2)</f>
        <v>2.5</v>
      </c>
      <c r="Q898" s="9"/>
      <c r="S898" s="25"/>
    </row>
    <row r="899" spans="1:19" ht="20.25" customHeight="1" x14ac:dyDescent="0.25">
      <c r="A899" s="27" t="s">
        <v>114</v>
      </c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</row>
    <row r="900" spans="1:19" ht="16.5" customHeight="1" x14ac:dyDescent="0.25">
      <c r="A900" s="9"/>
      <c r="B900" s="51" t="s">
        <v>119</v>
      </c>
      <c r="C900" s="52"/>
      <c r="D900" s="52"/>
      <c r="E900" s="52"/>
      <c r="F900" s="52"/>
      <c r="G900" s="53"/>
      <c r="H900" s="20"/>
      <c r="I900" s="9">
        <v>3</v>
      </c>
      <c r="J900" s="9"/>
      <c r="K900" s="9"/>
      <c r="L900" s="9"/>
      <c r="M900" s="9">
        <f t="shared" ref="M900:M910" si="120">I900*O900</f>
        <v>15.299999999999999</v>
      </c>
      <c r="N900" s="9">
        <f t="shared" ref="N900:N910" si="121">I900*P900</f>
        <v>4.5</v>
      </c>
      <c r="O900" s="9">
        <v>5.0999999999999996</v>
      </c>
      <c r="P900" s="9">
        <v>1.5</v>
      </c>
      <c r="Q900" s="9" t="s">
        <v>4</v>
      </c>
      <c r="R900" s="1">
        <v>0</v>
      </c>
      <c r="S900" s="26"/>
    </row>
    <row r="901" spans="1:19" ht="16.5" customHeight="1" x14ac:dyDescent="0.25">
      <c r="A901" s="9"/>
      <c r="B901" s="51" t="s">
        <v>122</v>
      </c>
      <c r="C901" s="52"/>
      <c r="D901" s="52"/>
      <c r="E901" s="52"/>
      <c r="F901" s="52"/>
      <c r="G901" s="53"/>
      <c r="H901" s="20"/>
      <c r="I901" s="9">
        <v>1</v>
      </c>
      <c r="J901" s="9"/>
      <c r="K901" s="9"/>
      <c r="L901" s="9"/>
      <c r="M901" s="9">
        <f t="shared" si="120"/>
        <v>6.7</v>
      </c>
      <c r="N901" s="9">
        <f t="shared" si="121"/>
        <v>2.5</v>
      </c>
      <c r="O901" s="9">
        <v>6.7</v>
      </c>
      <c r="P901" s="9">
        <v>2.5</v>
      </c>
      <c r="Q901" s="9" t="s">
        <v>5</v>
      </c>
      <c r="R901" s="1">
        <v>0</v>
      </c>
      <c r="S901" s="26"/>
    </row>
    <row r="902" spans="1:19" ht="16.5" customHeight="1" x14ac:dyDescent="0.25">
      <c r="A902" s="9"/>
      <c r="B902" s="51" t="s">
        <v>117</v>
      </c>
      <c r="C902" s="52"/>
      <c r="D902" s="52"/>
      <c r="E902" s="52"/>
      <c r="F902" s="52"/>
      <c r="G902" s="53"/>
      <c r="H902" s="20"/>
      <c r="I902" s="9">
        <v>3</v>
      </c>
      <c r="J902" s="9"/>
      <c r="K902" s="9"/>
      <c r="L902" s="9"/>
      <c r="M902" s="9">
        <f t="shared" si="120"/>
        <v>16.799999999999997</v>
      </c>
      <c r="N902" s="9">
        <f t="shared" si="121"/>
        <v>6</v>
      </c>
      <c r="O902" s="9">
        <v>5.6</v>
      </c>
      <c r="P902" s="9">
        <v>2</v>
      </c>
      <c r="Q902" s="9" t="s">
        <v>3</v>
      </c>
      <c r="R902" s="1">
        <v>0</v>
      </c>
      <c r="S902" s="26"/>
    </row>
    <row r="903" spans="1:19" ht="16.5" customHeight="1" x14ac:dyDescent="0.25">
      <c r="A903" s="9"/>
      <c r="B903" s="51" t="s">
        <v>118</v>
      </c>
      <c r="C903" s="52"/>
      <c r="D903" s="52"/>
      <c r="E903" s="52"/>
      <c r="F903" s="52"/>
      <c r="G903" s="53"/>
      <c r="H903" s="20"/>
      <c r="I903" s="9">
        <v>3</v>
      </c>
      <c r="J903" s="9"/>
      <c r="K903" s="9"/>
      <c r="L903" s="9"/>
      <c r="M903" s="9">
        <f t="shared" si="120"/>
        <v>20.399999999999999</v>
      </c>
      <c r="N903" s="9">
        <f t="shared" si="121"/>
        <v>7.5</v>
      </c>
      <c r="O903" s="9">
        <v>6.8</v>
      </c>
      <c r="P903" s="9">
        <v>2.5</v>
      </c>
      <c r="Q903" s="9" t="s">
        <v>5</v>
      </c>
      <c r="R903" s="1">
        <v>0</v>
      </c>
      <c r="S903" s="26"/>
    </row>
    <row r="904" spans="1:19" ht="31.2" customHeight="1" x14ac:dyDescent="0.25">
      <c r="A904" s="9"/>
      <c r="B904" s="51" t="s">
        <v>123</v>
      </c>
      <c r="C904" s="52"/>
      <c r="D904" s="52"/>
      <c r="E904" s="52"/>
      <c r="F904" s="52"/>
      <c r="G904" s="53"/>
      <c r="H904" s="20"/>
      <c r="I904" s="9">
        <v>3</v>
      </c>
      <c r="J904" s="9"/>
      <c r="K904" s="9"/>
      <c r="L904" s="9"/>
      <c r="M904" s="9">
        <f t="shared" si="120"/>
        <v>21.299999999999997</v>
      </c>
      <c r="N904" s="9">
        <f t="shared" si="121"/>
        <v>9</v>
      </c>
      <c r="O904" s="9">
        <v>7.1</v>
      </c>
      <c r="P904" s="9">
        <v>3</v>
      </c>
      <c r="Q904" s="9" t="s">
        <v>6</v>
      </c>
      <c r="R904" s="1">
        <v>0</v>
      </c>
      <c r="S904" s="26"/>
    </row>
    <row r="905" spans="1:19" ht="16.5" customHeight="1" x14ac:dyDescent="0.25">
      <c r="A905" s="9"/>
      <c r="B905" s="51" t="s">
        <v>120</v>
      </c>
      <c r="C905" s="52"/>
      <c r="D905" s="52"/>
      <c r="E905" s="52"/>
      <c r="F905" s="52"/>
      <c r="G905" s="53"/>
      <c r="H905" s="20"/>
      <c r="I905" s="9">
        <v>2</v>
      </c>
      <c r="J905" s="9"/>
      <c r="K905" s="9"/>
      <c r="L905" s="9"/>
      <c r="M905" s="9">
        <f t="shared" si="120"/>
        <v>14</v>
      </c>
      <c r="N905" s="9">
        <f t="shared" si="121"/>
        <v>6</v>
      </c>
      <c r="O905" s="9">
        <v>7</v>
      </c>
      <c r="P905" s="9">
        <v>3</v>
      </c>
      <c r="Q905" s="9" t="s">
        <v>6</v>
      </c>
      <c r="R905" s="1">
        <v>0</v>
      </c>
      <c r="S905" s="26"/>
    </row>
    <row r="906" spans="1:19" ht="16.5" customHeight="1" x14ac:dyDescent="0.25">
      <c r="A906" s="9"/>
      <c r="B906" s="51" t="s">
        <v>121</v>
      </c>
      <c r="C906" s="52"/>
      <c r="D906" s="52"/>
      <c r="E906" s="52"/>
      <c r="F906" s="52"/>
      <c r="G906" s="53"/>
      <c r="H906" s="20"/>
      <c r="I906" s="9">
        <v>3</v>
      </c>
      <c r="J906" s="9"/>
      <c r="K906" s="9"/>
      <c r="L906" s="9"/>
      <c r="M906" s="9">
        <f t="shared" si="120"/>
        <v>18</v>
      </c>
      <c r="N906" s="9">
        <f t="shared" si="121"/>
        <v>6</v>
      </c>
      <c r="O906" s="9">
        <v>6</v>
      </c>
      <c r="P906" s="9">
        <v>2</v>
      </c>
      <c r="Q906" s="9" t="s">
        <v>3</v>
      </c>
      <c r="R906" s="1">
        <v>0</v>
      </c>
      <c r="S906" s="26"/>
    </row>
    <row r="907" spans="1:19" ht="16.5" customHeight="1" x14ac:dyDescent="0.25">
      <c r="A907" s="9"/>
      <c r="B907" s="51" t="s">
        <v>116</v>
      </c>
      <c r="C907" s="52"/>
      <c r="D907" s="52"/>
      <c r="E907" s="52"/>
      <c r="F907" s="52"/>
      <c r="G907" s="53"/>
      <c r="H907" s="20"/>
      <c r="I907" s="9">
        <v>3</v>
      </c>
      <c r="J907" s="9"/>
      <c r="K907" s="9"/>
      <c r="L907" s="9"/>
      <c r="M907" s="9">
        <f t="shared" si="120"/>
        <v>24</v>
      </c>
      <c r="N907" s="9">
        <f t="shared" si="121"/>
        <v>10.5</v>
      </c>
      <c r="O907" s="9">
        <v>8</v>
      </c>
      <c r="P907" s="9">
        <v>3.5</v>
      </c>
      <c r="Q907" s="9" t="s">
        <v>9</v>
      </c>
      <c r="R907" s="1">
        <v>0</v>
      </c>
      <c r="S907" s="26"/>
    </row>
    <row r="908" spans="1:19" ht="16.5" customHeight="1" x14ac:dyDescent="0.25">
      <c r="A908" s="9"/>
      <c r="B908" s="51" t="s">
        <v>115</v>
      </c>
      <c r="C908" s="52"/>
      <c r="D908" s="52"/>
      <c r="E908" s="52"/>
      <c r="F908" s="52"/>
      <c r="G908" s="53"/>
      <c r="H908" s="20"/>
      <c r="I908" s="9">
        <v>2</v>
      </c>
      <c r="J908" s="9"/>
      <c r="K908" s="9"/>
      <c r="L908" s="9"/>
      <c r="M908" s="9">
        <f t="shared" si="120"/>
        <v>15.2</v>
      </c>
      <c r="N908" s="9">
        <f t="shared" si="121"/>
        <v>6</v>
      </c>
      <c r="O908" s="9">
        <v>7.6</v>
      </c>
      <c r="P908" s="9">
        <v>3</v>
      </c>
      <c r="Q908" s="9" t="s">
        <v>6</v>
      </c>
      <c r="R908" s="1">
        <v>0</v>
      </c>
      <c r="S908" s="26"/>
    </row>
    <row r="909" spans="1:19" ht="16.5" hidden="1" customHeight="1" x14ac:dyDescent="0.25">
      <c r="A909" s="21"/>
      <c r="H909" s="21"/>
      <c r="I909" s="21"/>
      <c r="J909" s="21"/>
      <c r="K909" s="21"/>
      <c r="L909" s="21"/>
      <c r="M909" s="9">
        <f t="shared" si="120"/>
        <v>0</v>
      </c>
      <c r="N909" s="9">
        <f t="shared" si="121"/>
        <v>0</v>
      </c>
      <c r="O909" s="21"/>
      <c r="P909" s="21"/>
      <c r="Q909" s="21"/>
      <c r="S909" s="25"/>
    </row>
    <row r="910" spans="1:19" ht="16.5" customHeight="1" x14ac:dyDescent="0.25">
      <c r="A910" s="9"/>
      <c r="B910" s="39" t="s">
        <v>42</v>
      </c>
      <c r="C910" s="40"/>
      <c r="D910" s="40"/>
      <c r="E910" s="40"/>
      <c r="F910" s="40"/>
      <c r="G910" s="41"/>
      <c r="H910" s="23"/>
      <c r="I910" s="24">
        <f>SUM(I900:I909)</f>
        <v>23</v>
      </c>
      <c r="J910" s="9"/>
      <c r="K910" s="9"/>
      <c r="L910" s="9"/>
      <c r="M910" s="9">
        <f t="shared" si="120"/>
        <v>151.79999999999998</v>
      </c>
      <c r="N910" s="9">
        <f t="shared" si="121"/>
        <v>57.96</v>
      </c>
      <c r="O910" s="24">
        <f>ROUND(SUM(M900:M909)/I910,2)</f>
        <v>6.6</v>
      </c>
      <c r="P910" s="24">
        <f>ROUND(SUM(N900:N909)/I910,2)</f>
        <v>2.52</v>
      </c>
      <c r="Q910" s="9"/>
      <c r="S910" s="25"/>
    </row>
    <row r="911" spans="1:19" ht="16.5" customHeight="1" x14ac:dyDescent="0.25">
      <c r="A911" s="21"/>
      <c r="B911" s="22"/>
      <c r="C911" s="22"/>
      <c r="D911" s="22"/>
      <c r="E911" s="22"/>
      <c r="F911" s="22"/>
      <c r="G911" s="22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3" spans="1:19" ht="18" x14ac:dyDescent="0.25">
      <c r="A913" s="35" t="s">
        <v>167</v>
      </c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</row>
    <row r="914" spans="1:19" ht="18" x14ac:dyDescent="0.25">
      <c r="A914" s="35" t="s">
        <v>168</v>
      </c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</row>
    <row r="915" spans="1:19" ht="18" x14ac:dyDescent="0.25">
      <c r="A915" s="35" t="s">
        <v>169</v>
      </c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</row>
    <row r="916" spans="1:19" ht="18" x14ac:dyDescent="0.25">
      <c r="A916" s="45" t="s">
        <v>141</v>
      </c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</row>
    <row r="917" spans="1:19" ht="19.5" customHeight="1" x14ac:dyDescent="0.25">
      <c r="A917" s="17"/>
      <c r="B917" s="17"/>
      <c r="C917" s="8"/>
      <c r="D917" s="18"/>
      <c r="E917" s="10"/>
      <c r="F917" s="11"/>
      <c r="G917" s="46" t="s">
        <v>49</v>
      </c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</row>
    <row r="918" spans="1:19" ht="31.5" customHeight="1" x14ac:dyDescent="0.3">
      <c r="A918" s="8"/>
      <c r="B918" s="8"/>
      <c r="C918" s="8"/>
      <c r="D918" s="8"/>
      <c r="E918" s="8"/>
      <c r="F918" s="8"/>
      <c r="G918" s="8"/>
      <c r="H918" s="12"/>
      <c r="I918" s="42" t="s">
        <v>40</v>
      </c>
      <c r="J918" s="43"/>
      <c r="K918" s="43"/>
      <c r="L918" s="43"/>
      <c r="M918" s="43"/>
      <c r="N918" s="43"/>
      <c r="O918" s="43"/>
      <c r="P918" s="43"/>
      <c r="Q918" s="43"/>
      <c r="R918" s="43"/>
      <c r="S918" s="43"/>
    </row>
    <row r="919" spans="1:19" ht="16.8" x14ac:dyDescent="0.3">
      <c r="A919" s="8"/>
      <c r="B919" s="8"/>
      <c r="C919" s="8"/>
      <c r="D919" s="8"/>
      <c r="E919" s="8"/>
      <c r="F919" s="8"/>
      <c r="G919" s="8"/>
      <c r="H919" s="12"/>
      <c r="I919" s="12"/>
      <c r="J919" s="12"/>
      <c r="K919" s="12"/>
      <c r="L919" s="8"/>
      <c r="M919" s="8"/>
      <c r="N919" s="8"/>
      <c r="O919" s="8"/>
      <c r="P919" s="8"/>
      <c r="Q919" s="8"/>
    </row>
    <row r="920" spans="1:19" ht="33" customHeight="1" x14ac:dyDescent="0.3">
      <c r="A920" s="8"/>
      <c r="B920" s="8"/>
      <c r="C920" s="8"/>
      <c r="D920" s="8"/>
      <c r="E920" s="8"/>
      <c r="F920" s="8"/>
      <c r="G920" s="8"/>
      <c r="H920" s="12"/>
      <c r="I920" s="12"/>
      <c r="J920" s="12"/>
      <c r="K920" s="12"/>
      <c r="L920" s="8"/>
      <c r="M920" s="8"/>
      <c r="N920" s="8"/>
      <c r="O920" s="8"/>
      <c r="P920" s="8"/>
      <c r="Q920" s="8"/>
    </row>
    <row r="921" spans="1:19" ht="11.25" customHeight="1" x14ac:dyDescent="0.3">
      <c r="A921" s="8"/>
      <c r="B921" s="8"/>
      <c r="C921" s="8"/>
      <c r="D921" s="8"/>
      <c r="E921" s="8"/>
      <c r="F921" s="8"/>
      <c r="G921" s="8"/>
      <c r="H921" s="12"/>
      <c r="I921" s="12"/>
      <c r="J921" s="12"/>
      <c r="K921" s="12"/>
      <c r="L921" s="8"/>
      <c r="M921" s="8"/>
      <c r="N921" s="8"/>
      <c r="O921" s="8"/>
      <c r="P921" s="8"/>
      <c r="Q921" s="8"/>
    </row>
    <row r="922" spans="1:19" ht="17.399999999999999" x14ac:dyDescent="0.3">
      <c r="A922" s="8"/>
      <c r="B922" s="8"/>
      <c r="C922" s="8"/>
      <c r="D922" s="8"/>
      <c r="E922" s="8"/>
      <c r="F922" s="8"/>
      <c r="G922" s="47" t="s">
        <v>41</v>
      </c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</row>
    <row r="923" spans="1:19" ht="16.5" hidden="1" customHeight="1" x14ac:dyDescent="0.3">
      <c r="A923" s="8"/>
      <c r="B923" s="13" t="s">
        <v>27</v>
      </c>
      <c r="C923" s="13" t="s">
        <v>31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 spans="1:19" ht="13.5" hidden="1" customHeight="1" x14ac:dyDescent="0.3">
      <c r="A924" s="12"/>
      <c r="B924" s="13"/>
      <c r="C924" s="44" t="s">
        <v>26</v>
      </c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</row>
    <row r="925" spans="1:19" ht="13.5" hidden="1" customHeight="1" x14ac:dyDescent="0.25">
      <c r="A925" s="38" t="s">
        <v>11</v>
      </c>
      <c r="B925" s="38"/>
      <c r="C925" s="14" t="s">
        <v>12</v>
      </c>
      <c r="D925" s="14" t="s">
        <v>10</v>
      </c>
      <c r="E925" s="14" t="s">
        <v>9</v>
      </c>
      <c r="F925" s="14" t="s">
        <v>6</v>
      </c>
      <c r="G925" s="14" t="s">
        <v>5</v>
      </c>
      <c r="H925" s="14" t="s">
        <v>3</v>
      </c>
      <c r="I925" s="14" t="s">
        <v>4</v>
      </c>
      <c r="J925" s="14" t="s">
        <v>8</v>
      </c>
      <c r="K925" s="14" t="s">
        <v>7</v>
      </c>
      <c r="L925" s="14" t="s">
        <v>4</v>
      </c>
      <c r="M925" s="14"/>
      <c r="N925" s="14"/>
      <c r="O925" s="14" t="s">
        <v>8</v>
      </c>
      <c r="P925" s="14" t="s">
        <v>7</v>
      </c>
      <c r="Q925" s="8"/>
    </row>
    <row r="926" spans="1:19" ht="13.5" hidden="1" customHeight="1" x14ac:dyDescent="0.25">
      <c r="A926" s="38" t="s">
        <v>13</v>
      </c>
      <c r="B926" s="38"/>
      <c r="C926" s="14">
        <v>4</v>
      </c>
      <c r="D926" s="14">
        <v>3.7</v>
      </c>
      <c r="E926" s="14">
        <v>3.5</v>
      </c>
      <c r="F926" s="14">
        <v>3</v>
      </c>
      <c r="G926" s="14">
        <v>2.5</v>
      </c>
      <c r="H926" s="14">
        <v>2</v>
      </c>
      <c r="I926" s="14">
        <v>1.5</v>
      </c>
      <c r="J926" s="14">
        <v>1</v>
      </c>
      <c r="K926" s="14">
        <v>0</v>
      </c>
      <c r="L926" s="14">
        <v>1.5</v>
      </c>
      <c r="M926" s="14"/>
      <c r="N926" s="14"/>
      <c r="O926" s="14">
        <v>1</v>
      </c>
      <c r="P926" s="14">
        <v>0</v>
      </c>
      <c r="Q926" s="8"/>
      <c r="R926" s="5"/>
      <c r="S926" s="5"/>
    </row>
    <row r="927" spans="1:19" ht="13.5" hidden="1" customHeight="1" x14ac:dyDescent="0.25">
      <c r="A927" s="38" t="s">
        <v>14</v>
      </c>
      <c r="B927" s="38"/>
      <c r="C927" s="15" t="s">
        <v>23</v>
      </c>
      <c r="D927" s="14" t="s">
        <v>15</v>
      </c>
      <c r="E927" s="14" t="s">
        <v>16</v>
      </c>
      <c r="F927" s="14" t="s">
        <v>17</v>
      </c>
      <c r="G927" s="14" t="s">
        <v>18</v>
      </c>
      <c r="H927" s="14" t="s">
        <v>19</v>
      </c>
      <c r="I927" s="14" t="s">
        <v>20</v>
      </c>
      <c r="J927" s="14" t="s">
        <v>21</v>
      </c>
      <c r="K927" s="14" t="s">
        <v>22</v>
      </c>
      <c r="L927" s="14" t="s">
        <v>20</v>
      </c>
      <c r="M927" s="14"/>
      <c r="N927" s="14"/>
      <c r="O927" s="14" t="s">
        <v>21</v>
      </c>
      <c r="P927" s="14" t="s">
        <v>22</v>
      </c>
      <c r="Q927" s="8"/>
      <c r="R927" s="5"/>
      <c r="S927" s="5"/>
    </row>
    <row r="928" spans="1:19" ht="13.5" hidden="1" customHeight="1" x14ac:dyDescent="0.25">
      <c r="A928" s="16"/>
      <c r="B928" s="38" t="s">
        <v>25</v>
      </c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4"/>
      <c r="S928" s="4"/>
    </row>
    <row r="929" spans="1:19" ht="13.5" hidden="1" customHeight="1" x14ac:dyDescent="0.25">
      <c r="A929" s="16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4"/>
      <c r="S929" s="4"/>
    </row>
    <row r="930" spans="1:19" ht="16.8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</sheetData>
  <sheetProtection selectLockedCells="1" selectUnlockedCells="1"/>
  <mergeCells count="898">
    <mergeCell ref="H725:H726"/>
    <mergeCell ref="B849:G850"/>
    <mergeCell ref="S849:S850"/>
    <mergeCell ref="I849:I850"/>
    <mergeCell ref="A849:A850"/>
    <mergeCell ref="J849:Q849"/>
    <mergeCell ref="H849:H850"/>
    <mergeCell ref="S612:S613"/>
    <mergeCell ref="I612:I613"/>
    <mergeCell ref="A612:A613"/>
    <mergeCell ref="J612:Q612"/>
    <mergeCell ref="H612:H613"/>
    <mergeCell ref="B725:G726"/>
    <mergeCell ref="S725:S726"/>
    <mergeCell ref="I725:I726"/>
    <mergeCell ref="A725:A726"/>
    <mergeCell ref="J725:Q725"/>
    <mergeCell ref="B496:G497"/>
    <mergeCell ref="S496:S497"/>
    <mergeCell ref="I496:I497"/>
    <mergeCell ref="A496:A497"/>
    <mergeCell ref="J496:Q496"/>
    <mergeCell ref="H496:H497"/>
    <mergeCell ref="A265:A266"/>
    <mergeCell ref="J265:Q265"/>
    <mergeCell ref="H265:H266"/>
    <mergeCell ref="B375:G376"/>
    <mergeCell ref="S375:S376"/>
    <mergeCell ref="I375:I376"/>
    <mergeCell ref="A375:A376"/>
    <mergeCell ref="J375:Q375"/>
    <mergeCell ref="H375:H376"/>
    <mergeCell ref="A49:A50"/>
    <mergeCell ref="J49:Q49"/>
    <mergeCell ref="H49:H50"/>
    <mergeCell ref="B157:G158"/>
    <mergeCell ref="S157:S158"/>
    <mergeCell ref="I157:I158"/>
    <mergeCell ref="A157:A158"/>
    <mergeCell ref="J157:Q157"/>
    <mergeCell ref="H157:H158"/>
    <mergeCell ref="B905:G905"/>
    <mergeCell ref="B906:G906"/>
    <mergeCell ref="B907:G907"/>
    <mergeCell ref="B908:G908"/>
    <mergeCell ref="B49:G50"/>
    <mergeCell ref="S49:S50"/>
    <mergeCell ref="I49:I50"/>
    <mergeCell ref="B265:G266"/>
    <mergeCell ref="S265:S266"/>
    <mergeCell ref="I265:I266"/>
    <mergeCell ref="B895:G895"/>
    <mergeCell ref="B896:G896"/>
    <mergeCell ref="B901:G901"/>
    <mergeCell ref="B902:G902"/>
    <mergeCell ref="B903:G903"/>
    <mergeCell ref="B904:G904"/>
    <mergeCell ref="B889:G889"/>
    <mergeCell ref="B890:G890"/>
    <mergeCell ref="B891:G891"/>
    <mergeCell ref="B892:G892"/>
    <mergeCell ref="B893:G893"/>
    <mergeCell ref="B894:G894"/>
    <mergeCell ref="B879:G879"/>
    <mergeCell ref="B880:G880"/>
    <mergeCell ref="B881:G881"/>
    <mergeCell ref="B882:G882"/>
    <mergeCell ref="B887:G887"/>
    <mergeCell ref="B888:G888"/>
    <mergeCell ref="B873:G873"/>
    <mergeCell ref="B874:G874"/>
    <mergeCell ref="B875:G875"/>
    <mergeCell ref="B876:G876"/>
    <mergeCell ref="B877:G877"/>
    <mergeCell ref="B878:G878"/>
    <mergeCell ref="B859:G859"/>
    <mergeCell ref="B860:G860"/>
    <mergeCell ref="B861:G861"/>
    <mergeCell ref="B862:G862"/>
    <mergeCell ref="B867:G867"/>
    <mergeCell ref="B872:G872"/>
    <mergeCell ref="B847:G847"/>
    <mergeCell ref="B854:G854"/>
    <mergeCell ref="B855:G855"/>
    <mergeCell ref="B856:G856"/>
    <mergeCell ref="B857:G857"/>
    <mergeCell ref="B858:G858"/>
    <mergeCell ref="B837:G837"/>
    <mergeCell ref="B838:G838"/>
    <mergeCell ref="B839:G839"/>
    <mergeCell ref="B844:G844"/>
    <mergeCell ref="B845:G845"/>
    <mergeCell ref="B846:G846"/>
    <mergeCell ref="B827:G827"/>
    <mergeCell ref="B828:G828"/>
    <mergeCell ref="B833:G833"/>
    <mergeCell ref="B834:G834"/>
    <mergeCell ref="B835:G835"/>
    <mergeCell ref="B836:G836"/>
    <mergeCell ref="B817:G817"/>
    <mergeCell ref="B818:G818"/>
    <mergeCell ref="B823:G823"/>
    <mergeCell ref="B824:G824"/>
    <mergeCell ref="B825:G825"/>
    <mergeCell ref="B826:G826"/>
    <mergeCell ref="B898:G898"/>
    <mergeCell ref="B910:G910"/>
    <mergeCell ref="B822:G822"/>
    <mergeCell ref="B832:G832"/>
    <mergeCell ref="B843:G843"/>
    <mergeCell ref="B853:G853"/>
    <mergeCell ref="B866:G866"/>
    <mergeCell ref="B871:G871"/>
    <mergeCell ref="B886:G886"/>
    <mergeCell ref="B900:G900"/>
    <mergeCell ref="A865:S865"/>
    <mergeCell ref="A870:S870"/>
    <mergeCell ref="A885:S885"/>
    <mergeCell ref="A899:S899"/>
    <mergeCell ref="B830:G830"/>
    <mergeCell ref="B841:G841"/>
    <mergeCell ref="B851:G851"/>
    <mergeCell ref="B864:G864"/>
    <mergeCell ref="B869:G869"/>
    <mergeCell ref="B884:G884"/>
    <mergeCell ref="B785:G785"/>
    <mergeCell ref="B786:G786"/>
    <mergeCell ref="A821:S821"/>
    <mergeCell ref="A831:S831"/>
    <mergeCell ref="A842:S842"/>
    <mergeCell ref="A852:S852"/>
    <mergeCell ref="B813:G813"/>
    <mergeCell ref="B814:G814"/>
    <mergeCell ref="B815:G815"/>
    <mergeCell ref="B816:G816"/>
    <mergeCell ref="B779:G779"/>
    <mergeCell ref="B780:G780"/>
    <mergeCell ref="B781:G781"/>
    <mergeCell ref="B782:G782"/>
    <mergeCell ref="B783:G783"/>
    <mergeCell ref="B784:G784"/>
    <mergeCell ref="B769:G769"/>
    <mergeCell ref="B770:G770"/>
    <mergeCell ref="B771:G771"/>
    <mergeCell ref="B772:G772"/>
    <mergeCell ref="B773:G773"/>
    <mergeCell ref="B774:G774"/>
    <mergeCell ref="B755:G755"/>
    <mergeCell ref="B756:G756"/>
    <mergeCell ref="B765:G765"/>
    <mergeCell ref="B766:G766"/>
    <mergeCell ref="B767:G767"/>
    <mergeCell ref="B768:G768"/>
    <mergeCell ref="B749:G749"/>
    <mergeCell ref="B750:G750"/>
    <mergeCell ref="B751:G751"/>
    <mergeCell ref="B752:G752"/>
    <mergeCell ref="B753:G753"/>
    <mergeCell ref="B754:G754"/>
    <mergeCell ref="B721:G721"/>
    <mergeCell ref="B722:G722"/>
    <mergeCell ref="B723:G723"/>
    <mergeCell ref="B734:G734"/>
    <mergeCell ref="B735:G735"/>
    <mergeCell ref="B736:G736"/>
    <mergeCell ref="B703:G703"/>
    <mergeCell ref="B704:G704"/>
    <mergeCell ref="B717:G717"/>
    <mergeCell ref="B718:G718"/>
    <mergeCell ref="B719:G719"/>
    <mergeCell ref="B720:G720"/>
    <mergeCell ref="B778:G778"/>
    <mergeCell ref="B689:G689"/>
    <mergeCell ref="B690:G690"/>
    <mergeCell ref="B691:G691"/>
    <mergeCell ref="B692:G692"/>
    <mergeCell ref="B693:G693"/>
    <mergeCell ref="B694:G694"/>
    <mergeCell ref="B699:G699"/>
    <mergeCell ref="B700:G700"/>
    <mergeCell ref="B701:G701"/>
    <mergeCell ref="B788:G788"/>
    <mergeCell ref="B698:G698"/>
    <mergeCell ref="B708:G708"/>
    <mergeCell ref="B712:G712"/>
    <mergeCell ref="B716:G716"/>
    <mergeCell ref="B729:G729"/>
    <mergeCell ref="B733:G733"/>
    <mergeCell ref="B746:G746"/>
    <mergeCell ref="B760:G760"/>
    <mergeCell ref="B764:G764"/>
    <mergeCell ref="B727:G727"/>
    <mergeCell ref="B731:G731"/>
    <mergeCell ref="B744:G744"/>
    <mergeCell ref="B758:G758"/>
    <mergeCell ref="B762:G762"/>
    <mergeCell ref="B776:G776"/>
    <mergeCell ref="B737:G737"/>
    <mergeCell ref="B738:G738"/>
    <mergeCell ref="B739:G739"/>
    <mergeCell ref="B740:G740"/>
    <mergeCell ref="A728:S728"/>
    <mergeCell ref="A732:S732"/>
    <mergeCell ref="A745:S745"/>
    <mergeCell ref="A759:S759"/>
    <mergeCell ref="A763:S763"/>
    <mergeCell ref="A777:S777"/>
    <mergeCell ref="B741:G741"/>
    <mergeCell ref="B742:G742"/>
    <mergeCell ref="B747:G747"/>
    <mergeCell ref="B748:G748"/>
    <mergeCell ref="B661:G661"/>
    <mergeCell ref="B662:G662"/>
    <mergeCell ref="A697:S697"/>
    <mergeCell ref="A707:S707"/>
    <mergeCell ref="A711:S711"/>
    <mergeCell ref="A715:S715"/>
    <mergeCell ref="B706:G706"/>
    <mergeCell ref="B710:G710"/>
    <mergeCell ref="B714:G714"/>
    <mergeCell ref="B702:G702"/>
    <mergeCell ref="B655:G655"/>
    <mergeCell ref="B656:G656"/>
    <mergeCell ref="B657:G657"/>
    <mergeCell ref="B658:G658"/>
    <mergeCell ref="B659:G659"/>
    <mergeCell ref="B660:G660"/>
    <mergeCell ref="B645:G645"/>
    <mergeCell ref="B646:G646"/>
    <mergeCell ref="B647:G647"/>
    <mergeCell ref="B648:G648"/>
    <mergeCell ref="B649:G649"/>
    <mergeCell ref="B650:G650"/>
    <mergeCell ref="B635:G635"/>
    <mergeCell ref="B636:G636"/>
    <mergeCell ref="B641:G641"/>
    <mergeCell ref="B642:G642"/>
    <mergeCell ref="B643:G643"/>
    <mergeCell ref="B644:G644"/>
    <mergeCell ref="B629:G629"/>
    <mergeCell ref="B630:G630"/>
    <mergeCell ref="B631:G631"/>
    <mergeCell ref="B632:G632"/>
    <mergeCell ref="B633:G633"/>
    <mergeCell ref="B634:G634"/>
    <mergeCell ref="B619:G619"/>
    <mergeCell ref="B620:G620"/>
    <mergeCell ref="B621:G621"/>
    <mergeCell ref="B622:G622"/>
    <mergeCell ref="B627:G627"/>
    <mergeCell ref="B628:G628"/>
    <mergeCell ref="B607:G607"/>
    <mergeCell ref="B614:G614"/>
    <mergeCell ref="B615:G615"/>
    <mergeCell ref="B616:G616"/>
    <mergeCell ref="B617:G617"/>
    <mergeCell ref="B618:G618"/>
    <mergeCell ref="B612:G613"/>
    <mergeCell ref="B597:G597"/>
    <mergeCell ref="B598:G598"/>
    <mergeCell ref="B599:G599"/>
    <mergeCell ref="B600:G600"/>
    <mergeCell ref="B601:G601"/>
    <mergeCell ref="B602:G602"/>
    <mergeCell ref="B580:G580"/>
    <mergeCell ref="B581:G581"/>
    <mergeCell ref="B586:G586"/>
    <mergeCell ref="B587:G587"/>
    <mergeCell ref="B588:G588"/>
    <mergeCell ref="B589:G589"/>
    <mergeCell ref="B664:G664"/>
    <mergeCell ref="B585:G585"/>
    <mergeCell ref="B595:G595"/>
    <mergeCell ref="B606:G606"/>
    <mergeCell ref="B611:G611"/>
    <mergeCell ref="B626:G626"/>
    <mergeCell ref="B640:G640"/>
    <mergeCell ref="B654:G654"/>
    <mergeCell ref="B590:G590"/>
    <mergeCell ref="B591:G591"/>
    <mergeCell ref="A625:S625"/>
    <mergeCell ref="A639:S639"/>
    <mergeCell ref="A653:S653"/>
    <mergeCell ref="B593:G593"/>
    <mergeCell ref="B604:G604"/>
    <mergeCell ref="B609:G609"/>
    <mergeCell ref="B624:G624"/>
    <mergeCell ref="B638:G638"/>
    <mergeCell ref="B652:G652"/>
    <mergeCell ref="B596:G596"/>
    <mergeCell ref="B548:G548"/>
    <mergeCell ref="B549:G549"/>
    <mergeCell ref="A584:S584"/>
    <mergeCell ref="A594:S594"/>
    <mergeCell ref="A605:S605"/>
    <mergeCell ref="A610:S610"/>
    <mergeCell ref="B576:G576"/>
    <mergeCell ref="B577:G577"/>
    <mergeCell ref="B578:G578"/>
    <mergeCell ref="B579:G579"/>
    <mergeCell ref="B542:G542"/>
    <mergeCell ref="B543:G543"/>
    <mergeCell ref="B544:G544"/>
    <mergeCell ref="B545:G545"/>
    <mergeCell ref="B546:G546"/>
    <mergeCell ref="B547:G547"/>
    <mergeCell ref="B532:G532"/>
    <mergeCell ref="B533:G533"/>
    <mergeCell ref="B534:G534"/>
    <mergeCell ref="B535:G535"/>
    <mergeCell ref="B536:G536"/>
    <mergeCell ref="B537:G537"/>
    <mergeCell ref="B518:G518"/>
    <mergeCell ref="B519:G519"/>
    <mergeCell ref="B528:G528"/>
    <mergeCell ref="B529:G529"/>
    <mergeCell ref="B530:G530"/>
    <mergeCell ref="B531:G531"/>
    <mergeCell ref="B512:G512"/>
    <mergeCell ref="B513:G513"/>
    <mergeCell ref="B514:G514"/>
    <mergeCell ref="B515:G515"/>
    <mergeCell ref="B516:G516"/>
    <mergeCell ref="B517:G517"/>
    <mergeCell ref="B502:G502"/>
    <mergeCell ref="B503:G503"/>
    <mergeCell ref="B504:G504"/>
    <mergeCell ref="B505:G505"/>
    <mergeCell ref="B510:G510"/>
    <mergeCell ref="B511:G511"/>
    <mergeCell ref="B474:G474"/>
    <mergeCell ref="B475:G475"/>
    <mergeCell ref="B484:G484"/>
    <mergeCell ref="B485:G485"/>
    <mergeCell ref="B486:G486"/>
    <mergeCell ref="B487:G487"/>
    <mergeCell ref="B463:G463"/>
    <mergeCell ref="B464:G464"/>
    <mergeCell ref="B465:G465"/>
    <mergeCell ref="B470:G470"/>
    <mergeCell ref="B471:G471"/>
    <mergeCell ref="B472:G472"/>
    <mergeCell ref="B551:G551"/>
    <mergeCell ref="B469:G469"/>
    <mergeCell ref="B479:G479"/>
    <mergeCell ref="B483:G483"/>
    <mergeCell ref="B494:G494"/>
    <mergeCell ref="B509:G509"/>
    <mergeCell ref="B523:G523"/>
    <mergeCell ref="B527:G527"/>
    <mergeCell ref="B541:G541"/>
    <mergeCell ref="B473:G473"/>
    <mergeCell ref="B481:G481"/>
    <mergeCell ref="B492:G492"/>
    <mergeCell ref="B507:G507"/>
    <mergeCell ref="B521:G521"/>
    <mergeCell ref="B525:G525"/>
    <mergeCell ref="B539:G539"/>
    <mergeCell ref="B488:G488"/>
    <mergeCell ref="B489:G489"/>
    <mergeCell ref="B490:G490"/>
    <mergeCell ref="B495:G495"/>
    <mergeCell ref="A482:S482"/>
    <mergeCell ref="A493:S493"/>
    <mergeCell ref="A508:S508"/>
    <mergeCell ref="A522:S522"/>
    <mergeCell ref="A526:S526"/>
    <mergeCell ref="A540:S540"/>
    <mergeCell ref="B498:G498"/>
    <mergeCell ref="B499:G499"/>
    <mergeCell ref="B500:G500"/>
    <mergeCell ref="B501:G501"/>
    <mergeCell ref="B430:G430"/>
    <mergeCell ref="B431:G431"/>
    <mergeCell ref="B432:G432"/>
    <mergeCell ref="B433:G433"/>
    <mergeCell ref="A468:S468"/>
    <mergeCell ref="A478:S478"/>
    <mergeCell ref="B477:G477"/>
    <mergeCell ref="B460:G460"/>
    <mergeCell ref="B461:G461"/>
    <mergeCell ref="B462:G462"/>
    <mergeCell ref="B416:G416"/>
    <mergeCell ref="B417:G417"/>
    <mergeCell ref="B426:G426"/>
    <mergeCell ref="B427:G427"/>
    <mergeCell ref="B428:G428"/>
    <mergeCell ref="B429:G429"/>
    <mergeCell ref="B410:G410"/>
    <mergeCell ref="B411:G411"/>
    <mergeCell ref="B412:G412"/>
    <mergeCell ref="B413:G413"/>
    <mergeCell ref="B414:G414"/>
    <mergeCell ref="B415:G415"/>
    <mergeCell ref="B396:G396"/>
    <mergeCell ref="B397:G397"/>
    <mergeCell ref="B398:G398"/>
    <mergeCell ref="B403:G403"/>
    <mergeCell ref="B408:G408"/>
    <mergeCell ref="B409:G409"/>
    <mergeCell ref="B390:G390"/>
    <mergeCell ref="B391:G391"/>
    <mergeCell ref="B392:G392"/>
    <mergeCell ref="B393:G393"/>
    <mergeCell ref="B394:G394"/>
    <mergeCell ref="B395:G395"/>
    <mergeCell ref="B374:G374"/>
    <mergeCell ref="B377:G377"/>
    <mergeCell ref="B378:G378"/>
    <mergeCell ref="B379:G379"/>
    <mergeCell ref="B380:G380"/>
    <mergeCell ref="B389:G389"/>
    <mergeCell ref="B364:G364"/>
    <mergeCell ref="B365:G365"/>
    <mergeCell ref="B370:G370"/>
    <mergeCell ref="B371:G371"/>
    <mergeCell ref="B372:G372"/>
    <mergeCell ref="B373:G373"/>
    <mergeCell ref="B354:G354"/>
    <mergeCell ref="B359:G359"/>
    <mergeCell ref="B360:G360"/>
    <mergeCell ref="B361:G361"/>
    <mergeCell ref="B362:G362"/>
    <mergeCell ref="B363:G363"/>
    <mergeCell ref="B407:G407"/>
    <mergeCell ref="B421:G421"/>
    <mergeCell ref="B425:G425"/>
    <mergeCell ref="B339:G339"/>
    <mergeCell ref="B340:G340"/>
    <mergeCell ref="B341:G341"/>
    <mergeCell ref="B342:G342"/>
    <mergeCell ref="B343:G343"/>
    <mergeCell ref="B344:G344"/>
    <mergeCell ref="B349:G349"/>
    <mergeCell ref="B405:G405"/>
    <mergeCell ref="B419:G419"/>
    <mergeCell ref="B423:G423"/>
    <mergeCell ref="B435:G435"/>
    <mergeCell ref="B348:G348"/>
    <mergeCell ref="B358:G358"/>
    <mergeCell ref="B369:G369"/>
    <mergeCell ref="B384:G384"/>
    <mergeCell ref="B388:G388"/>
    <mergeCell ref="B402:G402"/>
    <mergeCell ref="A387:S387"/>
    <mergeCell ref="A401:S401"/>
    <mergeCell ref="A406:S406"/>
    <mergeCell ref="A420:S420"/>
    <mergeCell ref="A424:S424"/>
    <mergeCell ref="B356:G356"/>
    <mergeCell ref="B367:G367"/>
    <mergeCell ref="B382:G382"/>
    <mergeCell ref="B386:G386"/>
    <mergeCell ref="B400:G400"/>
    <mergeCell ref="B315:G315"/>
    <mergeCell ref="B316:G316"/>
    <mergeCell ref="A347:S347"/>
    <mergeCell ref="A357:S357"/>
    <mergeCell ref="A368:S368"/>
    <mergeCell ref="A383:S383"/>
    <mergeCell ref="B350:G350"/>
    <mergeCell ref="B351:G351"/>
    <mergeCell ref="B352:G352"/>
    <mergeCell ref="B353:G353"/>
    <mergeCell ref="B309:G309"/>
    <mergeCell ref="B310:G310"/>
    <mergeCell ref="B311:G311"/>
    <mergeCell ref="B312:G312"/>
    <mergeCell ref="B313:G313"/>
    <mergeCell ref="B314:G314"/>
    <mergeCell ref="B299:G299"/>
    <mergeCell ref="B300:G300"/>
    <mergeCell ref="B301:G301"/>
    <mergeCell ref="B302:G302"/>
    <mergeCell ref="B303:G303"/>
    <mergeCell ref="B304:G304"/>
    <mergeCell ref="B289:G289"/>
    <mergeCell ref="B290:G290"/>
    <mergeCell ref="B295:G295"/>
    <mergeCell ref="B296:G296"/>
    <mergeCell ref="B297:G297"/>
    <mergeCell ref="B298:G298"/>
    <mergeCell ref="B279:G279"/>
    <mergeCell ref="B280:G280"/>
    <mergeCell ref="B281:G281"/>
    <mergeCell ref="B282:G282"/>
    <mergeCell ref="B283:G283"/>
    <mergeCell ref="B284:G284"/>
    <mergeCell ref="B269:G269"/>
    <mergeCell ref="B270:G270"/>
    <mergeCell ref="B275:G275"/>
    <mergeCell ref="B276:G276"/>
    <mergeCell ref="B277:G277"/>
    <mergeCell ref="B278:G278"/>
    <mergeCell ref="B261:G261"/>
    <mergeCell ref="B262:G262"/>
    <mergeCell ref="B263:G263"/>
    <mergeCell ref="B264:G264"/>
    <mergeCell ref="B267:G267"/>
    <mergeCell ref="B268:G268"/>
    <mergeCell ref="B251:G251"/>
    <mergeCell ref="B252:G252"/>
    <mergeCell ref="B253:G253"/>
    <mergeCell ref="B254:G254"/>
    <mergeCell ref="B255:G255"/>
    <mergeCell ref="B260:G260"/>
    <mergeCell ref="B233:G233"/>
    <mergeCell ref="B234:G234"/>
    <mergeCell ref="B239:G239"/>
    <mergeCell ref="B240:G240"/>
    <mergeCell ref="B241:G241"/>
    <mergeCell ref="B242:G242"/>
    <mergeCell ref="B318:G318"/>
    <mergeCell ref="B238:G238"/>
    <mergeCell ref="B248:G248"/>
    <mergeCell ref="B259:G259"/>
    <mergeCell ref="B274:G274"/>
    <mergeCell ref="B288:G288"/>
    <mergeCell ref="B294:G294"/>
    <mergeCell ref="B308:G308"/>
    <mergeCell ref="B243:G243"/>
    <mergeCell ref="B244:G244"/>
    <mergeCell ref="A293:S293"/>
    <mergeCell ref="A307:S307"/>
    <mergeCell ref="B246:G246"/>
    <mergeCell ref="B257:G257"/>
    <mergeCell ref="B272:G272"/>
    <mergeCell ref="B286:G286"/>
    <mergeCell ref="B292:G292"/>
    <mergeCell ref="B306:G306"/>
    <mergeCell ref="B249:G249"/>
    <mergeCell ref="B250:G250"/>
    <mergeCell ref="B202:G202"/>
    <mergeCell ref="A237:S237"/>
    <mergeCell ref="A247:S247"/>
    <mergeCell ref="A258:S258"/>
    <mergeCell ref="A273:S273"/>
    <mergeCell ref="A287:S287"/>
    <mergeCell ref="B229:G229"/>
    <mergeCell ref="B230:G230"/>
    <mergeCell ref="B231:G231"/>
    <mergeCell ref="B232:G232"/>
    <mergeCell ref="B196:G196"/>
    <mergeCell ref="B197:G197"/>
    <mergeCell ref="B198:G198"/>
    <mergeCell ref="B199:G199"/>
    <mergeCell ref="B200:G200"/>
    <mergeCell ref="B201:G201"/>
    <mergeCell ref="B186:G186"/>
    <mergeCell ref="B187:G187"/>
    <mergeCell ref="B188:G188"/>
    <mergeCell ref="B189:G189"/>
    <mergeCell ref="B190:G190"/>
    <mergeCell ref="B195:G195"/>
    <mergeCell ref="B176:G176"/>
    <mergeCell ref="B181:G181"/>
    <mergeCell ref="B182:G182"/>
    <mergeCell ref="B183:G183"/>
    <mergeCell ref="B184:G184"/>
    <mergeCell ref="B185:G185"/>
    <mergeCell ref="B170:G170"/>
    <mergeCell ref="B171:G171"/>
    <mergeCell ref="B172:G172"/>
    <mergeCell ref="B173:G173"/>
    <mergeCell ref="B174:G174"/>
    <mergeCell ref="B175:G175"/>
    <mergeCell ref="B160:G160"/>
    <mergeCell ref="B161:G161"/>
    <mergeCell ref="B162:G162"/>
    <mergeCell ref="B167:G167"/>
    <mergeCell ref="B168:G168"/>
    <mergeCell ref="B169:G169"/>
    <mergeCell ref="B152:G152"/>
    <mergeCell ref="B153:G153"/>
    <mergeCell ref="B154:G154"/>
    <mergeCell ref="B155:G155"/>
    <mergeCell ref="B156:G156"/>
    <mergeCell ref="B159:G159"/>
    <mergeCell ref="B142:G142"/>
    <mergeCell ref="B143:G143"/>
    <mergeCell ref="B144:G144"/>
    <mergeCell ref="B145:G145"/>
    <mergeCell ref="B146:G146"/>
    <mergeCell ref="B147:G147"/>
    <mergeCell ref="B125:G125"/>
    <mergeCell ref="B126:G126"/>
    <mergeCell ref="B131:G131"/>
    <mergeCell ref="B132:G132"/>
    <mergeCell ref="B133:G133"/>
    <mergeCell ref="B134:G134"/>
    <mergeCell ref="B204:G204"/>
    <mergeCell ref="B130:G130"/>
    <mergeCell ref="B140:G140"/>
    <mergeCell ref="B151:G151"/>
    <mergeCell ref="B166:G166"/>
    <mergeCell ref="B180:G180"/>
    <mergeCell ref="B194:G194"/>
    <mergeCell ref="B135:G135"/>
    <mergeCell ref="B136:G136"/>
    <mergeCell ref="B141:G141"/>
    <mergeCell ref="A139:S139"/>
    <mergeCell ref="A150:S150"/>
    <mergeCell ref="A165:S165"/>
    <mergeCell ref="A179:S179"/>
    <mergeCell ref="A193:S193"/>
    <mergeCell ref="B138:G138"/>
    <mergeCell ref="B149:G149"/>
    <mergeCell ref="B164:G164"/>
    <mergeCell ref="B178:G178"/>
    <mergeCell ref="B192:G192"/>
    <mergeCell ref="B90:G90"/>
    <mergeCell ref="B91:G91"/>
    <mergeCell ref="B92:G92"/>
    <mergeCell ref="B93:G93"/>
    <mergeCell ref="B94:G94"/>
    <mergeCell ref="A129:S129"/>
    <mergeCell ref="B121:G121"/>
    <mergeCell ref="B122:G122"/>
    <mergeCell ref="B123:G123"/>
    <mergeCell ref="B124:G124"/>
    <mergeCell ref="B80:G80"/>
    <mergeCell ref="B81:G81"/>
    <mergeCell ref="B82:G82"/>
    <mergeCell ref="B87:G87"/>
    <mergeCell ref="B88:G88"/>
    <mergeCell ref="B89:G89"/>
    <mergeCell ref="B74:G74"/>
    <mergeCell ref="B75:G75"/>
    <mergeCell ref="B76:G76"/>
    <mergeCell ref="B77:G77"/>
    <mergeCell ref="B78:G78"/>
    <mergeCell ref="B79:G79"/>
    <mergeCell ref="B64:G64"/>
    <mergeCell ref="B65:G65"/>
    <mergeCell ref="B66:G66"/>
    <mergeCell ref="B67:G67"/>
    <mergeCell ref="B68:G68"/>
    <mergeCell ref="B73:G73"/>
    <mergeCell ref="B54:G54"/>
    <mergeCell ref="B59:G59"/>
    <mergeCell ref="B60:G60"/>
    <mergeCell ref="B61:G61"/>
    <mergeCell ref="B62:G62"/>
    <mergeCell ref="B63:G63"/>
    <mergeCell ref="B46:G46"/>
    <mergeCell ref="B47:G47"/>
    <mergeCell ref="B48:G48"/>
    <mergeCell ref="B51:G51"/>
    <mergeCell ref="B52:G52"/>
    <mergeCell ref="B53:G53"/>
    <mergeCell ref="B36:G36"/>
    <mergeCell ref="B37:G37"/>
    <mergeCell ref="B38:G38"/>
    <mergeCell ref="B39:G39"/>
    <mergeCell ref="B44:G44"/>
    <mergeCell ref="B45:G45"/>
    <mergeCell ref="B26:G26"/>
    <mergeCell ref="B27:G27"/>
    <mergeCell ref="B28:G28"/>
    <mergeCell ref="B33:G33"/>
    <mergeCell ref="B34:G34"/>
    <mergeCell ref="B35:G35"/>
    <mergeCell ref="B13:G13"/>
    <mergeCell ref="B14:G14"/>
    <mergeCell ref="B15:G15"/>
    <mergeCell ref="B16:G16"/>
    <mergeCell ref="B17:G17"/>
    <mergeCell ref="B18:G18"/>
    <mergeCell ref="B96:G96"/>
    <mergeCell ref="B22:G22"/>
    <mergeCell ref="B32:G32"/>
    <mergeCell ref="B43:G43"/>
    <mergeCell ref="B58:G58"/>
    <mergeCell ref="B72:G72"/>
    <mergeCell ref="B86:G86"/>
    <mergeCell ref="B23:G23"/>
    <mergeCell ref="B24:G24"/>
    <mergeCell ref="B25:G25"/>
    <mergeCell ref="A806:F806"/>
    <mergeCell ref="A21:S21"/>
    <mergeCell ref="A31:S31"/>
    <mergeCell ref="A42:S42"/>
    <mergeCell ref="A57:S57"/>
    <mergeCell ref="A71:S71"/>
    <mergeCell ref="A85:S85"/>
    <mergeCell ref="B30:G30"/>
    <mergeCell ref="B41:G41"/>
    <mergeCell ref="B56:G56"/>
    <mergeCell ref="G454:S454"/>
    <mergeCell ref="G570:S570"/>
    <mergeCell ref="G683:S683"/>
    <mergeCell ref="G807:S807"/>
    <mergeCell ref="A114:F114"/>
    <mergeCell ref="A222:F222"/>
    <mergeCell ref="A332:F332"/>
    <mergeCell ref="A453:F453"/>
    <mergeCell ref="A569:F569"/>
    <mergeCell ref="A682:F682"/>
    <mergeCell ref="H809:H810"/>
    <mergeCell ref="G113:S113"/>
    <mergeCell ref="G221:S221"/>
    <mergeCell ref="G331:S331"/>
    <mergeCell ref="G452:S452"/>
    <mergeCell ref="G568:S568"/>
    <mergeCell ref="G681:S681"/>
    <mergeCell ref="G805:S805"/>
    <mergeCell ref="G115:S115"/>
    <mergeCell ref="G223:S223"/>
    <mergeCell ref="A570:F570"/>
    <mergeCell ref="A683:F683"/>
    <mergeCell ref="A807:F807"/>
    <mergeCell ref="H117:H118"/>
    <mergeCell ref="H225:H226"/>
    <mergeCell ref="H335:H336"/>
    <mergeCell ref="H456:H457"/>
    <mergeCell ref="H572:H573"/>
    <mergeCell ref="H685:H686"/>
    <mergeCell ref="G333:S333"/>
    <mergeCell ref="J572:Q572"/>
    <mergeCell ref="J685:Q685"/>
    <mergeCell ref="J809:Q809"/>
    <mergeCell ref="A112:Q112"/>
    <mergeCell ref="A220:Q220"/>
    <mergeCell ref="A330:Q330"/>
    <mergeCell ref="A451:Q451"/>
    <mergeCell ref="A567:Q567"/>
    <mergeCell ref="A680:Q680"/>
    <mergeCell ref="A804:Q804"/>
    <mergeCell ref="F109:S109"/>
    <mergeCell ref="F217:S217"/>
    <mergeCell ref="F327:S327"/>
    <mergeCell ref="F448:S448"/>
    <mergeCell ref="F564:S564"/>
    <mergeCell ref="F677:S677"/>
    <mergeCell ref="J117:Q117"/>
    <mergeCell ref="J225:Q225"/>
    <mergeCell ref="J335:Q335"/>
    <mergeCell ref="J456:Q456"/>
    <mergeCell ref="A113:F113"/>
    <mergeCell ref="A221:F221"/>
    <mergeCell ref="A331:F331"/>
    <mergeCell ref="A452:F452"/>
    <mergeCell ref="A568:F568"/>
    <mergeCell ref="A681:F681"/>
    <mergeCell ref="A115:F115"/>
    <mergeCell ref="A223:F223"/>
    <mergeCell ref="A333:F333"/>
    <mergeCell ref="A454:F454"/>
    <mergeCell ref="B812:G812"/>
    <mergeCell ref="A117:A118"/>
    <mergeCell ref="A225:A226"/>
    <mergeCell ref="A335:A336"/>
    <mergeCell ref="A456:A457"/>
    <mergeCell ref="A572:A573"/>
    <mergeCell ref="A685:A686"/>
    <mergeCell ref="A809:A810"/>
    <mergeCell ref="A805:F805"/>
    <mergeCell ref="F801:S801"/>
    <mergeCell ref="A111:Q111"/>
    <mergeCell ref="A219:Q219"/>
    <mergeCell ref="A329:Q329"/>
    <mergeCell ref="A450:Q450"/>
    <mergeCell ref="A566:Q566"/>
    <mergeCell ref="A679:Q679"/>
    <mergeCell ref="B120:G120"/>
    <mergeCell ref="B228:G228"/>
    <mergeCell ref="B338:G338"/>
    <mergeCell ref="B459:G459"/>
    <mergeCell ref="A327:E327"/>
    <mergeCell ref="A448:E448"/>
    <mergeCell ref="A564:E564"/>
    <mergeCell ref="A677:E677"/>
    <mergeCell ref="A801:E801"/>
    <mergeCell ref="A110:Q110"/>
    <mergeCell ref="A218:Q218"/>
    <mergeCell ref="A328:Q328"/>
    <mergeCell ref="A449:Q449"/>
    <mergeCell ref="A565:Q565"/>
    <mergeCell ref="G922:S922"/>
    <mergeCell ref="I117:I118"/>
    <mergeCell ref="I225:I226"/>
    <mergeCell ref="I335:I336"/>
    <mergeCell ref="I456:I457"/>
    <mergeCell ref="I572:I573"/>
    <mergeCell ref="I685:I686"/>
    <mergeCell ref="I809:I810"/>
    <mergeCell ref="A678:Q678"/>
    <mergeCell ref="A802:Q802"/>
    <mergeCell ref="G917:S917"/>
    <mergeCell ref="G216:S216"/>
    <mergeCell ref="G326:S326"/>
    <mergeCell ref="G447:S447"/>
    <mergeCell ref="G563:S563"/>
    <mergeCell ref="G676:S676"/>
    <mergeCell ref="G800:S800"/>
    <mergeCell ref="A803:Q803"/>
    <mergeCell ref="B575:G575"/>
    <mergeCell ref="B688:G688"/>
    <mergeCell ref="I918:S918"/>
    <mergeCell ref="A210:S210"/>
    <mergeCell ref="A441:S441"/>
    <mergeCell ref="A557:S557"/>
    <mergeCell ref="A670:S670"/>
    <mergeCell ref="A794:S794"/>
    <mergeCell ref="A916:S916"/>
    <mergeCell ref="G211:S211"/>
    <mergeCell ref="G321:S321"/>
    <mergeCell ref="G442:S442"/>
    <mergeCell ref="B820:G820"/>
    <mergeCell ref="I212:S212"/>
    <mergeCell ref="I322:S322"/>
    <mergeCell ref="I443:S443"/>
    <mergeCell ref="I559:S559"/>
    <mergeCell ref="I672:S672"/>
    <mergeCell ref="I796:S796"/>
    <mergeCell ref="G558:S558"/>
    <mergeCell ref="G671:S671"/>
    <mergeCell ref="G795:S795"/>
    <mergeCell ref="A554:S554"/>
    <mergeCell ref="A667:S667"/>
    <mergeCell ref="A791:S791"/>
    <mergeCell ref="A913:S913"/>
    <mergeCell ref="B128:G128"/>
    <mergeCell ref="B236:G236"/>
    <mergeCell ref="B346:G346"/>
    <mergeCell ref="B467:G467"/>
    <mergeCell ref="B583:G583"/>
    <mergeCell ref="B696:G696"/>
    <mergeCell ref="A915:S915"/>
    <mergeCell ref="A208:S208"/>
    <mergeCell ref="A439:S439"/>
    <mergeCell ref="A555:S555"/>
    <mergeCell ref="A668:S668"/>
    <mergeCell ref="A792:S792"/>
    <mergeCell ref="A914:S914"/>
    <mergeCell ref="S225:S226"/>
    <mergeCell ref="S335:S336"/>
    <mergeCell ref="S456:S457"/>
    <mergeCell ref="B809:G810"/>
    <mergeCell ref="A209:S209"/>
    <mergeCell ref="A440:S440"/>
    <mergeCell ref="A556:S556"/>
    <mergeCell ref="A669:S669"/>
    <mergeCell ref="A793:S793"/>
    <mergeCell ref="S572:S573"/>
    <mergeCell ref="S685:S686"/>
    <mergeCell ref="S809:S810"/>
    <mergeCell ref="A438:S438"/>
    <mergeCell ref="A458:S458"/>
    <mergeCell ref="A574:S574"/>
    <mergeCell ref="A687:S687"/>
    <mergeCell ref="A811:S811"/>
    <mergeCell ref="B117:G118"/>
    <mergeCell ref="B225:G226"/>
    <mergeCell ref="B335:G336"/>
    <mergeCell ref="B456:G457"/>
    <mergeCell ref="B572:G573"/>
    <mergeCell ref="B685:G686"/>
    <mergeCell ref="G5:S5"/>
    <mergeCell ref="G7:S7"/>
    <mergeCell ref="A6:F6"/>
    <mergeCell ref="A119:S119"/>
    <mergeCell ref="A227:S227"/>
    <mergeCell ref="A337:S337"/>
    <mergeCell ref="S117:S118"/>
    <mergeCell ref="A207:S207"/>
    <mergeCell ref="A109:E109"/>
    <mergeCell ref="A217:E217"/>
    <mergeCell ref="A1:E1"/>
    <mergeCell ref="A2:Q2"/>
    <mergeCell ref="A3:Q3"/>
    <mergeCell ref="B12:G12"/>
    <mergeCell ref="A9:A10"/>
    <mergeCell ref="A5:F5"/>
    <mergeCell ref="F1:S1"/>
    <mergeCell ref="J9:Q9"/>
    <mergeCell ref="A4:Q4"/>
    <mergeCell ref="A7:F7"/>
    <mergeCell ref="B928:Q929"/>
    <mergeCell ref="A925:B925"/>
    <mergeCell ref="A927:B927"/>
    <mergeCell ref="B20:G20"/>
    <mergeCell ref="I104:S104"/>
    <mergeCell ref="A926:B926"/>
    <mergeCell ref="C924:Q924"/>
    <mergeCell ref="A102:S102"/>
    <mergeCell ref="G103:S103"/>
    <mergeCell ref="G108:S108"/>
    <mergeCell ref="A11:S11"/>
    <mergeCell ref="B9:G10"/>
    <mergeCell ref="A101:S101"/>
    <mergeCell ref="A100:S100"/>
    <mergeCell ref="S9:S10"/>
    <mergeCell ref="A99:S99"/>
    <mergeCell ref="I9:I10"/>
    <mergeCell ref="H9:H10"/>
    <mergeCell ref="B70:G70"/>
    <mergeCell ref="B84:G84"/>
  </mergeCells>
  <phoneticPr fontId="7" type="noConversion"/>
  <conditionalFormatting sqref="B12:G18 B120:G126 B228:G234 B338:G344 B459:G465 B575:G581 B688:G694 B812:G818 B22:G28 B32:G39 B43:G54 B58:G68 B72:G82 B86:G94 B130:G136 B140:G147 B151:G162 B166:G176 B180:G190 B194:G202 B238:G244 B248:G255 B259:G270 B274:G284 B288:G290 B294:G304 B308:G316 B348:G354 B358:G365 B369:G380 B384:G384 B388:G398 B402:G403 B407:G417 B421:G421 B425:G433 B469:G475 B479:G479 B483:G490 B494:G505 B509:G519 B523:G523 B527:G537 B541:G549 B585:G591 B595:G602 B606:G607 B611:G622 B626:G636 B640:G650 B654:G662 B698:G704 B708:G708 B712:G712 B716:G723 B729:G729 B733:G742 B746:G756 B760:G760 B764:G774 B778:G786 B822:G828 B832:G839 B843:G847 B853:G862 B866:G867 B871:G882 B886:G896 B900:G908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15" manualBreakCount="15">
    <brk id="48" max="16383" man="1"/>
    <brk id="108" max="16383" man="1"/>
    <brk id="156" max="16383" man="1"/>
    <brk id="216" max="16383" man="1"/>
    <brk id="264" max="16383" man="1"/>
    <brk id="326" max="16383" man="1"/>
    <brk id="374" max="16383" man="1"/>
    <brk id="447" max="16383" man="1"/>
    <brk id="495" max="16383" man="1"/>
    <brk id="563" max="16383" man="1"/>
    <brk id="611" max="16383" man="1"/>
    <brk id="676" max="16383" man="1"/>
    <brk id="724" max="16383" man="1"/>
    <brk id="800" max="16383" man="1"/>
    <brk id="8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BangDiem</vt:lpstr>
      <vt:lpstr>__Diem__</vt:lpstr>
      <vt:lpstr>__DTB__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2026-06-23T01:51:57Z</dcterms:modified>
</cp:coreProperties>
</file>