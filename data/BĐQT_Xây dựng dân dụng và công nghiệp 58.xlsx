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_cuu_diem_web\data\"/>
    </mc:Choice>
  </mc:AlternateContent>
  <xr:revisionPtr revIDLastSave="0" documentId="8_{FECD92E0-62E2-4EAC-A64C-87D75CC1EBEE}" xr6:coauthVersionLast="47" xr6:coauthVersionMax="47" xr10:uidLastSave="{00000000-0000-0000-0000-000000000000}"/>
  <bookViews>
    <workbookView xWindow="-108" yWindow="-108" windowWidth="23256" windowHeight="12576" xr2:uid="{28AA8F76-1C8A-4CF1-85FD-683D70CCEE8F}"/>
  </bookViews>
  <sheets>
    <sheet name="BangDiem" sheetId="1" r:id="rId1"/>
  </sheets>
  <definedNames>
    <definedName name="__Diem__">BangDiem!$A$12:$Q$12</definedName>
    <definedName name="__DTB__">BangDiem!$A$99:$S$102</definedName>
    <definedName name="__HocKy__">BangDiem!$A$11:$Q$20</definedName>
    <definedName name="__SV__">BangDiem!$A$1:$T$108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2" i="1" l="1"/>
  <c r="N12" i="1"/>
  <c r="M13" i="1"/>
  <c r="N13" i="1"/>
  <c r="M14" i="1"/>
  <c r="N14" i="1"/>
  <c r="M15" i="1"/>
  <c r="N15" i="1"/>
  <c r="M16" i="1"/>
  <c r="N16" i="1"/>
  <c r="M17" i="1"/>
  <c r="N17" i="1"/>
  <c r="M18" i="1"/>
  <c r="N18" i="1"/>
  <c r="M19" i="1"/>
  <c r="N19" i="1"/>
  <c r="I20" i="1"/>
  <c r="M22" i="1"/>
  <c r="N22" i="1"/>
  <c r="M23" i="1"/>
  <c r="N23" i="1"/>
  <c r="M24" i="1"/>
  <c r="N24" i="1"/>
  <c r="M25" i="1"/>
  <c r="N25" i="1"/>
  <c r="M26" i="1"/>
  <c r="N26" i="1"/>
  <c r="M27" i="1"/>
  <c r="N27" i="1"/>
  <c r="M28" i="1"/>
  <c r="N28" i="1"/>
  <c r="M29" i="1"/>
  <c r="N29" i="1"/>
  <c r="I30" i="1"/>
  <c r="M32" i="1"/>
  <c r="N32" i="1"/>
  <c r="M33" i="1"/>
  <c r="N33" i="1"/>
  <c r="M34" i="1"/>
  <c r="N34" i="1"/>
  <c r="M35" i="1"/>
  <c r="N35" i="1"/>
  <c r="M36" i="1"/>
  <c r="N36" i="1"/>
  <c r="M37" i="1"/>
  <c r="N37" i="1"/>
  <c r="M38" i="1"/>
  <c r="N38" i="1"/>
  <c r="M39" i="1"/>
  <c r="N39" i="1"/>
  <c r="M40" i="1"/>
  <c r="N40" i="1"/>
  <c r="I41" i="1"/>
  <c r="M43" i="1"/>
  <c r="N43" i="1"/>
  <c r="M44" i="1"/>
  <c r="N44" i="1"/>
  <c r="M45" i="1"/>
  <c r="N45" i="1"/>
  <c r="M46" i="1"/>
  <c r="N46" i="1"/>
  <c r="M47" i="1"/>
  <c r="N47" i="1"/>
  <c r="M48" i="1"/>
  <c r="N48" i="1"/>
  <c r="M51" i="1"/>
  <c r="N51" i="1"/>
  <c r="M52" i="1"/>
  <c r="N52" i="1"/>
  <c r="M53" i="1"/>
  <c r="N53" i="1"/>
  <c r="M54" i="1"/>
  <c r="N54" i="1"/>
  <c r="I55" i="1"/>
  <c r="M57" i="1"/>
  <c r="N57" i="1"/>
  <c r="M58" i="1"/>
  <c r="N58" i="1"/>
  <c r="M59" i="1"/>
  <c r="N59" i="1"/>
  <c r="M60" i="1"/>
  <c r="N60" i="1"/>
  <c r="M61" i="1"/>
  <c r="N61" i="1"/>
  <c r="M62" i="1"/>
  <c r="N62" i="1"/>
  <c r="M63" i="1"/>
  <c r="N63" i="1"/>
  <c r="M64" i="1"/>
  <c r="N64" i="1"/>
  <c r="M65" i="1"/>
  <c r="N65" i="1"/>
  <c r="M66" i="1"/>
  <c r="N66" i="1"/>
  <c r="M67" i="1"/>
  <c r="N67" i="1"/>
  <c r="M68" i="1"/>
  <c r="N68" i="1"/>
  <c r="I69" i="1"/>
  <c r="O69" i="1"/>
  <c r="M71" i="1"/>
  <c r="N71" i="1"/>
  <c r="M72" i="1"/>
  <c r="N72" i="1"/>
  <c r="M73" i="1"/>
  <c r="N73" i="1"/>
  <c r="M74" i="1"/>
  <c r="N74" i="1"/>
  <c r="M75" i="1"/>
  <c r="N75" i="1"/>
  <c r="M76" i="1"/>
  <c r="N76" i="1"/>
  <c r="M77" i="1"/>
  <c r="N77" i="1"/>
  <c r="M78" i="1"/>
  <c r="N78" i="1"/>
  <c r="M79" i="1"/>
  <c r="N79" i="1"/>
  <c r="M80" i="1"/>
  <c r="N80" i="1"/>
  <c r="M81" i="1"/>
  <c r="N81" i="1"/>
  <c r="M82" i="1"/>
  <c r="N82" i="1"/>
  <c r="M83" i="1"/>
  <c r="N83" i="1"/>
  <c r="I84" i="1"/>
  <c r="P84" i="1"/>
  <c r="M86" i="1"/>
  <c r="N86" i="1"/>
  <c r="M87" i="1"/>
  <c r="N87" i="1"/>
  <c r="M88" i="1"/>
  <c r="N88" i="1"/>
  <c r="M89" i="1"/>
  <c r="N89" i="1"/>
  <c r="M90" i="1"/>
  <c r="N90" i="1"/>
  <c r="M91" i="1"/>
  <c r="N91" i="1"/>
  <c r="M92" i="1"/>
  <c r="N92" i="1"/>
  <c r="M93" i="1"/>
  <c r="N93" i="1"/>
  <c r="M94" i="1"/>
  <c r="N94" i="1"/>
  <c r="M95" i="1"/>
  <c r="N95" i="1"/>
  <c r="I96" i="1"/>
  <c r="O96" i="1"/>
  <c r="M120" i="1"/>
  <c r="N120" i="1"/>
  <c r="P128" i="1" s="1"/>
  <c r="M121" i="1"/>
  <c r="N121" i="1"/>
  <c r="M122" i="1"/>
  <c r="N122" i="1"/>
  <c r="M123" i="1"/>
  <c r="N123" i="1"/>
  <c r="M124" i="1"/>
  <c r="N124" i="1"/>
  <c r="M125" i="1"/>
  <c r="N125" i="1"/>
  <c r="M126" i="1"/>
  <c r="N126" i="1"/>
  <c r="M127" i="1"/>
  <c r="N127" i="1"/>
  <c r="I128" i="1"/>
  <c r="N128" i="1"/>
  <c r="O128" i="1"/>
  <c r="M128" i="1" s="1"/>
  <c r="M130" i="1"/>
  <c r="N130" i="1"/>
  <c r="M131" i="1"/>
  <c r="N131" i="1"/>
  <c r="M132" i="1"/>
  <c r="N132" i="1"/>
  <c r="M133" i="1"/>
  <c r="N133" i="1"/>
  <c r="M134" i="1"/>
  <c r="N134" i="1"/>
  <c r="M135" i="1"/>
  <c r="N135" i="1"/>
  <c r="M136" i="1"/>
  <c r="N136" i="1"/>
  <c r="M137" i="1"/>
  <c r="N137" i="1"/>
  <c r="I138" i="1"/>
  <c r="M140" i="1"/>
  <c r="N140" i="1"/>
  <c r="M141" i="1"/>
  <c r="N141" i="1"/>
  <c r="M142" i="1"/>
  <c r="N142" i="1"/>
  <c r="M143" i="1"/>
  <c r="N143" i="1"/>
  <c r="M144" i="1"/>
  <c r="N144" i="1"/>
  <c r="M145" i="1"/>
  <c r="N145" i="1"/>
  <c r="M146" i="1"/>
  <c r="N146" i="1"/>
  <c r="M147" i="1"/>
  <c r="N147" i="1"/>
  <c r="M148" i="1"/>
  <c r="N148" i="1"/>
  <c r="I149" i="1"/>
  <c r="O149" i="1"/>
  <c r="M149" i="1" s="1"/>
  <c r="M151" i="1"/>
  <c r="N151" i="1"/>
  <c r="M152" i="1"/>
  <c r="N152" i="1"/>
  <c r="M153" i="1"/>
  <c r="N153" i="1"/>
  <c r="M154" i="1"/>
  <c r="N154" i="1"/>
  <c r="M155" i="1"/>
  <c r="N155" i="1"/>
  <c r="M156" i="1"/>
  <c r="N156" i="1"/>
  <c r="M159" i="1"/>
  <c r="N159" i="1"/>
  <c r="M160" i="1"/>
  <c r="N160" i="1"/>
  <c r="M161" i="1"/>
  <c r="N161" i="1"/>
  <c r="M162" i="1"/>
  <c r="N162" i="1"/>
  <c r="I163" i="1"/>
  <c r="M165" i="1"/>
  <c r="N165" i="1"/>
  <c r="M166" i="1"/>
  <c r="N166" i="1"/>
  <c r="M167" i="1"/>
  <c r="N167" i="1"/>
  <c r="M168" i="1"/>
  <c r="N168" i="1"/>
  <c r="M169" i="1"/>
  <c r="N169" i="1"/>
  <c r="M170" i="1"/>
  <c r="N170" i="1"/>
  <c r="M171" i="1"/>
  <c r="N171" i="1"/>
  <c r="M172" i="1"/>
  <c r="N172" i="1"/>
  <c r="M173" i="1"/>
  <c r="N173" i="1"/>
  <c r="M174" i="1"/>
  <c r="N174" i="1"/>
  <c r="M175" i="1"/>
  <c r="N175" i="1"/>
  <c r="M176" i="1"/>
  <c r="N176" i="1"/>
  <c r="I177" i="1"/>
  <c r="P177" i="1"/>
  <c r="M179" i="1"/>
  <c r="N179" i="1"/>
  <c r="M180" i="1"/>
  <c r="N180" i="1"/>
  <c r="M181" i="1"/>
  <c r="N181" i="1"/>
  <c r="M182" i="1"/>
  <c r="N182" i="1"/>
  <c r="M183" i="1"/>
  <c r="N183" i="1"/>
  <c r="M184" i="1"/>
  <c r="N184" i="1"/>
  <c r="M185" i="1"/>
  <c r="N185" i="1"/>
  <c r="M186" i="1"/>
  <c r="N186" i="1"/>
  <c r="M187" i="1"/>
  <c r="N187" i="1"/>
  <c r="M188" i="1"/>
  <c r="N188" i="1"/>
  <c r="M189" i="1"/>
  <c r="N189" i="1"/>
  <c r="M190" i="1"/>
  <c r="N190" i="1"/>
  <c r="M191" i="1"/>
  <c r="N191" i="1"/>
  <c r="I192" i="1"/>
  <c r="M194" i="1"/>
  <c r="N194" i="1"/>
  <c r="M195" i="1"/>
  <c r="N195" i="1"/>
  <c r="M196" i="1"/>
  <c r="N196" i="1"/>
  <c r="M197" i="1"/>
  <c r="N197" i="1"/>
  <c r="M198" i="1"/>
  <c r="N198" i="1"/>
  <c r="M199" i="1"/>
  <c r="N199" i="1"/>
  <c r="M200" i="1"/>
  <c r="N200" i="1"/>
  <c r="M201" i="1"/>
  <c r="N201" i="1"/>
  <c r="M202" i="1"/>
  <c r="N202" i="1"/>
  <c r="M203" i="1"/>
  <c r="N203" i="1"/>
  <c r="I204" i="1"/>
  <c r="P204" i="1"/>
  <c r="M228" i="1"/>
  <c r="N228" i="1"/>
  <c r="M229" i="1"/>
  <c r="N229" i="1"/>
  <c r="M230" i="1"/>
  <c r="N230" i="1"/>
  <c r="M231" i="1"/>
  <c r="N231" i="1"/>
  <c r="M232" i="1"/>
  <c r="N232" i="1"/>
  <c r="M233" i="1"/>
  <c r="N233" i="1"/>
  <c r="M234" i="1"/>
  <c r="N234" i="1"/>
  <c r="M235" i="1"/>
  <c r="N235" i="1"/>
  <c r="I236" i="1"/>
  <c r="M238" i="1"/>
  <c r="N238" i="1"/>
  <c r="P246" i="1" s="1"/>
  <c r="M239" i="1"/>
  <c r="N239" i="1"/>
  <c r="M240" i="1"/>
  <c r="N240" i="1"/>
  <c r="M241" i="1"/>
  <c r="N241" i="1"/>
  <c r="M242" i="1"/>
  <c r="N242" i="1"/>
  <c r="M243" i="1"/>
  <c r="N243" i="1"/>
  <c r="M244" i="1"/>
  <c r="N244" i="1"/>
  <c r="M245" i="1"/>
  <c r="N245" i="1"/>
  <c r="I246" i="1"/>
  <c r="N246" i="1"/>
  <c r="O246" i="1"/>
  <c r="M246" i="1" s="1"/>
  <c r="M248" i="1"/>
  <c r="N248" i="1"/>
  <c r="P250" i="1" s="1"/>
  <c r="M249" i="1"/>
  <c r="N249" i="1"/>
  <c r="I250" i="1"/>
  <c r="N250" i="1"/>
  <c r="M252" i="1"/>
  <c r="N252" i="1"/>
  <c r="M253" i="1"/>
  <c r="N253" i="1"/>
  <c r="M254" i="1"/>
  <c r="N254" i="1"/>
  <c r="M255" i="1"/>
  <c r="N255" i="1"/>
  <c r="M256" i="1"/>
  <c r="N256" i="1"/>
  <c r="M257" i="1"/>
  <c r="N257" i="1"/>
  <c r="M258" i="1"/>
  <c r="O261" i="1" s="1"/>
  <c r="M261" i="1" s="1"/>
  <c r="N258" i="1"/>
  <c r="M259" i="1"/>
  <c r="N259" i="1"/>
  <c r="M260" i="1"/>
  <c r="N260" i="1"/>
  <c r="I261" i="1"/>
  <c r="M263" i="1"/>
  <c r="N263" i="1"/>
  <c r="P267" i="1" s="1"/>
  <c r="M264" i="1"/>
  <c r="N264" i="1"/>
  <c r="I267" i="1"/>
  <c r="N267" i="1"/>
  <c r="M269" i="1"/>
  <c r="N269" i="1"/>
  <c r="M270" i="1"/>
  <c r="N270" i="1"/>
  <c r="M271" i="1"/>
  <c r="N271" i="1"/>
  <c r="M272" i="1"/>
  <c r="N272" i="1"/>
  <c r="M273" i="1"/>
  <c r="N273" i="1"/>
  <c r="M274" i="1"/>
  <c r="N274" i="1"/>
  <c r="M275" i="1"/>
  <c r="N275" i="1"/>
  <c r="M276" i="1"/>
  <c r="N276" i="1"/>
  <c r="M277" i="1"/>
  <c r="N277" i="1"/>
  <c r="M278" i="1"/>
  <c r="N278" i="1"/>
  <c r="I279" i="1"/>
  <c r="M281" i="1"/>
  <c r="N281" i="1"/>
  <c r="M282" i="1"/>
  <c r="N282" i="1"/>
  <c r="M283" i="1"/>
  <c r="N283" i="1"/>
  <c r="M284" i="1"/>
  <c r="N284" i="1"/>
  <c r="M285" i="1"/>
  <c r="N285" i="1"/>
  <c r="M286" i="1"/>
  <c r="N286" i="1"/>
  <c r="M287" i="1"/>
  <c r="N287" i="1"/>
  <c r="M288" i="1"/>
  <c r="N288" i="1"/>
  <c r="M289" i="1"/>
  <c r="N289" i="1"/>
  <c r="M290" i="1"/>
  <c r="N290" i="1"/>
  <c r="M291" i="1"/>
  <c r="N291" i="1"/>
  <c r="M292" i="1"/>
  <c r="N292" i="1"/>
  <c r="I293" i="1"/>
  <c r="O293" i="1"/>
  <c r="M295" i="1"/>
  <c r="N295" i="1"/>
  <c r="P297" i="1" s="1"/>
  <c r="M296" i="1"/>
  <c r="N296" i="1"/>
  <c r="I297" i="1"/>
  <c r="N297" i="1"/>
  <c r="O297" i="1"/>
  <c r="M297" i="1" s="1"/>
  <c r="M299" i="1"/>
  <c r="N299" i="1"/>
  <c r="M300" i="1"/>
  <c r="N300" i="1"/>
  <c r="M301" i="1"/>
  <c r="N301" i="1"/>
  <c r="M302" i="1"/>
  <c r="N302" i="1"/>
  <c r="M303" i="1"/>
  <c r="N303" i="1"/>
  <c r="M304" i="1"/>
  <c r="N304" i="1"/>
  <c r="M305" i="1"/>
  <c r="N305" i="1"/>
  <c r="M306" i="1"/>
  <c r="N306" i="1"/>
  <c r="M307" i="1"/>
  <c r="N307" i="1"/>
  <c r="M308" i="1"/>
  <c r="N308" i="1"/>
  <c r="M309" i="1"/>
  <c r="N309" i="1"/>
  <c r="M310" i="1"/>
  <c r="N310" i="1"/>
  <c r="M311" i="1"/>
  <c r="N311" i="1"/>
  <c r="I312" i="1"/>
  <c r="O312" i="1"/>
  <c r="M314" i="1"/>
  <c r="N314" i="1"/>
  <c r="P324" i="1" s="1"/>
  <c r="M315" i="1"/>
  <c r="N315" i="1"/>
  <c r="M316" i="1"/>
  <c r="N316" i="1"/>
  <c r="M317" i="1"/>
  <c r="N317" i="1"/>
  <c r="M318" i="1"/>
  <c r="N318" i="1"/>
  <c r="M319" i="1"/>
  <c r="N319" i="1"/>
  <c r="M320" i="1"/>
  <c r="N320" i="1"/>
  <c r="M321" i="1"/>
  <c r="N321" i="1"/>
  <c r="M322" i="1"/>
  <c r="N322" i="1"/>
  <c r="M323" i="1"/>
  <c r="N323" i="1"/>
  <c r="I324" i="1"/>
  <c r="N324" i="1"/>
  <c r="O324" i="1"/>
  <c r="M324" i="1" s="1"/>
  <c r="M344" i="1"/>
  <c r="N344" i="1"/>
  <c r="M345" i="1"/>
  <c r="N345" i="1"/>
  <c r="M346" i="1"/>
  <c r="N346" i="1"/>
  <c r="M347" i="1"/>
  <c r="N347" i="1"/>
  <c r="M348" i="1"/>
  <c r="N348" i="1"/>
  <c r="M349" i="1"/>
  <c r="N349" i="1"/>
  <c r="M350" i="1"/>
  <c r="N350" i="1"/>
  <c r="M351" i="1"/>
  <c r="N351" i="1"/>
  <c r="I352" i="1"/>
  <c r="M354" i="1"/>
  <c r="N354" i="1"/>
  <c r="M355" i="1"/>
  <c r="N355" i="1"/>
  <c r="M356" i="1"/>
  <c r="N356" i="1"/>
  <c r="M357" i="1"/>
  <c r="N357" i="1"/>
  <c r="M358" i="1"/>
  <c r="N358" i="1"/>
  <c r="M359" i="1"/>
  <c r="N359" i="1"/>
  <c r="M360" i="1"/>
  <c r="N360" i="1"/>
  <c r="M361" i="1"/>
  <c r="N361" i="1"/>
  <c r="I362" i="1"/>
  <c r="P362" i="1"/>
  <c r="M364" i="1"/>
  <c r="N364" i="1"/>
  <c r="M365" i="1"/>
  <c r="N365" i="1"/>
  <c r="M366" i="1"/>
  <c r="N366" i="1"/>
  <c r="M367" i="1"/>
  <c r="N367" i="1"/>
  <c r="M368" i="1"/>
  <c r="N368" i="1"/>
  <c r="M369" i="1"/>
  <c r="N369" i="1"/>
  <c r="M370" i="1"/>
  <c r="N370" i="1"/>
  <c r="M371" i="1"/>
  <c r="N371" i="1"/>
  <c r="M372" i="1"/>
  <c r="N372" i="1"/>
  <c r="I373" i="1"/>
  <c r="M375" i="1"/>
  <c r="N375" i="1"/>
  <c r="M376" i="1"/>
  <c r="N376" i="1"/>
  <c r="M377" i="1"/>
  <c r="N377" i="1"/>
  <c r="M378" i="1"/>
  <c r="N378" i="1"/>
  <c r="M379" i="1"/>
  <c r="N379" i="1"/>
  <c r="M380" i="1"/>
  <c r="N380" i="1"/>
  <c r="M383" i="1"/>
  <c r="N383" i="1"/>
  <c r="M384" i="1"/>
  <c r="N384" i="1"/>
  <c r="M385" i="1"/>
  <c r="N385" i="1"/>
  <c r="M386" i="1"/>
  <c r="N386" i="1"/>
  <c r="I387" i="1"/>
  <c r="M389" i="1"/>
  <c r="N389" i="1"/>
  <c r="M390" i="1"/>
  <c r="N390" i="1"/>
  <c r="M391" i="1"/>
  <c r="N391" i="1"/>
  <c r="M392" i="1"/>
  <c r="N392" i="1"/>
  <c r="M393" i="1"/>
  <c r="N393" i="1"/>
  <c r="M394" i="1"/>
  <c r="N394" i="1"/>
  <c r="M395" i="1"/>
  <c r="N395" i="1"/>
  <c r="M396" i="1"/>
  <c r="N396" i="1"/>
  <c r="M397" i="1"/>
  <c r="N397" i="1"/>
  <c r="M398" i="1"/>
  <c r="N398" i="1"/>
  <c r="M399" i="1"/>
  <c r="N399" i="1"/>
  <c r="M400" i="1"/>
  <c r="N400" i="1"/>
  <c r="I401" i="1"/>
  <c r="O401" i="1"/>
  <c r="M403" i="1"/>
  <c r="N403" i="1"/>
  <c r="M404" i="1"/>
  <c r="N404" i="1"/>
  <c r="M405" i="1"/>
  <c r="N405" i="1"/>
  <c r="M406" i="1"/>
  <c r="N406" i="1"/>
  <c r="M407" i="1"/>
  <c r="N407" i="1"/>
  <c r="M408" i="1"/>
  <c r="N408" i="1"/>
  <c r="M409" i="1"/>
  <c r="N409" i="1"/>
  <c r="M410" i="1"/>
  <c r="N410" i="1"/>
  <c r="M411" i="1"/>
  <c r="N411" i="1"/>
  <c r="M412" i="1"/>
  <c r="N412" i="1"/>
  <c r="M413" i="1"/>
  <c r="N413" i="1"/>
  <c r="M414" i="1"/>
  <c r="N414" i="1"/>
  <c r="M415" i="1"/>
  <c r="N415" i="1"/>
  <c r="I416" i="1"/>
  <c r="P416" i="1"/>
  <c r="M418" i="1"/>
  <c r="N418" i="1"/>
  <c r="M419" i="1"/>
  <c r="N419" i="1"/>
  <c r="M420" i="1"/>
  <c r="N420" i="1"/>
  <c r="M421" i="1"/>
  <c r="N421" i="1"/>
  <c r="M422" i="1"/>
  <c r="N422" i="1"/>
  <c r="M423" i="1"/>
  <c r="N423" i="1"/>
  <c r="M424" i="1"/>
  <c r="N424" i="1"/>
  <c r="M425" i="1"/>
  <c r="N425" i="1"/>
  <c r="M426" i="1"/>
  <c r="N426" i="1"/>
  <c r="M427" i="1"/>
  <c r="N427" i="1"/>
  <c r="M428" i="1"/>
  <c r="N428" i="1"/>
  <c r="I429" i="1"/>
  <c r="M453" i="1"/>
  <c r="N453" i="1"/>
  <c r="M454" i="1"/>
  <c r="N454" i="1"/>
  <c r="M455" i="1"/>
  <c r="N455" i="1"/>
  <c r="M456" i="1"/>
  <c r="N456" i="1"/>
  <c r="M457" i="1"/>
  <c r="N457" i="1"/>
  <c r="M458" i="1"/>
  <c r="N458" i="1"/>
  <c r="M459" i="1"/>
  <c r="N459" i="1"/>
  <c r="M460" i="1"/>
  <c r="N460" i="1"/>
  <c r="I461" i="1"/>
  <c r="P461" i="1"/>
  <c r="M463" i="1"/>
  <c r="N463" i="1"/>
  <c r="M464" i="1"/>
  <c r="N464" i="1"/>
  <c r="M465" i="1"/>
  <c r="N465" i="1"/>
  <c r="M466" i="1"/>
  <c r="N466" i="1"/>
  <c r="M467" i="1"/>
  <c r="N467" i="1"/>
  <c r="M468" i="1"/>
  <c r="N468" i="1"/>
  <c r="M469" i="1"/>
  <c r="N469" i="1"/>
  <c r="M470" i="1"/>
  <c r="N470" i="1"/>
  <c r="I471" i="1"/>
  <c r="O471" i="1"/>
  <c r="M473" i="1"/>
  <c r="N473" i="1"/>
  <c r="P475" i="1" s="1"/>
  <c r="M474" i="1"/>
  <c r="N474" i="1"/>
  <c r="I475" i="1"/>
  <c r="N475" i="1"/>
  <c r="O475" i="1"/>
  <c r="M475" i="1" s="1"/>
  <c r="M477" i="1"/>
  <c r="N477" i="1"/>
  <c r="P479" i="1" s="1"/>
  <c r="M478" i="1"/>
  <c r="N478" i="1"/>
  <c r="I479" i="1"/>
  <c r="N479" i="1"/>
  <c r="M481" i="1"/>
  <c r="N481" i="1"/>
  <c r="M482" i="1"/>
  <c r="N482" i="1"/>
  <c r="M483" i="1"/>
  <c r="N483" i="1"/>
  <c r="M484" i="1"/>
  <c r="N484" i="1"/>
  <c r="M485" i="1"/>
  <c r="N485" i="1"/>
  <c r="M486" i="1"/>
  <c r="N486" i="1"/>
  <c r="M487" i="1"/>
  <c r="N487" i="1"/>
  <c r="M488" i="1"/>
  <c r="N488" i="1"/>
  <c r="M489" i="1"/>
  <c r="N489" i="1"/>
  <c r="I492" i="1"/>
  <c r="O492" i="1"/>
  <c r="M492" i="1" s="1"/>
  <c r="M494" i="1"/>
  <c r="N494" i="1"/>
  <c r="P496" i="1" s="1"/>
  <c r="M495" i="1"/>
  <c r="N495" i="1"/>
  <c r="I496" i="1"/>
  <c r="N496" i="1"/>
  <c r="M498" i="1"/>
  <c r="N498" i="1"/>
  <c r="M499" i="1"/>
  <c r="N499" i="1"/>
  <c r="M500" i="1"/>
  <c r="N500" i="1"/>
  <c r="M501" i="1"/>
  <c r="N501" i="1"/>
  <c r="M502" i="1"/>
  <c r="N502" i="1"/>
  <c r="M503" i="1"/>
  <c r="N503" i="1"/>
  <c r="M504" i="1"/>
  <c r="N504" i="1"/>
  <c r="M505" i="1"/>
  <c r="N505" i="1"/>
  <c r="M506" i="1"/>
  <c r="N506" i="1"/>
  <c r="M507" i="1"/>
  <c r="N507" i="1"/>
  <c r="I508" i="1"/>
  <c r="P508" i="1"/>
  <c r="M510" i="1"/>
  <c r="N510" i="1"/>
  <c r="M511" i="1"/>
  <c r="N511" i="1"/>
  <c r="M512" i="1"/>
  <c r="N512" i="1"/>
  <c r="M513" i="1"/>
  <c r="N513" i="1"/>
  <c r="M514" i="1"/>
  <c r="N514" i="1"/>
  <c r="M515" i="1"/>
  <c r="N515" i="1"/>
  <c r="M516" i="1"/>
  <c r="N516" i="1"/>
  <c r="M517" i="1"/>
  <c r="N517" i="1"/>
  <c r="M518" i="1"/>
  <c r="N518" i="1"/>
  <c r="M519" i="1"/>
  <c r="N519" i="1"/>
  <c r="M520" i="1"/>
  <c r="N520" i="1"/>
  <c r="M521" i="1"/>
  <c r="N521" i="1"/>
  <c r="I522" i="1"/>
  <c r="O522" i="1"/>
  <c r="M524" i="1"/>
  <c r="N524" i="1"/>
  <c r="M525" i="1"/>
  <c r="N525" i="1"/>
  <c r="M526" i="1"/>
  <c r="N526" i="1"/>
  <c r="M527" i="1"/>
  <c r="N527" i="1"/>
  <c r="M528" i="1"/>
  <c r="N528" i="1"/>
  <c r="M529" i="1"/>
  <c r="N529" i="1"/>
  <c r="M530" i="1"/>
  <c r="N530" i="1"/>
  <c r="M531" i="1"/>
  <c r="N531" i="1"/>
  <c r="M532" i="1"/>
  <c r="N532" i="1"/>
  <c r="M533" i="1"/>
  <c r="N533" i="1"/>
  <c r="M534" i="1"/>
  <c r="N534" i="1"/>
  <c r="M535" i="1"/>
  <c r="N535" i="1"/>
  <c r="M536" i="1"/>
  <c r="N536" i="1"/>
  <c r="I537" i="1"/>
  <c r="P537" i="1"/>
  <c r="M539" i="1"/>
  <c r="N539" i="1"/>
  <c r="M540" i="1"/>
  <c r="N540" i="1"/>
  <c r="M541" i="1"/>
  <c r="N541" i="1"/>
  <c r="M542" i="1"/>
  <c r="N542" i="1"/>
  <c r="M543" i="1"/>
  <c r="N543" i="1"/>
  <c r="M544" i="1"/>
  <c r="N544" i="1"/>
  <c r="M545" i="1"/>
  <c r="N545" i="1"/>
  <c r="M546" i="1"/>
  <c r="N546" i="1"/>
  <c r="M547" i="1"/>
  <c r="N547" i="1"/>
  <c r="M548" i="1"/>
  <c r="N548" i="1"/>
  <c r="M549" i="1"/>
  <c r="N549" i="1"/>
  <c r="I550" i="1"/>
  <c r="M574" i="1"/>
  <c r="N574" i="1"/>
  <c r="M575" i="1"/>
  <c r="N575" i="1"/>
  <c r="M576" i="1"/>
  <c r="N576" i="1"/>
  <c r="M577" i="1"/>
  <c r="N577" i="1"/>
  <c r="M578" i="1"/>
  <c r="N578" i="1"/>
  <c r="M579" i="1"/>
  <c r="N579" i="1"/>
  <c r="M580" i="1"/>
  <c r="N580" i="1"/>
  <c r="M581" i="1"/>
  <c r="N581" i="1"/>
  <c r="I582" i="1"/>
  <c r="M584" i="1"/>
  <c r="N584" i="1"/>
  <c r="M585" i="1"/>
  <c r="N585" i="1"/>
  <c r="M586" i="1"/>
  <c r="N586" i="1"/>
  <c r="M587" i="1"/>
  <c r="N587" i="1"/>
  <c r="M588" i="1"/>
  <c r="N588" i="1"/>
  <c r="M589" i="1"/>
  <c r="N589" i="1"/>
  <c r="M590" i="1"/>
  <c r="N590" i="1"/>
  <c r="M591" i="1"/>
  <c r="N591" i="1"/>
  <c r="I592" i="1"/>
  <c r="O592" i="1"/>
  <c r="M594" i="1"/>
  <c r="N594" i="1"/>
  <c r="M595" i="1"/>
  <c r="N595" i="1"/>
  <c r="M596" i="1"/>
  <c r="N596" i="1"/>
  <c r="M597" i="1"/>
  <c r="N597" i="1"/>
  <c r="M598" i="1"/>
  <c r="N598" i="1"/>
  <c r="M599" i="1"/>
  <c r="N599" i="1"/>
  <c r="M600" i="1"/>
  <c r="N600" i="1"/>
  <c r="M601" i="1"/>
  <c r="N601" i="1"/>
  <c r="M602" i="1"/>
  <c r="N602" i="1"/>
  <c r="I603" i="1"/>
  <c r="P603" i="1"/>
  <c r="M605" i="1"/>
  <c r="N605" i="1"/>
  <c r="M606" i="1"/>
  <c r="N606" i="1"/>
  <c r="M607" i="1"/>
  <c r="N607" i="1"/>
  <c r="M608" i="1"/>
  <c r="N608" i="1"/>
  <c r="M609" i="1"/>
  <c r="N609" i="1"/>
  <c r="M610" i="1"/>
  <c r="N610" i="1"/>
  <c r="M613" i="1"/>
  <c r="N613" i="1"/>
  <c r="M614" i="1"/>
  <c r="N614" i="1"/>
  <c r="M615" i="1"/>
  <c r="N615" i="1"/>
  <c r="M616" i="1"/>
  <c r="N616" i="1"/>
  <c r="I617" i="1"/>
  <c r="M619" i="1"/>
  <c r="N619" i="1"/>
  <c r="P631" i="1" s="1"/>
  <c r="M620" i="1"/>
  <c r="N620" i="1"/>
  <c r="M621" i="1"/>
  <c r="N621" i="1"/>
  <c r="M622" i="1"/>
  <c r="N622" i="1"/>
  <c r="M623" i="1"/>
  <c r="N623" i="1"/>
  <c r="M624" i="1"/>
  <c r="N624" i="1"/>
  <c r="M625" i="1"/>
  <c r="N625" i="1"/>
  <c r="M626" i="1"/>
  <c r="N626" i="1"/>
  <c r="M627" i="1"/>
  <c r="N627" i="1"/>
  <c r="M628" i="1"/>
  <c r="N628" i="1"/>
  <c r="M629" i="1"/>
  <c r="N629" i="1"/>
  <c r="M630" i="1"/>
  <c r="N630" i="1"/>
  <c r="I631" i="1"/>
  <c r="N631" i="1"/>
  <c r="O631" i="1"/>
  <c r="M631" i="1" s="1"/>
  <c r="M633" i="1"/>
  <c r="N633" i="1"/>
  <c r="M634" i="1"/>
  <c r="N634" i="1"/>
  <c r="M635" i="1"/>
  <c r="N635" i="1"/>
  <c r="M636" i="1"/>
  <c r="N636" i="1"/>
  <c r="M637" i="1"/>
  <c r="N637" i="1"/>
  <c r="M638" i="1"/>
  <c r="N638" i="1"/>
  <c r="M639" i="1"/>
  <c r="N639" i="1"/>
  <c r="M640" i="1"/>
  <c r="N640" i="1"/>
  <c r="M641" i="1"/>
  <c r="N641" i="1"/>
  <c r="M642" i="1"/>
  <c r="N642" i="1"/>
  <c r="M643" i="1"/>
  <c r="N643" i="1"/>
  <c r="M644" i="1"/>
  <c r="N644" i="1"/>
  <c r="M645" i="1"/>
  <c r="N645" i="1"/>
  <c r="I646" i="1"/>
  <c r="O646" i="1"/>
  <c r="M648" i="1"/>
  <c r="N648" i="1"/>
  <c r="M649" i="1"/>
  <c r="N649" i="1"/>
  <c r="M650" i="1"/>
  <c r="N650" i="1"/>
  <c r="M651" i="1"/>
  <c r="N651" i="1"/>
  <c r="M652" i="1"/>
  <c r="N652" i="1"/>
  <c r="M653" i="1"/>
  <c r="N653" i="1"/>
  <c r="M654" i="1"/>
  <c r="N654" i="1"/>
  <c r="M655" i="1"/>
  <c r="N655" i="1"/>
  <c r="M656" i="1"/>
  <c r="N656" i="1"/>
  <c r="M657" i="1"/>
  <c r="N657" i="1"/>
  <c r="M658" i="1"/>
  <c r="N658" i="1"/>
  <c r="I659" i="1"/>
  <c r="P659" i="1"/>
  <c r="M683" i="1"/>
  <c r="N683" i="1"/>
  <c r="M684" i="1"/>
  <c r="N684" i="1"/>
  <c r="M685" i="1"/>
  <c r="N685" i="1"/>
  <c r="M686" i="1"/>
  <c r="N686" i="1"/>
  <c r="M687" i="1"/>
  <c r="N687" i="1"/>
  <c r="M688" i="1"/>
  <c r="N688" i="1"/>
  <c r="M689" i="1"/>
  <c r="N689" i="1"/>
  <c r="M690" i="1"/>
  <c r="N690" i="1"/>
  <c r="I691" i="1"/>
  <c r="O691" i="1"/>
  <c r="M693" i="1"/>
  <c r="N693" i="1"/>
  <c r="P701" i="1" s="1"/>
  <c r="M694" i="1"/>
  <c r="N694" i="1"/>
  <c r="M695" i="1"/>
  <c r="N695" i="1"/>
  <c r="M696" i="1"/>
  <c r="N696" i="1"/>
  <c r="M697" i="1"/>
  <c r="N697" i="1"/>
  <c r="M698" i="1"/>
  <c r="N698" i="1"/>
  <c r="M699" i="1"/>
  <c r="N699" i="1"/>
  <c r="M700" i="1"/>
  <c r="N700" i="1"/>
  <c r="I701" i="1"/>
  <c r="N701" i="1"/>
  <c r="O701" i="1"/>
  <c r="M701" i="1" s="1"/>
  <c r="M703" i="1"/>
  <c r="N703" i="1"/>
  <c r="M704" i="1"/>
  <c r="N704" i="1"/>
  <c r="M705" i="1"/>
  <c r="N705" i="1"/>
  <c r="M706" i="1"/>
  <c r="N706" i="1"/>
  <c r="M707" i="1"/>
  <c r="N707" i="1"/>
  <c r="M708" i="1"/>
  <c r="N708" i="1"/>
  <c r="M709" i="1"/>
  <c r="N709" i="1"/>
  <c r="M710" i="1"/>
  <c r="N710" i="1"/>
  <c r="M711" i="1"/>
  <c r="N711" i="1"/>
  <c r="I712" i="1"/>
  <c r="M714" i="1"/>
  <c r="N714" i="1"/>
  <c r="P726" i="1" s="1"/>
  <c r="N726" i="1" s="1"/>
  <c r="M715" i="1"/>
  <c r="N715" i="1"/>
  <c r="M716" i="1"/>
  <c r="N716" i="1"/>
  <c r="M717" i="1"/>
  <c r="N717" i="1"/>
  <c r="M718" i="1"/>
  <c r="N718" i="1"/>
  <c r="M719" i="1"/>
  <c r="N719" i="1"/>
  <c r="M722" i="1"/>
  <c r="N722" i="1"/>
  <c r="M723" i="1"/>
  <c r="N723" i="1"/>
  <c r="M724" i="1"/>
  <c r="N724" i="1"/>
  <c r="M725" i="1"/>
  <c r="N725" i="1"/>
  <c r="I726" i="1"/>
  <c r="O726" i="1"/>
  <c r="M726" i="1" s="1"/>
  <c r="M728" i="1"/>
  <c r="N728" i="1"/>
  <c r="M729" i="1"/>
  <c r="N729" i="1"/>
  <c r="M730" i="1"/>
  <c r="N730" i="1"/>
  <c r="M731" i="1"/>
  <c r="N731" i="1"/>
  <c r="M732" i="1"/>
  <c r="N732" i="1"/>
  <c r="M733" i="1"/>
  <c r="N733" i="1"/>
  <c r="M734" i="1"/>
  <c r="N734" i="1"/>
  <c r="M735" i="1"/>
  <c r="N735" i="1"/>
  <c r="M736" i="1"/>
  <c r="N736" i="1"/>
  <c r="M737" i="1"/>
  <c r="N737" i="1"/>
  <c r="M738" i="1"/>
  <c r="N738" i="1"/>
  <c r="M739" i="1"/>
  <c r="N739" i="1"/>
  <c r="I740" i="1"/>
  <c r="M742" i="1"/>
  <c r="N742" i="1"/>
  <c r="M743" i="1"/>
  <c r="N743" i="1"/>
  <c r="I744" i="1"/>
  <c r="M746" i="1"/>
  <c r="N746" i="1"/>
  <c r="M747" i="1"/>
  <c r="N747" i="1"/>
  <c r="M748" i="1"/>
  <c r="N748" i="1"/>
  <c r="M749" i="1"/>
  <c r="N749" i="1"/>
  <c r="M750" i="1"/>
  <c r="N750" i="1"/>
  <c r="M751" i="1"/>
  <c r="N751" i="1"/>
  <c r="M752" i="1"/>
  <c r="N752" i="1"/>
  <c r="M753" i="1"/>
  <c r="N753" i="1"/>
  <c r="M754" i="1"/>
  <c r="N754" i="1"/>
  <c r="M755" i="1"/>
  <c r="N755" i="1"/>
  <c r="M756" i="1"/>
  <c r="N756" i="1"/>
  <c r="M757" i="1"/>
  <c r="N757" i="1"/>
  <c r="M758" i="1"/>
  <c r="N758" i="1"/>
  <c r="I759" i="1"/>
  <c r="M761" i="1"/>
  <c r="N761" i="1"/>
  <c r="M762" i="1"/>
  <c r="N762" i="1"/>
  <c r="M763" i="1"/>
  <c r="N763" i="1"/>
  <c r="M764" i="1"/>
  <c r="N764" i="1"/>
  <c r="M765" i="1"/>
  <c r="N765" i="1"/>
  <c r="M766" i="1"/>
  <c r="N766" i="1"/>
  <c r="M767" i="1"/>
  <c r="N767" i="1"/>
  <c r="M768" i="1"/>
  <c r="N768" i="1"/>
  <c r="M769" i="1"/>
  <c r="N769" i="1"/>
  <c r="M770" i="1"/>
  <c r="N770" i="1"/>
  <c r="M771" i="1"/>
  <c r="N771" i="1"/>
  <c r="I772" i="1"/>
  <c r="O772" i="1"/>
  <c r="M772" i="1" s="1"/>
  <c r="M796" i="1"/>
  <c r="N796" i="1"/>
  <c r="M797" i="1"/>
  <c r="N797" i="1"/>
  <c r="M798" i="1"/>
  <c r="N798" i="1"/>
  <c r="M799" i="1"/>
  <c r="N799" i="1"/>
  <c r="M800" i="1"/>
  <c r="N800" i="1"/>
  <c r="M801" i="1"/>
  <c r="N801" i="1"/>
  <c r="M802" i="1"/>
  <c r="N802" i="1"/>
  <c r="M803" i="1"/>
  <c r="N803" i="1"/>
  <c r="I804" i="1"/>
  <c r="M806" i="1"/>
  <c r="N806" i="1"/>
  <c r="M807" i="1"/>
  <c r="N807" i="1"/>
  <c r="M808" i="1"/>
  <c r="N808" i="1"/>
  <c r="M809" i="1"/>
  <c r="N809" i="1"/>
  <c r="M810" i="1"/>
  <c r="N810" i="1"/>
  <c r="M811" i="1"/>
  <c r="N811" i="1"/>
  <c r="M812" i="1"/>
  <c r="N812" i="1"/>
  <c r="M813" i="1"/>
  <c r="N813" i="1"/>
  <c r="I814" i="1"/>
  <c r="P814" i="1"/>
  <c r="M816" i="1"/>
  <c r="N816" i="1"/>
  <c r="M817" i="1"/>
  <c r="N817" i="1"/>
  <c r="M818" i="1"/>
  <c r="N818" i="1"/>
  <c r="M819" i="1"/>
  <c r="N819" i="1"/>
  <c r="M820" i="1"/>
  <c r="N820" i="1"/>
  <c r="M821" i="1"/>
  <c r="N821" i="1"/>
  <c r="M822" i="1"/>
  <c r="N822" i="1"/>
  <c r="M823" i="1"/>
  <c r="N823" i="1"/>
  <c r="M824" i="1"/>
  <c r="N824" i="1"/>
  <c r="I825" i="1"/>
  <c r="M827" i="1"/>
  <c r="N827" i="1"/>
  <c r="M828" i="1"/>
  <c r="N828" i="1"/>
  <c r="M829" i="1"/>
  <c r="N829" i="1"/>
  <c r="M830" i="1"/>
  <c r="N830" i="1"/>
  <c r="M831" i="1"/>
  <c r="N831" i="1"/>
  <c r="M832" i="1"/>
  <c r="N832" i="1"/>
  <c r="M835" i="1"/>
  <c r="N835" i="1"/>
  <c r="M836" i="1"/>
  <c r="N836" i="1"/>
  <c r="M837" i="1"/>
  <c r="N837" i="1"/>
  <c r="M838" i="1"/>
  <c r="N838" i="1"/>
  <c r="I839" i="1"/>
  <c r="P839" i="1"/>
  <c r="M841" i="1"/>
  <c r="N841" i="1"/>
  <c r="M842" i="1"/>
  <c r="N842" i="1"/>
  <c r="M843" i="1"/>
  <c r="N843" i="1"/>
  <c r="M844" i="1"/>
  <c r="N844" i="1"/>
  <c r="M845" i="1"/>
  <c r="N845" i="1"/>
  <c r="M846" i="1"/>
  <c r="N846" i="1"/>
  <c r="M847" i="1"/>
  <c r="N847" i="1"/>
  <c r="M848" i="1"/>
  <c r="N848" i="1"/>
  <c r="M849" i="1"/>
  <c r="N849" i="1"/>
  <c r="M850" i="1"/>
  <c r="N850" i="1"/>
  <c r="M851" i="1"/>
  <c r="N851" i="1"/>
  <c r="M852" i="1"/>
  <c r="N852" i="1"/>
  <c r="I853" i="1"/>
  <c r="M855" i="1"/>
  <c r="N855" i="1"/>
  <c r="M856" i="1"/>
  <c r="N856" i="1"/>
  <c r="P857" i="1" s="1"/>
  <c r="I857" i="1"/>
  <c r="N857" i="1"/>
  <c r="O857" i="1"/>
  <c r="M859" i="1"/>
  <c r="N859" i="1"/>
  <c r="M860" i="1"/>
  <c r="N860" i="1"/>
  <c r="M861" i="1"/>
  <c r="N861" i="1"/>
  <c r="M862" i="1"/>
  <c r="N862" i="1"/>
  <c r="M863" i="1"/>
  <c r="N863" i="1"/>
  <c r="M864" i="1"/>
  <c r="N864" i="1"/>
  <c r="M865" i="1"/>
  <c r="N865" i="1"/>
  <c r="M866" i="1"/>
  <c r="N866" i="1"/>
  <c r="M867" i="1"/>
  <c r="N867" i="1"/>
  <c r="M868" i="1"/>
  <c r="N868" i="1"/>
  <c r="M869" i="1"/>
  <c r="N869" i="1"/>
  <c r="M870" i="1"/>
  <c r="N870" i="1"/>
  <c r="M871" i="1"/>
  <c r="N871" i="1"/>
  <c r="I872" i="1"/>
  <c r="O872" i="1"/>
  <c r="M874" i="1"/>
  <c r="N874" i="1"/>
  <c r="M875" i="1"/>
  <c r="N875" i="1"/>
  <c r="M876" i="1"/>
  <c r="N876" i="1"/>
  <c r="M877" i="1"/>
  <c r="N877" i="1"/>
  <c r="M878" i="1"/>
  <c r="N878" i="1"/>
  <c r="M879" i="1"/>
  <c r="N879" i="1"/>
  <c r="M880" i="1"/>
  <c r="N880" i="1"/>
  <c r="M881" i="1"/>
  <c r="N881" i="1"/>
  <c r="M882" i="1"/>
  <c r="N882" i="1"/>
  <c r="M883" i="1"/>
  <c r="N883" i="1"/>
  <c r="I884" i="1"/>
  <c r="O884" i="1"/>
  <c r="M884" i="1" s="1"/>
  <c r="M908" i="1"/>
  <c r="N908" i="1"/>
  <c r="M909" i="1"/>
  <c r="N909" i="1"/>
  <c r="M910" i="1"/>
  <c r="N910" i="1"/>
  <c r="M911" i="1"/>
  <c r="N911" i="1"/>
  <c r="M912" i="1"/>
  <c r="N912" i="1"/>
  <c r="M913" i="1"/>
  <c r="N913" i="1"/>
  <c r="M914" i="1"/>
  <c r="N914" i="1"/>
  <c r="M915" i="1"/>
  <c r="N915" i="1"/>
  <c r="I916" i="1"/>
  <c r="M918" i="1"/>
  <c r="N918" i="1"/>
  <c r="M919" i="1"/>
  <c r="N919" i="1"/>
  <c r="M920" i="1"/>
  <c r="N920" i="1"/>
  <c r="M921" i="1"/>
  <c r="N921" i="1"/>
  <c r="M922" i="1"/>
  <c r="N922" i="1"/>
  <c r="M923" i="1"/>
  <c r="N923" i="1"/>
  <c r="M924" i="1"/>
  <c r="N924" i="1"/>
  <c r="M925" i="1"/>
  <c r="N925" i="1"/>
  <c r="I926" i="1"/>
  <c r="P926" i="1"/>
  <c r="M928" i="1"/>
  <c r="N928" i="1"/>
  <c r="M929" i="1"/>
  <c r="N929" i="1"/>
  <c r="M930" i="1"/>
  <c r="N930" i="1"/>
  <c r="M931" i="1"/>
  <c r="N931" i="1"/>
  <c r="M932" i="1"/>
  <c r="N932" i="1"/>
  <c r="M933" i="1"/>
  <c r="N933" i="1"/>
  <c r="M934" i="1"/>
  <c r="N934" i="1"/>
  <c r="M935" i="1"/>
  <c r="N935" i="1"/>
  <c r="M936" i="1"/>
  <c r="N936" i="1"/>
  <c r="I937" i="1"/>
  <c r="M939" i="1"/>
  <c r="N939" i="1"/>
  <c r="M940" i="1"/>
  <c r="N940" i="1"/>
  <c r="M941" i="1"/>
  <c r="N941" i="1"/>
  <c r="M942" i="1"/>
  <c r="N942" i="1"/>
  <c r="M943" i="1"/>
  <c r="N943" i="1"/>
  <c r="M944" i="1"/>
  <c r="N944" i="1"/>
  <c r="M947" i="1"/>
  <c r="N947" i="1"/>
  <c r="M948" i="1"/>
  <c r="N948" i="1"/>
  <c r="M949" i="1"/>
  <c r="N949" i="1"/>
  <c r="M950" i="1"/>
  <c r="N950" i="1"/>
  <c r="I951" i="1"/>
  <c r="P951" i="1"/>
  <c r="M953" i="1"/>
  <c r="N953" i="1"/>
  <c r="M954" i="1"/>
  <c r="N954" i="1"/>
  <c r="M955" i="1"/>
  <c r="N955" i="1"/>
  <c r="M956" i="1"/>
  <c r="N956" i="1"/>
  <c r="M957" i="1"/>
  <c r="N957" i="1"/>
  <c r="M958" i="1"/>
  <c r="N958" i="1"/>
  <c r="M959" i="1"/>
  <c r="N959" i="1"/>
  <c r="M960" i="1"/>
  <c r="N960" i="1"/>
  <c r="M961" i="1"/>
  <c r="N961" i="1"/>
  <c r="M962" i="1"/>
  <c r="N962" i="1"/>
  <c r="M963" i="1"/>
  <c r="N963" i="1"/>
  <c r="M964" i="1"/>
  <c r="N964" i="1"/>
  <c r="I965" i="1"/>
  <c r="M967" i="1"/>
  <c r="N967" i="1"/>
  <c r="M968" i="1"/>
  <c r="N968" i="1"/>
  <c r="M969" i="1"/>
  <c r="N969" i="1"/>
  <c r="M970" i="1"/>
  <c r="N970" i="1"/>
  <c r="M971" i="1"/>
  <c r="N971" i="1"/>
  <c r="M972" i="1"/>
  <c r="N972" i="1"/>
  <c r="M973" i="1"/>
  <c r="N973" i="1"/>
  <c r="M974" i="1"/>
  <c r="N974" i="1"/>
  <c r="M975" i="1"/>
  <c r="N975" i="1"/>
  <c r="M976" i="1"/>
  <c r="N976" i="1"/>
  <c r="M977" i="1"/>
  <c r="N977" i="1"/>
  <c r="M978" i="1"/>
  <c r="N978" i="1"/>
  <c r="M979" i="1"/>
  <c r="N979" i="1"/>
  <c r="I980" i="1"/>
  <c r="M982" i="1"/>
  <c r="N982" i="1"/>
  <c r="M983" i="1"/>
  <c r="N983" i="1"/>
  <c r="M984" i="1"/>
  <c r="N984" i="1"/>
  <c r="M985" i="1"/>
  <c r="N985" i="1"/>
  <c r="M986" i="1"/>
  <c r="N986" i="1"/>
  <c r="M987" i="1"/>
  <c r="N987" i="1"/>
  <c r="M988" i="1"/>
  <c r="N988" i="1"/>
  <c r="M989" i="1"/>
  <c r="N989" i="1"/>
  <c r="M990" i="1"/>
  <c r="N990" i="1"/>
  <c r="M991" i="1"/>
  <c r="N991" i="1"/>
  <c r="I992" i="1"/>
  <c r="O992" i="1"/>
  <c r="M1016" i="1"/>
  <c r="N1016" i="1"/>
  <c r="M1017" i="1"/>
  <c r="N1017" i="1"/>
  <c r="M1018" i="1"/>
  <c r="N1018" i="1"/>
  <c r="M1019" i="1"/>
  <c r="N1019" i="1"/>
  <c r="M1020" i="1"/>
  <c r="N1020" i="1"/>
  <c r="M1021" i="1"/>
  <c r="N1021" i="1"/>
  <c r="M1022" i="1"/>
  <c r="N1022" i="1"/>
  <c r="M1023" i="1"/>
  <c r="N1023" i="1"/>
  <c r="I1024" i="1"/>
  <c r="O1024" i="1"/>
  <c r="M1024" i="1" s="1"/>
  <c r="M1026" i="1"/>
  <c r="N1026" i="1"/>
  <c r="M1027" i="1"/>
  <c r="N1027" i="1"/>
  <c r="M1028" i="1"/>
  <c r="N1028" i="1"/>
  <c r="M1029" i="1"/>
  <c r="N1029" i="1"/>
  <c r="M1030" i="1"/>
  <c r="N1030" i="1"/>
  <c r="M1031" i="1"/>
  <c r="N1031" i="1"/>
  <c r="M1032" i="1"/>
  <c r="N1032" i="1"/>
  <c r="M1033" i="1"/>
  <c r="N1033" i="1"/>
  <c r="I1034" i="1"/>
  <c r="M1036" i="1"/>
  <c r="N1036" i="1"/>
  <c r="M1037" i="1"/>
  <c r="N1037" i="1"/>
  <c r="M1038" i="1"/>
  <c r="N1038" i="1"/>
  <c r="M1039" i="1"/>
  <c r="N1039" i="1"/>
  <c r="M1040" i="1"/>
  <c r="N1040" i="1"/>
  <c r="M1041" i="1"/>
  <c r="N1041" i="1"/>
  <c r="M1042" i="1"/>
  <c r="N1042" i="1"/>
  <c r="M1043" i="1"/>
  <c r="N1043" i="1"/>
  <c r="M1044" i="1"/>
  <c r="N1044" i="1"/>
  <c r="I1045" i="1"/>
  <c r="O1045" i="1"/>
  <c r="M1045" i="1" s="1"/>
  <c r="M1047" i="1"/>
  <c r="N1047" i="1"/>
  <c r="M1048" i="1"/>
  <c r="N1048" i="1"/>
  <c r="M1049" i="1"/>
  <c r="N1049" i="1"/>
  <c r="M1050" i="1"/>
  <c r="N1050" i="1"/>
  <c r="M1051" i="1"/>
  <c r="N1051" i="1"/>
  <c r="M1052" i="1"/>
  <c r="N1052" i="1"/>
  <c r="M1055" i="1"/>
  <c r="N1055" i="1"/>
  <c r="M1056" i="1"/>
  <c r="N1056" i="1"/>
  <c r="M1057" i="1"/>
  <c r="N1057" i="1"/>
  <c r="M1058" i="1"/>
  <c r="N1058" i="1"/>
  <c r="I1059" i="1"/>
  <c r="M1061" i="1"/>
  <c r="N1061" i="1"/>
  <c r="M1062" i="1"/>
  <c r="N1062" i="1"/>
  <c r="M1063" i="1"/>
  <c r="N1063" i="1"/>
  <c r="M1064" i="1"/>
  <c r="N1064" i="1"/>
  <c r="M1065" i="1"/>
  <c r="N1065" i="1"/>
  <c r="M1066" i="1"/>
  <c r="N1066" i="1"/>
  <c r="M1067" i="1"/>
  <c r="N1067" i="1"/>
  <c r="M1068" i="1"/>
  <c r="N1068" i="1"/>
  <c r="M1069" i="1"/>
  <c r="N1069" i="1"/>
  <c r="M1070" i="1"/>
  <c r="N1070" i="1"/>
  <c r="M1071" i="1"/>
  <c r="N1071" i="1"/>
  <c r="M1072" i="1"/>
  <c r="N1072" i="1"/>
  <c r="I1073" i="1"/>
  <c r="P1073" i="1"/>
  <c r="M1075" i="1"/>
  <c r="N1075" i="1"/>
  <c r="M1076" i="1"/>
  <c r="N1076" i="1"/>
  <c r="M1077" i="1"/>
  <c r="N1077" i="1"/>
  <c r="M1078" i="1"/>
  <c r="N1078" i="1"/>
  <c r="M1079" i="1"/>
  <c r="N1079" i="1"/>
  <c r="M1080" i="1"/>
  <c r="N1080" i="1"/>
  <c r="M1081" i="1"/>
  <c r="N1081" i="1"/>
  <c r="M1082" i="1"/>
  <c r="N1082" i="1"/>
  <c r="M1083" i="1"/>
  <c r="N1083" i="1"/>
  <c r="M1084" i="1"/>
  <c r="N1084" i="1"/>
  <c r="M1085" i="1"/>
  <c r="N1085" i="1"/>
  <c r="M1086" i="1"/>
  <c r="N1086" i="1"/>
  <c r="M1087" i="1"/>
  <c r="N1087" i="1"/>
  <c r="I1088" i="1"/>
  <c r="M1090" i="1"/>
  <c r="N1090" i="1"/>
  <c r="M1091" i="1"/>
  <c r="N1091" i="1"/>
  <c r="M1092" i="1"/>
  <c r="N1092" i="1"/>
  <c r="M1093" i="1"/>
  <c r="N1093" i="1"/>
  <c r="M1094" i="1"/>
  <c r="N1094" i="1"/>
  <c r="M1095" i="1"/>
  <c r="N1095" i="1"/>
  <c r="M1096" i="1"/>
  <c r="N1096" i="1"/>
  <c r="M1097" i="1"/>
  <c r="N1097" i="1"/>
  <c r="M1098" i="1"/>
  <c r="N1098" i="1"/>
  <c r="M1099" i="1"/>
  <c r="N1099" i="1"/>
  <c r="I1100" i="1"/>
  <c r="P1100" i="1" s="1"/>
  <c r="M1124" i="1"/>
  <c r="N1124" i="1"/>
  <c r="M1125" i="1"/>
  <c r="N1125" i="1"/>
  <c r="M1126" i="1"/>
  <c r="N1126" i="1"/>
  <c r="M1127" i="1"/>
  <c r="N1127" i="1"/>
  <c r="M1128" i="1"/>
  <c r="N1128" i="1"/>
  <c r="M1129" i="1"/>
  <c r="N1129" i="1"/>
  <c r="M1130" i="1"/>
  <c r="N1130" i="1"/>
  <c r="M1131" i="1"/>
  <c r="N1131" i="1"/>
  <c r="I1132" i="1"/>
  <c r="O1132" i="1"/>
  <c r="M1134" i="1"/>
  <c r="N1134" i="1"/>
  <c r="P1142" i="1" s="1"/>
  <c r="M1135" i="1"/>
  <c r="N1135" i="1"/>
  <c r="M1136" i="1"/>
  <c r="N1136" i="1"/>
  <c r="M1137" i="1"/>
  <c r="N1137" i="1"/>
  <c r="M1138" i="1"/>
  <c r="N1138" i="1"/>
  <c r="M1139" i="1"/>
  <c r="N1139" i="1"/>
  <c r="M1140" i="1"/>
  <c r="N1140" i="1"/>
  <c r="M1141" i="1"/>
  <c r="N1141" i="1"/>
  <c r="I1142" i="1"/>
  <c r="N1142" i="1"/>
  <c r="O1142" i="1"/>
  <c r="M1142" i="1" s="1"/>
  <c r="M1144" i="1"/>
  <c r="N1144" i="1"/>
  <c r="P1146" i="1" s="1"/>
  <c r="N1146" i="1" s="1"/>
  <c r="M1145" i="1"/>
  <c r="N1145" i="1"/>
  <c r="I1146" i="1"/>
  <c r="M1148" i="1"/>
  <c r="N1148" i="1"/>
  <c r="M1149" i="1"/>
  <c r="N1149" i="1"/>
  <c r="M1150" i="1"/>
  <c r="N1150" i="1"/>
  <c r="M1151" i="1"/>
  <c r="N1151" i="1"/>
  <c r="M1152" i="1"/>
  <c r="N1152" i="1"/>
  <c r="M1153" i="1"/>
  <c r="N1153" i="1"/>
  <c r="M1154" i="1"/>
  <c r="N1154" i="1"/>
  <c r="M1155" i="1"/>
  <c r="N1155" i="1"/>
  <c r="M1156" i="1"/>
  <c r="N1156" i="1"/>
  <c r="I1157" i="1"/>
  <c r="O1157" i="1"/>
  <c r="M1157" i="1" s="1"/>
  <c r="M1159" i="1"/>
  <c r="N1159" i="1"/>
  <c r="M1160" i="1"/>
  <c r="N1160" i="1"/>
  <c r="M1163" i="1"/>
  <c r="N1163" i="1"/>
  <c r="M1164" i="1"/>
  <c r="N1164" i="1"/>
  <c r="M1165" i="1"/>
  <c r="N1165" i="1"/>
  <c r="M1166" i="1"/>
  <c r="N1166" i="1"/>
  <c r="M1167" i="1"/>
  <c r="N1167" i="1"/>
  <c r="M1168" i="1"/>
  <c r="N1168" i="1"/>
  <c r="M1169" i="1"/>
  <c r="N1169" i="1"/>
  <c r="M1170" i="1"/>
  <c r="N1170" i="1"/>
  <c r="I1171" i="1"/>
  <c r="M1173" i="1"/>
  <c r="N1173" i="1"/>
  <c r="M1174" i="1"/>
  <c r="N1174" i="1"/>
  <c r="M1175" i="1"/>
  <c r="N1175" i="1"/>
  <c r="M1176" i="1"/>
  <c r="N1176" i="1"/>
  <c r="M1177" i="1"/>
  <c r="N1177" i="1"/>
  <c r="M1178" i="1"/>
  <c r="N1178" i="1"/>
  <c r="M1179" i="1"/>
  <c r="N1179" i="1"/>
  <c r="M1180" i="1"/>
  <c r="N1180" i="1"/>
  <c r="M1181" i="1"/>
  <c r="N1181" i="1"/>
  <c r="M1182" i="1"/>
  <c r="N1182" i="1"/>
  <c r="M1183" i="1"/>
  <c r="N1183" i="1"/>
  <c r="M1184" i="1"/>
  <c r="N1184" i="1"/>
  <c r="I1185" i="1"/>
  <c r="P1185" i="1"/>
  <c r="M1187" i="1"/>
  <c r="N1187" i="1"/>
  <c r="M1188" i="1"/>
  <c r="N1188" i="1"/>
  <c r="M1189" i="1"/>
  <c r="N1189" i="1"/>
  <c r="M1190" i="1"/>
  <c r="N1190" i="1"/>
  <c r="M1191" i="1"/>
  <c r="N1191" i="1"/>
  <c r="M1192" i="1"/>
  <c r="N1192" i="1"/>
  <c r="M1193" i="1"/>
  <c r="N1193" i="1"/>
  <c r="M1194" i="1"/>
  <c r="N1194" i="1"/>
  <c r="M1195" i="1"/>
  <c r="N1195" i="1"/>
  <c r="M1196" i="1"/>
  <c r="N1196" i="1"/>
  <c r="M1197" i="1"/>
  <c r="N1197" i="1"/>
  <c r="M1198" i="1"/>
  <c r="N1198" i="1"/>
  <c r="M1199" i="1"/>
  <c r="N1199" i="1"/>
  <c r="I1200" i="1"/>
  <c r="M1202" i="1"/>
  <c r="N1202" i="1"/>
  <c r="P1213" i="1" s="1"/>
  <c r="M1203" i="1"/>
  <c r="N1203" i="1"/>
  <c r="M1204" i="1"/>
  <c r="N1204" i="1"/>
  <c r="M1205" i="1"/>
  <c r="N1205" i="1"/>
  <c r="M1206" i="1"/>
  <c r="N1206" i="1"/>
  <c r="M1207" i="1"/>
  <c r="N1207" i="1"/>
  <c r="M1208" i="1"/>
  <c r="N1208" i="1"/>
  <c r="M1209" i="1"/>
  <c r="N1209" i="1"/>
  <c r="M1210" i="1"/>
  <c r="N1210" i="1"/>
  <c r="M1211" i="1"/>
  <c r="N1211" i="1"/>
  <c r="M1212" i="1"/>
  <c r="N1212" i="1"/>
  <c r="I1213" i="1"/>
  <c r="M1213" i="1" s="1"/>
  <c r="O1213" i="1"/>
  <c r="M1237" i="1"/>
  <c r="N1237" i="1"/>
  <c r="M1238" i="1"/>
  <c r="N1238" i="1"/>
  <c r="P1245" i="1" s="1"/>
  <c r="M1239" i="1"/>
  <c r="N1239" i="1"/>
  <c r="M1240" i="1"/>
  <c r="N1240" i="1"/>
  <c r="M1241" i="1"/>
  <c r="N1241" i="1"/>
  <c r="M1242" i="1"/>
  <c r="N1242" i="1"/>
  <c r="M1243" i="1"/>
  <c r="N1243" i="1"/>
  <c r="M1244" i="1"/>
  <c r="O1245" i="1" s="1"/>
  <c r="N1244" i="1"/>
  <c r="I1245" i="1"/>
  <c r="M1247" i="1"/>
  <c r="N1247" i="1"/>
  <c r="M1248" i="1"/>
  <c r="N1248" i="1"/>
  <c r="M1249" i="1"/>
  <c r="N1249" i="1"/>
  <c r="M1250" i="1"/>
  <c r="N1250" i="1"/>
  <c r="M1251" i="1"/>
  <c r="N1251" i="1"/>
  <c r="M1252" i="1"/>
  <c r="N1252" i="1"/>
  <c r="M1253" i="1"/>
  <c r="N1253" i="1"/>
  <c r="M1254" i="1"/>
  <c r="N1254" i="1"/>
  <c r="I1255" i="1"/>
  <c r="O1255" i="1"/>
  <c r="M1255" i="1" s="1"/>
  <c r="M1257" i="1"/>
  <c r="N1257" i="1"/>
  <c r="M1258" i="1"/>
  <c r="N1258" i="1"/>
  <c r="M1259" i="1"/>
  <c r="N1259" i="1"/>
  <c r="M1260" i="1"/>
  <c r="N1260" i="1"/>
  <c r="M1261" i="1"/>
  <c r="N1261" i="1"/>
  <c r="M1262" i="1"/>
  <c r="N1262" i="1"/>
  <c r="M1263" i="1"/>
  <c r="N1263" i="1"/>
  <c r="M1264" i="1"/>
  <c r="N1264" i="1"/>
  <c r="M1265" i="1"/>
  <c r="N1265" i="1"/>
  <c r="I1266" i="1"/>
  <c r="P1266" i="1" s="1"/>
  <c r="N1266" i="1"/>
  <c r="M1268" i="1"/>
  <c r="N1268" i="1"/>
  <c r="P1270" i="1" s="1"/>
  <c r="N1270" i="1" s="1"/>
  <c r="M1269" i="1"/>
  <c r="O1270" i="1" s="1"/>
  <c r="N1269" i="1"/>
  <c r="I1270" i="1"/>
  <c r="M1270" i="1"/>
  <c r="M1272" i="1"/>
  <c r="N1272" i="1"/>
  <c r="M1273" i="1"/>
  <c r="N1273" i="1"/>
  <c r="M1276" i="1"/>
  <c r="N1276" i="1"/>
  <c r="M1277" i="1"/>
  <c r="N1277" i="1"/>
  <c r="M1278" i="1"/>
  <c r="N1278" i="1"/>
  <c r="M1279" i="1"/>
  <c r="N1279" i="1"/>
  <c r="M1280" i="1"/>
  <c r="N1280" i="1"/>
  <c r="M1281" i="1"/>
  <c r="N1281" i="1"/>
  <c r="M1282" i="1"/>
  <c r="N1282" i="1"/>
  <c r="M1283" i="1"/>
  <c r="N1283" i="1"/>
  <c r="I1284" i="1"/>
  <c r="O1284" i="1" s="1"/>
  <c r="M1284" i="1"/>
  <c r="M1286" i="1"/>
  <c r="N1286" i="1"/>
  <c r="M1287" i="1"/>
  <c r="N1287" i="1"/>
  <c r="M1288" i="1"/>
  <c r="N1288" i="1"/>
  <c r="M1289" i="1"/>
  <c r="N1289" i="1"/>
  <c r="M1290" i="1"/>
  <c r="N1290" i="1"/>
  <c r="M1291" i="1"/>
  <c r="N1291" i="1"/>
  <c r="M1292" i="1"/>
  <c r="N1292" i="1"/>
  <c r="M1293" i="1"/>
  <c r="N1293" i="1"/>
  <c r="M1294" i="1"/>
  <c r="N1294" i="1"/>
  <c r="M1295" i="1"/>
  <c r="N1295" i="1"/>
  <c r="M1296" i="1"/>
  <c r="N1296" i="1"/>
  <c r="M1297" i="1"/>
  <c r="N1297" i="1"/>
  <c r="I1298" i="1"/>
  <c r="M1300" i="1"/>
  <c r="N1300" i="1"/>
  <c r="M1301" i="1"/>
  <c r="N1301" i="1"/>
  <c r="M1302" i="1"/>
  <c r="N1302" i="1"/>
  <c r="M1303" i="1"/>
  <c r="N1303" i="1"/>
  <c r="M1304" i="1"/>
  <c r="N1304" i="1"/>
  <c r="M1305" i="1"/>
  <c r="N1305" i="1"/>
  <c r="M1306" i="1"/>
  <c r="N1306" i="1"/>
  <c r="M1307" i="1"/>
  <c r="N1307" i="1"/>
  <c r="M1308" i="1"/>
  <c r="N1308" i="1"/>
  <c r="M1309" i="1"/>
  <c r="N1309" i="1"/>
  <c r="M1310" i="1"/>
  <c r="N1310" i="1"/>
  <c r="M1311" i="1"/>
  <c r="N1311" i="1"/>
  <c r="M1312" i="1"/>
  <c r="N1312" i="1"/>
  <c r="I1313" i="1"/>
  <c r="P1313" i="1"/>
  <c r="N1313" i="1" s="1"/>
  <c r="M1315" i="1"/>
  <c r="N1315" i="1"/>
  <c r="M1316" i="1"/>
  <c r="N1316" i="1"/>
  <c r="M1317" i="1"/>
  <c r="N1317" i="1"/>
  <c r="M1318" i="1"/>
  <c r="N1318" i="1"/>
  <c r="M1319" i="1"/>
  <c r="N1319" i="1"/>
  <c r="M1320" i="1"/>
  <c r="N1320" i="1"/>
  <c r="M1321" i="1"/>
  <c r="N1321" i="1"/>
  <c r="M1322" i="1"/>
  <c r="N1322" i="1"/>
  <c r="M1323" i="1"/>
  <c r="N1323" i="1"/>
  <c r="M1324" i="1"/>
  <c r="N1324" i="1"/>
  <c r="I1325" i="1"/>
  <c r="M1325" i="1" s="1"/>
  <c r="O1325" i="1"/>
  <c r="P1325" i="1"/>
  <c r="M1349" i="1"/>
  <c r="N1349" i="1"/>
  <c r="M1350" i="1"/>
  <c r="N1350" i="1"/>
  <c r="P1357" i="1" s="1"/>
  <c r="M1351" i="1"/>
  <c r="N1351" i="1"/>
  <c r="M1352" i="1"/>
  <c r="N1352" i="1"/>
  <c r="M1353" i="1"/>
  <c r="N1353" i="1"/>
  <c r="M1354" i="1"/>
  <c r="N1354" i="1"/>
  <c r="M1355" i="1"/>
  <c r="N1355" i="1"/>
  <c r="M1356" i="1"/>
  <c r="N1356" i="1"/>
  <c r="I1357" i="1"/>
  <c r="O1357" i="1"/>
  <c r="M1359" i="1"/>
  <c r="N1359" i="1"/>
  <c r="M1360" i="1"/>
  <c r="N1360" i="1"/>
  <c r="M1361" i="1"/>
  <c r="N1361" i="1"/>
  <c r="M1362" i="1"/>
  <c r="N1362" i="1"/>
  <c r="M1363" i="1"/>
  <c r="N1363" i="1"/>
  <c r="M1364" i="1"/>
  <c r="N1364" i="1"/>
  <c r="M1365" i="1"/>
  <c r="N1365" i="1"/>
  <c r="M1366" i="1"/>
  <c r="N1366" i="1"/>
  <c r="I1367" i="1"/>
  <c r="M1367" i="1" s="1"/>
  <c r="O1367" i="1"/>
  <c r="M1369" i="1"/>
  <c r="N1369" i="1"/>
  <c r="M1370" i="1"/>
  <c r="N1370" i="1"/>
  <c r="M1371" i="1"/>
  <c r="N1371" i="1"/>
  <c r="M1372" i="1"/>
  <c r="N1372" i="1"/>
  <c r="M1373" i="1"/>
  <c r="N1373" i="1"/>
  <c r="M1374" i="1"/>
  <c r="N1374" i="1"/>
  <c r="M1375" i="1"/>
  <c r="N1375" i="1"/>
  <c r="M1376" i="1"/>
  <c r="N1376" i="1"/>
  <c r="M1377" i="1"/>
  <c r="N1377" i="1"/>
  <c r="I1378" i="1"/>
  <c r="M1380" i="1"/>
  <c r="N1380" i="1"/>
  <c r="M1381" i="1"/>
  <c r="N1381" i="1"/>
  <c r="M1382" i="1"/>
  <c r="N1382" i="1"/>
  <c r="M1383" i="1"/>
  <c r="N1383" i="1"/>
  <c r="M1384" i="1"/>
  <c r="N1384" i="1"/>
  <c r="M1385" i="1"/>
  <c r="N1385" i="1"/>
  <c r="M1388" i="1"/>
  <c r="N1388" i="1"/>
  <c r="M1389" i="1"/>
  <c r="N1389" i="1"/>
  <c r="M1390" i="1"/>
  <c r="N1390" i="1"/>
  <c r="M1391" i="1"/>
  <c r="N1391" i="1"/>
  <c r="I1392" i="1"/>
  <c r="O1392" i="1"/>
  <c r="M1394" i="1"/>
  <c r="N1394" i="1"/>
  <c r="P1406" i="1" s="1"/>
  <c r="M1395" i="1"/>
  <c r="N1395" i="1"/>
  <c r="M1396" i="1"/>
  <c r="N1396" i="1"/>
  <c r="M1397" i="1"/>
  <c r="N1397" i="1"/>
  <c r="M1398" i="1"/>
  <c r="N1398" i="1"/>
  <c r="M1399" i="1"/>
  <c r="N1399" i="1"/>
  <c r="M1400" i="1"/>
  <c r="N1400" i="1"/>
  <c r="M1401" i="1"/>
  <c r="N1401" i="1"/>
  <c r="M1402" i="1"/>
  <c r="N1402" i="1"/>
  <c r="M1403" i="1"/>
  <c r="N1403" i="1"/>
  <c r="M1404" i="1"/>
  <c r="N1404" i="1"/>
  <c r="M1405" i="1"/>
  <c r="N1405" i="1"/>
  <c r="I1406" i="1"/>
  <c r="N1406" i="1"/>
  <c r="M1408" i="1"/>
  <c r="N1408" i="1"/>
  <c r="M1409" i="1"/>
  <c r="N1409" i="1"/>
  <c r="M1410" i="1"/>
  <c r="N1410" i="1"/>
  <c r="I1411" i="1"/>
  <c r="M1411" i="1" s="1"/>
  <c r="O1411" i="1"/>
  <c r="M1413" i="1"/>
  <c r="N1413" i="1"/>
  <c r="M1414" i="1"/>
  <c r="N1414" i="1"/>
  <c r="M1415" i="1"/>
  <c r="N1415" i="1"/>
  <c r="M1416" i="1"/>
  <c r="N1416" i="1"/>
  <c r="M1417" i="1"/>
  <c r="N1417" i="1"/>
  <c r="M1418" i="1"/>
  <c r="N1418" i="1"/>
  <c r="M1419" i="1"/>
  <c r="N1419" i="1"/>
  <c r="M1420" i="1"/>
  <c r="N1420" i="1"/>
  <c r="M1421" i="1"/>
  <c r="N1421" i="1"/>
  <c r="M1422" i="1"/>
  <c r="N1422" i="1"/>
  <c r="M1423" i="1"/>
  <c r="N1423" i="1"/>
  <c r="M1424" i="1"/>
  <c r="N1424" i="1"/>
  <c r="M1425" i="1"/>
  <c r="N1425" i="1"/>
  <c r="I1426" i="1"/>
  <c r="M1428" i="1"/>
  <c r="N1428" i="1"/>
  <c r="M1429" i="1"/>
  <c r="N1429" i="1"/>
  <c r="M1430" i="1"/>
  <c r="N1430" i="1"/>
  <c r="M1431" i="1"/>
  <c r="N1431" i="1"/>
  <c r="M1432" i="1"/>
  <c r="N1432" i="1"/>
  <c r="M1433" i="1"/>
  <c r="N1433" i="1"/>
  <c r="M1434" i="1"/>
  <c r="N1434" i="1"/>
  <c r="M1435" i="1"/>
  <c r="N1435" i="1"/>
  <c r="M1436" i="1"/>
  <c r="N1436" i="1"/>
  <c r="M1437" i="1"/>
  <c r="N1437" i="1"/>
  <c r="M1438" i="1"/>
  <c r="N1438" i="1"/>
  <c r="I1439" i="1"/>
  <c r="M1463" i="1"/>
  <c r="N1463" i="1"/>
  <c r="M1464" i="1"/>
  <c r="N1464" i="1"/>
  <c r="M1465" i="1"/>
  <c r="N1465" i="1"/>
  <c r="M1466" i="1"/>
  <c r="N1466" i="1"/>
  <c r="M1467" i="1"/>
  <c r="N1467" i="1"/>
  <c r="M1468" i="1"/>
  <c r="N1468" i="1"/>
  <c r="M1469" i="1"/>
  <c r="N1469" i="1"/>
  <c r="M1470" i="1"/>
  <c r="N1470" i="1"/>
  <c r="I1471" i="1"/>
  <c r="P1471" i="1"/>
  <c r="M1473" i="1"/>
  <c r="N1473" i="1"/>
  <c r="M1474" i="1"/>
  <c r="N1474" i="1"/>
  <c r="M1475" i="1"/>
  <c r="N1475" i="1"/>
  <c r="M1476" i="1"/>
  <c r="N1476" i="1"/>
  <c r="M1477" i="1"/>
  <c r="N1477" i="1"/>
  <c r="M1478" i="1"/>
  <c r="N1478" i="1"/>
  <c r="M1479" i="1"/>
  <c r="N1479" i="1"/>
  <c r="M1480" i="1"/>
  <c r="N1480" i="1"/>
  <c r="I1481" i="1"/>
  <c r="M1481" i="1" s="1"/>
  <c r="O1481" i="1"/>
  <c r="M1483" i="1"/>
  <c r="N1483" i="1"/>
  <c r="M1484" i="1"/>
  <c r="N1484" i="1"/>
  <c r="M1485" i="1"/>
  <c r="N1485" i="1"/>
  <c r="M1486" i="1"/>
  <c r="N1486" i="1"/>
  <c r="M1487" i="1"/>
  <c r="N1487" i="1"/>
  <c r="M1488" i="1"/>
  <c r="N1488" i="1"/>
  <c r="M1489" i="1"/>
  <c r="N1489" i="1"/>
  <c r="M1490" i="1"/>
  <c r="N1490" i="1"/>
  <c r="M1491" i="1"/>
  <c r="N1491" i="1"/>
  <c r="I1492" i="1"/>
  <c r="M1494" i="1"/>
  <c r="N1494" i="1"/>
  <c r="M1495" i="1"/>
  <c r="N1495" i="1"/>
  <c r="M1496" i="1"/>
  <c r="N1496" i="1"/>
  <c r="M1497" i="1"/>
  <c r="N1497" i="1"/>
  <c r="M1498" i="1"/>
  <c r="N1498" i="1"/>
  <c r="M1499" i="1"/>
  <c r="N1499" i="1"/>
  <c r="M1502" i="1"/>
  <c r="N1502" i="1"/>
  <c r="M1503" i="1"/>
  <c r="N1503" i="1"/>
  <c r="M1504" i="1"/>
  <c r="N1504" i="1"/>
  <c r="M1505" i="1"/>
  <c r="N1505" i="1"/>
  <c r="I1506" i="1"/>
  <c r="O1506" i="1"/>
  <c r="M1508" i="1"/>
  <c r="N1508" i="1"/>
  <c r="P1520" i="1" s="1"/>
  <c r="M1509" i="1"/>
  <c r="N1509" i="1"/>
  <c r="M1510" i="1"/>
  <c r="N1510" i="1"/>
  <c r="M1511" i="1"/>
  <c r="N1511" i="1"/>
  <c r="M1512" i="1"/>
  <c r="N1512" i="1"/>
  <c r="M1513" i="1"/>
  <c r="N1513" i="1"/>
  <c r="M1514" i="1"/>
  <c r="N1514" i="1"/>
  <c r="M1515" i="1"/>
  <c r="N1515" i="1"/>
  <c r="M1516" i="1"/>
  <c r="N1516" i="1"/>
  <c r="M1517" i="1"/>
  <c r="N1517" i="1"/>
  <c r="M1518" i="1"/>
  <c r="N1518" i="1"/>
  <c r="M1519" i="1"/>
  <c r="N1519" i="1"/>
  <c r="I1520" i="1"/>
  <c r="N1520" i="1"/>
  <c r="M1522" i="1"/>
  <c r="N1522" i="1"/>
  <c r="M1523" i="1"/>
  <c r="N1523" i="1"/>
  <c r="M1524" i="1"/>
  <c r="N1524" i="1"/>
  <c r="M1525" i="1"/>
  <c r="N1525" i="1"/>
  <c r="M1526" i="1"/>
  <c r="N1526" i="1"/>
  <c r="M1527" i="1"/>
  <c r="N1527" i="1"/>
  <c r="M1528" i="1"/>
  <c r="N1528" i="1"/>
  <c r="M1529" i="1"/>
  <c r="N1529" i="1"/>
  <c r="M1530" i="1"/>
  <c r="N1530" i="1"/>
  <c r="M1531" i="1"/>
  <c r="N1531" i="1"/>
  <c r="M1532" i="1"/>
  <c r="N1532" i="1"/>
  <c r="M1533" i="1"/>
  <c r="N1533" i="1"/>
  <c r="M1534" i="1"/>
  <c r="N1534" i="1"/>
  <c r="I1535" i="1"/>
  <c r="M1535" i="1" s="1"/>
  <c r="O1535" i="1"/>
  <c r="M1537" i="1"/>
  <c r="N1537" i="1"/>
  <c r="P1547" i="1" s="1"/>
  <c r="N1547" i="1" s="1"/>
  <c r="M1538" i="1"/>
  <c r="N1538" i="1"/>
  <c r="M1539" i="1"/>
  <c r="N1539" i="1"/>
  <c r="M1540" i="1"/>
  <c r="N1540" i="1"/>
  <c r="M1541" i="1"/>
  <c r="N1541" i="1"/>
  <c r="M1542" i="1"/>
  <c r="N1542" i="1"/>
  <c r="M1543" i="1"/>
  <c r="N1543" i="1"/>
  <c r="M1544" i="1"/>
  <c r="N1544" i="1"/>
  <c r="M1545" i="1"/>
  <c r="N1545" i="1"/>
  <c r="M1546" i="1"/>
  <c r="N1546" i="1"/>
  <c r="I1547" i="1"/>
  <c r="M1571" i="1"/>
  <c r="N1571" i="1"/>
  <c r="M1572" i="1"/>
  <c r="N1572" i="1"/>
  <c r="M1573" i="1"/>
  <c r="N1573" i="1"/>
  <c r="M1574" i="1"/>
  <c r="N1574" i="1"/>
  <c r="M1575" i="1"/>
  <c r="N1575" i="1"/>
  <c r="M1576" i="1"/>
  <c r="N1576" i="1"/>
  <c r="M1577" i="1"/>
  <c r="N1577" i="1"/>
  <c r="M1578" i="1"/>
  <c r="N1578" i="1"/>
  <c r="I1579" i="1"/>
  <c r="M1581" i="1"/>
  <c r="N1581" i="1"/>
  <c r="M1582" i="1"/>
  <c r="N1582" i="1"/>
  <c r="M1583" i="1"/>
  <c r="N1583" i="1"/>
  <c r="M1584" i="1"/>
  <c r="N1584" i="1"/>
  <c r="M1585" i="1"/>
  <c r="N1585" i="1"/>
  <c r="M1586" i="1"/>
  <c r="N1586" i="1"/>
  <c r="M1587" i="1"/>
  <c r="N1587" i="1"/>
  <c r="M1588" i="1"/>
  <c r="N1588" i="1"/>
  <c r="I1589" i="1"/>
  <c r="P1589" i="1"/>
  <c r="M1591" i="1"/>
  <c r="N1591" i="1"/>
  <c r="M1592" i="1"/>
  <c r="N1592" i="1"/>
  <c r="M1593" i="1"/>
  <c r="N1593" i="1"/>
  <c r="M1594" i="1"/>
  <c r="N1594" i="1"/>
  <c r="M1595" i="1"/>
  <c r="N1595" i="1"/>
  <c r="M1596" i="1"/>
  <c r="N1596" i="1"/>
  <c r="M1597" i="1"/>
  <c r="N1597" i="1"/>
  <c r="M1598" i="1"/>
  <c r="N1598" i="1"/>
  <c r="M1599" i="1"/>
  <c r="N1599" i="1"/>
  <c r="I1600" i="1"/>
  <c r="M1602" i="1"/>
  <c r="N1602" i="1"/>
  <c r="M1603" i="1"/>
  <c r="N1603" i="1"/>
  <c r="M1604" i="1"/>
  <c r="N1604" i="1"/>
  <c r="M1605" i="1"/>
  <c r="N1605" i="1"/>
  <c r="M1606" i="1"/>
  <c r="N1606" i="1"/>
  <c r="M1607" i="1"/>
  <c r="N1607" i="1"/>
  <c r="M1610" i="1"/>
  <c r="N1610" i="1"/>
  <c r="M1611" i="1"/>
  <c r="N1611" i="1"/>
  <c r="M1612" i="1"/>
  <c r="N1612" i="1"/>
  <c r="M1613" i="1"/>
  <c r="N1613" i="1"/>
  <c r="I1614" i="1"/>
  <c r="P1614" i="1" s="1"/>
  <c r="M1616" i="1"/>
  <c r="N1616" i="1"/>
  <c r="M1617" i="1"/>
  <c r="N1617" i="1"/>
  <c r="M1618" i="1"/>
  <c r="N1618" i="1"/>
  <c r="M1619" i="1"/>
  <c r="N1619" i="1"/>
  <c r="M1620" i="1"/>
  <c r="N1620" i="1"/>
  <c r="M1621" i="1"/>
  <c r="N1621" i="1"/>
  <c r="M1622" i="1"/>
  <c r="N1622" i="1"/>
  <c r="M1623" i="1"/>
  <c r="N1623" i="1"/>
  <c r="M1624" i="1"/>
  <c r="N1624" i="1"/>
  <c r="M1625" i="1"/>
  <c r="N1625" i="1"/>
  <c r="M1626" i="1"/>
  <c r="N1626" i="1"/>
  <c r="M1627" i="1"/>
  <c r="N1627" i="1"/>
  <c r="I1628" i="1"/>
  <c r="M1628" i="1" s="1"/>
  <c r="O1628" i="1"/>
  <c r="M1630" i="1"/>
  <c r="N1630" i="1"/>
  <c r="M1631" i="1"/>
  <c r="N1631" i="1"/>
  <c r="M1632" i="1"/>
  <c r="N1632" i="1"/>
  <c r="M1633" i="1"/>
  <c r="N1633" i="1"/>
  <c r="M1634" i="1"/>
  <c r="N1634" i="1"/>
  <c r="M1635" i="1"/>
  <c r="N1635" i="1"/>
  <c r="M1636" i="1"/>
  <c r="N1636" i="1"/>
  <c r="M1637" i="1"/>
  <c r="N1637" i="1"/>
  <c r="M1638" i="1"/>
  <c r="N1638" i="1"/>
  <c r="M1639" i="1"/>
  <c r="N1639" i="1"/>
  <c r="M1640" i="1"/>
  <c r="N1640" i="1"/>
  <c r="M1641" i="1"/>
  <c r="N1641" i="1"/>
  <c r="I1642" i="1"/>
  <c r="M1644" i="1"/>
  <c r="N1644" i="1"/>
  <c r="M1645" i="1"/>
  <c r="N1645" i="1"/>
  <c r="M1646" i="1"/>
  <c r="N1646" i="1"/>
  <c r="M1647" i="1"/>
  <c r="N1647" i="1"/>
  <c r="M1648" i="1"/>
  <c r="N1648" i="1"/>
  <c r="M1649" i="1"/>
  <c r="N1649" i="1"/>
  <c r="M1650" i="1"/>
  <c r="N1650" i="1"/>
  <c r="M1651" i="1"/>
  <c r="N1651" i="1"/>
  <c r="M1652" i="1"/>
  <c r="N1652" i="1"/>
  <c r="M1653" i="1"/>
  <c r="N1653" i="1"/>
  <c r="M1654" i="1"/>
  <c r="N1654" i="1"/>
  <c r="I1655" i="1"/>
  <c r="M1655" i="1" s="1"/>
  <c r="O1655" i="1"/>
  <c r="O1492" i="1" l="1"/>
  <c r="M1492" i="1" s="1"/>
  <c r="N1492" i="1"/>
  <c r="O279" i="1"/>
  <c r="M279" i="1" s="1"/>
  <c r="N279" i="1"/>
  <c r="P279" i="1"/>
  <c r="P1535" i="1"/>
  <c r="N1535" i="1" s="1"/>
  <c r="P1481" i="1"/>
  <c r="N1481" i="1" s="1"/>
  <c r="P965" i="1"/>
  <c r="N965" i="1" s="1"/>
  <c r="O965" i="1"/>
  <c r="M965" i="1" s="1"/>
  <c r="O744" i="1"/>
  <c r="M744" i="1"/>
  <c r="P744" i="1"/>
  <c r="N744" i="1" s="1"/>
  <c r="P712" i="1"/>
  <c r="N712" i="1" s="1"/>
  <c r="O712" i="1"/>
  <c r="M712" i="1" s="1"/>
  <c r="P1655" i="1"/>
  <c r="N1655" i="1" s="1"/>
  <c r="P1628" i="1"/>
  <c r="N1628" i="1" s="1"/>
  <c r="M1589" i="1"/>
  <c r="O1589" i="1"/>
  <c r="N1589" i="1"/>
  <c r="O1520" i="1"/>
  <c r="M1520" i="1" s="1"/>
  <c r="M1506" i="1"/>
  <c r="O1471" i="1"/>
  <c r="M1471" i="1" s="1"/>
  <c r="N1471" i="1"/>
  <c r="O1406" i="1"/>
  <c r="M1406" i="1" s="1"/>
  <c r="M1392" i="1"/>
  <c r="P1200" i="1"/>
  <c r="N1200" i="1" s="1"/>
  <c r="P1059" i="1"/>
  <c r="N1059" i="1" s="1"/>
  <c r="O980" i="1"/>
  <c r="M980" i="1" s="1"/>
  <c r="P980" i="1"/>
  <c r="N980" i="1" s="1"/>
  <c r="O55" i="1"/>
  <c r="M55" i="1" s="1"/>
  <c r="P55" i="1"/>
  <c r="N55" i="1" s="1"/>
  <c r="O1642" i="1"/>
  <c r="M1642" i="1" s="1"/>
  <c r="N1614" i="1"/>
  <c r="O1547" i="1"/>
  <c r="M1547" i="1" s="1"/>
  <c r="M1426" i="1"/>
  <c r="O1426" i="1"/>
  <c r="M1378" i="1"/>
  <c r="N1378" i="1"/>
  <c r="O1378" i="1"/>
  <c r="N1245" i="1"/>
  <c r="P1034" i="1"/>
  <c r="N1034" i="1" s="1"/>
  <c r="P937" i="1"/>
  <c r="N937" i="1" s="1"/>
  <c r="P853" i="1"/>
  <c r="N853" i="1" s="1"/>
  <c r="O853" i="1"/>
  <c r="M853" i="1" s="1"/>
  <c r="P617" i="1"/>
  <c r="N617" i="1" s="1"/>
  <c r="O617" i="1"/>
  <c r="M617" i="1" s="1"/>
  <c r="O387" i="1"/>
  <c r="M387" i="1"/>
  <c r="P387" i="1"/>
  <c r="N387" i="1" s="1"/>
  <c r="P236" i="1"/>
  <c r="N236" i="1" s="1"/>
  <c r="O236" i="1"/>
  <c r="M236" i="1" s="1"/>
  <c r="P1642" i="1"/>
  <c r="N1642" i="1" s="1"/>
  <c r="P1411" i="1"/>
  <c r="N1411" i="1" s="1"/>
  <c r="P1367" i="1"/>
  <c r="N1367" i="1" s="1"/>
  <c r="O1614" i="1"/>
  <c r="M1614" i="1" s="1"/>
  <c r="P1506" i="1"/>
  <c r="N1506" i="1" s="1"/>
  <c r="P1492" i="1"/>
  <c r="P1439" i="1"/>
  <c r="N1439" i="1" s="1"/>
  <c r="P1426" i="1"/>
  <c r="N1426" i="1" s="1"/>
  <c r="P1392" i="1"/>
  <c r="N1392" i="1" s="1"/>
  <c r="P1378" i="1"/>
  <c r="N1357" i="1"/>
  <c r="P825" i="1"/>
  <c r="N825" i="1" s="1"/>
  <c r="O582" i="1"/>
  <c r="M582" i="1"/>
  <c r="P582" i="1"/>
  <c r="N582" i="1" s="1"/>
  <c r="P192" i="1"/>
  <c r="N192" i="1" s="1"/>
  <c r="P1600" i="1"/>
  <c r="N1600" i="1" s="1"/>
  <c r="P1579" i="1"/>
  <c r="N1579" i="1" s="1"/>
  <c r="N1298" i="1"/>
  <c r="O1185" i="1"/>
  <c r="N1185" i="1"/>
  <c r="M1185" i="1"/>
  <c r="N1132" i="1"/>
  <c r="M1132" i="1"/>
  <c r="P1132" i="1"/>
  <c r="P1088" i="1"/>
  <c r="N1088" i="1" s="1"/>
  <c r="O926" i="1"/>
  <c r="M926" i="1" s="1"/>
  <c r="N926" i="1"/>
  <c r="O659" i="1"/>
  <c r="M659" i="1" s="1"/>
  <c r="N659" i="1"/>
  <c r="M646" i="1"/>
  <c r="P646" i="1"/>
  <c r="N646" i="1" s="1"/>
  <c r="O508" i="1"/>
  <c r="N508" i="1"/>
  <c r="M508" i="1"/>
  <c r="N471" i="1"/>
  <c r="M471" i="1"/>
  <c r="P471" i="1"/>
  <c r="P429" i="1"/>
  <c r="N429" i="1" s="1"/>
  <c r="P352" i="1"/>
  <c r="N352" i="1" s="1"/>
  <c r="O177" i="1"/>
  <c r="N177" i="1"/>
  <c r="M177" i="1"/>
  <c r="N96" i="1"/>
  <c r="M96" i="1"/>
  <c r="P96" i="1"/>
  <c r="O30" i="1"/>
  <c r="M30" i="1" s="1"/>
  <c r="N30" i="1"/>
  <c r="P30" i="1"/>
  <c r="O1600" i="1"/>
  <c r="M1600" i="1" s="1"/>
  <c r="O1579" i="1"/>
  <c r="M1579" i="1" s="1"/>
  <c r="O1439" i="1"/>
  <c r="M1439" i="1" s="1"/>
  <c r="P1298" i="1"/>
  <c r="P1284" i="1"/>
  <c r="P1255" i="1"/>
  <c r="N1255" i="1" s="1"/>
  <c r="O1073" i="1"/>
  <c r="N1073" i="1"/>
  <c r="M1073" i="1"/>
  <c r="N992" i="1"/>
  <c r="M992" i="1"/>
  <c r="P992" i="1"/>
  <c r="O951" i="1"/>
  <c r="M951" i="1" s="1"/>
  <c r="N951" i="1"/>
  <c r="M857" i="1"/>
  <c r="O839" i="1"/>
  <c r="M839" i="1" s="1"/>
  <c r="N839" i="1"/>
  <c r="P740" i="1"/>
  <c r="N740" i="1" s="1"/>
  <c r="O603" i="1"/>
  <c r="M603" i="1" s="1"/>
  <c r="N603" i="1"/>
  <c r="M592" i="1"/>
  <c r="P592" i="1"/>
  <c r="N592" i="1" s="1"/>
  <c r="P550" i="1"/>
  <c r="N550" i="1" s="1"/>
  <c r="O416" i="1"/>
  <c r="N416" i="1"/>
  <c r="M416" i="1"/>
  <c r="M401" i="1"/>
  <c r="P401" i="1"/>
  <c r="N401" i="1" s="1"/>
  <c r="P373" i="1"/>
  <c r="N373" i="1" s="1"/>
  <c r="M293" i="1"/>
  <c r="P293" i="1"/>
  <c r="N293" i="1" s="1"/>
  <c r="O204" i="1"/>
  <c r="M204" i="1" s="1"/>
  <c r="N204" i="1"/>
  <c r="N872" i="1"/>
  <c r="M872" i="1"/>
  <c r="P872" i="1"/>
  <c r="O814" i="1"/>
  <c r="M814" i="1" s="1"/>
  <c r="N814" i="1"/>
  <c r="M1357" i="1"/>
  <c r="N1325" i="1"/>
  <c r="O1313" i="1"/>
  <c r="M1313" i="1" s="1"/>
  <c r="O1298" i="1"/>
  <c r="M1298" i="1" s="1"/>
  <c r="N1284" i="1"/>
  <c r="O1266" i="1"/>
  <c r="M1266" i="1" s="1"/>
  <c r="M1245" i="1"/>
  <c r="N1213" i="1"/>
  <c r="P1171" i="1"/>
  <c r="N1171" i="1" s="1"/>
  <c r="O1100" i="1"/>
  <c r="M1100" i="1" s="1"/>
  <c r="N1100" i="1"/>
  <c r="P916" i="1"/>
  <c r="N916" i="1" s="1"/>
  <c r="P804" i="1"/>
  <c r="N804" i="1" s="1"/>
  <c r="P759" i="1"/>
  <c r="N759" i="1" s="1"/>
  <c r="M691" i="1"/>
  <c r="P691" i="1"/>
  <c r="N691" i="1" s="1"/>
  <c r="O537" i="1"/>
  <c r="M537" i="1" s="1"/>
  <c r="N537" i="1"/>
  <c r="N522" i="1"/>
  <c r="M522" i="1"/>
  <c r="P522" i="1"/>
  <c r="O461" i="1"/>
  <c r="N461" i="1"/>
  <c r="M461" i="1"/>
  <c r="O362" i="1"/>
  <c r="N362" i="1"/>
  <c r="M362" i="1"/>
  <c r="N312" i="1"/>
  <c r="M312" i="1"/>
  <c r="P312" i="1"/>
  <c r="P163" i="1"/>
  <c r="N163" i="1" s="1"/>
  <c r="P138" i="1"/>
  <c r="N138" i="1" s="1"/>
  <c r="O84" i="1"/>
  <c r="N84" i="1"/>
  <c r="M84" i="1"/>
  <c r="N69" i="1"/>
  <c r="M69" i="1"/>
  <c r="P69" i="1"/>
  <c r="P41" i="1"/>
  <c r="N41" i="1" s="1"/>
  <c r="P20" i="1"/>
  <c r="N20" i="1" s="1"/>
  <c r="O1200" i="1"/>
  <c r="M1200" i="1" s="1"/>
  <c r="O1171" i="1"/>
  <c r="M1171" i="1" s="1"/>
  <c r="P1157" i="1"/>
  <c r="N1157" i="1" s="1"/>
  <c r="O1146" i="1"/>
  <c r="M1146" i="1" s="1"/>
  <c r="O1088" i="1"/>
  <c r="M1088" i="1" s="1"/>
  <c r="O1059" i="1"/>
  <c r="M1059" i="1" s="1"/>
  <c r="P1045" i="1"/>
  <c r="N1045" i="1" s="1"/>
  <c r="O1034" i="1"/>
  <c r="M1034" i="1" s="1"/>
  <c r="P1024" i="1"/>
  <c r="N1024" i="1" s="1"/>
  <c r="O937" i="1"/>
  <c r="M937" i="1" s="1"/>
  <c r="O916" i="1"/>
  <c r="M916" i="1" s="1"/>
  <c r="P884" i="1"/>
  <c r="N884" i="1" s="1"/>
  <c r="O825" i="1"/>
  <c r="M825" i="1" s="1"/>
  <c r="O804" i="1"/>
  <c r="M804" i="1" s="1"/>
  <c r="P772" i="1"/>
  <c r="N772" i="1" s="1"/>
  <c r="O759" i="1"/>
  <c r="M759" i="1" s="1"/>
  <c r="O740" i="1"/>
  <c r="M740" i="1" s="1"/>
  <c r="O550" i="1"/>
  <c r="M550" i="1" s="1"/>
  <c r="O496" i="1"/>
  <c r="M496" i="1" s="1"/>
  <c r="P492" i="1"/>
  <c r="N492" i="1" s="1"/>
  <c r="O479" i="1"/>
  <c r="M479" i="1" s="1"/>
  <c r="O429" i="1"/>
  <c r="M429" i="1" s="1"/>
  <c r="O373" i="1"/>
  <c r="M373" i="1" s="1"/>
  <c r="O352" i="1"/>
  <c r="M352" i="1" s="1"/>
  <c r="O267" i="1"/>
  <c r="M267" i="1" s="1"/>
  <c r="P261" i="1"/>
  <c r="N261" i="1" s="1"/>
  <c r="O250" i="1"/>
  <c r="M250" i="1" s="1"/>
  <c r="O192" i="1"/>
  <c r="M192" i="1" s="1"/>
  <c r="O163" i="1"/>
  <c r="M163" i="1" s="1"/>
  <c r="P149" i="1"/>
  <c r="N149" i="1" s="1"/>
  <c r="O138" i="1"/>
  <c r="M138" i="1" s="1"/>
  <c r="O41" i="1"/>
  <c r="M41" i="1" s="1"/>
  <c r="O20" i="1"/>
  <c r="M20" i="1" s="1"/>
</calcChain>
</file>

<file path=xl/sharedStrings.xml><?xml version="1.0" encoding="utf-8"?>
<sst xmlns="http://schemas.openxmlformats.org/spreadsheetml/2006/main" count="2761" uniqueCount="205">
  <si>
    <t>TT</t>
  </si>
  <si>
    <t>Tên môn học</t>
  </si>
  <si>
    <t>Điểm môn học</t>
  </si>
  <si>
    <t>C</t>
  </si>
  <si>
    <t>D+</t>
  </si>
  <si>
    <t>C+</t>
  </si>
  <si>
    <t>B</t>
  </si>
  <si>
    <t>F</t>
  </si>
  <si>
    <t>D</t>
  </si>
  <si>
    <t>B+</t>
  </si>
  <si>
    <t>A</t>
  </si>
  <si>
    <t>Điểm chữ</t>
  </si>
  <si>
    <t>A+</t>
  </si>
  <si>
    <t>Điểm số</t>
  </si>
  <si>
    <t>Thang 10</t>
  </si>
  <si>
    <t>8.5-8.9</t>
  </si>
  <si>
    <t>8.0-8.4</t>
  </si>
  <si>
    <t>7.0-7.9</t>
  </si>
  <si>
    <t>6.5-6.9</t>
  </si>
  <si>
    <t>5.5-6.4</t>
  </si>
  <si>
    <t>5.0-5.4</t>
  </si>
  <si>
    <t>4-4.9</t>
  </si>
  <si>
    <t>&lt;4.0</t>
  </si>
  <si>
    <t>9 - 10</t>
  </si>
  <si>
    <t>CỘNG HÒA XÃ HỘI CHỦ NGHĨA VIỆT NAM
Độc lập - Tự do - Hạnh phúc</t>
  </si>
  <si>
    <t>• Xuất sắc: từ 3.60 đến 4.0; Giỏi: từ 3.20 đến 3.59; Khá: từ 2.50 đến 3.19; Trung bình khá: từ 2.30 đến 2.49; 
Trung bình: từ 2.00 đến 2.29</t>
  </si>
  <si>
    <t>Hệ thống thang điểm và phân loại tốt nghiệp được quy định như sau:</t>
  </si>
  <si>
    <t>Ghi chú:</t>
  </si>
  <si>
    <t>Điểm 0.1</t>
  </si>
  <si>
    <t>Điểm 0.2</t>
  </si>
  <si>
    <t>Điểm 0.7</t>
  </si>
  <si>
    <t>Các Học phần in nghiêng là môn điều kiện, đậm nghiêng là môn học lại</t>
  </si>
  <si>
    <t>Mã MH</t>
  </si>
  <si>
    <r>
      <t xml:space="preserve">HỌC VIỆN KỸ THUẬT QUÂN SỰ
</t>
    </r>
    <r>
      <rPr>
        <b/>
        <sz val="13"/>
        <color indexed="8"/>
        <rFont val="Times New Roman"/>
        <family val="1"/>
      </rPr>
      <t>PHÒNG ĐÀO TẠO</t>
    </r>
  </si>
  <si>
    <t>KẾT QUẢ HỌC TẬP</t>
  </si>
  <si>
    <t>Hệ 10</t>
  </si>
  <si>
    <t>Hệ 4</t>
  </si>
  <si>
    <t>Hệ chữ</t>
  </si>
  <si>
    <t>Ghi chú</t>
  </si>
  <si>
    <t>Số TC</t>
  </si>
  <si>
    <t>KT. TRƯỞNG PHÒNG
PHÓ TRƯỞNG PHÒNG</t>
  </si>
  <si>
    <t>Đại tá, TS Nguyễn Văn Bình</t>
  </si>
  <si>
    <t xml:space="preserve">Trung bình học kỳ </t>
  </si>
  <si>
    <r>
      <t xml:space="preserve">Họ và tên: </t>
    </r>
    <r>
      <rPr>
        <b/>
        <sz val="13"/>
        <color indexed="8"/>
        <rFont val="Times New Roman"/>
        <family val="1"/>
      </rPr>
      <t>Lâm Hải Đăng</t>
    </r>
  </si>
  <si>
    <t>Ngày sinh: 27/01/2004</t>
  </si>
  <si>
    <t>Mã SV: 2022010058</t>
  </si>
  <si>
    <t>Hình thức đào tạo: Chính quy</t>
  </si>
  <si>
    <t>Ngành: Kỹ thuật xây dựng</t>
  </si>
  <si>
    <t>Lớp: Xây dựng dân dụng và công nghiệp 58</t>
  </si>
  <si>
    <t>Hà Nội, ngày 9 tháng 1 năm 2026</t>
  </si>
  <si>
    <r>
      <t xml:space="preserve">Tổng tín chỉ: </t>
    </r>
    <r>
      <rPr>
        <b/>
        <sz val="14"/>
        <color indexed="8"/>
        <rFont val="Times New Roman"/>
        <family val="1"/>
      </rPr>
      <t>147</t>
    </r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</si>
  <si>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6.57</t>
    </r>
  </si>
  <si>
    <r>
      <t xml:space="preserve">Điểm trung bình chung tích lũy toàn khóa (hệ 4): </t>
    </r>
    <r>
      <rPr>
        <b/>
        <sz val="14"/>
        <color indexed="8"/>
        <rFont val="Times New Roman"/>
        <family val="1"/>
      </rPr>
      <t>2.55</t>
    </r>
  </si>
  <si>
    <r>
      <t xml:space="preserve">Xếp loại: </t>
    </r>
    <r>
      <rPr>
        <b/>
        <sz val="14"/>
        <rFont val="Times New Roman"/>
        <family val="1"/>
      </rPr>
      <t>Trung bình Khá</t>
    </r>
  </si>
  <si>
    <t>Học kỳ 1 Năm học 2022 - 2023</t>
  </si>
  <si>
    <t>Điều lệnh</t>
  </si>
  <si>
    <t>Hình giải tích và Đại số tuyến tính</t>
  </si>
  <si>
    <t>Hiểu biết về địch, công tác tham mưu và chiến thuật BB</t>
  </si>
  <si>
    <t>Giáo dục chính trị</t>
  </si>
  <si>
    <t>Hậu cần, kỹ thuật</t>
  </si>
  <si>
    <t>Kỹ thuật chiến đấu bộ binh</t>
  </si>
  <si>
    <t>Thể thao quân sự</t>
  </si>
  <si>
    <t>Học kỳ 2 năm học 2022 - 2023</t>
  </si>
  <si>
    <t>Vật lý đại cương 1 (Cơ - Điện - Từ)</t>
  </si>
  <si>
    <t>Giải tích 1</t>
  </si>
  <si>
    <t>Triết học Mác - Lênin</t>
  </si>
  <si>
    <t>Phòng chống vũ khí hủy diệt và CHCN</t>
  </si>
  <si>
    <t>Hỏa khí đi cùng</t>
  </si>
  <si>
    <t>Chiến thuật trung đội bộ binh</t>
  </si>
  <si>
    <t>Địa hình quân sự và công tác tham mưu + BTL</t>
  </si>
  <si>
    <t>Học kỳ 1 năm học 2023 - 2024</t>
  </si>
  <si>
    <t>Giải tích 2</t>
  </si>
  <si>
    <t>Kinh tế chính trị Mác - Lênin</t>
  </si>
  <si>
    <t>Cơ lý thuyết (ngành xây dựng) + BTL</t>
  </si>
  <si>
    <t>Lôgíc học</t>
  </si>
  <si>
    <t>Lịch sử và đường lối quân sự</t>
  </si>
  <si>
    <t>Vật lý đại cương 2 (LT)</t>
  </si>
  <si>
    <t>Thể thao quân sự 2</t>
  </si>
  <si>
    <t>Công nghệ thông tin</t>
  </si>
  <si>
    <t>Học kỳ 2 2023 - 2024</t>
  </si>
  <si>
    <t>Cơ sở lý thuyết hóa học (LT)</t>
  </si>
  <si>
    <t>Hình họa và vẽ kỹ thuật xây dựng + BTL</t>
  </si>
  <si>
    <t>Chủ nghĩa xã hội khoa học + TL</t>
  </si>
  <si>
    <t>Thí nghiệm cơ sở lý thuyết hóa học</t>
  </si>
  <si>
    <t>Tâm lý học quân sự</t>
  </si>
  <si>
    <t>Công tác quản lý bộ đội + BTL</t>
  </si>
  <si>
    <t>Giáo dục học quân sự</t>
  </si>
  <si>
    <t>Nhà nước, pháp luật</t>
  </si>
  <si>
    <t>Lý thuyết xác suất thống kê</t>
  </si>
  <si>
    <t>Học kỳ 1 năm học 2024 - 2025</t>
  </si>
  <si>
    <t>Phương pháp nghiên cứu khoa học</t>
  </si>
  <si>
    <t>Tư tưởng Hồ Chí Minh + TL</t>
  </si>
  <si>
    <t>Thực tập địa chất công trình</t>
  </si>
  <si>
    <t>Sức bền vật liệu (ngành XD) + BTL</t>
  </si>
  <si>
    <t>Thể dục thể thao 3 (Bơi bao gói và PPCĐ)</t>
  </si>
  <si>
    <t>Đạo đức học</t>
  </si>
  <si>
    <t>Thủy lực đại cương</t>
  </si>
  <si>
    <t>Trắc địa kỹ thuật xây dựng</t>
  </si>
  <si>
    <t>Vật liệu công trình xây dựng + Thí nghiệm</t>
  </si>
  <si>
    <t>Thực tập trắc địa kỹ thuật xây dựng</t>
  </si>
  <si>
    <t>Địa chất công trình</t>
  </si>
  <si>
    <t>Học kỳ 2 năm học 2024 - 2025</t>
  </si>
  <si>
    <t>Chiến thuật đại đội, tiểu đoàn bộ binh</t>
  </si>
  <si>
    <t>Thông gió và điều hòa nhiệt độ</t>
  </si>
  <si>
    <t>Công tác nổ, vật cản + Bài tập lớn</t>
  </si>
  <si>
    <t>Cơ học đất + Bài tập lớn</t>
  </si>
  <si>
    <t>Dân tộc học và tôn giáo học</t>
  </si>
  <si>
    <t>Cơ sở văn hoá Việt Nam</t>
  </si>
  <si>
    <t>Kiến trúc dân dụng + Đồ án môn học</t>
  </si>
  <si>
    <t>Máy xây dựng</t>
  </si>
  <si>
    <t>Nguyên lý quy hoạch</t>
  </si>
  <si>
    <t>Cơ học kết cấu + Bài tập lớn</t>
  </si>
  <si>
    <t>Hậu cần tài chính quân đội</t>
  </si>
  <si>
    <t>Thực tập lái xe máy xây dựng</t>
  </si>
  <si>
    <t>Học kỳ 1 năm học 2025 - 2026</t>
  </si>
  <si>
    <t>Kiến trúc công nghiệp + BTL</t>
  </si>
  <si>
    <t>Nền móng công trình xây dựng + Đồ án môn học</t>
  </si>
  <si>
    <t>Kết cấu thép, gỗ, gạch đá + Bài tập lớn</t>
  </si>
  <si>
    <t>Chiến thuật trung, sư đoàn bộ binh</t>
  </si>
  <si>
    <t>Kết cấu bê tông cốt thép + Đồ án môn học</t>
  </si>
  <si>
    <t>Lịch sử Đảng cộng sản Việt Nam</t>
  </si>
  <si>
    <t>Phương pháp số trong tính toán công trình</t>
  </si>
  <si>
    <t>Cung cấp điện cho công trình + BTL</t>
  </si>
  <si>
    <t>Động lực học công trình</t>
  </si>
  <si>
    <r>
      <t xml:space="preserve">Họ và tên: </t>
    </r>
    <r>
      <rPr>
        <b/>
        <sz val="13"/>
        <color indexed="8"/>
        <rFont val="Times New Roman"/>
        <family val="1"/>
      </rPr>
      <t>Đào Xuân Hiếu</t>
    </r>
  </si>
  <si>
    <t>Ngày sinh: 03/11/2004</t>
  </si>
  <si>
    <t>Mã SV: 2022010145</t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</si>
  <si>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6.51</t>
    </r>
  </si>
  <si>
    <r>
      <t xml:space="preserve">Họ và tên: </t>
    </r>
    <r>
      <rPr>
        <b/>
        <sz val="13"/>
        <color indexed="8"/>
        <rFont val="Times New Roman"/>
        <family val="1"/>
      </rPr>
      <t>Đặng Anh Dũng</t>
    </r>
  </si>
  <si>
    <t>Ngày sinh: 19/11/2004</t>
  </si>
  <si>
    <t>Mã SV: 2022010093</t>
  </si>
  <si>
    <t>Học kỳ thi lại HK2 năm học 2022 - 2023</t>
  </si>
  <si>
    <t>TL</t>
  </si>
  <si>
    <t>Học kỳ thi lại đợt 1 năm học 2023 - 2024</t>
  </si>
  <si>
    <t>an</t>
  </si>
  <si>
    <t>Học kỳ phụ (1) Học kỳ 1 năm học 2024 - 2025</t>
  </si>
  <si>
    <r>
      <t xml:space="preserve">Họ và tên: </t>
    </r>
    <r>
      <rPr>
        <b/>
        <sz val="13"/>
        <color indexed="8"/>
        <rFont val="Times New Roman"/>
        <family val="1"/>
      </rPr>
      <t>Bùi Tiến Long</t>
    </r>
  </si>
  <si>
    <t>Ngày sinh: 08/07/2003</t>
  </si>
  <si>
    <t>Mã SV: 2022010243</t>
  </si>
  <si>
    <r>
      <t xml:space="preserve">Tổng tín chỉ: </t>
    </r>
    <r>
      <rPr>
        <b/>
        <sz val="14"/>
        <color indexed="8"/>
        <rFont val="Times New Roman"/>
        <family val="1"/>
      </rPr>
      <t>150</t>
    </r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</si>
  <si>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6.59</t>
    </r>
  </si>
  <si>
    <r>
      <t xml:space="preserve">Điểm trung bình chung tích lũy toàn khóa (hệ 4): </t>
    </r>
    <r>
      <rPr>
        <b/>
        <sz val="14"/>
        <color indexed="8"/>
        <rFont val="Times New Roman"/>
        <family val="1"/>
      </rPr>
      <t>2.56</t>
    </r>
  </si>
  <si>
    <t>Tiếng Anh B11</t>
  </si>
  <si>
    <r>
      <t xml:space="preserve">Họ và tên: </t>
    </r>
    <r>
      <rPr>
        <b/>
        <sz val="13"/>
        <color indexed="8"/>
        <rFont val="Times New Roman"/>
        <family val="1"/>
      </rPr>
      <t>Nguyễn Minh Phong</t>
    </r>
  </si>
  <si>
    <t>Ngày sinh: 21/08/2004</t>
  </si>
  <si>
    <t>Mã SV: 2022010304</t>
  </si>
  <si>
    <r>
      <t xml:space="preserve">Tổng tín chỉ: </t>
    </r>
    <r>
      <rPr>
        <b/>
        <sz val="14"/>
        <color indexed="8"/>
        <rFont val="Times New Roman"/>
        <family val="1"/>
      </rPr>
      <t>160</t>
    </r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</si>
  <si>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5.68</t>
    </r>
  </si>
  <si>
    <r>
      <t xml:space="preserve">Điểm trung bình chung tích lũy toàn khóa (hệ 4): </t>
    </r>
    <r>
      <rPr>
        <b/>
        <sz val="14"/>
        <color indexed="8"/>
        <rFont val="Times New Roman"/>
        <family val="1"/>
      </rPr>
      <t>2.07</t>
    </r>
  </si>
  <si>
    <r>
      <t xml:space="preserve">Xếp loại: </t>
    </r>
    <r>
      <rPr>
        <b/>
        <sz val="14"/>
        <rFont val="Times New Roman"/>
        <family val="1"/>
      </rPr>
      <t>Trung bình</t>
    </r>
  </si>
  <si>
    <t>Học kỳ phụ/thi lại HK1 năm học 2022 - 2023</t>
  </si>
  <si>
    <t>HL</t>
  </si>
  <si>
    <r>
      <t xml:space="preserve">Họ và tên: </t>
    </r>
    <r>
      <rPr>
        <b/>
        <sz val="13"/>
        <color indexed="8"/>
        <rFont val="Times New Roman"/>
        <family val="1"/>
      </rPr>
      <t>Nguyễn Đại Thân</t>
    </r>
  </si>
  <si>
    <t>Ngày sinh: 18/03/2004</t>
  </si>
  <si>
    <t>Mã SV: 2022010388</t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</si>
  <si>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7.04</t>
    </r>
  </si>
  <si>
    <r>
      <t xml:space="preserve">Điểm trung bình chung tích lũy toàn khóa (hệ 4): </t>
    </r>
    <r>
      <rPr>
        <b/>
        <sz val="14"/>
        <color indexed="8"/>
        <rFont val="Times New Roman"/>
        <family val="1"/>
      </rPr>
      <t>2.88</t>
    </r>
  </si>
  <si>
    <r>
      <t xml:space="preserve">Xếp loại: </t>
    </r>
    <r>
      <rPr>
        <b/>
        <sz val="14"/>
        <rFont val="Times New Roman"/>
        <family val="1"/>
      </rPr>
      <t>Khá</t>
    </r>
  </si>
  <si>
    <r>
      <t xml:space="preserve">Họ và tên: </t>
    </r>
    <r>
      <rPr>
        <b/>
        <sz val="13"/>
        <color indexed="8"/>
        <rFont val="Times New Roman"/>
        <family val="1"/>
      </rPr>
      <t>Lê Mạnh Duy</t>
    </r>
  </si>
  <si>
    <t>Ngày sinh: 10/12/2004</t>
  </si>
  <si>
    <t>Mã SV: 2022010120</t>
  </si>
  <si>
    <r>
      <t xml:space="preserve">Tổng tín chỉ: </t>
    </r>
    <r>
      <rPr>
        <b/>
        <sz val="14"/>
        <color indexed="8"/>
        <rFont val="Times New Roman"/>
        <family val="1"/>
      </rPr>
      <t>153</t>
    </r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</si>
  <si>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6.34</t>
    </r>
  </si>
  <si>
    <r>
      <t xml:space="preserve">Điểm trung bình chung tích lũy toàn khóa (hệ 4): </t>
    </r>
    <r>
      <rPr>
        <b/>
        <sz val="14"/>
        <color indexed="8"/>
        <rFont val="Times New Roman"/>
        <family val="1"/>
      </rPr>
      <t>2.43</t>
    </r>
  </si>
  <si>
    <r>
      <t xml:space="preserve">Họ và tên: </t>
    </r>
    <r>
      <rPr>
        <b/>
        <sz val="13"/>
        <color indexed="8"/>
        <rFont val="Times New Roman"/>
        <family val="1"/>
      </rPr>
      <t>Đặng Hữu Kỳ</t>
    </r>
  </si>
  <si>
    <t>Ngày sinh: 30/10/2004</t>
  </si>
  <si>
    <t>Mã SV: 2022010224</t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</si>
  <si>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6.45</t>
    </r>
  </si>
  <si>
    <r>
      <t xml:space="preserve">Điểm trung bình chung tích lũy toàn khóa (hệ 4): </t>
    </r>
    <r>
      <rPr>
        <b/>
        <sz val="14"/>
        <color indexed="8"/>
        <rFont val="Times New Roman"/>
        <family val="1"/>
      </rPr>
      <t>2.52</t>
    </r>
  </si>
  <si>
    <r>
      <t xml:space="preserve">Họ và tên: </t>
    </r>
    <r>
      <rPr>
        <b/>
        <sz val="13"/>
        <color indexed="8"/>
        <rFont val="Times New Roman"/>
        <family val="1"/>
      </rPr>
      <t>Lê Anh Sơn</t>
    </r>
  </si>
  <si>
    <t>Ngày sinh: 04/08/2004</t>
  </si>
  <si>
    <t>Mã SV: 2022010363</t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</si>
  <si>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6.46</t>
    </r>
  </si>
  <si>
    <r>
      <t xml:space="preserve">Họ và tên: </t>
    </r>
    <r>
      <rPr>
        <b/>
        <sz val="13"/>
        <color indexed="8"/>
        <rFont val="Times New Roman"/>
        <family val="1"/>
      </rPr>
      <t>Phạm Khả Nhật Tân</t>
    </r>
  </si>
  <si>
    <t>Ngày sinh: 22/11/2003</t>
  </si>
  <si>
    <t>Mã SV: 2022010381</t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</si>
  <si>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6.26</t>
    </r>
  </si>
  <si>
    <r>
      <t xml:space="preserve">Điểm trung bình chung tích lũy toàn khóa (hệ 4): </t>
    </r>
    <r>
      <rPr>
        <b/>
        <sz val="14"/>
        <color indexed="8"/>
        <rFont val="Times New Roman"/>
        <family val="1"/>
      </rPr>
      <t>2.4</t>
    </r>
  </si>
  <si>
    <r>
      <t xml:space="preserve">Họ và tên: </t>
    </r>
    <r>
      <rPr>
        <b/>
        <sz val="13"/>
        <color indexed="8"/>
        <rFont val="Times New Roman"/>
        <family val="1"/>
      </rPr>
      <t>Nguyễn Đức Thịnh</t>
    </r>
  </si>
  <si>
    <t>Ngày sinh: 15/04/2004</t>
  </si>
  <si>
    <t>Mã SV: 2022010420</t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</si>
  <si>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6.29</t>
    </r>
  </si>
  <si>
    <r>
      <t xml:space="preserve">Điểm trung bình chung tích lũy toàn khóa (hệ 4): </t>
    </r>
    <r>
      <rPr>
        <b/>
        <sz val="14"/>
        <color indexed="8"/>
        <rFont val="Times New Roman"/>
        <family val="1"/>
      </rPr>
      <t>2.41</t>
    </r>
  </si>
  <si>
    <r>
      <t xml:space="preserve">Họ và tên: </t>
    </r>
    <r>
      <rPr>
        <b/>
        <sz val="13"/>
        <color indexed="8"/>
        <rFont val="Times New Roman"/>
        <family val="1"/>
      </rPr>
      <t>Vi Hoàng Thực</t>
    </r>
  </si>
  <si>
    <t>Ngày sinh: 25/02/2004</t>
  </si>
  <si>
    <t>Mã SV: 2022010429</t>
  </si>
  <si>
    <r>
      <t xml:space="preserve">Tổng tín chỉ: </t>
    </r>
    <r>
      <rPr>
        <b/>
        <sz val="14"/>
        <color indexed="8"/>
        <rFont val="Times New Roman"/>
        <family val="1"/>
      </rPr>
      <t>151</t>
    </r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</si>
  <si>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6.74</t>
    </r>
  </si>
  <si>
    <r>
      <t xml:space="preserve">Điểm trung bình chung tích lũy toàn khóa (hệ 4): </t>
    </r>
    <r>
      <rPr>
        <b/>
        <sz val="14"/>
        <color indexed="8"/>
        <rFont val="Times New Roman"/>
        <family val="1"/>
      </rPr>
      <t>2.68</t>
    </r>
  </si>
  <si>
    <r>
      <t xml:space="preserve">Họ và tên: </t>
    </r>
    <r>
      <rPr>
        <b/>
        <sz val="13"/>
        <color indexed="8"/>
        <rFont val="Times New Roman"/>
        <family val="1"/>
      </rPr>
      <t>Hoàng Đình Quang</t>
    </r>
  </si>
  <si>
    <t>Ngày sinh: 06/03/2004</t>
  </si>
  <si>
    <t>Mã SV: 2022010339</t>
  </si>
  <si>
    <r>
      <t xml:space="preserve">Tổng tín chỉ: </t>
    </r>
    <r>
      <rPr>
        <b/>
        <sz val="14"/>
        <color indexed="8"/>
        <rFont val="Times New Roman"/>
        <family val="1"/>
      </rPr>
      <t>157</t>
    </r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</si>
  <si>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6.3</t>
    </r>
  </si>
  <si>
    <r>
      <t xml:space="preserve">Điểm trung bình chung tích lũy toàn khóa (hệ 4): </t>
    </r>
    <r>
      <rPr>
        <b/>
        <sz val="14"/>
        <color indexed="8"/>
        <rFont val="Times New Roman"/>
        <family val="1"/>
      </rPr>
      <t>2.38</t>
    </r>
  </si>
  <si>
    <r>
      <t xml:space="preserve">Họ và tên: </t>
    </r>
    <r>
      <rPr>
        <b/>
        <sz val="13"/>
        <color indexed="8"/>
        <rFont val="Times New Roman"/>
        <family val="1"/>
      </rPr>
      <t>Bùi Văn Hòa Hải</t>
    </r>
  </si>
  <si>
    <t>Mã SV: 2022010520</t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</si>
  <si>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6.82</t>
    </r>
  </si>
  <si>
    <r>
      <t xml:space="preserve">Điểm trung bình chung tích lũy toàn khóa (hệ 4): </t>
    </r>
    <r>
      <rPr>
        <b/>
        <sz val="14"/>
        <color indexed="8"/>
        <rFont val="Times New Roman"/>
        <family val="1"/>
      </rPr>
      <t>2.71</t>
    </r>
  </si>
  <si>
    <r>
      <t xml:space="preserve">Họ và tên: </t>
    </r>
    <r>
      <rPr>
        <b/>
        <sz val="13"/>
        <color indexed="8"/>
        <rFont val="Times New Roman"/>
        <family val="1"/>
      </rPr>
      <t>Trần Văn Ninh</t>
    </r>
  </si>
  <si>
    <t>Ngày sinh: 13/09/2001</t>
  </si>
  <si>
    <t>Mã SV: 2022010549</t>
  </si>
  <si>
    <r>
      <t xml:space="preserve">Tổng tín chỉ: </t>
    </r>
    <r>
      <rPr>
        <b/>
        <sz val="14"/>
        <color indexed="8"/>
        <rFont val="Times New Roman"/>
        <family val="1"/>
      </rPr>
      <t>146</t>
    </r>
  </si>
  <si>
    <r>
      <t xml:space="preserve">Điểm trung bình chung tích lũy toàn khóa (hệ 10): </t>
    </r>
    <r>
      <rPr>
        <b/>
        <sz val="14"/>
        <color indexed="8"/>
        <rFont val="Times New Roman"/>
        <family val="1"/>
      </rPr>
      <t>6.93</t>
    </r>
  </si>
  <si>
    <r>
      <t xml:space="preserve">Điểm trung bình chung tích lũy toàn khóa (hệ 4): </t>
    </r>
    <r>
      <rPr>
        <b/>
        <sz val="14"/>
        <color indexed="8"/>
        <rFont val="Times New Roman"/>
        <family val="1"/>
      </rPr>
      <t>2.79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</si>
</sst>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3"/>
      <color indexed="8"/>
      <name val="Times New Roman"/>
      <family val="1"/>
    </font>
    <font>
      <i/>
      <sz val="13"/>
      <color indexed="8"/>
      <name val="Times New Roman"/>
      <family val="1"/>
    </font>
    <font>
      <sz val="14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color indexed="8"/>
      <name val="Times New Roman"/>
      <family val="1"/>
    </font>
    <font>
      <sz val="8"/>
      <name val="Calibri"/>
      <family val="2"/>
    </font>
    <font>
      <b/>
      <sz val="14"/>
      <color indexed="8"/>
      <name val="Times New Roman"/>
      <family val="1"/>
    </font>
    <font>
      <sz val="13"/>
      <color indexed="8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sz val="13"/>
      <color rgb="FF000000"/>
      <name val="Times New Roman"/>
      <family val="1"/>
    </font>
    <font>
      <b/>
      <sz val="13"/>
      <color rgb="FFB21EA0"/>
      <name val="Times New Roman"/>
      <family val="1"/>
    </font>
    <font>
      <b/>
      <sz val="13"/>
      <color rgb="FF0000F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4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9" fillId="0" borderId="0" xfId="0" applyFont="1"/>
    <xf numFmtId="0" fontId="9" fillId="0" borderId="0" xfId="0" applyFont="1" applyAlignment="1"/>
    <xf numFmtId="0" fontId="9" fillId="0" borderId="0" xfId="0" applyFont="1" applyAlignment="1">
      <alignment horizontal="center" vertical="top" wrapText="1"/>
    </xf>
    <xf numFmtId="49" fontId="9" fillId="0" borderId="0" xfId="0" applyNumberFormat="1" applyFont="1" applyAlignment="1">
      <alignment horizontal="center" vertical="top" wrapText="1"/>
    </xf>
    <xf numFmtId="0" fontId="9" fillId="0" borderId="0" xfId="0" applyFont="1" applyAlignment="1">
      <alignment vertical="top" wrapText="1"/>
    </xf>
    <xf numFmtId="0" fontId="9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49" fontId="9" fillId="0" borderId="2" xfId="0" applyNumberFormat="1" applyFont="1" applyBorder="1" applyAlignment="1">
      <alignment vertical="justify" wrapText="1"/>
    </xf>
    <xf numFmtId="0" fontId="9" fillId="0" borderId="3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4" fillId="0" borderId="1" xfId="0" applyFont="1" applyBorder="1"/>
    <xf numFmtId="0" fontId="9" fillId="0" borderId="1" xfId="0" applyFont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left" vertical="center" wrapText="1"/>
    </xf>
    <xf numFmtId="0" fontId="14" fillId="2" borderId="0" xfId="0" applyFont="1" applyFill="1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6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</cellXfs>
  <cellStyles count="1">
    <cellStyle name="Normal" xfId="0" builtinId="0"/>
  </cellStyles>
  <dxfs count="5">
    <dxf>
      <font>
        <color rgb="FFFF0000"/>
      </font>
    </dxf>
    <dxf>
      <font>
        <color rgb="FF0000FF"/>
      </font>
    </dxf>
    <dxf>
      <font>
        <b val="0"/>
        <i/>
      </font>
    </dxf>
    <dxf>
      <font>
        <b/>
        <i val="0"/>
      </font>
    </dxf>
    <dxf>
      <font>
        <color rgb="FFFF66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281940</xdr:colOff>
      <xdr:row>0</xdr:row>
      <xdr:rowOff>541020</xdr:rowOff>
    </xdr:from>
    <xdr:to>
      <xdr:col>3</xdr:col>
      <xdr:colOff>327660</xdr:colOff>
      <xdr:row>0</xdr:row>
      <xdr:rowOff>541020</xdr:rowOff>
    </xdr:to>
    <xdr:cxnSp macro="">
      <xdr:nvCxnSpPr>
        <xdr:cNvPr id="1545" name="Straight Connector 6">
          <a:extLst>
            <a:ext uri="{FF2B5EF4-FFF2-40B4-BE49-F238E27FC236}">
              <a16:creationId xmlns:a16="http://schemas.microsoft.com/office/drawing/2014/main" id="{629333CF-38E4-2A85-01FA-2649C8704FA1}"/>
            </a:ext>
          </a:extLst>
        </xdr:cNvPr>
        <xdr:cNvCxnSpPr>
          <a:cxnSpLocks noChangeShapeType="1"/>
        </xdr:cNvCxnSpPr>
      </xdr:nvCxnSpPr>
      <xdr:spPr bwMode="auto">
        <a:xfrm>
          <a:off x="624840" y="54102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0</xdr:row>
      <xdr:rowOff>541020</xdr:rowOff>
    </xdr:from>
    <xdr:to>
      <xdr:col>16</xdr:col>
      <xdr:colOff>106680</xdr:colOff>
      <xdr:row>0</xdr:row>
      <xdr:rowOff>541020</xdr:rowOff>
    </xdr:to>
    <xdr:cxnSp macro="">
      <xdr:nvCxnSpPr>
        <xdr:cNvPr id="1546" name="Straight Connector 26">
          <a:extLst>
            <a:ext uri="{FF2B5EF4-FFF2-40B4-BE49-F238E27FC236}">
              <a16:creationId xmlns:a16="http://schemas.microsoft.com/office/drawing/2014/main" id="{80F09C41-BB23-4FE3-FEB9-9B27FA5040B2}"/>
            </a:ext>
          </a:extLst>
        </xdr:cNvPr>
        <xdr:cNvCxnSpPr>
          <a:cxnSpLocks noChangeShapeType="1"/>
        </xdr:cNvCxnSpPr>
      </xdr:nvCxnSpPr>
      <xdr:spPr bwMode="auto">
        <a:xfrm>
          <a:off x="3649980" y="54102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108</xdr:row>
      <xdr:rowOff>541020</xdr:rowOff>
    </xdr:from>
    <xdr:to>
      <xdr:col>3</xdr:col>
      <xdr:colOff>327660</xdr:colOff>
      <xdr:row>108</xdr:row>
      <xdr:rowOff>541020</xdr:rowOff>
    </xdr:to>
    <xdr:cxnSp macro="">
      <xdr:nvCxnSpPr>
        <xdr:cNvPr id="1547" name="Straight Connector 6">
          <a:extLst>
            <a:ext uri="{FF2B5EF4-FFF2-40B4-BE49-F238E27FC236}">
              <a16:creationId xmlns:a16="http://schemas.microsoft.com/office/drawing/2014/main" id="{38AEC03D-7B0C-2C2E-8285-554668293E44}"/>
            </a:ext>
          </a:extLst>
        </xdr:cNvPr>
        <xdr:cNvCxnSpPr>
          <a:cxnSpLocks noChangeShapeType="1"/>
        </xdr:cNvCxnSpPr>
      </xdr:nvCxnSpPr>
      <xdr:spPr bwMode="auto">
        <a:xfrm>
          <a:off x="624840" y="2250948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108</xdr:row>
      <xdr:rowOff>541020</xdr:rowOff>
    </xdr:from>
    <xdr:to>
      <xdr:col>16</xdr:col>
      <xdr:colOff>106680</xdr:colOff>
      <xdr:row>108</xdr:row>
      <xdr:rowOff>541020</xdr:rowOff>
    </xdr:to>
    <xdr:cxnSp macro="">
      <xdr:nvCxnSpPr>
        <xdr:cNvPr id="1548" name="Straight Connector 26">
          <a:extLst>
            <a:ext uri="{FF2B5EF4-FFF2-40B4-BE49-F238E27FC236}">
              <a16:creationId xmlns:a16="http://schemas.microsoft.com/office/drawing/2014/main" id="{6F292BB8-F82F-EC9B-19B6-C778489AB4A0}"/>
            </a:ext>
          </a:extLst>
        </xdr:cNvPr>
        <xdr:cNvCxnSpPr>
          <a:cxnSpLocks noChangeShapeType="1"/>
        </xdr:cNvCxnSpPr>
      </xdr:nvCxnSpPr>
      <xdr:spPr bwMode="auto">
        <a:xfrm>
          <a:off x="3649980" y="2250948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216</xdr:row>
      <xdr:rowOff>541020</xdr:rowOff>
    </xdr:from>
    <xdr:to>
      <xdr:col>3</xdr:col>
      <xdr:colOff>327660</xdr:colOff>
      <xdr:row>216</xdr:row>
      <xdr:rowOff>541020</xdr:rowOff>
    </xdr:to>
    <xdr:cxnSp macro="">
      <xdr:nvCxnSpPr>
        <xdr:cNvPr id="1549" name="Straight Connector 6">
          <a:extLst>
            <a:ext uri="{FF2B5EF4-FFF2-40B4-BE49-F238E27FC236}">
              <a16:creationId xmlns:a16="http://schemas.microsoft.com/office/drawing/2014/main" id="{278B0883-A2E0-E74B-8750-8442A86AB0EA}"/>
            </a:ext>
          </a:extLst>
        </xdr:cNvPr>
        <xdr:cNvCxnSpPr>
          <a:cxnSpLocks noChangeShapeType="1"/>
        </xdr:cNvCxnSpPr>
      </xdr:nvCxnSpPr>
      <xdr:spPr bwMode="auto">
        <a:xfrm>
          <a:off x="624840" y="4447794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216</xdr:row>
      <xdr:rowOff>541020</xdr:rowOff>
    </xdr:from>
    <xdr:to>
      <xdr:col>16</xdr:col>
      <xdr:colOff>106680</xdr:colOff>
      <xdr:row>216</xdr:row>
      <xdr:rowOff>541020</xdr:rowOff>
    </xdr:to>
    <xdr:cxnSp macro="">
      <xdr:nvCxnSpPr>
        <xdr:cNvPr id="1550" name="Straight Connector 26">
          <a:extLst>
            <a:ext uri="{FF2B5EF4-FFF2-40B4-BE49-F238E27FC236}">
              <a16:creationId xmlns:a16="http://schemas.microsoft.com/office/drawing/2014/main" id="{EF9C24E9-73A9-25DC-F6F0-74CE1A7FF00C}"/>
            </a:ext>
          </a:extLst>
        </xdr:cNvPr>
        <xdr:cNvCxnSpPr>
          <a:cxnSpLocks noChangeShapeType="1"/>
        </xdr:cNvCxnSpPr>
      </xdr:nvCxnSpPr>
      <xdr:spPr bwMode="auto">
        <a:xfrm>
          <a:off x="3649980" y="4447794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332</xdr:row>
      <xdr:rowOff>541020</xdr:rowOff>
    </xdr:from>
    <xdr:to>
      <xdr:col>3</xdr:col>
      <xdr:colOff>327660</xdr:colOff>
      <xdr:row>332</xdr:row>
      <xdr:rowOff>541020</xdr:rowOff>
    </xdr:to>
    <xdr:cxnSp macro="">
      <xdr:nvCxnSpPr>
        <xdr:cNvPr id="1551" name="Straight Connector 6">
          <a:extLst>
            <a:ext uri="{FF2B5EF4-FFF2-40B4-BE49-F238E27FC236}">
              <a16:creationId xmlns:a16="http://schemas.microsoft.com/office/drawing/2014/main" id="{C3389FAE-2FBF-1781-6D3D-DFCBD29B2465}"/>
            </a:ext>
          </a:extLst>
        </xdr:cNvPr>
        <xdr:cNvCxnSpPr>
          <a:cxnSpLocks noChangeShapeType="1"/>
        </xdr:cNvCxnSpPr>
      </xdr:nvCxnSpPr>
      <xdr:spPr bwMode="auto">
        <a:xfrm>
          <a:off x="624840" y="6752082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332</xdr:row>
      <xdr:rowOff>541020</xdr:rowOff>
    </xdr:from>
    <xdr:to>
      <xdr:col>16</xdr:col>
      <xdr:colOff>106680</xdr:colOff>
      <xdr:row>332</xdr:row>
      <xdr:rowOff>541020</xdr:rowOff>
    </xdr:to>
    <xdr:cxnSp macro="">
      <xdr:nvCxnSpPr>
        <xdr:cNvPr id="1552" name="Straight Connector 26">
          <a:extLst>
            <a:ext uri="{FF2B5EF4-FFF2-40B4-BE49-F238E27FC236}">
              <a16:creationId xmlns:a16="http://schemas.microsoft.com/office/drawing/2014/main" id="{08C9DA6A-FD7B-C35E-FE87-64F684D8B222}"/>
            </a:ext>
          </a:extLst>
        </xdr:cNvPr>
        <xdr:cNvCxnSpPr>
          <a:cxnSpLocks noChangeShapeType="1"/>
        </xdr:cNvCxnSpPr>
      </xdr:nvCxnSpPr>
      <xdr:spPr bwMode="auto">
        <a:xfrm>
          <a:off x="3649980" y="6752082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441</xdr:row>
      <xdr:rowOff>541020</xdr:rowOff>
    </xdr:from>
    <xdr:to>
      <xdr:col>3</xdr:col>
      <xdr:colOff>327660</xdr:colOff>
      <xdr:row>441</xdr:row>
      <xdr:rowOff>541020</xdr:rowOff>
    </xdr:to>
    <xdr:cxnSp macro="">
      <xdr:nvCxnSpPr>
        <xdr:cNvPr id="1553" name="Straight Connector 6">
          <a:extLst>
            <a:ext uri="{FF2B5EF4-FFF2-40B4-BE49-F238E27FC236}">
              <a16:creationId xmlns:a16="http://schemas.microsoft.com/office/drawing/2014/main" id="{B6EE83C8-0BA2-B25E-6303-625A16365B7F}"/>
            </a:ext>
          </a:extLst>
        </xdr:cNvPr>
        <xdr:cNvCxnSpPr>
          <a:cxnSpLocks noChangeShapeType="1"/>
        </xdr:cNvCxnSpPr>
      </xdr:nvCxnSpPr>
      <xdr:spPr bwMode="auto">
        <a:xfrm>
          <a:off x="624840" y="8969502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441</xdr:row>
      <xdr:rowOff>541020</xdr:rowOff>
    </xdr:from>
    <xdr:to>
      <xdr:col>16</xdr:col>
      <xdr:colOff>106680</xdr:colOff>
      <xdr:row>441</xdr:row>
      <xdr:rowOff>541020</xdr:rowOff>
    </xdr:to>
    <xdr:cxnSp macro="">
      <xdr:nvCxnSpPr>
        <xdr:cNvPr id="1554" name="Straight Connector 26">
          <a:extLst>
            <a:ext uri="{FF2B5EF4-FFF2-40B4-BE49-F238E27FC236}">
              <a16:creationId xmlns:a16="http://schemas.microsoft.com/office/drawing/2014/main" id="{3A94CBA7-CE55-C054-C1AE-5CE808C81371}"/>
            </a:ext>
          </a:extLst>
        </xdr:cNvPr>
        <xdr:cNvCxnSpPr>
          <a:cxnSpLocks noChangeShapeType="1"/>
        </xdr:cNvCxnSpPr>
      </xdr:nvCxnSpPr>
      <xdr:spPr bwMode="auto">
        <a:xfrm>
          <a:off x="3649980" y="8969502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562</xdr:row>
      <xdr:rowOff>541020</xdr:rowOff>
    </xdr:from>
    <xdr:to>
      <xdr:col>3</xdr:col>
      <xdr:colOff>327660</xdr:colOff>
      <xdr:row>562</xdr:row>
      <xdr:rowOff>541020</xdr:rowOff>
    </xdr:to>
    <xdr:cxnSp macro="">
      <xdr:nvCxnSpPr>
        <xdr:cNvPr id="1555" name="Straight Connector 6">
          <a:extLst>
            <a:ext uri="{FF2B5EF4-FFF2-40B4-BE49-F238E27FC236}">
              <a16:creationId xmlns:a16="http://schemas.microsoft.com/office/drawing/2014/main" id="{81723332-4D1D-DF72-BABF-62589ECA0A6B}"/>
            </a:ext>
          </a:extLst>
        </xdr:cNvPr>
        <xdr:cNvCxnSpPr>
          <a:cxnSpLocks noChangeShapeType="1"/>
        </xdr:cNvCxnSpPr>
      </xdr:nvCxnSpPr>
      <xdr:spPr bwMode="auto">
        <a:xfrm>
          <a:off x="624840" y="11385804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562</xdr:row>
      <xdr:rowOff>541020</xdr:rowOff>
    </xdr:from>
    <xdr:to>
      <xdr:col>16</xdr:col>
      <xdr:colOff>106680</xdr:colOff>
      <xdr:row>562</xdr:row>
      <xdr:rowOff>541020</xdr:rowOff>
    </xdr:to>
    <xdr:cxnSp macro="">
      <xdr:nvCxnSpPr>
        <xdr:cNvPr id="1556" name="Straight Connector 26">
          <a:extLst>
            <a:ext uri="{FF2B5EF4-FFF2-40B4-BE49-F238E27FC236}">
              <a16:creationId xmlns:a16="http://schemas.microsoft.com/office/drawing/2014/main" id="{9E3B7987-51D4-8918-BD0A-A2EB514F3388}"/>
            </a:ext>
          </a:extLst>
        </xdr:cNvPr>
        <xdr:cNvCxnSpPr>
          <a:cxnSpLocks noChangeShapeType="1"/>
        </xdr:cNvCxnSpPr>
      </xdr:nvCxnSpPr>
      <xdr:spPr bwMode="auto">
        <a:xfrm>
          <a:off x="3649980" y="11385804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671</xdr:row>
      <xdr:rowOff>541020</xdr:rowOff>
    </xdr:from>
    <xdr:to>
      <xdr:col>3</xdr:col>
      <xdr:colOff>327660</xdr:colOff>
      <xdr:row>671</xdr:row>
      <xdr:rowOff>541020</xdr:rowOff>
    </xdr:to>
    <xdr:cxnSp macro="">
      <xdr:nvCxnSpPr>
        <xdr:cNvPr id="1557" name="Straight Connector 6">
          <a:extLst>
            <a:ext uri="{FF2B5EF4-FFF2-40B4-BE49-F238E27FC236}">
              <a16:creationId xmlns:a16="http://schemas.microsoft.com/office/drawing/2014/main" id="{587C1DA5-71FD-BA50-1F3E-12EA61427811}"/>
            </a:ext>
          </a:extLst>
        </xdr:cNvPr>
        <xdr:cNvCxnSpPr>
          <a:cxnSpLocks noChangeShapeType="1"/>
        </xdr:cNvCxnSpPr>
      </xdr:nvCxnSpPr>
      <xdr:spPr bwMode="auto">
        <a:xfrm>
          <a:off x="624840" y="13603224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671</xdr:row>
      <xdr:rowOff>541020</xdr:rowOff>
    </xdr:from>
    <xdr:to>
      <xdr:col>16</xdr:col>
      <xdr:colOff>106680</xdr:colOff>
      <xdr:row>671</xdr:row>
      <xdr:rowOff>541020</xdr:rowOff>
    </xdr:to>
    <xdr:cxnSp macro="">
      <xdr:nvCxnSpPr>
        <xdr:cNvPr id="1558" name="Straight Connector 26">
          <a:extLst>
            <a:ext uri="{FF2B5EF4-FFF2-40B4-BE49-F238E27FC236}">
              <a16:creationId xmlns:a16="http://schemas.microsoft.com/office/drawing/2014/main" id="{2F07A25B-A5C3-951B-0E8F-2E9A2F789B44}"/>
            </a:ext>
          </a:extLst>
        </xdr:cNvPr>
        <xdr:cNvCxnSpPr>
          <a:cxnSpLocks noChangeShapeType="1"/>
        </xdr:cNvCxnSpPr>
      </xdr:nvCxnSpPr>
      <xdr:spPr bwMode="auto">
        <a:xfrm>
          <a:off x="3649980" y="13603224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784</xdr:row>
      <xdr:rowOff>541020</xdr:rowOff>
    </xdr:from>
    <xdr:to>
      <xdr:col>3</xdr:col>
      <xdr:colOff>327660</xdr:colOff>
      <xdr:row>784</xdr:row>
      <xdr:rowOff>541020</xdr:rowOff>
    </xdr:to>
    <xdr:cxnSp macro="">
      <xdr:nvCxnSpPr>
        <xdr:cNvPr id="1559" name="Straight Connector 6">
          <a:extLst>
            <a:ext uri="{FF2B5EF4-FFF2-40B4-BE49-F238E27FC236}">
              <a16:creationId xmlns:a16="http://schemas.microsoft.com/office/drawing/2014/main" id="{A3C3928E-2D85-493A-1DB3-41C6D465978D}"/>
            </a:ext>
          </a:extLst>
        </xdr:cNvPr>
        <xdr:cNvCxnSpPr>
          <a:cxnSpLocks noChangeShapeType="1"/>
        </xdr:cNvCxnSpPr>
      </xdr:nvCxnSpPr>
      <xdr:spPr bwMode="auto">
        <a:xfrm>
          <a:off x="624840" y="15886938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784</xdr:row>
      <xdr:rowOff>541020</xdr:rowOff>
    </xdr:from>
    <xdr:to>
      <xdr:col>16</xdr:col>
      <xdr:colOff>106680</xdr:colOff>
      <xdr:row>784</xdr:row>
      <xdr:rowOff>541020</xdr:rowOff>
    </xdr:to>
    <xdr:cxnSp macro="">
      <xdr:nvCxnSpPr>
        <xdr:cNvPr id="1560" name="Straight Connector 26">
          <a:extLst>
            <a:ext uri="{FF2B5EF4-FFF2-40B4-BE49-F238E27FC236}">
              <a16:creationId xmlns:a16="http://schemas.microsoft.com/office/drawing/2014/main" id="{470F01DC-6F8B-A252-B375-E747A5811078}"/>
            </a:ext>
          </a:extLst>
        </xdr:cNvPr>
        <xdr:cNvCxnSpPr>
          <a:cxnSpLocks noChangeShapeType="1"/>
        </xdr:cNvCxnSpPr>
      </xdr:nvCxnSpPr>
      <xdr:spPr bwMode="auto">
        <a:xfrm>
          <a:off x="3649980" y="15886938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896</xdr:row>
      <xdr:rowOff>541020</xdr:rowOff>
    </xdr:from>
    <xdr:to>
      <xdr:col>3</xdr:col>
      <xdr:colOff>327660</xdr:colOff>
      <xdr:row>896</xdr:row>
      <xdr:rowOff>541020</xdr:rowOff>
    </xdr:to>
    <xdr:cxnSp macro="">
      <xdr:nvCxnSpPr>
        <xdr:cNvPr id="1561" name="Straight Connector 6">
          <a:extLst>
            <a:ext uri="{FF2B5EF4-FFF2-40B4-BE49-F238E27FC236}">
              <a16:creationId xmlns:a16="http://schemas.microsoft.com/office/drawing/2014/main" id="{1A7F27AE-47BF-4C72-5520-F22D513F20E9}"/>
            </a:ext>
          </a:extLst>
        </xdr:cNvPr>
        <xdr:cNvCxnSpPr>
          <a:cxnSpLocks noChangeShapeType="1"/>
        </xdr:cNvCxnSpPr>
      </xdr:nvCxnSpPr>
      <xdr:spPr bwMode="auto">
        <a:xfrm>
          <a:off x="624840" y="18150078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896</xdr:row>
      <xdr:rowOff>541020</xdr:rowOff>
    </xdr:from>
    <xdr:to>
      <xdr:col>16</xdr:col>
      <xdr:colOff>106680</xdr:colOff>
      <xdr:row>896</xdr:row>
      <xdr:rowOff>541020</xdr:rowOff>
    </xdr:to>
    <xdr:cxnSp macro="">
      <xdr:nvCxnSpPr>
        <xdr:cNvPr id="1562" name="Straight Connector 26">
          <a:extLst>
            <a:ext uri="{FF2B5EF4-FFF2-40B4-BE49-F238E27FC236}">
              <a16:creationId xmlns:a16="http://schemas.microsoft.com/office/drawing/2014/main" id="{96D75349-20DC-DD18-84BA-5FC3F29C3511}"/>
            </a:ext>
          </a:extLst>
        </xdr:cNvPr>
        <xdr:cNvCxnSpPr>
          <a:cxnSpLocks noChangeShapeType="1"/>
        </xdr:cNvCxnSpPr>
      </xdr:nvCxnSpPr>
      <xdr:spPr bwMode="auto">
        <a:xfrm>
          <a:off x="3649980" y="18150078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1004</xdr:row>
      <xdr:rowOff>541020</xdr:rowOff>
    </xdr:from>
    <xdr:to>
      <xdr:col>3</xdr:col>
      <xdr:colOff>327660</xdr:colOff>
      <xdr:row>1004</xdr:row>
      <xdr:rowOff>541020</xdr:rowOff>
    </xdr:to>
    <xdr:cxnSp macro="">
      <xdr:nvCxnSpPr>
        <xdr:cNvPr id="1563" name="Straight Connector 6">
          <a:extLst>
            <a:ext uri="{FF2B5EF4-FFF2-40B4-BE49-F238E27FC236}">
              <a16:creationId xmlns:a16="http://schemas.microsoft.com/office/drawing/2014/main" id="{F1BB19F1-FBC2-ABB5-4A45-D99BF75115E3}"/>
            </a:ext>
          </a:extLst>
        </xdr:cNvPr>
        <xdr:cNvCxnSpPr>
          <a:cxnSpLocks noChangeShapeType="1"/>
        </xdr:cNvCxnSpPr>
      </xdr:nvCxnSpPr>
      <xdr:spPr bwMode="auto">
        <a:xfrm>
          <a:off x="624840" y="20346924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1004</xdr:row>
      <xdr:rowOff>541020</xdr:rowOff>
    </xdr:from>
    <xdr:to>
      <xdr:col>16</xdr:col>
      <xdr:colOff>106680</xdr:colOff>
      <xdr:row>1004</xdr:row>
      <xdr:rowOff>541020</xdr:rowOff>
    </xdr:to>
    <xdr:cxnSp macro="">
      <xdr:nvCxnSpPr>
        <xdr:cNvPr id="1564" name="Straight Connector 26">
          <a:extLst>
            <a:ext uri="{FF2B5EF4-FFF2-40B4-BE49-F238E27FC236}">
              <a16:creationId xmlns:a16="http://schemas.microsoft.com/office/drawing/2014/main" id="{313D5CB4-ED2E-D670-FAA7-2BA1B8EA624F}"/>
            </a:ext>
          </a:extLst>
        </xdr:cNvPr>
        <xdr:cNvCxnSpPr>
          <a:cxnSpLocks noChangeShapeType="1"/>
        </xdr:cNvCxnSpPr>
      </xdr:nvCxnSpPr>
      <xdr:spPr bwMode="auto">
        <a:xfrm>
          <a:off x="3649980" y="20346924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1112</xdr:row>
      <xdr:rowOff>541020</xdr:rowOff>
    </xdr:from>
    <xdr:to>
      <xdr:col>3</xdr:col>
      <xdr:colOff>327660</xdr:colOff>
      <xdr:row>1112</xdr:row>
      <xdr:rowOff>541020</xdr:rowOff>
    </xdr:to>
    <xdr:cxnSp macro="">
      <xdr:nvCxnSpPr>
        <xdr:cNvPr id="1565" name="Straight Connector 6">
          <a:extLst>
            <a:ext uri="{FF2B5EF4-FFF2-40B4-BE49-F238E27FC236}">
              <a16:creationId xmlns:a16="http://schemas.microsoft.com/office/drawing/2014/main" id="{02764062-698E-8BAE-CB72-FD005FDACD3E}"/>
            </a:ext>
          </a:extLst>
        </xdr:cNvPr>
        <xdr:cNvCxnSpPr>
          <a:cxnSpLocks noChangeShapeType="1"/>
        </xdr:cNvCxnSpPr>
      </xdr:nvCxnSpPr>
      <xdr:spPr bwMode="auto">
        <a:xfrm>
          <a:off x="624840" y="22543770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1112</xdr:row>
      <xdr:rowOff>541020</xdr:rowOff>
    </xdr:from>
    <xdr:to>
      <xdr:col>16</xdr:col>
      <xdr:colOff>106680</xdr:colOff>
      <xdr:row>1112</xdr:row>
      <xdr:rowOff>541020</xdr:rowOff>
    </xdr:to>
    <xdr:cxnSp macro="">
      <xdr:nvCxnSpPr>
        <xdr:cNvPr id="1566" name="Straight Connector 26">
          <a:extLst>
            <a:ext uri="{FF2B5EF4-FFF2-40B4-BE49-F238E27FC236}">
              <a16:creationId xmlns:a16="http://schemas.microsoft.com/office/drawing/2014/main" id="{DFC4D447-579E-6B0E-958E-979B9068F883}"/>
            </a:ext>
          </a:extLst>
        </xdr:cNvPr>
        <xdr:cNvCxnSpPr>
          <a:cxnSpLocks noChangeShapeType="1"/>
        </xdr:cNvCxnSpPr>
      </xdr:nvCxnSpPr>
      <xdr:spPr bwMode="auto">
        <a:xfrm>
          <a:off x="3649980" y="22543770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1225</xdr:row>
      <xdr:rowOff>541020</xdr:rowOff>
    </xdr:from>
    <xdr:to>
      <xdr:col>3</xdr:col>
      <xdr:colOff>327660</xdr:colOff>
      <xdr:row>1225</xdr:row>
      <xdr:rowOff>541020</xdr:rowOff>
    </xdr:to>
    <xdr:cxnSp macro="">
      <xdr:nvCxnSpPr>
        <xdr:cNvPr id="1567" name="Straight Connector 6">
          <a:extLst>
            <a:ext uri="{FF2B5EF4-FFF2-40B4-BE49-F238E27FC236}">
              <a16:creationId xmlns:a16="http://schemas.microsoft.com/office/drawing/2014/main" id="{197E98A7-59B5-E6C8-0F07-9962C8032389}"/>
            </a:ext>
          </a:extLst>
        </xdr:cNvPr>
        <xdr:cNvCxnSpPr>
          <a:cxnSpLocks noChangeShapeType="1"/>
        </xdr:cNvCxnSpPr>
      </xdr:nvCxnSpPr>
      <xdr:spPr bwMode="auto">
        <a:xfrm>
          <a:off x="624840" y="24827484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1225</xdr:row>
      <xdr:rowOff>541020</xdr:rowOff>
    </xdr:from>
    <xdr:to>
      <xdr:col>16</xdr:col>
      <xdr:colOff>106680</xdr:colOff>
      <xdr:row>1225</xdr:row>
      <xdr:rowOff>541020</xdr:rowOff>
    </xdr:to>
    <xdr:cxnSp macro="">
      <xdr:nvCxnSpPr>
        <xdr:cNvPr id="1568" name="Straight Connector 26">
          <a:extLst>
            <a:ext uri="{FF2B5EF4-FFF2-40B4-BE49-F238E27FC236}">
              <a16:creationId xmlns:a16="http://schemas.microsoft.com/office/drawing/2014/main" id="{5BBCCFF2-1102-9D0A-DC97-8E513BBBB5B3}"/>
            </a:ext>
          </a:extLst>
        </xdr:cNvPr>
        <xdr:cNvCxnSpPr>
          <a:cxnSpLocks noChangeShapeType="1"/>
        </xdr:cNvCxnSpPr>
      </xdr:nvCxnSpPr>
      <xdr:spPr bwMode="auto">
        <a:xfrm>
          <a:off x="3649980" y="24827484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1337</xdr:row>
      <xdr:rowOff>541020</xdr:rowOff>
    </xdr:from>
    <xdr:to>
      <xdr:col>3</xdr:col>
      <xdr:colOff>327660</xdr:colOff>
      <xdr:row>1337</xdr:row>
      <xdr:rowOff>541020</xdr:rowOff>
    </xdr:to>
    <xdr:cxnSp macro="">
      <xdr:nvCxnSpPr>
        <xdr:cNvPr id="1569" name="Straight Connector 6">
          <a:extLst>
            <a:ext uri="{FF2B5EF4-FFF2-40B4-BE49-F238E27FC236}">
              <a16:creationId xmlns:a16="http://schemas.microsoft.com/office/drawing/2014/main" id="{172E5A50-1555-205C-A00E-5F3AA7655259}"/>
            </a:ext>
          </a:extLst>
        </xdr:cNvPr>
        <xdr:cNvCxnSpPr>
          <a:cxnSpLocks noChangeShapeType="1"/>
        </xdr:cNvCxnSpPr>
      </xdr:nvCxnSpPr>
      <xdr:spPr bwMode="auto">
        <a:xfrm>
          <a:off x="624840" y="27090624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1337</xdr:row>
      <xdr:rowOff>541020</xdr:rowOff>
    </xdr:from>
    <xdr:to>
      <xdr:col>16</xdr:col>
      <xdr:colOff>106680</xdr:colOff>
      <xdr:row>1337</xdr:row>
      <xdr:rowOff>541020</xdr:rowOff>
    </xdr:to>
    <xdr:cxnSp macro="">
      <xdr:nvCxnSpPr>
        <xdr:cNvPr id="1570" name="Straight Connector 26">
          <a:extLst>
            <a:ext uri="{FF2B5EF4-FFF2-40B4-BE49-F238E27FC236}">
              <a16:creationId xmlns:a16="http://schemas.microsoft.com/office/drawing/2014/main" id="{1B0D72D6-F3C5-A12D-6055-1D1EF83460FF}"/>
            </a:ext>
          </a:extLst>
        </xdr:cNvPr>
        <xdr:cNvCxnSpPr>
          <a:cxnSpLocks noChangeShapeType="1"/>
        </xdr:cNvCxnSpPr>
      </xdr:nvCxnSpPr>
      <xdr:spPr bwMode="auto">
        <a:xfrm>
          <a:off x="3649980" y="27090624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1451</xdr:row>
      <xdr:rowOff>541020</xdr:rowOff>
    </xdr:from>
    <xdr:to>
      <xdr:col>3</xdr:col>
      <xdr:colOff>327660</xdr:colOff>
      <xdr:row>1451</xdr:row>
      <xdr:rowOff>541020</xdr:rowOff>
    </xdr:to>
    <xdr:cxnSp macro="">
      <xdr:nvCxnSpPr>
        <xdr:cNvPr id="1571" name="Straight Connector 6">
          <a:extLst>
            <a:ext uri="{FF2B5EF4-FFF2-40B4-BE49-F238E27FC236}">
              <a16:creationId xmlns:a16="http://schemas.microsoft.com/office/drawing/2014/main" id="{605CED9B-ABC3-7553-6905-425472DF15D7}"/>
            </a:ext>
          </a:extLst>
        </xdr:cNvPr>
        <xdr:cNvCxnSpPr>
          <a:cxnSpLocks noChangeShapeType="1"/>
        </xdr:cNvCxnSpPr>
      </xdr:nvCxnSpPr>
      <xdr:spPr bwMode="auto">
        <a:xfrm>
          <a:off x="624840" y="29394912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1451</xdr:row>
      <xdr:rowOff>541020</xdr:rowOff>
    </xdr:from>
    <xdr:to>
      <xdr:col>16</xdr:col>
      <xdr:colOff>106680</xdr:colOff>
      <xdr:row>1451</xdr:row>
      <xdr:rowOff>541020</xdr:rowOff>
    </xdr:to>
    <xdr:cxnSp macro="">
      <xdr:nvCxnSpPr>
        <xdr:cNvPr id="1572" name="Straight Connector 26">
          <a:extLst>
            <a:ext uri="{FF2B5EF4-FFF2-40B4-BE49-F238E27FC236}">
              <a16:creationId xmlns:a16="http://schemas.microsoft.com/office/drawing/2014/main" id="{7414A74A-E732-B142-38AF-C6EE44F3C47A}"/>
            </a:ext>
          </a:extLst>
        </xdr:cNvPr>
        <xdr:cNvCxnSpPr>
          <a:cxnSpLocks noChangeShapeType="1"/>
        </xdr:cNvCxnSpPr>
      </xdr:nvCxnSpPr>
      <xdr:spPr bwMode="auto">
        <a:xfrm>
          <a:off x="3649980" y="29394912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281940</xdr:colOff>
      <xdr:row>1559</xdr:row>
      <xdr:rowOff>541020</xdr:rowOff>
    </xdr:from>
    <xdr:to>
      <xdr:col>3</xdr:col>
      <xdr:colOff>327660</xdr:colOff>
      <xdr:row>1559</xdr:row>
      <xdr:rowOff>541020</xdr:rowOff>
    </xdr:to>
    <xdr:cxnSp macro="">
      <xdr:nvCxnSpPr>
        <xdr:cNvPr id="1573" name="Straight Connector 6">
          <a:extLst>
            <a:ext uri="{FF2B5EF4-FFF2-40B4-BE49-F238E27FC236}">
              <a16:creationId xmlns:a16="http://schemas.microsoft.com/office/drawing/2014/main" id="{10D50F55-80CE-DC88-AEF0-27D454FE974D}"/>
            </a:ext>
          </a:extLst>
        </xdr:cNvPr>
        <xdr:cNvCxnSpPr>
          <a:cxnSpLocks noChangeShapeType="1"/>
        </xdr:cNvCxnSpPr>
      </xdr:nvCxnSpPr>
      <xdr:spPr bwMode="auto">
        <a:xfrm>
          <a:off x="624840" y="315917580"/>
          <a:ext cx="112776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723900</xdr:colOff>
      <xdr:row>1559</xdr:row>
      <xdr:rowOff>541020</xdr:rowOff>
    </xdr:from>
    <xdr:to>
      <xdr:col>16</xdr:col>
      <xdr:colOff>106680</xdr:colOff>
      <xdr:row>1559</xdr:row>
      <xdr:rowOff>541020</xdr:rowOff>
    </xdr:to>
    <xdr:cxnSp macro="">
      <xdr:nvCxnSpPr>
        <xdr:cNvPr id="1574" name="Straight Connector 26">
          <a:extLst>
            <a:ext uri="{FF2B5EF4-FFF2-40B4-BE49-F238E27FC236}">
              <a16:creationId xmlns:a16="http://schemas.microsoft.com/office/drawing/2014/main" id="{81290A42-11F7-8775-9CF4-73325BC1B8F3}"/>
            </a:ext>
          </a:extLst>
        </xdr:cNvPr>
        <xdr:cNvCxnSpPr>
          <a:cxnSpLocks noChangeShapeType="1"/>
        </xdr:cNvCxnSpPr>
      </xdr:nvCxnSpPr>
      <xdr:spPr bwMode="auto">
        <a:xfrm>
          <a:off x="3649980" y="315917580"/>
          <a:ext cx="1417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8D2C9-B86F-443C-8C1A-997D654C7723}">
  <dimension ref="A1:T1675"/>
  <sheetViews>
    <sheetView tabSelected="1" view="pageBreakPreview" zoomScaleNormal="85" zoomScaleSheetLayoutView="100" workbookViewId="0">
      <selection sqref="A1:E1"/>
    </sheetView>
  </sheetViews>
  <sheetFormatPr defaultColWidth="9.109375" defaultRowHeight="13.8" x14ac:dyDescent="0.25"/>
  <cols>
    <col min="1" max="1" width="5" style="3" customWidth="1"/>
    <col min="2" max="3" width="7.88671875" style="3" customWidth="1"/>
    <col min="4" max="4" width="8.6640625" style="3" customWidth="1"/>
    <col min="5" max="5" width="5.6640625" style="3" customWidth="1"/>
    <col min="6" max="6" width="7.5546875" style="3" customWidth="1"/>
    <col min="7" max="7" width="10.5546875" style="3" customWidth="1"/>
    <col min="8" max="8" width="4.109375" style="3" hidden="1" customWidth="1"/>
    <col min="9" max="9" width="4.33203125" style="3" customWidth="1"/>
    <col min="10" max="10" width="3.88671875" style="3" hidden="1" customWidth="1"/>
    <col min="11" max="11" width="0.109375" style="3" hidden="1" customWidth="1"/>
    <col min="12" max="12" width="4.6640625" style="3" hidden="1" customWidth="1"/>
    <col min="13" max="13" width="4.88671875" style="3" hidden="1" customWidth="1"/>
    <col min="14" max="14" width="5.6640625" style="3" hidden="1" customWidth="1"/>
    <col min="15" max="15" width="7.33203125" style="3" customWidth="1"/>
    <col min="16" max="16" width="7.44140625" style="3" customWidth="1"/>
    <col min="17" max="17" width="8.6640625" style="3" customWidth="1"/>
    <col min="18" max="18" width="0" style="1" hidden="1" customWidth="1"/>
    <col min="19" max="19" width="5.44140625" style="1" customWidth="1"/>
    <col min="20" max="16384" width="9.109375" style="1"/>
  </cols>
  <sheetData>
    <row r="1" spans="1:20" ht="54" customHeight="1" x14ac:dyDescent="0.25">
      <c r="A1" s="48" t="s">
        <v>33</v>
      </c>
      <c r="B1" s="48"/>
      <c r="C1" s="48"/>
      <c r="D1" s="48"/>
      <c r="E1" s="48"/>
      <c r="F1" s="42" t="s">
        <v>24</v>
      </c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</row>
    <row r="2" spans="1:20" ht="17.399999999999999" x14ac:dyDescent="0.25">
      <c r="A2" s="49" t="s">
        <v>34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</row>
    <row r="3" spans="1:20" ht="4.5" customHeight="1" x14ac:dyDescent="0.25">
      <c r="A3" s="50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</row>
    <row r="4" spans="1:20" ht="5.25" customHeight="1" x14ac:dyDescent="0.25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</row>
    <row r="5" spans="1:20" ht="16.5" customHeight="1" x14ac:dyDescent="0.25">
      <c r="A5" s="54" t="s">
        <v>43</v>
      </c>
      <c r="B5" s="54"/>
      <c r="C5" s="54"/>
      <c r="D5" s="54"/>
      <c r="E5" s="54"/>
      <c r="F5" s="54"/>
      <c r="G5" s="58" t="s">
        <v>44</v>
      </c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</row>
    <row r="6" spans="1:20" ht="16.5" customHeight="1" x14ac:dyDescent="0.25">
      <c r="A6" s="54" t="s">
        <v>45</v>
      </c>
      <c r="B6" s="54"/>
      <c r="C6" s="54"/>
      <c r="D6" s="54"/>
      <c r="E6" s="54"/>
      <c r="F6" s="54"/>
      <c r="G6" s="8" t="s">
        <v>46</v>
      </c>
      <c r="H6" s="8"/>
      <c r="I6" s="8"/>
      <c r="J6" s="8"/>
      <c r="K6" s="8"/>
      <c r="L6" s="8"/>
      <c r="M6" s="8"/>
      <c r="N6" s="8"/>
      <c r="O6" s="8"/>
      <c r="P6" s="8"/>
      <c r="Q6" s="8"/>
      <c r="T6" s="2"/>
    </row>
    <row r="7" spans="1:20" ht="16.5" customHeight="1" x14ac:dyDescent="0.25">
      <c r="A7" s="54" t="s">
        <v>47</v>
      </c>
      <c r="B7" s="54"/>
      <c r="C7" s="54"/>
      <c r="D7" s="54"/>
      <c r="E7" s="54"/>
      <c r="F7" s="54"/>
      <c r="G7" s="58" t="s">
        <v>48</v>
      </c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</row>
    <row r="8" spans="1:20" ht="5.25" customHeight="1" x14ac:dyDescent="0.25">
      <c r="A8" s="8"/>
      <c r="B8" s="8"/>
      <c r="C8" s="8"/>
      <c r="D8" s="8"/>
      <c r="E8" s="8"/>
      <c r="F8" s="8"/>
      <c r="G8" s="8"/>
      <c r="H8" s="8"/>
      <c r="I8" s="8"/>
      <c r="J8" s="19"/>
      <c r="K8" s="19"/>
      <c r="L8" s="19"/>
      <c r="M8" s="19"/>
      <c r="N8" s="19"/>
      <c r="O8" s="19"/>
      <c r="P8" s="19"/>
      <c r="Q8" s="19"/>
    </row>
    <row r="9" spans="1:20" ht="15" customHeight="1" x14ac:dyDescent="0.25">
      <c r="A9" s="36" t="s">
        <v>0</v>
      </c>
      <c r="B9" s="29" t="s">
        <v>1</v>
      </c>
      <c r="C9" s="30"/>
      <c r="D9" s="30"/>
      <c r="E9" s="30"/>
      <c r="F9" s="30"/>
      <c r="G9" s="31"/>
      <c r="H9" s="36" t="s">
        <v>32</v>
      </c>
      <c r="I9" s="36" t="s">
        <v>39</v>
      </c>
      <c r="J9" s="55" t="s">
        <v>2</v>
      </c>
      <c r="K9" s="56"/>
      <c r="L9" s="56"/>
      <c r="M9" s="56"/>
      <c r="N9" s="56"/>
      <c r="O9" s="56"/>
      <c r="P9" s="56"/>
      <c r="Q9" s="57"/>
      <c r="S9" s="36" t="s">
        <v>38</v>
      </c>
    </row>
    <row r="10" spans="1:20" ht="24" customHeight="1" x14ac:dyDescent="0.25">
      <c r="A10" s="37"/>
      <c r="B10" s="32"/>
      <c r="C10" s="33"/>
      <c r="D10" s="33"/>
      <c r="E10" s="33"/>
      <c r="F10" s="33"/>
      <c r="G10" s="34"/>
      <c r="H10" s="37"/>
      <c r="I10" s="37"/>
      <c r="J10" s="7" t="s">
        <v>28</v>
      </c>
      <c r="K10" s="7" t="s">
        <v>29</v>
      </c>
      <c r="L10" s="7" t="s">
        <v>30</v>
      </c>
      <c r="M10" s="7"/>
      <c r="N10" s="7"/>
      <c r="O10" s="6" t="s">
        <v>35</v>
      </c>
      <c r="P10" s="6" t="s">
        <v>36</v>
      </c>
      <c r="Q10" s="6" t="s">
        <v>37</v>
      </c>
      <c r="S10" s="37"/>
    </row>
    <row r="11" spans="1:20" ht="20.25" customHeight="1" x14ac:dyDescent="0.25">
      <c r="A11" s="27" t="s">
        <v>54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ht="16.5" customHeight="1" x14ac:dyDescent="0.25">
      <c r="A12" s="9"/>
      <c r="B12" s="51" t="s">
        <v>55</v>
      </c>
      <c r="C12" s="52"/>
      <c r="D12" s="52"/>
      <c r="E12" s="52"/>
      <c r="F12" s="52"/>
      <c r="G12" s="53"/>
      <c r="H12" s="20"/>
      <c r="I12" s="9">
        <v>2</v>
      </c>
      <c r="J12" s="9"/>
      <c r="K12" s="9"/>
      <c r="L12" s="9"/>
      <c r="M12" s="9">
        <f t="shared" ref="M12:M20" si="0">I12*O12</f>
        <v>14.6</v>
      </c>
      <c r="N12" s="9">
        <f t="shared" ref="N12:N20" si="1">I12*P12</f>
        <v>6</v>
      </c>
      <c r="O12" s="9">
        <v>7.3</v>
      </c>
      <c r="P12" s="9">
        <v>3</v>
      </c>
      <c r="Q12" s="9" t="s">
        <v>6</v>
      </c>
      <c r="R12" s="1">
        <v>0</v>
      </c>
      <c r="S12" s="26"/>
    </row>
    <row r="13" spans="1:20" ht="16.5" customHeight="1" x14ac:dyDescent="0.25">
      <c r="A13" s="9"/>
      <c r="B13" s="51" t="s">
        <v>56</v>
      </c>
      <c r="C13" s="52"/>
      <c r="D13" s="52"/>
      <c r="E13" s="52"/>
      <c r="F13" s="52"/>
      <c r="G13" s="53"/>
      <c r="H13" s="20"/>
      <c r="I13" s="9">
        <v>3</v>
      </c>
      <c r="J13" s="9"/>
      <c r="K13" s="9"/>
      <c r="L13" s="9"/>
      <c r="M13" s="9">
        <f t="shared" si="0"/>
        <v>14.100000000000001</v>
      </c>
      <c r="N13" s="9">
        <f t="shared" si="1"/>
        <v>3</v>
      </c>
      <c r="O13" s="9">
        <v>4.7</v>
      </c>
      <c r="P13" s="9">
        <v>1</v>
      </c>
      <c r="Q13" s="9" t="s">
        <v>8</v>
      </c>
      <c r="R13" s="1">
        <v>0</v>
      </c>
      <c r="S13" s="26"/>
    </row>
    <row r="14" spans="1:20" ht="31.2" customHeight="1" x14ac:dyDescent="0.25">
      <c r="A14" s="9"/>
      <c r="B14" s="51" t="s">
        <v>57</v>
      </c>
      <c r="C14" s="52"/>
      <c r="D14" s="52"/>
      <c r="E14" s="52"/>
      <c r="F14" s="52"/>
      <c r="G14" s="53"/>
      <c r="H14" s="20"/>
      <c r="I14" s="9">
        <v>3</v>
      </c>
      <c r="J14" s="9"/>
      <c r="K14" s="9"/>
      <c r="L14" s="9"/>
      <c r="M14" s="9">
        <f t="shared" si="0"/>
        <v>23.1</v>
      </c>
      <c r="N14" s="9">
        <f t="shared" si="1"/>
        <v>9</v>
      </c>
      <c r="O14" s="9">
        <v>7.7</v>
      </c>
      <c r="P14" s="9">
        <v>3</v>
      </c>
      <c r="Q14" s="9" t="s">
        <v>6</v>
      </c>
      <c r="R14" s="1">
        <v>0</v>
      </c>
      <c r="S14" s="26"/>
    </row>
    <row r="15" spans="1:20" ht="16.5" customHeight="1" x14ac:dyDescent="0.25">
      <c r="A15" s="9"/>
      <c r="B15" s="51" t="s">
        <v>58</v>
      </c>
      <c r="C15" s="52"/>
      <c r="D15" s="52"/>
      <c r="E15" s="52"/>
      <c r="F15" s="52"/>
      <c r="G15" s="53"/>
      <c r="H15" s="20"/>
      <c r="I15" s="9">
        <v>1</v>
      </c>
      <c r="J15" s="9"/>
      <c r="K15" s="9"/>
      <c r="L15" s="9"/>
      <c r="M15" s="9">
        <f t="shared" si="0"/>
        <v>7.4</v>
      </c>
      <c r="N15" s="9">
        <f t="shared" si="1"/>
        <v>3</v>
      </c>
      <c r="O15" s="9">
        <v>7.4</v>
      </c>
      <c r="P15" s="9">
        <v>3</v>
      </c>
      <c r="Q15" s="9" t="s">
        <v>6</v>
      </c>
      <c r="R15" s="1">
        <v>0</v>
      </c>
      <c r="S15" s="26"/>
    </row>
    <row r="16" spans="1:20" ht="16.5" customHeight="1" x14ac:dyDescent="0.25">
      <c r="A16" s="9"/>
      <c r="B16" s="51" t="s">
        <v>59</v>
      </c>
      <c r="C16" s="52"/>
      <c r="D16" s="52"/>
      <c r="E16" s="52"/>
      <c r="F16" s="52"/>
      <c r="G16" s="53"/>
      <c r="H16" s="20"/>
      <c r="I16" s="9">
        <v>1</v>
      </c>
      <c r="J16" s="9"/>
      <c r="K16" s="9"/>
      <c r="L16" s="9"/>
      <c r="M16" s="9">
        <f t="shared" si="0"/>
        <v>7.4</v>
      </c>
      <c r="N16" s="9">
        <f t="shared" si="1"/>
        <v>3</v>
      </c>
      <c r="O16" s="9">
        <v>7.4</v>
      </c>
      <c r="P16" s="9">
        <v>3</v>
      </c>
      <c r="Q16" s="9" t="s">
        <v>6</v>
      </c>
      <c r="R16" s="1">
        <v>0</v>
      </c>
      <c r="S16" s="26"/>
    </row>
    <row r="17" spans="1:19" ht="16.5" customHeight="1" x14ac:dyDescent="0.25">
      <c r="A17" s="9"/>
      <c r="B17" s="51" t="s">
        <v>60</v>
      </c>
      <c r="C17" s="52"/>
      <c r="D17" s="52"/>
      <c r="E17" s="52"/>
      <c r="F17" s="52"/>
      <c r="G17" s="53"/>
      <c r="H17" s="20"/>
      <c r="I17" s="9">
        <v>3</v>
      </c>
      <c r="J17" s="9"/>
      <c r="K17" s="9"/>
      <c r="L17" s="9"/>
      <c r="M17" s="9">
        <f t="shared" si="0"/>
        <v>21.299999999999997</v>
      </c>
      <c r="N17" s="9">
        <f t="shared" si="1"/>
        <v>9</v>
      </c>
      <c r="O17" s="9">
        <v>7.1</v>
      </c>
      <c r="P17" s="9">
        <v>3</v>
      </c>
      <c r="Q17" s="9" t="s">
        <v>6</v>
      </c>
      <c r="R17" s="1">
        <v>0</v>
      </c>
      <c r="S17" s="26"/>
    </row>
    <row r="18" spans="1:19" ht="16.5" customHeight="1" x14ac:dyDescent="0.25">
      <c r="A18" s="9"/>
      <c r="B18" s="51" t="s">
        <v>61</v>
      </c>
      <c r="C18" s="52"/>
      <c r="D18" s="52"/>
      <c r="E18" s="52"/>
      <c r="F18" s="52"/>
      <c r="G18" s="53"/>
      <c r="H18" s="20"/>
      <c r="I18" s="9">
        <v>1</v>
      </c>
      <c r="J18" s="9"/>
      <c r="K18" s="9"/>
      <c r="L18" s="9"/>
      <c r="M18" s="9">
        <f t="shared" si="0"/>
        <v>8.1999999999999993</v>
      </c>
      <c r="N18" s="9">
        <f t="shared" si="1"/>
        <v>3.5</v>
      </c>
      <c r="O18" s="9">
        <v>8.1999999999999993</v>
      </c>
      <c r="P18" s="9">
        <v>3.5</v>
      </c>
      <c r="Q18" s="9" t="s">
        <v>9</v>
      </c>
      <c r="R18" s="1">
        <v>0</v>
      </c>
      <c r="S18" s="26"/>
    </row>
    <row r="19" spans="1:19" ht="16.5" hidden="1" customHeight="1" x14ac:dyDescent="0.25">
      <c r="A19" s="21"/>
      <c r="H19" s="21"/>
      <c r="I19" s="21"/>
      <c r="J19" s="21"/>
      <c r="K19" s="21"/>
      <c r="L19" s="21"/>
      <c r="M19" s="9">
        <f t="shared" si="0"/>
        <v>0</v>
      </c>
      <c r="N19" s="9">
        <f t="shared" si="1"/>
        <v>0</v>
      </c>
      <c r="O19" s="21"/>
      <c r="P19" s="21"/>
      <c r="Q19" s="21"/>
      <c r="S19" s="25"/>
    </row>
    <row r="20" spans="1:19" ht="16.5" customHeight="1" x14ac:dyDescent="0.25">
      <c r="A20" s="9"/>
      <c r="B20" s="39" t="s">
        <v>42</v>
      </c>
      <c r="C20" s="40"/>
      <c r="D20" s="40"/>
      <c r="E20" s="40"/>
      <c r="F20" s="40"/>
      <c r="G20" s="41"/>
      <c r="H20" s="23"/>
      <c r="I20" s="24">
        <f>SUM(I12:I19)</f>
        <v>14</v>
      </c>
      <c r="J20" s="9"/>
      <c r="K20" s="9"/>
      <c r="L20" s="9"/>
      <c r="M20" s="9">
        <f t="shared" si="0"/>
        <v>96.04</v>
      </c>
      <c r="N20" s="9">
        <f t="shared" si="1"/>
        <v>36.54</v>
      </c>
      <c r="O20" s="24">
        <f>ROUND(SUM(M12:M19)/I20,2)</f>
        <v>6.86</v>
      </c>
      <c r="P20" s="24">
        <f>ROUND(SUM(N12:N19)/I20,2)</f>
        <v>2.61</v>
      </c>
      <c r="Q20" s="9"/>
      <c r="S20" s="25"/>
    </row>
    <row r="21" spans="1:19" ht="20.25" customHeight="1" x14ac:dyDescent="0.25">
      <c r="A21" s="27" t="s">
        <v>62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</row>
    <row r="22" spans="1:19" ht="16.5" customHeight="1" x14ac:dyDescent="0.25">
      <c r="A22" s="9"/>
      <c r="B22" s="51" t="s">
        <v>63</v>
      </c>
      <c r="C22" s="52"/>
      <c r="D22" s="52"/>
      <c r="E22" s="52"/>
      <c r="F22" s="52"/>
      <c r="G22" s="53"/>
      <c r="H22" s="20"/>
      <c r="I22" s="9">
        <v>4</v>
      </c>
      <c r="J22" s="9"/>
      <c r="K22" s="9"/>
      <c r="L22" s="9"/>
      <c r="M22" s="9">
        <f t="shared" ref="M22:M30" si="2">I22*O22</f>
        <v>28</v>
      </c>
      <c r="N22" s="9">
        <f t="shared" ref="N22:N30" si="3">I22*P22</f>
        <v>12</v>
      </c>
      <c r="O22" s="9">
        <v>7</v>
      </c>
      <c r="P22" s="9">
        <v>3</v>
      </c>
      <c r="Q22" s="9" t="s">
        <v>6</v>
      </c>
      <c r="R22" s="1">
        <v>0</v>
      </c>
      <c r="S22" s="26"/>
    </row>
    <row r="23" spans="1:19" ht="16.5" customHeight="1" x14ac:dyDescent="0.25">
      <c r="A23" s="9"/>
      <c r="B23" s="51" t="s">
        <v>64</v>
      </c>
      <c r="C23" s="52"/>
      <c r="D23" s="52"/>
      <c r="E23" s="52"/>
      <c r="F23" s="52"/>
      <c r="G23" s="53"/>
      <c r="H23" s="20"/>
      <c r="I23" s="9">
        <v>4</v>
      </c>
      <c r="J23" s="9"/>
      <c r="K23" s="9"/>
      <c r="L23" s="9"/>
      <c r="M23" s="9">
        <f t="shared" si="2"/>
        <v>24.4</v>
      </c>
      <c r="N23" s="9">
        <f t="shared" si="3"/>
        <v>8</v>
      </c>
      <c r="O23" s="9">
        <v>6.1</v>
      </c>
      <c r="P23" s="9">
        <v>2</v>
      </c>
      <c r="Q23" s="9" t="s">
        <v>3</v>
      </c>
      <c r="R23" s="1">
        <v>0</v>
      </c>
      <c r="S23" s="26"/>
    </row>
    <row r="24" spans="1:19" ht="16.5" customHeight="1" x14ac:dyDescent="0.25">
      <c r="A24" s="9"/>
      <c r="B24" s="51" t="s">
        <v>65</v>
      </c>
      <c r="C24" s="52"/>
      <c r="D24" s="52"/>
      <c r="E24" s="52"/>
      <c r="F24" s="52"/>
      <c r="G24" s="53"/>
      <c r="H24" s="20"/>
      <c r="I24" s="9">
        <v>4</v>
      </c>
      <c r="J24" s="9"/>
      <c r="K24" s="9"/>
      <c r="L24" s="9"/>
      <c r="M24" s="9">
        <f t="shared" si="2"/>
        <v>25.2</v>
      </c>
      <c r="N24" s="9">
        <f t="shared" si="3"/>
        <v>8</v>
      </c>
      <c r="O24" s="9">
        <v>6.3</v>
      </c>
      <c r="P24" s="9">
        <v>2</v>
      </c>
      <c r="Q24" s="9" t="s">
        <v>3</v>
      </c>
      <c r="R24" s="1">
        <v>0</v>
      </c>
      <c r="S24" s="26"/>
    </row>
    <row r="25" spans="1:19" ht="16.5" customHeight="1" x14ac:dyDescent="0.25">
      <c r="A25" s="9"/>
      <c r="B25" s="51" t="s">
        <v>66</v>
      </c>
      <c r="C25" s="52"/>
      <c r="D25" s="52"/>
      <c r="E25" s="52"/>
      <c r="F25" s="52"/>
      <c r="G25" s="53"/>
      <c r="H25" s="20"/>
      <c r="I25" s="9">
        <v>1</v>
      </c>
      <c r="J25" s="9"/>
      <c r="K25" s="9"/>
      <c r="L25" s="9"/>
      <c r="M25" s="9">
        <f t="shared" si="2"/>
        <v>7.8</v>
      </c>
      <c r="N25" s="9">
        <f t="shared" si="3"/>
        <v>3</v>
      </c>
      <c r="O25" s="9">
        <v>7.8</v>
      </c>
      <c r="P25" s="9">
        <v>3</v>
      </c>
      <c r="Q25" s="9" t="s">
        <v>6</v>
      </c>
      <c r="R25" s="1">
        <v>0</v>
      </c>
      <c r="S25" s="26"/>
    </row>
    <row r="26" spans="1:19" ht="16.5" customHeight="1" x14ac:dyDescent="0.25">
      <c r="A26" s="9"/>
      <c r="B26" s="51" t="s">
        <v>67</v>
      </c>
      <c r="C26" s="52"/>
      <c r="D26" s="52"/>
      <c r="E26" s="52"/>
      <c r="F26" s="52"/>
      <c r="G26" s="53"/>
      <c r="H26" s="20"/>
      <c r="I26" s="9">
        <v>1</v>
      </c>
      <c r="J26" s="9"/>
      <c r="K26" s="9"/>
      <c r="L26" s="9"/>
      <c r="M26" s="9">
        <f t="shared" si="2"/>
        <v>7.7</v>
      </c>
      <c r="N26" s="9">
        <f t="shared" si="3"/>
        <v>3</v>
      </c>
      <c r="O26" s="9">
        <v>7.7</v>
      </c>
      <c r="P26" s="9">
        <v>3</v>
      </c>
      <c r="Q26" s="9" t="s">
        <v>6</v>
      </c>
      <c r="R26" s="1">
        <v>0</v>
      </c>
      <c r="S26" s="26"/>
    </row>
    <row r="27" spans="1:19" ht="16.5" customHeight="1" x14ac:dyDescent="0.25">
      <c r="A27" s="9"/>
      <c r="B27" s="51" t="s">
        <v>68</v>
      </c>
      <c r="C27" s="52"/>
      <c r="D27" s="52"/>
      <c r="E27" s="52"/>
      <c r="F27" s="52"/>
      <c r="G27" s="53"/>
      <c r="H27" s="20"/>
      <c r="I27" s="9">
        <v>1</v>
      </c>
      <c r="J27" s="9"/>
      <c r="K27" s="9"/>
      <c r="L27" s="9"/>
      <c r="M27" s="9">
        <f t="shared" si="2"/>
        <v>7.3</v>
      </c>
      <c r="N27" s="9">
        <f t="shared" si="3"/>
        <v>3</v>
      </c>
      <c r="O27" s="9">
        <v>7.3</v>
      </c>
      <c r="P27" s="9">
        <v>3</v>
      </c>
      <c r="Q27" s="9" t="s">
        <v>6</v>
      </c>
      <c r="R27" s="1">
        <v>0</v>
      </c>
      <c r="S27" s="26"/>
    </row>
    <row r="28" spans="1:19" ht="16.5" customHeight="1" x14ac:dyDescent="0.25">
      <c r="A28" s="9"/>
      <c r="B28" s="51" t="s">
        <v>69</v>
      </c>
      <c r="C28" s="52"/>
      <c r="D28" s="52"/>
      <c r="E28" s="52"/>
      <c r="F28" s="52"/>
      <c r="G28" s="53"/>
      <c r="H28" s="20"/>
      <c r="I28" s="9">
        <v>1</v>
      </c>
      <c r="J28" s="9"/>
      <c r="K28" s="9"/>
      <c r="L28" s="9"/>
      <c r="M28" s="9">
        <f t="shared" si="2"/>
        <v>7.7</v>
      </c>
      <c r="N28" s="9">
        <f t="shared" si="3"/>
        <v>3</v>
      </c>
      <c r="O28" s="9">
        <v>7.7</v>
      </c>
      <c r="P28" s="9">
        <v>3</v>
      </c>
      <c r="Q28" s="9" t="s">
        <v>6</v>
      </c>
      <c r="R28" s="1">
        <v>0</v>
      </c>
      <c r="S28" s="26"/>
    </row>
    <row r="29" spans="1:19" ht="16.5" hidden="1" customHeight="1" x14ac:dyDescent="0.25">
      <c r="A29" s="21"/>
      <c r="H29" s="21"/>
      <c r="I29" s="21"/>
      <c r="J29" s="21"/>
      <c r="K29" s="21"/>
      <c r="L29" s="21"/>
      <c r="M29" s="9">
        <f t="shared" si="2"/>
        <v>0</v>
      </c>
      <c r="N29" s="9">
        <f t="shared" si="3"/>
        <v>0</v>
      </c>
      <c r="O29" s="21"/>
      <c r="P29" s="21"/>
      <c r="Q29" s="21"/>
      <c r="S29" s="25"/>
    </row>
    <row r="30" spans="1:19" ht="16.5" customHeight="1" x14ac:dyDescent="0.25">
      <c r="A30" s="9"/>
      <c r="B30" s="39" t="s">
        <v>42</v>
      </c>
      <c r="C30" s="40"/>
      <c r="D30" s="40"/>
      <c r="E30" s="40"/>
      <c r="F30" s="40"/>
      <c r="G30" s="41"/>
      <c r="H30" s="23"/>
      <c r="I30" s="24">
        <f>SUM(I22:I29)</f>
        <v>16</v>
      </c>
      <c r="J30" s="9"/>
      <c r="K30" s="9"/>
      <c r="L30" s="9"/>
      <c r="M30" s="9">
        <f t="shared" si="2"/>
        <v>108.16</v>
      </c>
      <c r="N30" s="9">
        <f t="shared" si="3"/>
        <v>40</v>
      </c>
      <c r="O30" s="24">
        <f>ROUND(SUM(M22:M29)/I30,2)</f>
        <v>6.76</v>
      </c>
      <c r="P30" s="24">
        <f>ROUND(SUM(N22:N29)/I30,2)</f>
        <v>2.5</v>
      </c>
      <c r="Q30" s="9"/>
      <c r="S30" s="25"/>
    </row>
    <row r="31" spans="1:19" ht="20.25" customHeight="1" x14ac:dyDescent="0.25">
      <c r="A31" s="27" t="s">
        <v>70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</row>
    <row r="32" spans="1:19" ht="16.5" customHeight="1" x14ac:dyDescent="0.25">
      <c r="A32" s="9"/>
      <c r="B32" s="51" t="s">
        <v>71</v>
      </c>
      <c r="C32" s="52"/>
      <c r="D32" s="52"/>
      <c r="E32" s="52"/>
      <c r="F32" s="52"/>
      <c r="G32" s="53"/>
      <c r="H32" s="20"/>
      <c r="I32" s="9">
        <v>4</v>
      </c>
      <c r="J32" s="9"/>
      <c r="K32" s="9"/>
      <c r="L32" s="9"/>
      <c r="M32" s="9">
        <f t="shared" ref="M32:M41" si="4">I32*O32</f>
        <v>19.2</v>
      </c>
      <c r="N32" s="9">
        <f t="shared" ref="N32:N41" si="5">I32*P32</f>
        <v>4</v>
      </c>
      <c r="O32" s="9">
        <v>4.8</v>
      </c>
      <c r="P32" s="9">
        <v>1</v>
      </c>
      <c r="Q32" s="9" t="s">
        <v>8</v>
      </c>
      <c r="R32" s="1">
        <v>0</v>
      </c>
      <c r="S32" s="26"/>
    </row>
    <row r="33" spans="1:19" ht="16.5" customHeight="1" x14ac:dyDescent="0.25">
      <c r="A33" s="9"/>
      <c r="B33" s="51" t="s">
        <v>72</v>
      </c>
      <c r="C33" s="52"/>
      <c r="D33" s="52"/>
      <c r="E33" s="52"/>
      <c r="F33" s="52"/>
      <c r="G33" s="53"/>
      <c r="H33" s="20"/>
      <c r="I33" s="9">
        <v>4</v>
      </c>
      <c r="J33" s="9"/>
      <c r="K33" s="9"/>
      <c r="L33" s="9"/>
      <c r="M33" s="9">
        <f t="shared" si="4"/>
        <v>28.8</v>
      </c>
      <c r="N33" s="9">
        <f t="shared" si="5"/>
        <v>12</v>
      </c>
      <c r="O33" s="9">
        <v>7.2</v>
      </c>
      <c r="P33" s="9">
        <v>3</v>
      </c>
      <c r="Q33" s="9" t="s">
        <v>6</v>
      </c>
      <c r="R33" s="1">
        <v>0</v>
      </c>
      <c r="S33" s="26"/>
    </row>
    <row r="34" spans="1:19" ht="16.5" customHeight="1" x14ac:dyDescent="0.25">
      <c r="A34" s="9"/>
      <c r="B34" s="51" t="s">
        <v>73</v>
      </c>
      <c r="C34" s="52"/>
      <c r="D34" s="52"/>
      <c r="E34" s="52"/>
      <c r="F34" s="52"/>
      <c r="G34" s="53"/>
      <c r="H34" s="20"/>
      <c r="I34" s="9">
        <v>2</v>
      </c>
      <c r="J34" s="9"/>
      <c r="K34" s="9"/>
      <c r="L34" s="9"/>
      <c r="M34" s="9">
        <f t="shared" si="4"/>
        <v>16.8</v>
      </c>
      <c r="N34" s="9">
        <f t="shared" si="5"/>
        <v>7</v>
      </c>
      <c r="O34" s="9">
        <v>8.4</v>
      </c>
      <c r="P34" s="9">
        <v>3.5</v>
      </c>
      <c r="Q34" s="9" t="s">
        <v>9</v>
      </c>
      <c r="R34" s="1">
        <v>0</v>
      </c>
      <c r="S34" s="26"/>
    </row>
    <row r="35" spans="1:19" ht="16.5" customHeight="1" x14ac:dyDescent="0.25">
      <c r="A35" s="9"/>
      <c r="B35" s="51" t="s">
        <v>74</v>
      </c>
      <c r="C35" s="52"/>
      <c r="D35" s="52"/>
      <c r="E35" s="52"/>
      <c r="F35" s="52"/>
      <c r="G35" s="53"/>
      <c r="H35" s="20"/>
      <c r="I35" s="9">
        <v>2</v>
      </c>
      <c r="J35" s="9"/>
      <c r="K35" s="9"/>
      <c r="L35" s="9"/>
      <c r="M35" s="9">
        <f t="shared" si="4"/>
        <v>14.6</v>
      </c>
      <c r="N35" s="9">
        <f t="shared" si="5"/>
        <v>6</v>
      </c>
      <c r="O35" s="9">
        <v>7.3</v>
      </c>
      <c r="P35" s="9">
        <v>3</v>
      </c>
      <c r="Q35" s="9" t="s">
        <v>6</v>
      </c>
      <c r="R35" s="1">
        <v>0</v>
      </c>
      <c r="S35" s="26"/>
    </row>
    <row r="36" spans="1:19" ht="16.5" customHeight="1" x14ac:dyDescent="0.25">
      <c r="A36" s="9"/>
      <c r="B36" s="51" t="s">
        <v>75</v>
      </c>
      <c r="C36" s="52"/>
      <c r="D36" s="52"/>
      <c r="E36" s="52"/>
      <c r="F36" s="52"/>
      <c r="G36" s="53"/>
      <c r="H36" s="20"/>
      <c r="I36" s="9">
        <v>1</v>
      </c>
      <c r="J36" s="9"/>
      <c r="K36" s="9"/>
      <c r="L36" s="9"/>
      <c r="M36" s="9">
        <f t="shared" si="4"/>
        <v>7.5</v>
      </c>
      <c r="N36" s="9">
        <f t="shared" si="5"/>
        <v>3</v>
      </c>
      <c r="O36" s="9">
        <v>7.5</v>
      </c>
      <c r="P36" s="9">
        <v>3</v>
      </c>
      <c r="Q36" s="9" t="s">
        <v>6</v>
      </c>
      <c r="R36" s="1">
        <v>0</v>
      </c>
      <c r="S36" s="26"/>
    </row>
    <row r="37" spans="1:19" ht="16.5" customHeight="1" x14ac:dyDescent="0.25">
      <c r="A37" s="9"/>
      <c r="B37" s="51" t="s">
        <v>76</v>
      </c>
      <c r="C37" s="52"/>
      <c r="D37" s="52"/>
      <c r="E37" s="52"/>
      <c r="F37" s="52"/>
      <c r="G37" s="53"/>
      <c r="H37" s="20"/>
      <c r="I37" s="9">
        <v>4</v>
      </c>
      <c r="J37" s="9"/>
      <c r="K37" s="9"/>
      <c r="L37" s="9"/>
      <c r="M37" s="9">
        <f t="shared" si="4"/>
        <v>24.8</v>
      </c>
      <c r="N37" s="9">
        <f t="shared" si="5"/>
        <v>8</v>
      </c>
      <c r="O37" s="9">
        <v>6.2</v>
      </c>
      <c r="P37" s="9">
        <v>2</v>
      </c>
      <c r="Q37" s="9" t="s">
        <v>3</v>
      </c>
      <c r="R37" s="1">
        <v>0</v>
      </c>
      <c r="S37" s="26"/>
    </row>
    <row r="38" spans="1:19" ht="16.5" customHeight="1" x14ac:dyDescent="0.25">
      <c r="A38" s="9"/>
      <c r="B38" s="51" t="s">
        <v>77</v>
      </c>
      <c r="C38" s="52"/>
      <c r="D38" s="52"/>
      <c r="E38" s="52"/>
      <c r="F38" s="52"/>
      <c r="G38" s="53"/>
      <c r="H38" s="20"/>
      <c r="I38" s="9">
        <v>1</v>
      </c>
      <c r="J38" s="9"/>
      <c r="K38" s="9"/>
      <c r="L38" s="9"/>
      <c r="M38" s="9">
        <f t="shared" si="4"/>
        <v>6.3</v>
      </c>
      <c r="N38" s="9">
        <f t="shared" si="5"/>
        <v>2</v>
      </c>
      <c r="O38" s="9">
        <v>6.3</v>
      </c>
      <c r="P38" s="9">
        <v>2</v>
      </c>
      <c r="Q38" s="9" t="s">
        <v>3</v>
      </c>
      <c r="R38" s="1">
        <v>0</v>
      </c>
      <c r="S38" s="26"/>
    </row>
    <row r="39" spans="1:19" ht="16.5" customHeight="1" x14ac:dyDescent="0.25">
      <c r="A39" s="9"/>
      <c r="B39" s="51" t="s">
        <v>78</v>
      </c>
      <c r="C39" s="52"/>
      <c r="D39" s="52"/>
      <c r="E39" s="52"/>
      <c r="F39" s="52"/>
      <c r="G39" s="53"/>
      <c r="H39" s="20"/>
      <c r="I39" s="9">
        <v>3</v>
      </c>
      <c r="J39" s="9"/>
      <c r="K39" s="9"/>
      <c r="L39" s="9"/>
      <c r="M39" s="9">
        <f t="shared" si="4"/>
        <v>18.299999999999997</v>
      </c>
      <c r="N39" s="9">
        <f t="shared" si="5"/>
        <v>6</v>
      </c>
      <c r="O39" s="9">
        <v>6.1</v>
      </c>
      <c r="P39" s="9">
        <v>2</v>
      </c>
      <c r="Q39" s="9" t="s">
        <v>3</v>
      </c>
      <c r="R39" s="1">
        <v>0</v>
      </c>
      <c r="S39" s="26"/>
    </row>
    <row r="40" spans="1:19" ht="16.5" hidden="1" customHeight="1" x14ac:dyDescent="0.25">
      <c r="A40" s="21"/>
      <c r="H40" s="21"/>
      <c r="I40" s="21"/>
      <c r="J40" s="21"/>
      <c r="K40" s="21"/>
      <c r="L40" s="21"/>
      <c r="M40" s="9">
        <f t="shared" si="4"/>
        <v>0</v>
      </c>
      <c r="N40" s="9">
        <f t="shared" si="5"/>
        <v>0</v>
      </c>
      <c r="O40" s="21"/>
      <c r="P40" s="21"/>
      <c r="Q40" s="21"/>
      <c r="S40" s="25"/>
    </row>
    <row r="41" spans="1:19" ht="16.5" customHeight="1" x14ac:dyDescent="0.25">
      <c r="A41" s="9"/>
      <c r="B41" s="39" t="s">
        <v>42</v>
      </c>
      <c r="C41" s="40"/>
      <c r="D41" s="40"/>
      <c r="E41" s="40"/>
      <c r="F41" s="40"/>
      <c r="G41" s="41"/>
      <c r="H41" s="23"/>
      <c r="I41" s="24">
        <f>SUM(I32:I40)</f>
        <v>21</v>
      </c>
      <c r="J41" s="9"/>
      <c r="K41" s="9"/>
      <c r="L41" s="9"/>
      <c r="M41" s="9">
        <f t="shared" si="4"/>
        <v>136.29</v>
      </c>
      <c r="N41" s="9">
        <f t="shared" si="5"/>
        <v>48.09</v>
      </c>
      <c r="O41" s="24">
        <f>ROUND(SUM(M32:M40)/I41,2)</f>
        <v>6.49</v>
      </c>
      <c r="P41" s="24">
        <f>ROUND(SUM(N32:N40)/I41,2)</f>
        <v>2.29</v>
      </c>
      <c r="Q41" s="9"/>
      <c r="S41" s="25"/>
    </row>
    <row r="42" spans="1:19" ht="20.25" customHeight="1" x14ac:dyDescent="0.25">
      <c r="A42" s="27" t="s">
        <v>79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</row>
    <row r="43" spans="1:19" ht="16.5" customHeight="1" x14ac:dyDescent="0.25">
      <c r="A43" s="9"/>
      <c r="B43" s="51" t="s">
        <v>80</v>
      </c>
      <c r="C43" s="52"/>
      <c r="D43" s="52"/>
      <c r="E43" s="52"/>
      <c r="F43" s="52"/>
      <c r="G43" s="53"/>
      <c r="H43" s="20"/>
      <c r="I43" s="9">
        <v>3</v>
      </c>
      <c r="J43" s="9"/>
      <c r="K43" s="9"/>
      <c r="L43" s="9"/>
      <c r="M43" s="9">
        <f t="shared" ref="M43:M48" si="6">I43*O43</f>
        <v>21.9</v>
      </c>
      <c r="N43" s="9">
        <f t="shared" ref="N43:N48" si="7">I43*P43</f>
        <v>9</v>
      </c>
      <c r="O43" s="9">
        <v>7.3</v>
      </c>
      <c r="P43" s="9">
        <v>3</v>
      </c>
      <c r="Q43" s="9" t="s">
        <v>6</v>
      </c>
      <c r="R43" s="1">
        <v>0</v>
      </c>
      <c r="S43" s="26"/>
    </row>
    <row r="44" spans="1:19" ht="16.5" customHeight="1" x14ac:dyDescent="0.25">
      <c r="A44" s="9"/>
      <c r="B44" s="51" t="s">
        <v>81</v>
      </c>
      <c r="C44" s="52"/>
      <c r="D44" s="52"/>
      <c r="E44" s="52"/>
      <c r="F44" s="52"/>
      <c r="G44" s="53"/>
      <c r="H44" s="20"/>
      <c r="I44" s="9">
        <v>4</v>
      </c>
      <c r="J44" s="9"/>
      <c r="K44" s="9"/>
      <c r="L44" s="9"/>
      <c r="M44" s="9">
        <f t="shared" si="6"/>
        <v>32</v>
      </c>
      <c r="N44" s="9">
        <f t="shared" si="7"/>
        <v>14</v>
      </c>
      <c r="O44" s="9">
        <v>8</v>
      </c>
      <c r="P44" s="9">
        <v>3.5</v>
      </c>
      <c r="Q44" s="9" t="s">
        <v>9</v>
      </c>
      <c r="R44" s="1">
        <v>0</v>
      </c>
      <c r="S44" s="26"/>
    </row>
    <row r="45" spans="1:19" ht="16.5" customHeight="1" x14ac:dyDescent="0.25">
      <c r="A45" s="9"/>
      <c r="B45" s="51" t="s">
        <v>82</v>
      </c>
      <c r="C45" s="52"/>
      <c r="D45" s="52"/>
      <c r="E45" s="52"/>
      <c r="F45" s="52"/>
      <c r="G45" s="53"/>
      <c r="H45" s="20"/>
      <c r="I45" s="9">
        <v>3</v>
      </c>
      <c r="J45" s="9"/>
      <c r="K45" s="9"/>
      <c r="L45" s="9"/>
      <c r="M45" s="9">
        <f t="shared" si="6"/>
        <v>22.5</v>
      </c>
      <c r="N45" s="9">
        <f t="shared" si="7"/>
        <v>9</v>
      </c>
      <c r="O45" s="9">
        <v>7.5</v>
      </c>
      <c r="P45" s="9">
        <v>3</v>
      </c>
      <c r="Q45" s="9" t="s">
        <v>6</v>
      </c>
      <c r="R45" s="1">
        <v>0</v>
      </c>
      <c r="S45" s="26"/>
    </row>
    <row r="46" spans="1:19" ht="16.5" customHeight="1" x14ac:dyDescent="0.25">
      <c r="A46" s="9"/>
      <c r="B46" s="51" t="s">
        <v>83</v>
      </c>
      <c r="C46" s="52"/>
      <c r="D46" s="52"/>
      <c r="E46" s="52"/>
      <c r="F46" s="52"/>
      <c r="G46" s="53"/>
      <c r="H46" s="20"/>
      <c r="I46" s="9">
        <v>1</v>
      </c>
      <c r="J46" s="9"/>
      <c r="K46" s="9"/>
      <c r="L46" s="9"/>
      <c r="M46" s="9">
        <f t="shared" si="6"/>
        <v>8</v>
      </c>
      <c r="N46" s="9">
        <f t="shared" si="7"/>
        <v>3.5</v>
      </c>
      <c r="O46" s="9">
        <v>8</v>
      </c>
      <c r="P46" s="9">
        <v>3.5</v>
      </c>
      <c r="Q46" s="9" t="s">
        <v>9</v>
      </c>
      <c r="R46" s="1">
        <v>0</v>
      </c>
      <c r="S46" s="26"/>
    </row>
    <row r="47" spans="1:19" ht="16.5" customHeight="1" x14ac:dyDescent="0.25">
      <c r="A47" s="9"/>
      <c r="B47" s="51" t="s">
        <v>84</v>
      </c>
      <c r="C47" s="52"/>
      <c r="D47" s="52"/>
      <c r="E47" s="52"/>
      <c r="F47" s="52"/>
      <c r="G47" s="53"/>
      <c r="H47" s="20"/>
      <c r="I47" s="9">
        <v>2</v>
      </c>
      <c r="J47" s="9"/>
      <c r="K47" s="9"/>
      <c r="L47" s="9"/>
      <c r="M47" s="9">
        <f t="shared" si="6"/>
        <v>14.8</v>
      </c>
      <c r="N47" s="9">
        <f t="shared" si="7"/>
        <v>6</v>
      </c>
      <c r="O47" s="9">
        <v>7.4</v>
      </c>
      <c r="P47" s="9">
        <v>3</v>
      </c>
      <c r="Q47" s="9" t="s">
        <v>6</v>
      </c>
      <c r="R47" s="1">
        <v>0</v>
      </c>
      <c r="S47" s="26"/>
    </row>
    <row r="48" spans="1:19" ht="16.5" customHeight="1" x14ac:dyDescent="0.25">
      <c r="A48" s="9"/>
      <c r="B48" s="51" t="s">
        <v>85</v>
      </c>
      <c r="C48" s="52"/>
      <c r="D48" s="52"/>
      <c r="E48" s="52"/>
      <c r="F48" s="52"/>
      <c r="G48" s="53"/>
      <c r="H48" s="20"/>
      <c r="I48" s="9">
        <v>2</v>
      </c>
      <c r="J48" s="9"/>
      <c r="K48" s="9"/>
      <c r="L48" s="9"/>
      <c r="M48" s="9">
        <f t="shared" si="6"/>
        <v>14.8</v>
      </c>
      <c r="N48" s="9">
        <f t="shared" si="7"/>
        <v>6</v>
      </c>
      <c r="O48" s="9">
        <v>7.4</v>
      </c>
      <c r="P48" s="9">
        <v>3</v>
      </c>
      <c r="Q48" s="9" t="s">
        <v>6</v>
      </c>
      <c r="R48" s="1">
        <v>0</v>
      </c>
      <c r="S48" s="26"/>
    </row>
    <row r="49" spans="1:19" ht="15" customHeight="1" x14ac:dyDescent="0.25">
      <c r="A49" s="36" t="s">
        <v>0</v>
      </c>
      <c r="B49" s="29" t="s">
        <v>1</v>
      </c>
      <c r="C49" s="30"/>
      <c r="D49" s="30"/>
      <c r="E49" s="30"/>
      <c r="F49" s="30"/>
      <c r="G49" s="31"/>
      <c r="H49" s="36" t="s">
        <v>32</v>
      </c>
      <c r="I49" s="36" t="s">
        <v>39</v>
      </c>
      <c r="J49" s="55" t="s">
        <v>2</v>
      </c>
      <c r="K49" s="56"/>
      <c r="L49" s="56"/>
      <c r="M49" s="56"/>
      <c r="N49" s="56"/>
      <c r="O49" s="56"/>
      <c r="P49" s="56"/>
      <c r="Q49" s="57"/>
      <c r="S49" s="36" t="s">
        <v>38</v>
      </c>
    </row>
    <row r="50" spans="1:19" ht="24" customHeight="1" x14ac:dyDescent="0.25">
      <c r="A50" s="37"/>
      <c r="B50" s="32"/>
      <c r="C50" s="33"/>
      <c r="D50" s="33"/>
      <c r="E50" s="33"/>
      <c r="F50" s="33"/>
      <c r="G50" s="34"/>
      <c r="H50" s="37"/>
      <c r="I50" s="37"/>
      <c r="J50" s="7" t="s">
        <v>28</v>
      </c>
      <c r="K50" s="7" t="s">
        <v>29</v>
      </c>
      <c r="L50" s="7" t="s">
        <v>30</v>
      </c>
      <c r="M50" s="7"/>
      <c r="N50" s="7"/>
      <c r="O50" s="6" t="s">
        <v>35</v>
      </c>
      <c r="P50" s="6" t="s">
        <v>36</v>
      </c>
      <c r="Q50" s="6" t="s">
        <v>37</v>
      </c>
      <c r="S50" s="37"/>
    </row>
    <row r="51" spans="1:19" ht="16.5" customHeight="1" x14ac:dyDescent="0.25">
      <c r="A51" s="9"/>
      <c r="B51" s="51" t="s">
        <v>86</v>
      </c>
      <c r="C51" s="52"/>
      <c r="D51" s="52"/>
      <c r="E51" s="52"/>
      <c r="F51" s="52"/>
      <c r="G51" s="53"/>
      <c r="H51" s="20"/>
      <c r="I51" s="9">
        <v>2</v>
      </c>
      <c r="J51" s="9"/>
      <c r="K51" s="9"/>
      <c r="L51" s="9"/>
      <c r="M51" s="9">
        <f>I51*O51</f>
        <v>15.2</v>
      </c>
      <c r="N51" s="9">
        <f>I51*P51</f>
        <v>6</v>
      </c>
      <c r="O51" s="9">
        <v>7.6</v>
      </c>
      <c r="P51" s="9">
        <v>3</v>
      </c>
      <c r="Q51" s="9" t="s">
        <v>6</v>
      </c>
      <c r="R51" s="1">
        <v>0</v>
      </c>
      <c r="S51" s="26"/>
    </row>
    <row r="52" spans="1:19" ht="16.5" customHeight="1" x14ac:dyDescent="0.25">
      <c r="A52" s="9"/>
      <c r="B52" s="51" t="s">
        <v>87</v>
      </c>
      <c r="C52" s="52"/>
      <c r="D52" s="52"/>
      <c r="E52" s="52"/>
      <c r="F52" s="52"/>
      <c r="G52" s="53"/>
      <c r="H52" s="20"/>
      <c r="I52" s="9">
        <v>3</v>
      </c>
      <c r="J52" s="9"/>
      <c r="K52" s="9"/>
      <c r="L52" s="9"/>
      <c r="M52" s="9">
        <f>I52*O52</f>
        <v>23.1</v>
      </c>
      <c r="N52" s="9">
        <f>I52*P52</f>
        <v>9</v>
      </c>
      <c r="O52" s="9">
        <v>7.7</v>
      </c>
      <c r="P52" s="9">
        <v>3</v>
      </c>
      <c r="Q52" s="9" t="s">
        <v>6</v>
      </c>
      <c r="R52" s="1">
        <v>0</v>
      </c>
      <c r="S52" s="26"/>
    </row>
    <row r="53" spans="1:19" ht="16.5" customHeight="1" x14ac:dyDescent="0.25">
      <c r="A53" s="9"/>
      <c r="B53" s="51" t="s">
        <v>88</v>
      </c>
      <c r="C53" s="52"/>
      <c r="D53" s="52"/>
      <c r="E53" s="52"/>
      <c r="F53" s="52"/>
      <c r="G53" s="53"/>
      <c r="H53" s="20"/>
      <c r="I53" s="9">
        <v>3</v>
      </c>
      <c r="J53" s="9"/>
      <c r="K53" s="9"/>
      <c r="L53" s="9"/>
      <c r="M53" s="9">
        <f>I53*O53</f>
        <v>26.700000000000003</v>
      </c>
      <c r="N53" s="9">
        <f>I53*P53</f>
        <v>11.100000000000001</v>
      </c>
      <c r="O53" s="9">
        <v>8.9</v>
      </c>
      <c r="P53" s="9">
        <v>3.7</v>
      </c>
      <c r="Q53" s="9" t="s">
        <v>10</v>
      </c>
      <c r="R53" s="1">
        <v>0</v>
      </c>
      <c r="S53" s="26"/>
    </row>
    <row r="54" spans="1:19" ht="16.5" hidden="1" customHeight="1" x14ac:dyDescent="0.25">
      <c r="A54" s="21"/>
      <c r="H54" s="21"/>
      <c r="I54" s="21"/>
      <c r="J54" s="21"/>
      <c r="K54" s="21"/>
      <c r="L54" s="21"/>
      <c r="M54" s="9">
        <f>I54*O54</f>
        <v>0</v>
      </c>
      <c r="N54" s="9">
        <f>I54*P54</f>
        <v>0</v>
      </c>
      <c r="O54" s="21"/>
      <c r="P54" s="21"/>
      <c r="Q54" s="21"/>
      <c r="S54" s="25"/>
    </row>
    <row r="55" spans="1:19" ht="16.5" customHeight="1" x14ac:dyDescent="0.25">
      <c r="A55" s="9"/>
      <c r="B55" s="39" t="s">
        <v>42</v>
      </c>
      <c r="C55" s="40"/>
      <c r="D55" s="40"/>
      <c r="E55" s="40"/>
      <c r="F55" s="40"/>
      <c r="G55" s="41"/>
      <c r="H55" s="23"/>
      <c r="I55" s="24">
        <f>SUM(I43:I54)</f>
        <v>23</v>
      </c>
      <c r="J55" s="9"/>
      <c r="K55" s="9"/>
      <c r="L55" s="9"/>
      <c r="M55" s="9">
        <f>I55*O55</f>
        <v>178.94</v>
      </c>
      <c r="N55" s="9">
        <f>I55*P55</f>
        <v>73.600000000000009</v>
      </c>
      <c r="O55" s="24">
        <f>ROUND(SUM(M43:M54)/I55,2)</f>
        <v>7.78</v>
      </c>
      <c r="P55" s="24">
        <f>ROUND(SUM(N43:N54)/I55,2)</f>
        <v>3.2</v>
      </c>
      <c r="Q55" s="9"/>
      <c r="S55" s="25"/>
    </row>
    <row r="56" spans="1:19" ht="20.25" customHeight="1" x14ac:dyDescent="0.25">
      <c r="A56" s="27" t="s">
        <v>89</v>
      </c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</row>
    <row r="57" spans="1:19" ht="16.5" customHeight="1" x14ac:dyDescent="0.25">
      <c r="A57" s="9"/>
      <c r="B57" s="51" t="s">
        <v>90</v>
      </c>
      <c r="C57" s="52"/>
      <c r="D57" s="52"/>
      <c r="E57" s="52"/>
      <c r="F57" s="52"/>
      <c r="G57" s="53"/>
      <c r="H57" s="20"/>
      <c r="I57" s="9">
        <v>1</v>
      </c>
      <c r="J57" s="9"/>
      <c r="K57" s="9"/>
      <c r="L57" s="9"/>
      <c r="M57" s="9">
        <f t="shared" ref="M57:M69" si="8">I57*O57</f>
        <v>7.3</v>
      </c>
      <c r="N57" s="9">
        <f t="shared" ref="N57:N69" si="9">I57*P57</f>
        <v>3</v>
      </c>
      <c r="O57" s="9">
        <v>7.3</v>
      </c>
      <c r="P57" s="9">
        <v>3</v>
      </c>
      <c r="Q57" s="9" t="s">
        <v>6</v>
      </c>
      <c r="R57" s="1">
        <v>0</v>
      </c>
      <c r="S57" s="26"/>
    </row>
    <row r="58" spans="1:19" ht="16.5" customHeight="1" x14ac:dyDescent="0.25">
      <c r="A58" s="9"/>
      <c r="B58" s="51" t="s">
        <v>91</v>
      </c>
      <c r="C58" s="52"/>
      <c r="D58" s="52"/>
      <c r="E58" s="52"/>
      <c r="F58" s="52"/>
      <c r="G58" s="53"/>
      <c r="H58" s="20"/>
      <c r="I58" s="9">
        <v>3</v>
      </c>
      <c r="J58" s="9"/>
      <c r="K58" s="9"/>
      <c r="L58" s="9"/>
      <c r="M58" s="9">
        <f t="shared" si="8"/>
        <v>22.5</v>
      </c>
      <c r="N58" s="9">
        <f t="shared" si="9"/>
        <v>9</v>
      </c>
      <c r="O58" s="9">
        <v>7.5</v>
      </c>
      <c r="P58" s="9">
        <v>3</v>
      </c>
      <c r="Q58" s="9" t="s">
        <v>6</v>
      </c>
      <c r="R58" s="1">
        <v>0</v>
      </c>
      <c r="S58" s="26"/>
    </row>
    <row r="59" spans="1:19" ht="16.5" customHeight="1" x14ac:dyDescent="0.25">
      <c r="A59" s="9"/>
      <c r="B59" s="51" t="s">
        <v>92</v>
      </c>
      <c r="C59" s="52"/>
      <c r="D59" s="52"/>
      <c r="E59" s="52"/>
      <c r="F59" s="52"/>
      <c r="G59" s="53"/>
      <c r="H59" s="20"/>
      <c r="I59" s="9">
        <v>1</v>
      </c>
      <c r="J59" s="9"/>
      <c r="K59" s="9"/>
      <c r="L59" s="9"/>
      <c r="M59" s="9">
        <f t="shared" si="8"/>
        <v>9</v>
      </c>
      <c r="N59" s="9">
        <f t="shared" si="9"/>
        <v>4</v>
      </c>
      <c r="O59" s="9">
        <v>9</v>
      </c>
      <c r="P59" s="9">
        <v>4</v>
      </c>
      <c r="Q59" s="9" t="s">
        <v>12</v>
      </c>
      <c r="R59" s="1">
        <v>0</v>
      </c>
      <c r="S59" s="26"/>
    </row>
    <row r="60" spans="1:19" ht="16.5" customHeight="1" x14ac:dyDescent="0.25">
      <c r="A60" s="9"/>
      <c r="B60" s="51" t="s">
        <v>93</v>
      </c>
      <c r="C60" s="52"/>
      <c r="D60" s="52"/>
      <c r="E60" s="52"/>
      <c r="F60" s="52"/>
      <c r="G60" s="53"/>
      <c r="H60" s="20"/>
      <c r="I60" s="9">
        <v>2</v>
      </c>
      <c r="J60" s="9"/>
      <c r="K60" s="9"/>
      <c r="L60" s="9"/>
      <c r="M60" s="9">
        <f t="shared" si="8"/>
        <v>14</v>
      </c>
      <c r="N60" s="9">
        <f t="shared" si="9"/>
        <v>6</v>
      </c>
      <c r="O60" s="9">
        <v>7</v>
      </c>
      <c r="P60" s="9">
        <v>3</v>
      </c>
      <c r="Q60" s="9" t="s">
        <v>6</v>
      </c>
      <c r="R60" s="1">
        <v>0</v>
      </c>
      <c r="S60" s="26"/>
    </row>
    <row r="61" spans="1:19" ht="16.5" customHeight="1" x14ac:dyDescent="0.25">
      <c r="A61" s="9"/>
      <c r="B61" s="51" t="s">
        <v>94</v>
      </c>
      <c r="C61" s="52"/>
      <c r="D61" s="52"/>
      <c r="E61" s="52"/>
      <c r="F61" s="52"/>
      <c r="G61" s="53"/>
      <c r="H61" s="20"/>
      <c r="I61" s="9">
        <v>1</v>
      </c>
      <c r="J61" s="9"/>
      <c r="K61" s="9"/>
      <c r="L61" s="9"/>
      <c r="M61" s="9">
        <f t="shared" si="8"/>
        <v>8</v>
      </c>
      <c r="N61" s="9">
        <f t="shared" si="9"/>
        <v>3.5</v>
      </c>
      <c r="O61" s="9">
        <v>8</v>
      </c>
      <c r="P61" s="9">
        <v>3.5</v>
      </c>
      <c r="Q61" s="9" t="s">
        <v>9</v>
      </c>
      <c r="R61" s="1">
        <v>0</v>
      </c>
      <c r="S61" s="26"/>
    </row>
    <row r="62" spans="1:19" ht="16.5" customHeight="1" x14ac:dyDescent="0.25">
      <c r="A62" s="9"/>
      <c r="B62" s="51" t="s">
        <v>95</v>
      </c>
      <c r="C62" s="52"/>
      <c r="D62" s="52"/>
      <c r="E62" s="52"/>
      <c r="F62" s="52"/>
      <c r="G62" s="53"/>
      <c r="H62" s="20"/>
      <c r="I62" s="9">
        <v>2</v>
      </c>
      <c r="J62" s="9"/>
      <c r="K62" s="9"/>
      <c r="L62" s="9"/>
      <c r="M62" s="9">
        <f t="shared" si="8"/>
        <v>14</v>
      </c>
      <c r="N62" s="9">
        <f t="shared" si="9"/>
        <v>6</v>
      </c>
      <c r="O62" s="9">
        <v>7</v>
      </c>
      <c r="P62" s="9">
        <v>3</v>
      </c>
      <c r="Q62" s="9" t="s">
        <v>6</v>
      </c>
      <c r="R62" s="1">
        <v>0</v>
      </c>
      <c r="S62" s="26"/>
    </row>
    <row r="63" spans="1:19" ht="16.5" customHeight="1" x14ac:dyDescent="0.25">
      <c r="A63" s="9"/>
      <c r="B63" s="51" t="s">
        <v>96</v>
      </c>
      <c r="C63" s="52"/>
      <c r="D63" s="52"/>
      <c r="E63" s="52"/>
      <c r="F63" s="52"/>
      <c r="G63" s="53"/>
      <c r="H63" s="20"/>
      <c r="I63" s="9">
        <v>2</v>
      </c>
      <c r="J63" s="9"/>
      <c r="K63" s="9"/>
      <c r="L63" s="9"/>
      <c r="M63" s="9">
        <f t="shared" si="8"/>
        <v>14.8</v>
      </c>
      <c r="N63" s="9">
        <f t="shared" si="9"/>
        <v>6</v>
      </c>
      <c r="O63" s="9">
        <v>7.4</v>
      </c>
      <c r="P63" s="9">
        <v>3</v>
      </c>
      <c r="Q63" s="9" t="s">
        <v>6</v>
      </c>
      <c r="R63" s="1">
        <v>0</v>
      </c>
      <c r="S63" s="26"/>
    </row>
    <row r="64" spans="1:19" ht="16.5" customHeight="1" x14ac:dyDescent="0.25">
      <c r="A64" s="9"/>
      <c r="B64" s="51" t="s">
        <v>97</v>
      </c>
      <c r="C64" s="52"/>
      <c r="D64" s="52"/>
      <c r="E64" s="52"/>
      <c r="F64" s="52"/>
      <c r="G64" s="53"/>
      <c r="H64" s="20"/>
      <c r="I64" s="9">
        <v>3</v>
      </c>
      <c r="J64" s="9"/>
      <c r="K64" s="9"/>
      <c r="L64" s="9"/>
      <c r="M64" s="9">
        <f t="shared" si="8"/>
        <v>18.600000000000001</v>
      </c>
      <c r="N64" s="9">
        <f t="shared" si="9"/>
        <v>6</v>
      </c>
      <c r="O64" s="9">
        <v>6.2</v>
      </c>
      <c r="P64" s="9">
        <v>2</v>
      </c>
      <c r="Q64" s="9" t="s">
        <v>3</v>
      </c>
      <c r="R64" s="1">
        <v>0</v>
      </c>
      <c r="S64" s="26"/>
    </row>
    <row r="65" spans="1:19" ht="16.5" customHeight="1" x14ac:dyDescent="0.25">
      <c r="A65" s="9"/>
      <c r="B65" s="51" t="s">
        <v>98</v>
      </c>
      <c r="C65" s="52"/>
      <c r="D65" s="52"/>
      <c r="E65" s="52"/>
      <c r="F65" s="52"/>
      <c r="G65" s="53"/>
      <c r="H65" s="20"/>
      <c r="I65" s="9">
        <v>4</v>
      </c>
      <c r="J65" s="9"/>
      <c r="K65" s="9"/>
      <c r="L65" s="9"/>
      <c r="M65" s="9">
        <f t="shared" si="8"/>
        <v>27.2</v>
      </c>
      <c r="N65" s="9">
        <f t="shared" si="9"/>
        <v>10</v>
      </c>
      <c r="O65" s="9">
        <v>6.8</v>
      </c>
      <c r="P65" s="9">
        <v>2.5</v>
      </c>
      <c r="Q65" s="9" t="s">
        <v>5</v>
      </c>
      <c r="R65" s="1">
        <v>0</v>
      </c>
      <c r="S65" s="26"/>
    </row>
    <row r="66" spans="1:19" ht="16.5" customHeight="1" x14ac:dyDescent="0.25">
      <c r="A66" s="9"/>
      <c r="B66" s="51" t="s">
        <v>99</v>
      </c>
      <c r="C66" s="52"/>
      <c r="D66" s="52"/>
      <c r="E66" s="52"/>
      <c r="F66" s="52"/>
      <c r="G66" s="53"/>
      <c r="H66" s="20"/>
      <c r="I66" s="9">
        <v>1</v>
      </c>
      <c r="J66" s="9"/>
      <c r="K66" s="9"/>
      <c r="L66" s="9"/>
      <c r="M66" s="9">
        <f t="shared" si="8"/>
        <v>7.7</v>
      </c>
      <c r="N66" s="9">
        <f t="shared" si="9"/>
        <v>3</v>
      </c>
      <c r="O66" s="9">
        <v>7.7</v>
      </c>
      <c r="P66" s="9">
        <v>3</v>
      </c>
      <c r="Q66" s="9" t="s">
        <v>6</v>
      </c>
      <c r="R66" s="1">
        <v>0</v>
      </c>
      <c r="S66" s="26"/>
    </row>
    <row r="67" spans="1:19" ht="16.5" customHeight="1" x14ac:dyDescent="0.25">
      <c r="A67" s="9"/>
      <c r="B67" s="51" t="s">
        <v>100</v>
      </c>
      <c r="C67" s="52"/>
      <c r="D67" s="52"/>
      <c r="E67" s="52"/>
      <c r="F67" s="52"/>
      <c r="G67" s="53"/>
      <c r="H67" s="20"/>
      <c r="I67" s="9">
        <v>2</v>
      </c>
      <c r="J67" s="9"/>
      <c r="K67" s="9"/>
      <c r="L67" s="9"/>
      <c r="M67" s="9">
        <f t="shared" si="8"/>
        <v>17</v>
      </c>
      <c r="N67" s="9">
        <f t="shared" si="9"/>
        <v>7.4</v>
      </c>
      <c r="O67" s="9">
        <v>8.5</v>
      </c>
      <c r="P67" s="9">
        <v>3.7</v>
      </c>
      <c r="Q67" s="9" t="s">
        <v>10</v>
      </c>
      <c r="R67" s="1">
        <v>0</v>
      </c>
      <c r="S67" s="26"/>
    </row>
    <row r="68" spans="1:19" ht="16.5" hidden="1" customHeight="1" x14ac:dyDescent="0.25">
      <c r="A68" s="21"/>
      <c r="H68" s="21"/>
      <c r="I68" s="21"/>
      <c r="J68" s="21"/>
      <c r="K68" s="21"/>
      <c r="L68" s="21"/>
      <c r="M68" s="9">
        <f t="shared" si="8"/>
        <v>0</v>
      </c>
      <c r="N68" s="9">
        <f t="shared" si="9"/>
        <v>0</v>
      </c>
      <c r="O68" s="21"/>
      <c r="P68" s="21"/>
      <c r="Q68" s="21"/>
      <c r="S68" s="25"/>
    </row>
    <row r="69" spans="1:19" ht="16.5" customHeight="1" x14ac:dyDescent="0.25">
      <c r="A69" s="9"/>
      <c r="B69" s="39" t="s">
        <v>42</v>
      </c>
      <c r="C69" s="40"/>
      <c r="D69" s="40"/>
      <c r="E69" s="40"/>
      <c r="F69" s="40"/>
      <c r="G69" s="41"/>
      <c r="H69" s="23"/>
      <c r="I69" s="24">
        <f>SUM(I57:I68)</f>
        <v>22</v>
      </c>
      <c r="J69" s="9"/>
      <c r="K69" s="9"/>
      <c r="L69" s="9"/>
      <c r="M69" s="9">
        <f t="shared" si="8"/>
        <v>160.16</v>
      </c>
      <c r="N69" s="9">
        <f t="shared" si="9"/>
        <v>63.8</v>
      </c>
      <c r="O69" s="24">
        <f>ROUND(SUM(M57:M68)/I69,2)</f>
        <v>7.28</v>
      </c>
      <c r="P69" s="24">
        <f>ROUND(SUM(N57:N68)/I69,2)</f>
        <v>2.9</v>
      </c>
      <c r="Q69" s="9"/>
      <c r="S69" s="25"/>
    </row>
    <row r="70" spans="1:19" ht="20.25" customHeight="1" x14ac:dyDescent="0.25">
      <c r="A70" s="27" t="s">
        <v>101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</row>
    <row r="71" spans="1:19" ht="16.5" customHeight="1" x14ac:dyDescent="0.25">
      <c r="A71" s="9"/>
      <c r="B71" s="51" t="s">
        <v>102</v>
      </c>
      <c r="C71" s="52"/>
      <c r="D71" s="52"/>
      <c r="E71" s="52"/>
      <c r="F71" s="52"/>
      <c r="G71" s="53"/>
      <c r="H71" s="20"/>
      <c r="I71" s="9">
        <v>1</v>
      </c>
      <c r="J71" s="9"/>
      <c r="K71" s="9"/>
      <c r="L71" s="9"/>
      <c r="M71" s="9">
        <f t="shared" ref="M71:M84" si="10">I71*O71</f>
        <v>7.9</v>
      </c>
      <c r="N71" s="9">
        <f t="shared" ref="N71:N84" si="11">I71*P71</f>
        <v>3</v>
      </c>
      <c r="O71" s="9">
        <v>7.9</v>
      </c>
      <c r="P71" s="9">
        <v>3</v>
      </c>
      <c r="Q71" s="9" t="s">
        <v>6</v>
      </c>
      <c r="R71" s="1">
        <v>0</v>
      </c>
      <c r="S71" s="26"/>
    </row>
    <row r="72" spans="1:19" ht="16.5" customHeight="1" x14ac:dyDescent="0.25">
      <c r="A72" s="9"/>
      <c r="B72" s="51" t="s">
        <v>103</v>
      </c>
      <c r="C72" s="52"/>
      <c r="D72" s="52"/>
      <c r="E72" s="52"/>
      <c r="F72" s="52"/>
      <c r="G72" s="53"/>
      <c r="H72" s="20"/>
      <c r="I72" s="9">
        <v>2</v>
      </c>
      <c r="J72" s="9"/>
      <c r="K72" s="9"/>
      <c r="L72" s="9"/>
      <c r="M72" s="9">
        <f t="shared" si="10"/>
        <v>14.6</v>
      </c>
      <c r="N72" s="9">
        <f t="shared" si="11"/>
        <v>6</v>
      </c>
      <c r="O72" s="9">
        <v>7.3</v>
      </c>
      <c r="P72" s="9">
        <v>3</v>
      </c>
      <c r="Q72" s="9" t="s">
        <v>6</v>
      </c>
      <c r="R72" s="1">
        <v>0</v>
      </c>
      <c r="S72" s="26"/>
    </row>
    <row r="73" spans="1:19" ht="16.5" customHeight="1" x14ac:dyDescent="0.25">
      <c r="A73" s="9"/>
      <c r="B73" s="51" t="s">
        <v>104</v>
      </c>
      <c r="C73" s="52"/>
      <c r="D73" s="52"/>
      <c r="E73" s="52"/>
      <c r="F73" s="52"/>
      <c r="G73" s="53"/>
      <c r="H73" s="20"/>
      <c r="I73" s="9">
        <v>4</v>
      </c>
      <c r="J73" s="9"/>
      <c r="K73" s="9"/>
      <c r="L73" s="9"/>
      <c r="M73" s="9">
        <f t="shared" si="10"/>
        <v>31.2</v>
      </c>
      <c r="N73" s="9">
        <f t="shared" si="11"/>
        <v>12</v>
      </c>
      <c r="O73" s="9">
        <v>7.8</v>
      </c>
      <c r="P73" s="9">
        <v>3</v>
      </c>
      <c r="Q73" s="9" t="s">
        <v>6</v>
      </c>
      <c r="R73" s="1">
        <v>0</v>
      </c>
      <c r="S73" s="26"/>
    </row>
    <row r="74" spans="1:19" ht="16.5" customHeight="1" x14ac:dyDescent="0.25">
      <c r="A74" s="9"/>
      <c r="B74" s="51" t="s">
        <v>105</v>
      </c>
      <c r="C74" s="52"/>
      <c r="D74" s="52"/>
      <c r="E74" s="52"/>
      <c r="F74" s="52"/>
      <c r="G74" s="53"/>
      <c r="H74" s="20"/>
      <c r="I74" s="9">
        <v>3</v>
      </c>
      <c r="J74" s="9"/>
      <c r="K74" s="9"/>
      <c r="L74" s="9"/>
      <c r="M74" s="9">
        <f t="shared" si="10"/>
        <v>23.4</v>
      </c>
      <c r="N74" s="9">
        <f t="shared" si="11"/>
        <v>9</v>
      </c>
      <c r="O74" s="9">
        <v>7.8</v>
      </c>
      <c r="P74" s="9">
        <v>3</v>
      </c>
      <c r="Q74" s="9" t="s">
        <v>6</v>
      </c>
      <c r="R74" s="1">
        <v>0</v>
      </c>
      <c r="S74" s="26"/>
    </row>
    <row r="75" spans="1:19" ht="16.5" customHeight="1" x14ac:dyDescent="0.25">
      <c r="A75" s="9"/>
      <c r="B75" s="51" t="s">
        <v>106</v>
      </c>
      <c r="C75" s="52"/>
      <c r="D75" s="52"/>
      <c r="E75" s="52"/>
      <c r="F75" s="52"/>
      <c r="G75" s="53"/>
      <c r="H75" s="20"/>
      <c r="I75" s="9">
        <v>2</v>
      </c>
      <c r="J75" s="9"/>
      <c r="K75" s="9"/>
      <c r="L75" s="9"/>
      <c r="M75" s="9">
        <f t="shared" si="10"/>
        <v>15.8</v>
      </c>
      <c r="N75" s="9">
        <f t="shared" si="11"/>
        <v>6</v>
      </c>
      <c r="O75" s="9">
        <v>7.9</v>
      </c>
      <c r="P75" s="9">
        <v>3</v>
      </c>
      <c r="Q75" s="9" t="s">
        <v>6</v>
      </c>
      <c r="R75" s="1">
        <v>0</v>
      </c>
      <c r="S75" s="26"/>
    </row>
    <row r="76" spans="1:19" ht="16.5" customHeight="1" x14ac:dyDescent="0.25">
      <c r="A76" s="9"/>
      <c r="B76" s="51" t="s">
        <v>107</v>
      </c>
      <c r="C76" s="52"/>
      <c r="D76" s="52"/>
      <c r="E76" s="52"/>
      <c r="F76" s="52"/>
      <c r="G76" s="53"/>
      <c r="H76" s="20"/>
      <c r="I76" s="9">
        <v>2</v>
      </c>
      <c r="J76" s="9"/>
      <c r="K76" s="9"/>
      <c r="L76" s="9"/>
      <c r="M76" s="9">
        <f t="shared" si="10"/>
        <v>14.6</v>
      </c>
      <c r="N76" s="9">
        <f t="shared" si="11"/>
        <v>6</v>
      </c>
      <c r="O76" s="9">
        <v>7.3</v>
      </c>
      <c r="P76" s="9">
        <v>3</v>
      </c>
      <c r="Q76" s="9" t="s">
        <v>6</v>
      </c>
      <c r="R76" s="1">
        <v>0</v>
      </c>
      <c r="S76" s="26"/>
    </row>
    <row r="77" spans="1:19" ht="16.5" customHeight="1" x14ac:dyDescent="0.25">
      <c r="A77" s="9"/>
      <c r="B77" s="51" t="s">
        <v>108</v>
      </c>
      <c r="C77" s="52"/>
      <c r="D77" s="52"/>
      <c r="E77" s="52"/>
      <c r="F77" s="52"/>
      <c r="G77" s="53"/>
      <c r="H77" s="20"/>
      <c r="I77" s="9">
        <v>4</v>
      </c>
      <c r="J77" s="9"/>
      <c r="K77" s="9"/>
      <c r="L77" s="9"/>
      <c r="M77" s="9">
        <f t="shared" si="10"/>
        <v>30.8</v>
      </c>
      <c r="N77" s="9">
        <f t="shared" si="11"/>
        <v>12</v>
      </c>
      <c r="O77" s="9">
        <v>7.7</v>
      </c>
      <c r="P77" s="9">
        <v>3</v>
      </c>
      <c r="Q77" s="9" t="s">
        <v>6</v>
      </c>
      <c r="R77" s="1">
        <v>0</v>
      </c>
      <c r="S77" s="26"/>
    </row>
    <row r="78" spans="1:19" ht="16.5" customHeight="1" x14ac:dyDescent="0.25">
      <c r="A78" s="9"/>
      <c r="B78" s="51" t="s">
        <v>109</v>
      </c>
      <c r="C78" s="52"/>
      <c r="D78" s="52"/>
      <c r="E78" s="52"/>
      <c r="F78" s="52"/>
      <c r="G78" s="53"/>
      <c r="H78" s="20"/>
      <c r="I78" s="9">
        <v>2</v>
      </c>
      <c r="J78" s="9"/>
      <c r="K78" s="9"/>
      <c r="L78" s="9"/>
      <c r="M78" s="9">
        <f t="shared" si="10"/>
        <v>14.4</v>
      </c>
      <c r="N78" s="9">
        <f t="shared" si="11"/>
        <v>6</v>
      </c>
      <c r="O78" s="9">
        <v>7.2</v>
      </c>
      <c r="P78" s="9">
        <v>3</v>
      </c>
      <c r="Q78" s="9" t="s">
        <v>6</v>
      </c>
      <c r="R78" s="1">
        <v>0</v>
      </c>
      <c r="S78" s="26"/>
    </row>
    <row r="79" spans="1:19" ht="16.5" customHeight="1" x14ac:dyDescent="0.25">
      <c r="A79" s="9"/>
      <c r="B79" s="51" t="s">
        <v>110</v>
      </c>
      <c r="C79" s="52"/>
      <c r="D79" s="52"/>
      <c r="E79" s="52"/>
      <c r="F79" s="52"/>
      <c r="G79" s="53"/>
      <c r="H79" s="20"/>
      <c r="I79" s="9">
        <v>2</v>
      </c>
      <c r="J79" s="9"/>
      <c r="K79" s="9"/>
      <c r="L79" s="9"/>
      <c r="M79" s="9">
        <f t="shared" si="10"/>
        <v>16.2</v>
      </c>
      <c r="N79" s="9">
        <f t="shared" si="11"/>
        <v>7</v>
      </c>
      <c r="O79" s="9">
        <v>8.1</v>
      </c>
      <c r="P79" s="9">
        <v>3.5</v>
      </c>
      <c r="Q79" s="9" t="s">
        <v>9</v>
      </c>
      <c r="R79" s="1">
        <v>0</v>
      </c>
      <c r="S79" s="26"/>
    </row>
    <row r="80" spans="1:19" ht="16.5" customHeight="1" x14ac:dyDescent="0.25">
      <c r="A80" s="9"/>
      <c r="B80" s="51" t="s">
        <v>111</v>
      </c>
      <c r="C80" s="52"/>
      <c r="D80" s="52"/>
      <c r="E80" s="52"/>
      <c r="F80" s="52"/>
      <c r="G80" s="53"/>
      <c r="H80" s="20"/>
      <c r="I80" s="9">
        <v>4</v>
      </c>
      <c r="J80" s="9"/>
      <c r="K80" s="9"/>
      <c r="L80" s="9"/>
      <c r="M80" s="9">
        <f t="shared" si="10"/>
        <v>32.4</v>
      </c>
      <c r="N80" s="9">
        <f t="shared" si="11"/>
        <v>14</v>
      </c>
      <c r="O80" s="9">
        <v>8.1</v>
      </c>
      <c r="P80" s="9">
        <v>3.5</v>
      </c>
      <c r="Q80" s="9" t="s">
        <v>9</v>
      </c>
      <c r="R80" s="1">
        <v>0</v>
      </c>
      <c r="S80" s="26"/>
    </row>
    <row r="81" spans="1:19" ht="16.5" customHeight="1" x14ac:dyDescent="0.25">
      <c r="A81" s="9"/>
      <c r="B81" s="51" t="s">
        <v>112</v>
      </c>
      <c r="C81" s="52"/>
      <c r="D81" s="52"/>
      <c r="E81" s="52"/>
      <c r="F81" s="52"/>
      <c r="G81" s="53"/>
      <c r="H81" s="20"/>
      <c r="I81" s="9">
        <v>2</v>
      </c>
      <c r="J81" s="9"/>
      <c r="K81" s="9"/>
      <c r="L81" s="9"/>
      <c r="M81" s="9">
        <f t="shared" si="10"/>
        <v>14</v>
      </c>
      <c r="N81" s="9">
        <f t="shared" si="11"/>
        <v>6</v>
      </c>
      <c r="O81" s="9">
        <v>7</v>
      </c>
      <c r="P81" s="9">
        <v>3</v>
      </c>
      <c r="Q81" s="9" t="s">
        <v>6</v>
      </c>
      <c r="R81" s="1">
        <v>0</v>
      </c>
      <c r="S81" s="26"/>
    </row>
    <row r="82" spans="1:19" ht="16.5" customHeight="1" x14ac:dyDescent="0.25">
      <c r="A82" s="9"/>
      <c r="B82" s="51" t="s">
        <v>113</v>
      </c>
      <c r="C82" s="52"/>
      <c r="D82" s="52"/>
      <c r="E82" s="52"/>
      <c r="F82" s="52"/>
      <c r="G82" s="53"/>
      <c r="H82" s="20"/>
      <c r="I82" s="9">
        <v>1</v>
      </c>
      <c r="J82" s="9"/>
      <c r="K82" s="9"/>
      <c r="L82" s="9"/>
      <c r="M82" s="9">
        <f t="shared" si="10"/>
        <v>7.4</v>
      </c>
      <c r="N82" s="9">
        <f t="shared" si="11"/>
        <v>3</v>
      </c>
      <c r="O82" s="9">
        <v>7.4</v>
      </c>
      <c r="P82" s="9">
        <v>3</v>
      </c>
      <c r="Q82" s="9" t="s">
        <v>6</v>
      </c>
      <c r="R82" s="1">
        <v>0</v>
      </c>
      <c r="S82" s="26"/>
    </row>
    <row r="83" spans="1:19" ht="16.5" hidden="1" customHeight="1" x14ac:dyDescent="0.25">
      <c r="A83" s="21"/>
      <c r="H83" s="21"/>
      <c r="I83" s="21"/>
      <c r="J83" s="21"/>
      <c r="K83" s="21"/>
      <c r="L83" s="21"/>
      <c r="M83" s="9">
        <f t="shared" si="10"/>
        <v>0</v>
      </c>
      <c r="N83" s="9">
        <f t="shared" si="11"/>
        <v>0</v>
      </c>
      <c r="O83" s="21"/>
      <c r="P83" s="21"/>
      <c r="Q83" s="21"/>
      <c r="S83" s="25"/>
    </row>
    <row r="84" spans="1:19" ht="16.5" customHeight="1" x14ac:dyDescent="0.25">
      <c r="A84" s="9"/>
      <c r="B84" s="39" t="s">
        <v>42</v>
      </c>
      <c r="C84" s="40"/>
      <c r="D84" s="40"/>
      <c r="E84" s="40"/>
      <c r="F84" s="40"/>
      <c r="G84" s="41"/>
      <c r="H84" s="23"/>
      <c r="I84" s="24">
        <f>SUM(I71:I83)</f>
        <v>29</v>
      </c>
      <c r="J84" s="9"/>
      <c r="K84" s="9"/>
      <c r="L84" s="9"/>
      <c r="M84" s="9">
        <f t="shared" si="10"/>
        <v>222.72</v>
      </c>
      <c r="N84" s="9">
        <f t="shared" si="11"/>
        <v>89.9</v>
      </c>
      <c r="O84" s="24">
        <f>ROUND(SUM(M71:M83)/I84,2)</f>
        <v>7.68</v>
      </c>
      <c r="P84" s="24">
        <f>ROUND(SUM(N71:N83)/I84,2)</f>
        <v>3.1</v>
      </c>
      <c r="Q84" s="9"/>
      <c r="S84" s="25"/>
    </row>
    <row r="85" spans="1:19" ht="20.25" customHeight="1" x14ac:dyDescent="0.25">
      <c r="A85" s="27" t="s">
        <v>114</v>
      </c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</row>
    <row r="86" spans="1:19" ht="16.5" customHeight="1" x14ac:dyDescent="0.25">
      <c r="A86" s="9"/>
      <c r="B86" s="51" t="s">
        <v>115</v>
      </c>
      <c r="C86" s="52"/>
      <c r="D86" s="52"/>
      <c r="E86" s="52"/>
      <c r="F86" s="52"/>
      <c r="G86" s="53"/>
      <c r="H86" s="20"/>
      <c r="I86" s="9">
        <v>2</v>
      </c>
      <c r="J86" s="9"/>
      <c r="K86" s="9"/>
      <c r="L86" s="9"/>
      <c r="M86" s="9">
        <f t="shared" ref="M86:M96" si="12">I86*O86</f>
        <v>0</v>
      </c>
      <c r="N86" s="9">
        <f t="shared" ref="N86:N96" si="13">I86*P86</f>
        <v>0</v>
      </c>
      <c r="O86" s="9"/>
      <c r="P86" s="9"/>
      <c r="Q86" s="9"/>
      <c r="R86" s="1">
        <v>0</v>
      </c>
      <c r="S86" s="26"/>
    </row>
    <row r="87" spans="1:19" ht="16.5" customHeight="1" x14ac:dyDescent="0.25">
      <c r="A87" s="9"/>
      <c r="B87" s="51" t="s">
        <v>116</v>
      </c>
      <c r="C87" s="52"/>
      <c r="D87" s="52"/>
      <c r="E87" s="52"/>
      <c r="F87" s="52"/>
      <c r="G87" s="53"/>
      <c r="H87" s="20"/>
      <c r="I87" s="9">
        <v>3</v>
      </c>
      <c r="J87" s="9"/>
      <c r="K87" s="9"/>
      <c r="L87" s="9"/>
      <c r="M87" s="9">
        <f t="shared" si="12"/>
        <v>20.399999999999999</v>
      </c>
      <c r="N87" s="9">
        <f t="shared" si="13"/>
        <v>7.5</v>
      </c>
      <c r="O87" s="9">
        <v>6.8</v>
      </c>
      <c r="P87" s="9">
        <v>2.5</v>
      </c>
      <c r="Q87" s="9" t="s">
        <v>5</v>
      </c>
      <c r="R87" s="1">
        <v>0</v>
      </c>
      <c r="S87" s="26"/>
    </row>
    <row r="88" spans="1:19" ht="16.5" customHeight="1" x14ac:dyDescent="0.25">
      <c r="A88" s="9"/>
      <c r="B88" s="51" t="s">
        <v>117</v>
      </c>
      <c r="C88" s="52"/>
      <c r="D88" s="52"/>
      <c r="E88" s="52"/>
      <c r="F88" s="52"/>
      <c r="G88" s="53"/>
      <c r="H88" s="20"/>
      <c r="I88" s="9">
        <v>3</v>
      </c>
      <c r="J88" s="9"/>
      <c r="K88" s="9"/>
      <c r="L88" s="9"/>
      <c r="M88" s="9">
        <f t="shared" si="12"/>
        <v>0</v>
      </c>
      <c r="N88" s="9">
        <f t="shared" si="13"/>
        <v>0</v>
      </c>
      <c r="O88" s="9"/>
      <c r="P88" s="9"/>
      <c r="Q88" s="9"/>
      <c r="R88" s="1">
        <v>0</v>
      </c>
      <c r="S88" s="26"/>
    </row>
    <row r="89" spans="1:19" ht="16.5" customHeight="1" x14ac:dyDescent="0.25">
      <c r="A89" s="9"/>
      <c r="B89" s="51" t="s">
        <v>118</v>
      </c>
      <c r="C89" s="52"/>
      <c r="D89" s="52"/>
      <c r="E89" s="52"/>
      <c r="F89" s="52"/>
      <c r="G89" s="53"/>
      <c r="H89" s="20"/>
      <c r="I89" s="9">
        <v>1</v>
      </c>
      <c r="J89" s="9"/>
      <c r="K89" s="9"/>
      <c r="L89" s="9"/>
      <c r="M89" s="9">
        <f t="shared" si="12"/>
        <v>6.9</v>
      </c>
      <c r="N89" s="9">
        <f t="shared" si="13"/>
        <v>2.5</v>
      </c>
      <c r="O89" s="9">
        <v>6.9</v>
      </c>
      <c r="P89" s="9">
        <v>2.5</v>
      </c>
      <c r="Q89" s="9" t="s">
        <v>5</v>
      </c>
      <c r="R89" s="1">
        <v>0</v>
      </c>
      <c r="S89" s="26"/>
    </row>
    <row r="90" spans="1:19" ht="16.5" customHeight="1" x14ac:dyDescent="0.25">
      <c r="A90" s="9"/>
      <c r="B90" s="51" t="s">
        <v>119</v>
      </c>
      <c r="C90" s="52"/>
      <c r="D90" s="52"/>
      <c r="E90" s="52"/>
      <c r="F90" s="52"/>
      <c r="G90" s="53"/>
      <c r="H90" s="20"/>
      <c r="I90" s="9">
        <v>4</v>
      </c>
      <c r="J90" s="9"/>
      <c r="K90" s="9"/>
      <c r="L90" s="9"/>
      <c r="M90" s="9">
        <f t="shared" si="12"/>
        <v>0</v>
      </c>
      <c r="N90" s="9">
        <f t="shared" si="13"/>
        <v>0</v>
      </c>
      <c r="O90" s="9"/>
      <c r="P90" s="9"/>
      <c r="Q90" s="9"/>
      <c r="R90" s="1">
        <v>0</v>
      </c>
      <c r="S90" s="26"/>
    </row>
    <row r="91" spans="1:19" ht="16.5" customHeight="1" x14ac:dyDescent="0.25">
      <c r="A91" s="9"/>
      <c r="B91" s="51" t="s">
        <v>120</v>
      </c>
      <c r="C91" s="52"/>
      <c r="D91" s="52"/>
      <c r="E91" s="52"/>
      <c r="F91" s="52"/>
      <c r="G91" s="53"/>
      <c r="H91" s="20"/>
      <c r="I91" s="9">
        <v>3</v>
      </c>
      <c r="J91" s="9"/>
      <c r="K91" s="9"/>
      <c r="L91" s="9"/>
      <c r="M91" s="9">
        <f t="shared" si="12"/>
        <v>20.399999999999999</v>
      </c>
      <c r="N91" s="9">
        <f t="shared" si="13"/>
        <v>7.5</v>
      </c>
      <c r="O91" s="9">
        <v>6.8</v>
      </c>
      <c r="P91" s="9">
        <v>2.5</v>
      </c>
      <c r="Q91" s="9" t="s">
        <v>5</v>
      </c>
      <c r="R91" s="1">
        <v>0</v>
      </c>
      <c r="S91" s="26"/>
    </row>
    <row r="92" spans="1:19" ht="16.5" customHeight="1" x14ac:dyDescent="0.25">
      <c r="A92" s="9"/>
      <c r="B92" s="51" t="s">
        <v>121</v>
      </c>
      <c r="C92" s="52"/>
      <c r="D92" s="52"/>
      <c r="E92" s="52"/>
      <c r="F92" s="52"/>
      <c r="G92" s="53"/>
      <c r="H92" s="20"/>
      <c r="I92" s="9">
        <v>2</v>
      </c>
      <c r="J92" s="9"/>
      <c r="K92" s="9"/>
      <c r="L92" s="9"/>
      <c r="M92" s="9">
        <f t="shared" si="12"/>
        <v>15.4</v>
      </c>
      <c r="N92" s="9">
        <f t="shared" si="13"/>
        <v>6</v>
      </c>
      <c r="O92" s="9">
        <v>7.7</v>
      </c>
      <c r="P92" s="9">
        <v>3</v>
      </c>
      <c r="Q92" s="9" t="s">
        <v>6</v>
      </c>
      <c r="R92" s="1">
        <v>0</v>
      </c>
      <c r="S92" s="26"/>
    </row>
    <row r="93" spans="1:19" ht="16.5" customHeight="1" x14ac:dyDescent="0.25">
      <c r="A93" s="9"/>
      <c r="B93" s="51" t="s">
        <v>122</v>
      </c>
      <c r="C93" s="52"/>
      <c r="D93" s="52"/>
      <c r="E93" s="52"/>
      <c r="F93" s="52"/>
      <c r="G93" s="53"/>
      <c r="H93" s="20"/>
      <c r="I93" s="9">
        <v>2</v>
      </c>
      <c r="J93" s="9"/>
      <c r="K93" s="9"/>
      <c r="L93" s="9"/>
      <c r="M93" s="9">
        <f t="shared" si="12"/>
        <v>0</v>
      </c>
      <c r="N93" s="9">
        <f t="shared" si="13"/>
        <v>0</v>
      </c>
      <c r="O93" s="9"/>
      <c r="P93" s="9"/>
      <c r="Q93" s="9"/>
      <c r="R93" s="1">
        <v>0</v>
      </c>
      <c r="S93" s="26"/>
    </row>
    <row r="94" spans="1:19" ht="16.5" customHeight="1" x14ac:dyDescent="0.25">
      <c r="A94" s="9"/>
      <c r="B94" s="51" t="s">
        <v>123</v>
      </c>
      <c r="C94" s="52"/>
      <c r="D94" s="52"/>
      <c r="E94" s="52"/>
      <c r="F94" s="52"/>
      <c r="G94" s="53"/>
      <c r="H94" s="20"/>
      <c r="I94" s="9">
        <v>2</v>
      </c>
      <c r="J94" s="9"/>
      <c r="K94" s="9"/>
      <c r="L94" s="9"/>
      <c r="M94" s="9">
        <f t="shared" si="12"/>
        <v>0</v>
      </c>
      <c r="N94" s="9">
        <f t="shared" si="13"/>
        <v>0</v>
      </c>
      <c r="O94" s="9"/>
      <c r="P94" s="9"/>
      <c r="Q94" s="9"/>
      <c r="R94" s="1">
        <v>0</v>
      </c>
      <c r="S94" s="26"/>
    </row>
    <row r="95" spans="1:19" ht="16.5" hidden="1" customHeight="1" x14ac:dyDescent="0.25">
      <c r="A95" s="21"/>
      <c r="H95" s="21"/>
      <c r="I95" s="21"/>
      <c r="J95" s="21"/>
      <c r="K95" s="21"/>
      <c r="L95" s="21"/>
      <c r="M95" s="9">
        <f t="shared" si="12"/>
        <v>0</v>
      </c>
      <c r="N95" s="9">
        <f t="shared" si="13"/>
        <v>0</v>
      </c>
      <c r="O95" s="21"/>
      <c r="P95" s="21"/>
      <c r="Q95" s="21"/>
      <c r="S95" s="25"/>
    </row>
    <row r="96" spans="1:19" ht="16.5" customHeight="1" x14ac:dyDescent="0.25">
      <c r="A96" s="9"/>
      <c r="B96" s="39" t="s">
        <v>42</v>
      </c>
      <c r="C96" s="40"/>
      <c r="D96" s="40"/>
      <c r="E96" s="40"/>
      <c r="F96" s="40"/>
      <c r="G96" s="41"/>
      <c r="H96" s="23"/>
      <c r="I96" s="24">
        <f>SUM(I86:I95)</f>
        <v>22</v>
      </c>
      <c r="J96" s="9"/>
      <c r="K96" s="9"/>
      <c r="L96" s="9"/>
      <c r="M96" s="9">
        <f t="shared" si="12"/>
        <v>63.14</v>
      </c>
      <c r="N96" s="9">
        <f t="shared" si="13"/>
        <v>23.540000000000003</v>
      </c>
      <c r="O96" s="24">
        <f>ROUND(SUM(M86:M95)/I96,2)</f>
        <v>2.87</v>
      </c>
      <c r="P96" s="24">
        <f>ROUND(SUM(N86:N95)/I96,2)</f>
        <v>1.07</v>
      </c>
      <c r="Q96" s="9"/>
      <c r="S96" s="25"/>
    </row>
    <row r="97" spans="1:19" ht="16.5" customHeight="1" x14ac:dyDescent="0.25">
      <c r="A97" s="21"/>
      <c r="B97" s="22"/>
      <c r="C97" s="22"/>
      <c r="D97" s="22"/>
      <c r="E97" s="22"/>
      <c r="F97" s="22"/>
      <c r="G97" s="22"/>
      <c r="H97" s="21"/>
      <c r="I97" s="21"/>
      <c r="J97" s="21"/>
      <c r="K97" s="21"/>
      <c r="L97" s="21"/>
      <c r="M97" s="21"/>
      <c r="N97" s="21"/>
      <c r="O97" s="21"/>
      <c r="P97" s="21"/>
      <c r="Q97" s="21"/>
    </row>
    <row r="99" spans="1:19" ht="18" x14ac:dyDescent="0.25">
      <c r="A99" s="35" t="s">
        <v>50</v>
      </c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</row>
    <row r="100" spans="1:19" ht="18" x14ac:dyDescent="0.25">
      <c r="A100" s="35" t="s">
        <v>51</v>
      </c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</row>
    <row r="101" spans="1:19" ht="18" x14ac:dyDescent="0.25">
      <c r="A101" s="35" t="s">
        <v>52</v>
      </c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</row>
    <row r="102" spans="1:19" ht="18" x14ac:dyDescent="0.25">
      <c r="A102" s="45" t="s">
        <v>53</v>
      </c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</row>
    <row r="103" spans="1:19" ht="19.5" customHeight="1" x14ac:dyDescent="0.25">
      <c r="A103" s="17"/>
      <c r="B103" s="17"/>
      <c r="C103" s="8"/>
      <c r="D103" s="18"/>
      <c r="E103" s="10"/>
      <c r="F103" s="11"/>
      <c r="G103" s="46" t="s">
        <v>49</v>
      </c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</row>
    <row r="104" spans="1:19" ht="31.5" customHeight="1" x14ac:dyDescent="0.3">
      <c r="A104" s="8"/>
      <c r="B104" s="8"/>
      <c r="C104" s="8"/>
      <c r="D104" s="8"/>
      <c r="E104" s="8"/>
      <c r="F104" s="8"/>
      <c r="G104" s="8"/>
      <c r="H104" s="12"/>
      <c r="I104" s="42" t="s">
        <v>40</v>
      </c>
      <c r="J104" s="43"/>
      <c r="K104" s="43"/>
      <c r="L104" s="43"/>
      <c r="M104" s="43"/>
      <c r="N104" s="43"/>
      <c r="O104" s="43"/>
      <c r="P104" s="43"/>
      <c r="Q104" s="43"/>
      <c r="R104" s="43"/>
      <c r="S104" s="43"/>
    </row>
    <row r="105" spans="1:19" ht="16.8" x14ac:dyDescent="0.3">
      <c r="A105" s="8"/>
      <c r="B105" s="8"/>
      <c r="C105" s="8"/>
      <c r="D105" s="8"/>
      <c r="E105" s="8"/>
      <c r="F105" s="8"/>
      <c r="G105" s="8"/>
      <c r="H105" s="12"/>
      <c r="I105" s="12"/>
      <c r="J105" s="12"/>
      <c r="K105" s="12"/>
      <c r="L105" s="8"/>
      <c r="M105" s="8"/>
      <c r="N105" s="8"/>
      <c r="O105" s="8"/>
      <c r="P105" s="8"/>
      <c r="Q105" s="8"/>
    </row>
    <row r="106" spans="1:19" ht="33" customHeight="1" x14ac:dyDescent="0.3">
      <c r="A106" s="8"/>
      <c r="B106" s="8"/>
      <c r="C106" s="8"/>
      <c r="D106" s="8"/>
      <c r="E106" s="8"/>
      <c r="F106" s="8"/>
      <c r="G106" s="8"/>
      <c r="H106" s="12"/>
      <c r="I106" s="12"/>
      <c r="J106" s="12"/>
      <c r="K106" s="12"/>
      <c r="L106" s="8"/>
      <c r="M106" s="8"/>
      <c r="N106" s="8"/>
      <c r="O106" s="8"/>
      <c r="P106" s="8"/>
      <c r="Q106" s="8"/>
    </row>
    <row r="107" spans="1:19" ht="11.25" customHeight="1" x14ac:dyDescent="0.3">
      <c r="A107" s="8"/>
      <c r="B107" s="8"/>
      <c r="C107" s="8"/>
      <c r="D107" s="8"/>
      <c r="E107" s="8"/>
      <c r="F107" s="8"/>
      <c r="G107" s="8"/>
      <c r="H107" s="12"/>
      <c r="I107" s="12"/>
      <c r="J107" s="12"/>
      <c r="K107" s="12"/>
      <c r="L107" s="8"/>
      <c r="M107" s="8"/>
      <c r="N107" s="8"/>
      <c r="O107" s="8"/>
      <c r="P107" s="8"/>
      <c r="Q107" s="8"/>
    </row>
    <row r="108" spans="1:19" ht="17.399999999999999" x14ac:dyDescent="0.3">
      <c r="A108" s="8"/>
      <c r="B108" s="8"/>
      <c r="C108" s="8"/>
      <c r="D108" s="8"/>
      <c r="E108" s="8"/>
      <c r="F108" s="8"/>
      <c r="G108" s="47" t="s">
        <v>41</v>
      </c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</row>
    <row r="109" spans="1:19" ht="54" customHeight="1" x14ac:dyDescent="0.25">
      <c r="A109" s="48" t="s">
        <v>33</v>
      </c>
      <c r="B109" s="48"/>
      <c r="C109" s="48"/>
      <c r="D109" s="48"/>
      <c r="E109" s="48"/>
      <c r="F109" s="42" t="s">
        <v>24</v>
      </c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</row>
    <row r="110" spans="1:19" ht="17.399999999999999" x14ac:dyDescent="0.25">
      <c r="A110" s="49" t="s">
        <v>34</v>
      </c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</row>
    <row r="111" spans="1:19" ht="4.5" customHeight="1" x14ac:dyDescent="0.25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</row>
    <row r="112" spans="1:19" ht="5.25" customHeight="1" x14ac:dyDescent="0.25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</row>
    <row r="113" spans="1:20" ht="16.5" customHeight="1" x14ac:dyDescent="0.25">
      <c r="A113" s="54" t="s">
        <v>124</v>
      </c>
      <c r="B113" s="54"/>
      <c r="C113" s="54"/>
      <c r="D113" s="54"/>
      <c r="E113" s="54"/>
      <c r="F113" s="54"/>
      <c r="G113" s="58" t="s">
        <v>125</v>
      </c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</row>
    <row r="114" spans="1:20" ht="16.5" customHeight="1" x14ac:dyDescent="0.25">
      <c r="A114" s="54" t="s">
        <v>126</v>
      </c>
      <c r="B114" s="54"/>
      <c r="C114" s="54"/>
      <c r="D114" s="54"/>
      <c r="E114" s="54"/>
      <c r="F114" s="54"/>
      <c r="G114" s="8" t="s">
        <v>46</v>
      </c>
      <c r="H114" s="8"/>
      <c r="I114" s="8"/>
      <c r="J114" s="8"/>
      <c r="K114" s="8"/>
      <c r="L114" s="8"/>
      <c r="M114" s="8"/>
      <c r="N114" s="8"/>
      <c r="O114" s="8"/>
      <c r="P114" s="8"/>
      <c r="Q114" s="8"/>
      <c r="T114" s="2"/>
    </row>
    <row r="115" spans="1:20" ht="16.5" customHeight="1" x14ac:dyDescent="0.25">
      <c r="A115" s="54" t="s">
        <v>47</v>
      </c>
      <c r="B115" s="54"/>
      <c r="C115" s="54"/>
      <c r="D115" s="54"/>
      <c r="E115" s="54"/>
      <c r="F115" s="54"/>
      <c r="G115" s="58" t="s">
        <v>48</v>
      </c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</row>
    <row r="116" spans="1:20" ht="5.25" customHeight="1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19"/>
      <c r="K116" s="19"/>
      <c r="L116" s="19"/>
      <c r="M116" s="19"/>
      <c r="N116" s="19"/>
      <c r="O116" s="19"/>
      <c r="P116" s="19"/>
      <c r="Q116" s="19"/>
    </row>
    <row r="117" spans="1:20" ht="15" customHeight="1" x14ac:dyDescent="0.25">
      <c r="A117" s="36" t="s">
        <v>0</v>
      </c>
      <c r="B117" s="29" t="s">
        <v>1</v>
      </c>
      <c r="C117" s="30"/>
      <c r="D117" s="30"/>
      <c r="E117" s="30"/>
      <c r="F117" s="30"/>
      <c r="G117" s="31"/>
      <c r="H117" s="36" t="s">
        <v>32</v>
      </c>
      <c r="I117" s="36" t="s">
        <v>39</v>
      </c>
      <c r="J117" s="55" t="s">
        <v>2</v>
      </c>
      <c r="K117" s="56"/>
      <c r="L117" s="56"/>
      <c r="M117" s="56"/>
      <c r="N117" s="56"/>
      <c r="O117" s="56"/>
      <c r="P117" s="56"/>
      <c r="Q117" s="57"/>
      <c r="S117" s="36" t="s">
        <v>38</v>
      </c>
    </row>
    <row r="118" spans="1:20" ht="24" customHeight="1" x14ac:dyDescent="0.25">
      <c r="A118" s="37"/>
      <c r="B118" s="32"/>
      <c r="C118" s="33"/>
      <c r="D118" s="33"/>
      <c r="E118" s="33"/>
      <c r="F118" s="33"/>
      <c r="G118" s="34"/>
      <c r="H118" s="37"/>
      <c r="I118" s="37"/>
      <c r="J118" s="7" t="s">
        <v>28</v>
      </c>
      <c r="K118" s="7" t="s">
        <v>29</v>
      </c>
      <c r="L118" s="7" t="s">
        <v>30</v>
      </c>
      <c r="M118" s="7"/>
      <c r="N118" s="7"/>
      <c r="O118" s="6" t="s">
        <v>35</v>
      </c>
      <c r="P118" s="6" t="s">
        <v>36</v>
      </c>
      <c r="Q118" s="6" t="s">
        <v>37</v>
      </c>
      <c r="S118" s="37"/>
    </row>
    <row r="119" spans="1:20" ht="20.25" customHeight="1" x14ac:dyDescent="0.25">
      <c r="A119" s="27" t="s">
        <v>54</v>
      </c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</row>
    <row r="120" spans="1:20" ht="16.5" customHeight="1" x14ac:dyDescent="0.25">
      <c r="A120" s="9"/>
      <c r="B120" s="51" t="s">
        <v>61</v>
      </c>
      <c r="C120" s="52"/>
      <c r="D120" s="52"/>
      <c r="E120" s="52"/>
      <c r="F120" s="52"/>
      <c r="G120" s="53"/>
      <c r="H120" s="20"/>
      <c r="I120" s="9">
        <v>1</v>
      </c>
      <c r="J120" s="9"/>
      <c r="K120" s="9"/>
      <c r="L120" s="9"/>
      <c r="M120" s="9">
        <f t="shared" ref="M120:M128" si="14">I120*O120</f>
        <v>7.3</v>
      </c>
      <c r="N120" s="9">
        <f t="shared" ref="N120:N128" si="15">I120*P120</f>
        <v>3</v>
      </c>
      <c r="O120" s="9">
        <v>7.3</v>
      </c>
      <c r="P120" s="9">
        <v>3</v>
      </c>
      <c r="Q120" s="9" t="s">
        <v>6</v>
      </c>
      <c r="R120" s="1">
        <v>0</v>
      </c>
      <c r="S120" s="26"/>
    </row>
    <row r="121" spans="1:20" ht="16.5" customHeight="1" x14ac:dyDescent="0.25">
      <c r="A121" s="9"/>
      <c r="B121" s="51" t="s">
        <v>56</v>
      </c>
      <c r="C121" s="52"/>
      <c r="D121" s="52"/>
      <c r="E121" s="52"/>
      <c r="F121" s="52"/>
      <c r="G121" s="53"/>
      <c r="H121" s="20"/>
      <c r="I121" s="9">
        <v>3</v>
      </c>
      <c r="J121" s="9"/>
      <c r="K121" s="9"/>
      <c r="L121" s="9"/>
      <c r="M121" s="9">
        <f t="shared" si="14"/>
        <v>17.399999999999999</v>
      </c>
      <c r="N121" s="9">
        <f t="shared" si="15"/>
        <v>6</v>
      </c>
      <c r="O121" s="9">
        <v>5.8</v>
      </c>
      <c r="P121" s="9">
        <v>2</v>
      </c>
      <c r="Q121" s="9" t="s">
        <v>3</v>
      </c>
      <c r="R121" s="1">
        <v>0</v>
      </c>
      <c r="S121" s="26"/>
    </row>
    <row r="122" spans="1:20" ht="31.2" customHeight="1" x14ac:dyDescent="0.25">
      <c r="A122" s="9"/>
      <c r="B122" s="51" t="s">
        <v>57</v>
      </c>
      <c r="C122" s="52"/>
      <c r="D122" s="52"/>
      <c r="E122" s="52"/>
      <c r="F122" s="52"/>
      <c r="G122" s="53"/>
      <c r="H122" s="20"/>
      <c r="I122" s="9">
        <v>3</v>
      </c>
      <c r="J122" s="9"/>
      <c r="K122" s="9"/>
      <c r="L122" s="9"/>
      <c r="M122" s="9">
        <f t="shared" si="14"/>
        <v>20.399999999999999</v>
      </c>
      <c r="N122" s="9">
        <f t="shared" si="15"/>
        <v>7.5</v>
      </c>
      <c r="O122" s="9">
        <v>6.8</v>
      </c>
      <c r="P122" s="9">
        <v>2.5</v>
      </c>
      <c r="Q122" s="9" t="s">
        <v>5</v>
      </c>
      <c r="R122" s="1">
        <v>0</v>
      </c>
      <c r="S122" s="26"/>
    </row>
    <row r="123" spans="1:20" ht="16.5" customHeight="1" x14ac:dyDescent="0.25">
      <c r="A123" s="9"/>
      <c r="B123" s="51" t="s">
        <v>58</v>
      </c>
      <c r="C123" s="52"/>
      <c r="D123" s="52"/>
      <c r="E123" s="52"/>
      <c r="F123" s="52"/>
      <c r="G123" s="53"/>
      <c r="H123" s="20"/>
      <c r="I123" s="9">
        <v>1</v>
      </c>
      <c r="J123" s="9"/>
      <c r="K123" s="9"/>
      <c r="L123" s="9"/>
      <c r="M123" s="9">
        <f t="shared" si="14"/>
        <v>7.7</v>
      </c>
      <c r="N123" s="9">
        <f t="shared" si="15"/>
        <v>3</v>
      </c>
      <c r="O123" s="9">
        <v>7.7</v>
      </c>
      <c r="P123" s="9">
        <v>3</v>
      </c>
      <c r="Q123" s="9" t="s">
        <v>6</v>
      </c>
      <c r="R123" s="1">
        <v>0</v>
      </c>
      <c r="S123" s="26"/>
    </row>
    <row r="124" spans="1:20" ht="16.5" customHeight="1" x14ac:dyDescent="0.25">
      <c r="A124" s="9"/>
      <c r="B124" s="51" t="s">
        <v>59</v>
      </c>
      <c r="C124" s="52"/>
      <c r="D124" s="52"/>
      <c r="E124" s="52"/>
      <c r="F124" s="52"/>
      <c r="G124" s="53"/>
      <c r="H124" s="20"/>
      <c r="I124" s="9">
        <v>1</v>
      </c>
      <c r="J124" s="9"/>
      <c r="K124" s="9"/>
      <c r="L124" s="9"/>
      <c r="M124" s="9">
        <f t="shared" si="14"/>
        <v>6.8</v>
      </c>
      <c r="N124" s="9">
        <f t="shared" si="15"/>
        <v>2.5</v>
      </c>
      <c r="O124" s="9">
        <v>6.8</v>
      </c>
      <c r="P124" s="9">
        <v>2.5</v>
      </c>
      <c r="Q124" s="9" t="s">
        <v>5</v>
      </c>
      <c r="R124" s="1">
        <v>0</v>
      </c>
      <c r="S124" s="26"/>
    </row>
    <row r="125" spans="1:20" ht="16.5" customHeight="1" x14ac:dyDescent="0.25">
      <c r="A125" s="9"/>
      <c r="B125" s="51" t="s">
        <v>60</v>
      </c>
      <c r="C125" s="52"/>
      <c r="D125" s="52"/>
      <c r="E125" s="52"/>
      <c r="F125" s="52"/>
      <c r="G125" s="53"/>
      <c r="H125" s="20"/>
      <c r="I125" s="9">
        <v>3</v>
      </c>
      <c r="J125" s="9"/>
      <c r="K125" s="9"/>
      <c r="L125" s="9"/>
      <c r="M125" s="9">
        <f t="shared" si="14"/>
        <v>23.700000000000003</v>
      </c>
      <c r="N125" s="9">
        <f t="shared" si="15"/>
        <v>9</v>
      </c>
      <c r="O125" s="9">
        <v>7.9</v>
      </c>
      <c r="P125" s="9">
        <v>3</v>
      </c>
      <c r="Q125" s="9" t="s">
        <v>6</v>
      </c>
      <c r="R125" s="1">
        <v>0</v>
      </c>
      <c r="S125" s="26"/>
    </row>
    <row r="126" spans="1:20" ht="16.5" customHeight="1" x14ac:dyDescent="0.25">
      <c r="A126" s="9"/>
      <c r="B126" s="51" t="s">
        <v>55</v>
      </c>
      <c r="C126" s="52"/>
      <c r="D126" s="52"/>
      <c r="E126" s="52"/>
      <c r="F126" s="52"/>
      <c r="G126" s="53"/>
      <c r="H126" s="20"/>
      <c r="I126" s="9">
        <v>2</v>
      </c>
      <c r="J126" s="9"/>
      <c r="K126" s="9"/>
      <c r="L126" s="9"/>
      <c r="M126" s="9">
        <f t="shared" si="14"/>
        <v>14.2</v>
      </c>
      <c r="N126" s="9">
        <f t="shared" si="15"/>
        <v>6</v>
      </c>
      <c r="O126" s="9">
        <v>7.1</v>
      </c>
      <c r="P126" s="9">
        <v>3</v>
      </c>
      <c r="Q126" s="9" t="s">
        <v>6</v>
      </c>
      <c r="R126" s="1">
        <v>0</v>
      </c>
      <c r="S126" s="26"/>
    </row>
    <row r="127" spans="1:20" ht="16.5" hidden="1" customHeight="1" x14ac:dyDescent="0.25">
      <c r="A127" s="21"/>
      <c r="H127" s="21"/>
      <c r="I127" s="21"/>
      <c r="J127" s="21"/>
      <c r="K127" s="21"/>
      <c r="L127" s="21"/>
      <c r="M127" s="9">
        <f t="shared" si="14"/>
        <v>0</v>
      </c>
      <c r="N127" s="9">
        <f t="shared" si="15"/>
        <v>0</v>
      </c>
      <c r="O127" s="21"/>
      <c r="P127" s="21"/>
      <c r="Q127" s="21"/>
      <c r="S127" s="25"/>
    </row>
    <row r="128" spans="1:20" ht="16.5" customHeight="1" x14ac:dyDescent="0.25">
      <c r="A128" s="9"/>
      <c r="B128" s="39" t="s">
        <v>42</v>
      </c>
      <c r="C128" s="40"/>
      <c r="D128" s="40"/>
      <c r="E128" s="40"/>
      <c r="F128" s="40"/>
      <c r="G128" s="41"/>
      <c r="H128" s="23"/>
      <c r="I128" s="24">
        <f>SUM(I120:I127)</f>
        <v>14</v>
      </c>
      <c r="J128" s="9"/>
      <c r="K128" s="9"/>
      <c r="L128" s="9"/>
      <c r="M128" s="9">
        <f t="shared" si="14"/>
        <v>97.44</v>
      </c>
      <c r="N128" s="9">
        <f t="shared" si="15"/>
        <v>36.96</v>
      </c>
      <c r="O128" s="24">
        <f>ROUND(SUM(M120:M127)/I128,2)</f>
        <v>6.96</v>
      </c>
      <c r="P128" s="24">
        <f>ROUND(SUM(N120:N127)/I128,2)</f>
        <v>2.64</v>
      </c>
      <c r="Q128" s="9"/>
      <c r="S128" s="25"/>
    </row>
    <row r="129" spans="1:19" ht="20.25" customHeight="1" x14ac:dyDescent="0.25">
      <c r="A129" s="27" t="s">
        <v>62</v>
      </c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</row>
    <row r="130" spans="1:19" ht="16.5" customHeight="1" x14ac:dyDescent="0.25">
      <c r="A130" s="9"/>
      <c r="B130" s="51" t="s">
        <v>63</v>
      </c>
      <c r="C130" s="52"/>
      <c r="D130" s="52"/>
      <c r="E130" s="52"/>
      <c r="F130" s="52"/>
      <c r="G130" s="53"/>
      <c r="H130" s="20"/>
      <c r="I130" s="9">
        <v>4</v>
      </c>
      <c r="J130" s="9"/>
      <c r="K130" s="9"/>
      <c r="L130" s="9"/>
      <c r="M130" s="9">
        <f t="shared" ref="M130:M138" si="16">I130*O130</f>
        <v>28.4</v>
      </c>
      <c r="N130" s="9">
        <f t="shared" ref="N130:N138" si="17">I130*P130</f>
        <v>12</v>
      </c>
      <c r="O130" s="9">
        <v>7.1</v>
      </c>
      <c r="P130" s="9">
        <v>3</v>
      </c>
      <c r="Q130" s="9" t="s">
        <v>6</v>
      </c>
      <c r="R130" s="1">
        <v>0</v>
      </c>
      <c r="S130" s="26"/>
    </row>
    <row r="131" spans="1:19" ht="16.5" customHeight="1" x14ac:dyDescent="0.25">
      <c r="A131" s="9"/>
      <c r="B131" s="51" t="s">
        <v>64</v>
      </c>
      <c r="C131" s="52"/>
      <c r="D131" s="52"/>
      <c r="E131" s="52"/>
      <c r="F131" s="52"/>
      <c r="G131" s="53"/>
      <c r="H131" s="20"/>
      <c r="I131" s="9">
        <v>4</v>
      </c>
      <c r="J131" s="9"/>
      <c r="K131" s="9"/>
      <c r="L131" s="9"/>
      <c r="M131" s="9">
        <f t="shared" si="16"/>
        <v>28.8</v>
      </c>
      <c r="N131" s="9">
        <f t="shared" si="17"/>
        <v>12</v>
      </c>
      <c r="O131" s="9">
        <v>7.2</v>
      </c>
      <c r="P131" s="9">
        <v>3</v>
      </c>
      <c r="Q131" s="9" t="s">
        <v>6</v>
      </c>
      <c r="R131" s="1">
        <v>0</v>
      </c>
      <c r="S131" s="26"/>
    </row>
    <row r="132" spans="1:19" ht="16.5" customHeight="1" x14ac:dyDescent="0.25">
      <c r="A132" s="9"/>
      <c r="B132" s="51" t="s">
        <v>65</v>
      </c>
      <c r="C132" s="52"/>
      <c r="D132" s="52"/>
      <c r="E132" s="52"/>
      <c r="F132" s="52"/>
      <c r="G132" s="53"/>
      <c r="H132" s="20"/>
      <c r="I132" s="9">
        <v>4</v>
      </c>
      <c r="J132" s="9"/>
      <c r="K132" s="9"/>
      <c r="L132" s="9"/>
      <c r="M132" s="9">
        <f t="shared" si="16"/>
        <v>30.8</v>
      </c>
      <c r="N132" s="9">
        <f t="shared" si="17"/>
        <v>12</v>
      </c>
      <c r="O132" s="9">
        <v>7.7</v>
      </c>
      <c r="P132" s="9">
        <v>3</v>
      </c>
      <c r="Q132" s="9" t="s">
        <v>6</v>
      </c>
      <c r="R132" s="1">
        <v>0</v>
      </c>
      <c r="S132" s="26"/>
    </row>
    <row r="133" spans="1:19" ht="16.5" customHeight="1" x14ac:dyDescent="0.25">
      <c r="A133" s="9"/>
      <c r="B133" s="51" t="s">
        <v>66</v>
      </c>
      <c r="C133" s="52"/>
      <c r="D133" s="52"/>
      <c r="E133" s="52"/>
      <c r="F133" s="52"/>
      <c r="G133" s="53"/>
      <c r="H133" s="20"/>
      <c r="I133" s="9">
        <v>1</v>
      </c>
      <c r="J133" s="9"/>
      <c r="K133" s="9"/>
      <c r="L133" s="9"/>
      <c r="M133" s="9">
        <f t="shared" si="16"/>
        <v>7.4</v>
      </c>
      <c r="N133" s="9">
        <f t="shared" si="17"/>
        <v>3</v>
      </c>
      <c r="O133" s="9">
        <v>7.4</v>
      </c>
      <c r="P133" s="9">
        <v>3</v>
      </c>
      <c r="Q133" s="9" t="s">
        <v>6</v>
      </c>
      <c r="R133" s="1">
        <v>0</v>
      </c>
      <c r="S133" s="26"/>
    </row>
    <row r="134" spans="1:19" ht="16.5" customHeight="1" x14ac:dyDescent="0.25">
      <c r="A134" s="9"/>
      <c r="B134" s="51" t="s">
        <v>67</v>
      </c>
      <c r="C134" s="52"/>
      <c r="D134" s="52"/>
      <c r="E134" s="52"/>
      <c r="F134" s="52"/>
      <c r="G134" s="53"/>
      <c r="H134" s="20"/>
      <c r="I134" s="9">
        <v>1</v>
      </c>
      <c r="J134" s="9"/>
      <c r="K134" s="9"/>
      <c r="L134" s="9"/>
      <c r="M134" s="9">
        <f t="shared" si="16"/>
        <v>7.3</v>
      </c>
      <c r="N134" s="9">
        <f t="shared" si="17"/>
        <v>3</v>
      </c>
      <c r="O134" s="9">
        <v>7.3</v>
      </c>
      <c r="P134" s="9">
        <v>3</v>
      </c>
      <c r="Q134" s="9" t="s">
        <v>6</v>
      </c>
      <c r="R134" s="1">
        <v>0</v>
      </c>
      <c r="S134" s="26"/>
    </row>
    <row r="135" spans="1:19" ht="16.5" customHeight="1" x14ac:dyDescent="0.25">
      <c r="A135" s="9"/>
      <c r="B135" s="51" t="s">
        <v>68</v>
      </c>
      <c r="C135" s="52"/>
      <c r="D135" s="52"/>
      <c r="E135" s="52"/>
      <c r="F135" s="52"/>
      <c r="G135" s="53"/>
      <c r="H135" s="20"/>
      <c r="I135" s="9">
        <v>1</v>
      </c>
      <c r="J135" s="9"/>
      <c r="K135" s="9"/>
      <c r="L135" s="9"/>
      <c r="M135" s="9">
        <f t="shared" si="16"/>
        <v>7.6</v>
      </c>
      <c r="N135" s="9">
        <f t="shared" si="17"/>
        <v>3</v>
      </c>
      <c r="O135" s="9">
        <v>7.6</v>
      </c>
      <c r="P135" s="9">
        <v>3</v>
      </c>
      <c r="Q135" s="9" t="s">
        <v>6</v>
      </c>
      <c r="R135" s="1">
        <v>0</v>
      </c>
      <c r="S135" s="26"/>
    </row>
    <row r="136" spans="1:19" ht="16.5" customHeight="1" x14ac:dyDescent="0.25">
      <c r="A136" s="9"/>
      <c r="B136" s="51" t="s">
        <v>69</v>
      </c>
      <c r="C136" s="52"/>
      <c r="D136" s="52"/>
      <c r="E136" s="52"/>
      <c r="F136" s="52"/>
      <c r="G136" s="53"/>
      <c r="H136" s="20"/>
      <c r="I136" s="9">
        <v>1</v>
      </c>
      <c r="J136" s="9"/>
      <c r="K136" s="9"/>
      <c r="L136" s="9"/>
      <c r="M136" s="9">
        <f t="shared" si="16"/>
        <v>7.3</v>
      </c>
      <c r="N136" s="9">
        <f t="shared" si="17"/>
        <v>3</v>
      </c>
      <c r="O136" s="9">
        <v>7.3</v>
      </c>
      <c r="P136" s="9">
        <v>3</v>
      </c>
      <c r="Q136" s="9" t="s">
        <v>6</v>
      </c>
      <c r="R136" s="1">
        <v>0</v>
      </c>
      <c r="S136" s="26"/>
    </row>
    <row r="137" spans="1:19" ht="16.5" hidden="1" customHeight="1" x14ac:dyDescent="0.25">
      <c r="A137" s="21"/>
      <c r="H137" s="21"/>
      <c r="I137" s="21"/>
      <c r="J137" s="21"/>
      <c r="K137" s="21"/>
      <c r="L137" s="21"/>
      <c r="M137" s="9">
        <f t="shared" si="16"/>
        <v>0</v>
      </c>
      <c r="N137" s="9">
        <f t="shared" si="17"/>
        <v>0</v>
      </c>
      <c r="O137" s="21"/>
      <c r="P137" s="21"/>
      <c r="Q137" s="21"/>
      <c r="S137" s="25"/>
    </row>
    <row r="138" spans="1:19" ht="16.5" customHeight="1" x14ac:dyDescent="0.25">
      <c r="A138" s="9"/>
      <c r="B138" s="39" t="s">
        <v>42</v>
      </c>
      <c r="C138" s="40"/>
      <c r="D138" s="40"/>
      <c r="E138" s="40"/>
      <c r="F138" s="40"/>
      <c r="G138" s="41"/>
      <c r="H138" s="23"/>
      <c r="I138" s="24">
        <f>SUM(I130:I137)</f>
        <v>16</v>
      </c>
      <c r="J138" s="9"/>
      <c r="K138" s="9"/>
      <c r="L138" s="9"/>
      <c r="M138" s="9">
        <f t="shared" si="16"/>
        <v>117.6</v>
      </c>
      <c r="N138" s="9">
        <f t="shared" si="17"/>
        <v>48</v>
      </c>
      <c r="O138" s="24">
        <f>ROUND(SUM(M130:M137)/I138,2)</f>
        <v>7.35</v>
      </c>
      <c r="P138" s="24">
        <f>ROUND(SUM(N130:N137)/I138,2)</f>
        <v>3</v>
      </c>
      <c r="Q138" s="9"/>
      <c r="S138" s="25"/>
    </row>
    <row r="139" spans="1:19" ht="20.25" customHeight="1" x14ac:dyDescent="0.25">
      <c r="A139" s="27" t="s">
        <v>70</v>
      </c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</row>
    <row r="140" spans="1:19" ht="16.5" customHeight="1" x14ac:dyDescent="0.25">
      <c r="A140" s="9"/>
      <c r="B140" s="51" t="s">
        <v>71</v>
      </c>
      <c r="C140" s="52"/>
      <c r="D140" s="52"/>
      <c r="E140" s="52"/>
      <c r="F140" s="52"/>
      <c r="G140" s="53"/>
      <c r="H140" s="20"/>
      <c r="I140" s="9">
        <v>4</v>
      </c>
      <c r="J140" s="9"/>
      <c r="K140" s="9"/>
      <c r="L140" s="9"/>
      <c r="M140" s="9">
        <f t="shared" ref="M140:M149" si="18">I140*O140</f>
        <v>20.8</v>
      </c>
      <c r="N140" s="9">
        <f t="shared" ref="N140:N149" si="19">I140*P140</f>
        <v>6</v>
      </c>
      <c r="O140" s="9">
        <v>5.2</v>
      </c>
      <c r="P140" s="9">
        <v>1.5</v>
      </c>
      <c r="Q140" s="9" t="s">
        <v>4</v>
      </c>
      <c r="R140" s="1">
        <v>0</v>
      </c>
      <c r="S140" s="26"/>
    </row>
    <row r="141" spans="1:19" ht="16.5" customHeight="1" x14ac:dyDescent="0.25">
      <c r="A141" s="9"/>
      <c r="B141" s="51" t="s">
        <v>72</v>
      </c>
      <c r="C141" s="52"/>
      <c r="D141" s="52"/>
      <c r="E141" s="52"/>
      <c r="F141" s="52"/>
      <c r="G141" s="53"/>
      <c r="H141" s="20"/>
      <c r="I141" s="9">
        <v>4</v>
      </c>
      <c r="J141" s="9"/>
      <c r="K141" s="9"/>
      <c r="L141" s="9"/>
      <c r="M141" s="9">
        <f t="shared" si="18"/>
        <v>32.799999999999997</v>
      </c>
      <c r="N141" s="9">
        <f t="shared" si="19"/>
        <v>14</v>
      </c>
      <c r="O141" s="9">
        <v>8.1999999999999993</v>
      </c>
      <c r="P141" s="9">
        <v>3.5</v>
      </c>
      <c r="Q141" s="9" t="s">
        <v>9</v>
      </c>
      <c r="R141" s="1">
        <v>0</v>
      </c>
      <c r="S141" s="26"/>
    </row>
    <row r="142" spans="1:19" ht="16.5" customHeight="1" x14ac:dyDescent="0.25">
      <c r="A142" s="9"/>
      <c r="B142" s="51" t="s">
        <v>73</v>
      </c>
      <c r="C142" s="52"/>
      <c r="D142" s="52"/>
      <c r="E142" s="52"/>
      <c r="F142" s="52"/>
      <c r="G142" s="53"/>
      <c r="H142" s="20"/>
      <c r="I142" s="9">
        <v>2</v>
      </c>
      <c r="J142" s="9"/>
      <c r="K142" s="9"/>
      <c r="L142" s="9"/>
      <c r="M142" s="9">
        <f t="shared" si="18"/>
        <v>14.2</v>
      </c>
      <c r="N142" s="9">
        <f t="shared" si="19"/>
        <v>6</v>
      </c>
      <c r="O142" s="9">
        <v>7.1</v>
      </c>
      <c r="P142" s="9">
        <v>3</v>
      </c>
      <c r="Q142" s="9" t="s">
        <v>6</v>
      </c>
      <c r="R142" s="1">
        <v>0</v>
      </c>
      <c r="S142" s="26"/>
    </row>
    <row r="143" spans="1:19" ht="16.5" customHeight="1" x14ac:dyDescent="0.25">
      <c r="A143" s="9"/>
      <c r="B143" s="51" t="s">
        <v>74</v>
      </c>
      <c r="C143" s="52"/>
      <c r="D143" s="52"/>
      <c r="E143" s="52"/>
      <c r="F143" s="52"/>
      <c r="G143" s="53"/>
      <c r="H143" s="20"/>
      <c r="I143" s="9">
        <v>2</v>
      </c>
      <c r="J143" s="9"/>
      <c r="K143" s="9"/>
      <c r="L143" s="9"/>
      <c r="M143" s="9">
        <f t="shared" si="18"/>
        <v>14.2</v>
      </c>
      <c r="N143" s="9">
        <f t="shared" si="19"/>
        <v>6</v>
      </c>
      <c r="O143" s="9">
        <v>7.1</v>
      </c>
      <c r="P143" s="9">
        <v>3</v>
      </c>
      <c r="Q143" s="9" t="s">
        <v>6</v>
      </c>
      <c r="R143" s="1">
        <v>0</v>
      </c>
      <c r="S143" s="26"/>
    </row>
    <row r="144" spans="1:19" ht="16.5" customHeight="1" x14ac:dyDescent="0.25">
      <c r="A144" s="9"/>
      <c r="B144" s="51" t="s">
        <v>75</v>
      </c>
      <c r="C144" s="52"/>
      <c r="D144" s="52"/>
      <c r="E144" s="52"/>
      <c r="F144" s="52"/>
      <c r="G144" s="53"/>
      <c r="H144" s="20"/>
      <c r="I144" s="9">
        <v>1</v>
      </c>
      <c r="J144" s="9"/>
      <c r="K144" s="9"/>
      <c r="L144" s="9"/>
      <c r="M144" s="9">
        <f t="shared" si="18"/>
        <v>6.6</v>
      </c>
      <c r="N144" s="9">
        <f t="shared" si="19"/>
        <v>2.5</v>
      </c>
      <c r="O144" s="9">
        <v>6.6</v>
      </c>
      <c r="P144" s="9">
        <v>2.5</v>
      </c>
      <c r="Q144" s="9" t="s">
        <v>5</v>
      </c>
      <c r="R144" s="1">
        <v>0</v>
      </c>
      <c r="S144" s="26"/>
    </row>
    <row r="145" spans="1:19" ht="16.5" customHeight="1" x14ac:dyDescent="0.25">
      <c r="A145" s="9"/>
      <c r="B145" s="51" t="s">
        <v>76</v>
      </c>
      <c r="C145" s="52"/>
      <c r="D145" s="52"/>
      <c r="E145" s="52"/>
      <c r="F145" s="52"/>
      <c r="G145" s="53"/>
      <c r="H145" s="20"/>
      <c r="I145" s="9">
        <v>4</v>
      </c>
      <c r="J145" s="9"/>
      <c r="K145" s="9"/>
      <c r="L145" s="9"/>
      <c r="M145" s="9">
        <f t="shared" si="18"/>
        <v>26</v>
      </c>
      <c r="N145" s="9">
        <f t="shared" si="19"/>
        <v>10</v>
      </c>
      <c r="O145" s="9">
        <v>6.5</v>
      </c>
      <c r="P145" s="9">
        <v>2.5</v>
      </c>
      <c r="Q145" s="9" t="s">
        <v>5</v>
      </c>
      <c r="R145" s="1">
        <v>0</v>
      </c>
      <c r="S145" s="26"/>
    </row>
    <row r="146" spans="1:19" ht="16.5" customHeight="1" x14ac:dyDescent="0.25">
      <c r="A146" s="9"/>
      <c r="B146" s="51" t="s">
        <v>77</v>
      </c>
      <c r="C146" s="52"/>
      <c r="D146" s="52"/>
      <c r="E146" s="52"/>
      <c r="F146" s="52"/>
      <c r="G146" s="53"/>
      <c r="H146" s="20"/>
      <c r="I146" s="9">
        <v>1</v>
      </c>
      <c r="J146" s="9"/>
      <c r="K146" s="9"/>
      <c r="L146" s="9"/>
      <c r="M146" s="9">
        <f t="shared" si="18"/>
        <v>8.1</v>
      </c>
      <c r="N146" s="9">
        <f t="shared" si="19"/>
        <v>3.5</v>
      </c>
      <c r="O146" s="9">
        <v>8.1</v>
      </c>
      <c r="P146" s="9">
        <v>3.5</v>
      </c>
      <c r="Q146" s="9" t="s">
        <v>9</v>
      </c>
      <c r="R146" s="1">
        <v>0</v>
      </c>
      <c r="S146" s="26"/>
    </row>
    <row r="147" spans="1:19" ht="16.5" customHeight="1" x14ac:dyDescent="0.25">
      <c r="A147" s="9"/>
      <c r="B147" s="51" t="s">
        <v>78</v>
      </c>
      <c r="C147" s="52"/>
      <c r="D147" s="52"/>
      <c r="E147" s="52"/>
      <c r="F147" s="52"/>
      <c r="G147" s="53"/>
      <c r="H147" s="20"/>
      <c r="I147" s="9">
        <v>3</v>
      </c>
      <c r="J147" s="9"/>
      <c r="K147" s="9"/>
      <c r="L147" s="9"/>
      <c r="M147" s="9">
        <f t="shared" si="18"/>
        <v>16.5</v>
      </c>
      <c r="N147" s="9">
        <f t="shared" si="19"/>
        <v>6</v>
      </c>
      <c r="O147" s="9">
        <v>5.5</v>
      </c>
      <c r="P147" s="9">
        <v>2</v>
      </c>
      <c r="Q147" s="9" t="s">
        <v>3</v>
      </c>
      <c r="R147" s="1">
        <v>0</v>
      </c>
      <c r="S147" s="26"/>
    </row>
    <row r="148" spans="1:19" ht="16.5" hidden="1" customHeight="1" x14ac:dyDescent="0.25">
      <c r="A148" s="21"/>
      <c r="H148" s="21"/>
      <c r="I148" s="21"/>
      <c r="J148" s="21"/>
      <c r="K148" s="21"/>
      <c r="L148" s="21"/>
      <c r="M148" s="9">
        <f t="shared" si="18"/>
        <v>0</v>
      </c>
      <c r="N148" s="9">
        <f t="shared" si="19"/>
        <v>0</v>
      </c>
      <c r="O148" s="21"/>
      <c r="P148" s="21"/>
      <c r="Q148" s="21"/>
      <c r="S148" s="25"/>
    </row>
    <row r="149" spans="1:19" ht="16.5" customHeight="1" x14ac:dyDescent="0.25">
      <c r="A149" s="9"/>
      <c r="B149" s="39" t="s">
        <v>42</v>
      </c>
      <c r="C149" s="40"/>
      <c r="D149" s="40"/>
      <c r="E149" s="40"/>
      <c r="F149" s="40"/>
      <c r="G149" s="41"/>
      <c r="H149" s="23"/>
      <c r="I149" s="24">
        <f>SUM(I140:I148)</f>
        <v>21</v>
      </c>
      <c r="J149" s="9"/>
      <c r="K149" s="9"/>
      <c r="L149" s="9"/>
      <c r="M149" s="9">
        <f t="shared" si="18"/>
        <v>139.22999999999999</v>
      </c>
      <c r="N149" s="9">
        <f t="shared" si="19"/>
        <v>53.97</v>
      </c>
      <c r="O149" s="24">
        <f>ROUND(SUM(M140:M148)/I149,2)</f>
        <v>6.63</v>
      </c>
      <c r="P149" s="24">
        <f>ROUND(SUM(N140:N148)/I149,2)</f>
        <v>2.57</v>
      </c>
      <c r="Q149" s="9"/>
      <c r="S149" s="25"/>
    </row>
    <row r="150" spans="1:19" ht="20.25" customHeight="1" x14ac:dyDescent="0.25">
      <c r="A150" s="27" t="s">
        <v>79</v>
      </c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</row>
    <row r="151" spans="1:19" ht="16.5" customHeight="1" x14ac:dyDescent="0.25">
      <c r="A151" s="9"/>
      <c r="B151" s="51" t="s">
        <v>80</v>
      </c>
      <c r="C151" s="52"/>
      <c r="D151" s="52"/>
      <c r="E151" s="52"/>
      <c r="F151" s="52"/>
      <c r="G151" s="53"/>
      <c r="H151" s="20"/>
      <c r="I151" s="9">
        <v>3</v>
      </c>
      <c r="J151" s="9"/>
      <c r="K151" s="9"/>
      <c r="L151" s="9"/>
      <c r="M151" s="9">
        <f t="shared" ref="M151:M156" si="20">I151*O151</f>
        <v>19.5</v>
      </c>
      <c r="N151" s="9">
        <f t="shared" ref="N151:N156" si="21">I151*P151</f>
        <v>7.5</v>
      </c>
      <c r="O151" s="9">
        <v>6.5</v>
      </c>
      <c r="P151" s="9">
        <v>2.5</v>
      </c>
      <c r="Q151" s="9" t="s">
        <v>5</v>
      </c>
      <c r="R151" s="1">
        <v>0</v>
      </c>
      <c r="S151" s="26"/>
    </row>
    <row r="152" spans="1:19" ht="16.5" customHeight="1" x14ac:dyDescent="0.25">
      <c r="A152" s="9"/>
      <c r="B152" s="51" t="s">
        <v>87</v>
      </c>
      <c r="C152" s="52"/>
      <c r="D152" s="52"/>
      <c r="E152" s="52"/>
      <c r="F152" s="52"/>
      <c r="G152" s="53"/>
      <c r="H152" s="20"/>
      <c r="I152" s="9">
        <v>3</v>
      </c>
      <c r="J152" s="9"/>
      <c r="K152" s="9"/>
      <c r="L152" s="9"/>
      <c r="M152" s="9">
        <f t="shared" si="20"/>
        <v>22.5</v>
      </c>
      <c r="N152" s="9">
        <f t="shared" si="21"/>
        <v>9</v>
      </c>
      <c r="O152" s="9">
        <v>7.5</v>
      </c>
      <c r="P152" s="9">
        <v>3</v>
      </c>
      <c r="Q152" s="9" t="s">
        <v>6</v>
      </c>
      <c r="R152" s="1">
        <v>0</v>
      </c>
      <c r="S152" s="26"/>
    </row>
    <row r="153" spans="1:19" ht="16.5" customHeight="1" x14ac:dyDescent="0.25">
      <c r="A153" s="9"/>
      <c r="B153" s="51" t="s">
        <v>82</v>
      </c>
      <c r="C153" s="52"/>
      <c r="D153" s="52"/>
      <c r="E153" s="52"/>
      <c r="F153" s="52"/>
      <c r="G153" s="53"/>
      <c r="H153" s="20"/>
      <c r="I153" s="9">
        <v>3</v>
      </c>
      <c r="J153" s="9"/>
      <c r="K153" s="9"/>
      <c r="L153" s="9"/>
      <c r="M153" s="9">
        <f t="shared" si="20"/>
        <v>21</v>
      </c>
      <c r="N153" s="9">
        <f t="shared" si="21"/>
        <v>9</v>
      </c>
      <c r="O153" s="9">
        <v>7</v>
      </c>
      <c r="P153" s="9">
        <v>3</v>
      </c>
      <c r="Q153" s="9" t="s">
        <v>6</v>
      </c>
      <c r="R153" s="1">
        <v>0</v>
      </c>
      <c r="S153" s="26"/>
    </row>
    <row r="154" spans="1:19" ht="16.5" customHeight="1" x14ac:dyDescent="0.25">
      <c r="A154" s="9"/>
      <c r="B154" s="51" t="s">
        <v>83</v>
      </c>
      <c r="C154" s="52"/>
      <c r="D154" s="52"/>
      <c r="E154" s="52"/>
      <c r="F154" s="52"/>
      <c r="G154" s="53"/>
      <c r="H154" s="20"/>
      <c r="I154" s="9">
        <v>1</v>
      </c>
      <c r="J154" s="9"/>
      <c r="K154" s="9"/>
      <c r="L154" s="9"/>
      <c r="M154" s="9">
        <f t="shared" si="20"/>
        <v>7.5</v>
      </c>
      <c r="N154" s="9">
        <f t="shared" si="21"/>
        <v>3</v>
      </c>
      <c r="O154" s="9">
        <v>7.5</v>
      </c>
      <c r="P154" s="9">
        <v>3</v>
      </c>
      <c r="Q154" s="9" t="s">
        <v>6</v>
      </c>
      <c r="R154" s="1">
        <v>0</v>
      </c>
      <c r="S154" s="26"/>
    </row>
    <row r="155" spans="1:19" ht="16.5" customHeight="1" x14ac:dyDescent="0.25">
      <c r="A155" s="9"/>
      <c r="B155" s="51" t="s">
        <v>84</v>
      </c>
      <c r="C155" s="52"/>
      <c r="D155" s="52"/>
      <c r="E155" s="52"/>
      <c r="F155" s="52"/>
      <c r="G155" s="53"/>
      <c r="H155" s="20"/>
      <c r="I155" s="9">
        <v>2</v>
      </c>
      <c r="J155" s="9"/>
      <c r="K155" s="9"/>
      <c r="L155" s="9"/>
      <c r="M155" s="9">
        <f t="shared" si="20"/>
        <v>15.4</v>
      </c>
      <c r="N155" s="9">
        <f t="shared" si="21"/>
        <v>6</v>
      </c>
      <c r="O155" s="9">
        <v>7.7</v>
      </c>
      <c r="P155" s="9">
        <v>3</v>
      </c>
      <c r="Q155" s="9" t="s">
        <v>6</v>
      </c>
      <c r="R155" s="1">
        <v>0</v>
      </c>
      <c r="S155" s="26"/>
    </row>
    <row r="156" spans="1:19" ht="16.5" customHeight="1" x14ac:dyDescent="0.25">
      <c r="A156" s="9"/>
      <c r="B156" s="51" t="s">
        <v>85</v>
      </c>
      <c r="C156" s="52"/>
      <c r="D156" s="52"/>
      <c r="E156" s="52"/>
      <c r="F156" s="52"/>
      <c r="G156" s="53"/>
      <c r="H156" s="20"/>
      <c r="I156" s="9">
        <v>2</v>
      </c>
      <c r="J156" s="9"/>
      <c r="K156" s="9"/>
      <c r="L156" s="9"/>
      <c r="M156" s="9">
        <f t="shared" si="20"/>
        <v>13</v>
      </c>
      <c r="N156" s="9">
        <f t="shared" si="21"/>
        <v>5</v>
      </c>
      <c r="O156" s="9">
        <v>6.5</v>
      </c>
      <c r="P156" s="9">
        <v>2.5</v>
      </c>
      <c r="Q156" s="9" t="s">
        <v>5</v>
      </c>
      <c r="R156" s="1">
        <v>0</v>
      </c>
      <c r="S156" s="26"/>
    </row>
    <row r="157" spans="1:19" ht="15" customHeight="1" x14ac:dyDescent="0.25">
      <c r="A157" s="36" t="s">
        <v>0</v>
      </c>
      <c r="B157" s="29" t="s">
        <v>1</v>
      </c>
      <c r="C157" s="30"/>
      <c r="D157" s="30"/>
      <c r="E157" s="30"/>
      <c r="F157" s="30"/>
      <c r="G157" s="31"/>
      <c r="H157" s="36" t="s">
        <v>32</v>
      </c>
      <c r="I157" s="36" t="s">
        <v>39</v>
      </c>
      <c r="J157" s="55" t="s">
        <v>2</v>
      </c>
      <c r="K157" s="56"/>
      <c r="L157" s="56"/>
      <c r="M157" s="56"/>
      <c r="N157" s="56"/>
      <c r="O157" s="56"/>
      <c r="P157" s="56"/>
      <c r="Q157" s="57"/>
      <c r="S157" s="36" t="s">
        <v>38</v>
      </c>
    </row>
    <row r="158" spans="1:19" ht="24" customHeight="1" x14ac:dyDescent="0.25">
      <c r="A158" s="37"/>
      <c r="B158" s="32"/>
      <c r="C158" s="33"/>
      <c r="D158" s="33"/>
      <c r="E158" s="33"/>
      <c r="F158" s="33"/>
      <c r="G158" s="34"/>
      <c r="H158" s="37"/>
      <c r="I158" s="37"/>
      <c r="J158" s="7" t="s">
        <v>28</v>
      </c>
      <c r="K158" s="7" t="s">
        <v>29</v>
      </c>
      <c r="L158" s="7" t="s">
        <v>30</v>
      </c>
      <c r="M158" s="7"/>
      <c r="N158" s="7"/>
      <c r="O158" s="6" t="s">
        <v>35</v>
      </c>
      <c r="P158" s="6" t="s">
        <v>36</v>
      </c>
      <c r="Q158" s="6" t="s">
        <v>37</v>
      </c>
      <c r="S158" s="37"/>
    </row>
    <row r="159" spans="1:19" ht="16.5" customHeight="1" x14ac:dyDescent="0.25">
      <c r="A159" s="9"/>
      <c r="B159" s="51" t="s">
        <v>86</v>
      </c>
      <c r="C159" s="52"/>
      <c r="D159" s="52"/>
      <c r="E159" s="52"/>
      <c r="F159" s="52"/>
      <c r="G159" s="53"/>
      <c r="H159" s="20"/>
      <c r="I159" s="9">
        <v>2</v>
      </c>
      <c r="J159" s="9"/>
      <c r="K159" s="9"/>
      <c r="L159" s="9"/>
      <c r="M159" s="9">
        <f>I159*O159</f>
        <v>15.8</v>
      </c>
      <c r="N159" s="9">
        <f>I159*P159</f>
        <v>6</v>
      </c>
      <c r="O159" s="9">
        <v>7.9</v>
      </c>
      <c r="P159" s="9">
        <v>3</v>
      </c>
      <c r="Q159" s="9" t="s">
        <v>6</v>
      </c>
      <c r="R159" s="1">
        <v>0</v>
      </c>
      <c r="S159" s="26"/>
    </row>
    <row r="160" spans="1:19" ht="16.5" customHeight="1" x14ac:dyDescent="0.25">
      <c r="A160" s="9"/>
      <c r="B160" s="51" t="s">
        <v>81</v>
      </c>
      <c r="C160" s="52"/>
      <c r="D160" s="52"/>
      <c r="E160" s="52"/>
      <c r="F160" s="52"/>
      <c r="G160" s="53"/>
      <c r="H160" s="20"/>
      <c r="I160" s="9">
        <v>4</v>
      </c>
      <c r="J160" s="9"/>
      <c r="K160" s="9"/>
      <c r="L160" s="9"/>
      <c r="M160" s="9">
        <f>I160*O160</f>
        <v>27.2</v>
      </c>
      <c r="N160" s="9">
        <f>I160*P160</f>
        <v>10</v>
      </c>
      <c r="O160" s="9">
        <v>6.8</v>
      </c>
      <c r="P160" s="9">
        <v>2.5</v>
      </c>
      <c r="Q160" s="9" t="s">
        <v>5</v>
      </c>
      <c r="R160" s="1">
        <v>0</v>
      </c>
      <c r="S160" s="26"/>
    </row>
    <row r="161" spans="1:19" ht="16.5" customHeight="1" x14ac:dyDescent="0.25">
      <c r="A161" s="9"/>
      <c r="B161" s="51" t="s">
        <v>88</v>
      </c>
      <c r="C161" s="52"/>
      <c r="D161" s="52"/>
      <c r="E161" s="52"/>
      <c r="F161" s="52"/>
      <c r="G161" s="53"/>
      <c r="H161" s="20"/>
      <c r="I161" s="9">
        <v>3</v>
      </c>
      <c r="J161" s="9"/>
      <c r="K161" s="9"/>
      <c r="L161" s="9"/>
      <c r="M161" s="9">
        <f>I161*O161</f>
        <v>20.399999999999999</v>
      </c>
      <c r="N161" s="9">
        <f>I161*P161</f>
        <v>7.5</v>
      </c>
      <c r="O161" s="9">
        <v>6.8</v>
      </c>
      <c r="P161" s="9">
        <v>2.5</v>
      </c>
      <c r="Q161" s="9" t="s">
        <v>5</v>
      </c>
      <c r="R161" s="1">
        <v>0</v>
      </c>
      <c r="S161" s="26"/>
    </row>
    <row r="162" spans="1:19" ht="16.5" hidden="1" customHeight="1" x14ac:dyDescent="0.25">
      <c r="A162" s="21"/>
      <c r="H162" s="21"/>
      <c r="I162" s="21"/>
      <c r="J162" s="21"/>
      <c r="K162" s="21"/>
      <c r="L162" s="21"/>
      <c r="M162" s="9">
        <f>I162*O162</f>
        <v>0</v>
      </c>
      <c r="N162" s="9">
        <f>I162*P162</f>
        <v>0</v>
      </c>
      <c r="O162" s="21"/>
      <c r="P162" s="21"/>
      <c r="Q162" s="21"/>
      <c r="S162" s="25"/>
    </row>
    <row r="163" spans="1:19" ht="16.5" customHeight="1" x14ac:dyDescent="0.25">
      <c r="A163" s="9"/>
      <c r="B163" s="39" t="s">
        <v>42</v>
      </c>
      <c r="C163" s="40"/>
      <c r="D163" s="40"/>
      <c r="E163" s="40"/>
      <c r="F163" s="40"/>
      <c r="G163" s="41"/>
      <c r="H163" s="23"/>
      <c r="I163" s="24">
        <f>SUM(I151:I162)</f>
        <v>23</v>
      </c>
      <c r="J163" s="9"/>
      <c r="K163" s="9"/>
      <c r="L163" s="9"/>
      <c r="M163" s="9">
        <f>I163*O163</f>
        <v>162.38</v>
      </c>
      <c r="N163" s="9">
        <f>I163*P163</f>
        <v>63.02</v>
      </c>
      <c r="O163" s="24">
        <f>ROUND(SUM(M151:M162)/I163,2)</f>
        <v>7.06</v>
      </c>
      <c r="P163" s="24">
        <f>ROUND(SUM(N151:N162)/I163,2)</f>
        <v>2.74</v>
      </c>
      <c r="Q163" s="9"/>
      <c r="S163" s="25"/>
    </row>
    <row r="164" spans="1:19" ht="20.25" customHeight="1" x14ac:dyDescent="0.25">
      <c r="A164" s="27" t="s">
        <v>89</v>
      </c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</row>
    <row r="165" spans="1:19" ht="16.5" customHeight="1" x14ac:dyDescent="0.25">
      <c r="A165" s="9"/>
      <c r="B165" s="51" t="s">
        <v>90</v>
      </c>
      <c r="C165" s="52"/>
      <c r="D165" s="52"/>
      <c r="E165" s="52"/>
      <c r="F165" s="52"/>
      <c r="G165" s="53"/>
      <c r="H165" s="20"/>
      <c r="I165" s="9">
        <v>1</v>
      </c>
      <c r="J165" s="9"/>
      <c r="K165" s="9"/>
      <c r="L165" s="9"/>
      <c r="M165" s="9">
        <f t="shared" ref="M165:M177" si="22">I165*O165</f>
        <v>8.1999999999999993</v>
      </c>
      <c r="N165" s="9">
        <f t="shared" ref="N165:N177" si="23">I165*P165</f>
        <v>3.5</v>
      </c>
      <c r="O165" s="9">
        <v>8.1999999999999993</v>
      </c>
      <c r="P165" s="9">
        <v>3.5</v>
      </c>
      <c r="Q165" s="9" t="s">
        <v>9</v>
      </c>
      <c r="R165" s="1">
        <v>0</v>
      </c>
      <c r="S165" s="26"/>
    </row>
    <row r="166" spans="1:19" ht="16.5" customHeight="1" x14ac:dyDescent="0.25">
      <c r="A166" s="9"/>
      <c r="B166" s="51" t="s">
        <v>91</v>
      </c>
      <c r="C166" s="52"/>
      <c r="D166" s="52"/>
      <c r="E166" s="52"/>
      <c r="F166" s="52"/>
      <c r="G166" s="53"/>
      <c r="H166" s="20"/>
      <c r="I166" s="9">
        <v>3</v>
      </c>
      <c r="J166" s="9"/>
      <c r="K166" s="9"/>
      <c r="L166" s="9"/>
      <c r="M166" s="9">
        <f t="shared" si="22"/>
        <v>19.200000000000003</v>
      </c>
      <c r="N166" s="9">
        <f t="shared" si="23"/>
        <v>6</v>
      </c>
      <c r="O166" s="9">
        <v>6.4</v>
      </c>
      <c r="P166" s="9">
        <v>2</v>
      </c>
      <c r="Q166" s="9" t="s">
        <v>3</v>
      </c>
      <c r="R166" s="1">
        <v>0</v>
      </c>
      <c r="S166" s="26"/>
    </row>
    <row r="167" spans="1:19" ht="16.5" customHeight="1" x14ac:dyDescent="0.25">
      <c r="A167" s="9"/>
      <c r="B167" s="51" t="s">
        <v>92</v>
      </c>
      <c r="C167" s="52"/>
      <c r="D167" s="52"/>
      <c r="E167" s="52"/>
      <c r="F167" s="52"/>
      <c r="G167" s="53"/>
      <c r="H167" s="20"/>
      <c r="I167" s="9">
        <v>1</v>
      </c>
      <c r="J167" s="9"/>
      <c r="K167" s="9"/>
      <c r="L167" s="9"/>
      <c r="M167" s="9">
        <f t="shared" si="22"/>
        <v>7.5</v>
      </c>
      <c r="N167" s="9">
        <f t="shared" si="23"/>
        <v>3</v>
      </c>
      <c r="O167" s="9">
        <v>7.5</v>
      </c>
      <c r="P167" s="9">
        <v>3</v>
      </c>
      <c r="Q167" s="9" t="s">
        <v>6</v>
      </c>
      <c r="R167" s="1">
        <v>0</v>
      </c>
      <c r="S167" s="26"/>
    </row>
    <row r="168" spans="1:19" ht="16.5" customHeight="1" x14ac:dyDescent="0.25">
      <c r="A168" s="9"/>
      <c r="B168" s="51" t="s">
        <v>93</v>
      </c>
      <c r="C168" s="52"/>
      <c r="D168" s="52"/>
      <c r="E168" s="52"/>
      <c r="F168" s="52"/>
      <c r="G168" s="53"/>
      <c r="H168" s="20"/>
      <c r="I168" s="9">
        <v>2</v>
      </c>
      <c r="J168" s="9"/>
      <c r="K168" s="9"/>
      <c r="L168" s="9"/>
      <c r="M168" s="9">
        <f t="shared" si="22"/>
        <v>13.8</v>
      </c>
      <c r="N168" s="9">
        <f t="shared" si="23"/>
        <v>5</v>
      </c>
      <c r="O168" s="9">
        <v>6.9</v>
      </c>
      <c r="P168" s="9">
        <v>2.5</v>
      </c>
      <c r="Q168" s="9" t="s">
        <v>5</v>
      </c>
      <c r="R168" s="1">
        <v>0</v>
      </c>
      <c r="S168" s="26"/>
    </row>
    <row r="169" spans="1:19" ht="16.5" customHeight="1" x14ac:dyDescent="0.25">
      <c r="A169" s="9"/>
      <c r="B169" s="51" t="s">
        <v>94</v>
      </c>
      <c r="C169" s="52"/>
      <c r="D169" s="52"/>
      <c r="E169" s="52"/>
      <c r="F169" s="52"/>
      <c r="G169" s="53"/>
      <c r="H169" s="20"/>
      <c r="I169" s="9">
        <v>1</v>
      </c>
      <c r="J169" s="9"/>
      <c r="K169" s="9"/>
      <c r="L169" s="9"/>
      <c r="M169" s="9">
        <f t="shared" si="22"/>
        <v>7.6</v>
      </c>
      <c r="N169" s="9">
        <f t="shared" si="23"/>
        <v>3</v>
      </c>
      <c r="O169" s="9">
        <v>7.6</v>
      </c>
      <c r="P169" s="9">
        <v>3</v>
      </c>
      <c r="Q169" s="9" t="s">
        <v>6</v>
      </c>
      <c r="R169" s="1">
        <v>0</v>
      </c>
      <c r="S169" s="26"/>
    </row>
    <row r="170" spans="1:19" ht="16.5" customHeight="1" x14ac:dyDescent="0.25">
      <c r="A170" s="9"/>
      <c r="B170" s="51" t="s">
        <v>97</v>
      </c>
      <c r="C170" s="52"/>
      <c r="D170" s="52"/>
      <c r="E170" s="52"/>
      <c r="F170" s="52"/>
      <c r="G170" s="53"/>
      <c r="H170" s="20"/>
      <c r="I170" s="9">
        <v>3</v>
      </c>
      <c r="J170" s="9"/>
      <c r="K170" s="9"/>
      <c r="L170" s="9"/>
      <c r="M170" s="9">
        <f t="shared" si="22"/>
        <v>22.5</v>
      </c>
      <c r="N170" s="9">
        <f t="shared" si="23"/>
        <v>9</v>
      </c>
      <c r="O170" s="9">
        <v>7.5</v>
      </c>
      <c r="P170" s="9">
        <v>3</v>
      </c>
      <c r="Q170" s="9" t="s">
        <v>6</v>
      </c>
      <c r="R170" s="1">
        <v>0</v>
      </c>
      <c r="S170" s="26"/>
    </row>
    <row r="171" spans="1:19" ht="16.5" customHeight="1" x14ac:dyDescent="0.25">
      <c r="A171" s="9"/>
      <c r="B171" s="51" t="s">
        <v>100</v>
      </c>
      <c r="C171" s="52"/>
      <c r="D171" s="52"/>
      <c r="E171" s="52"/>
      <c r="F171" s="52"/>
      <c r="G171" s="53"/>
      <c r="H171" s="20"/>
      <c r="I171" s="9">
        <v>2</v>
      </c>
      <c r="J171" s="9"/>
      <c r="K171" s="9"/>
      <c r="L171" s="9"/>
      <c r="M171" s="9">
        <f t="shared" si="22"/>
        <v>16</v>
      </c>
      <c r="N171" s="9">
        <f t="shared" si="23"/>
        <v>7</v>
      </c>
      <c r="O171" s="9">
        <v>8</v>
      </c>
      <c r="P171" s="9">
        <v>3.5</v>
      </c>
      <c r="Q171" s="9" t="s">
        <v>9</v>
      </c>
      <c r="R171" s="1">
        <v>0</v>
      </c>
      <c r="S171" s="26"/>
    </row>
    <row r="172" spans="1:19" ht="16.5" customHeight="1" x14ac:dyDescent="0.25">
      <c r="A172" s="9"/>
      <c r="B172" s="51" t="s">
        <v>99</v>
      </c>
      <c r="C172" s="52"/>
      <c r="D172" s="52"/>
      <c r="E172" s="52"/>
      <c r="F172" s="52"/>
      <c r="G172" s="53"/>
      <c r="H172" s="20"/>
      <c r="I172" s="9">
        <v>1</v>
      </c>
      <c r="J172" s="9"/>
      <c r="K172" s="9"/>
      <c r="L172" s="9"/>
      <c r="M172" s="9">
        <f t="shared" si="22"/>
        <v>8.6</v>
      </c>
      <c r="N172" s="9">
        <f t="shared" si="23"/>
        <v>3.7</v>
      </c>
      <c r="O172" s="9">
        <v>8.6</v>
      </c>
      <c r="P172" s="9">
        <v>3.7</v>
      </c>
      <c r="Q172" s="9" t="s">
        <v>10</v>
      </c>
      <c r="R172" s="1">
        <v>0</v>
      </c>
      <c r="S172" s="26"/>
    </row>
    <row r="173" spans="1:19" ht="16.5" customHeight="1" x14ac:dyDescent="0.25">
      <c r="A173" s="9"/>
      <c r="B173" s="51" t="s">
        <v>98</v>
      </c>
      <c r="C173" s="52"/>
      <c r="D173" s="52"/>
      <c r="E173" s="52"/>
      <c r="F173" s="52"/>
      <c r="G173" s="53"/>
      <c r="H173" s="20"/>
      <c r="I173" s="9">
        <v>4</v>
      </c>
      <c r="J173" s="9"/>
      <c r="K173" s="9"/>
      <c r="L173" s="9"/>
      <c r="M173" s="9">
        <f t="shared" si="22"/>
        <v>28.4</v>
      </c>
      <c r="N173" s="9">
        <f t="shared" si="23"/>
        <v>12</v>
      </c>
      <c r="O173" s="9">
        <v>7.1</v>
      </c>
      <c r="P173" s="9">
        <v>3</v>
      </c>
      <c r="Q173" s="9" t="s">
        <v>6</v>
      </c>
      <c r="R173" s="1">
        <v>0</v>
      </c>
      <c r="S173" s="26"/>
    </row>
    <row r="174" spans="1:19" ht="16.5" customHeight="1" x14ac:dyDescent="0.25">
      <c r="A174" s="9"/>
      <c r="B174" s="51" t="s">
        <v>95</v>
      </c>
      <c r="C174" s="52"/>
      <c r="D174" s="52"/>
      <c r="E174" s="52"/>
      <c r="F174" s="52"/>
      <c r="G174" s="53"/>
      <c r="H174" s="20"/>
      <c r="I174" s="9">
        <v>2</v>
      </c>
      <c r="J174" s="9"/>
      <c r="K174" s="9"/>
      <c r="L174" s="9"/>
      <c r="M174" s="9">
        <f t="shared" si="22"/>
        <v>15.6</v>
      </c>
      <c r="N174" s="9">
        <f t="shared" si="23"/>
        <v>6</v>
      </c>
      <c r="O174" s="9">
        <v>7.8</v>
      </c>
      <c r="P174" s="9">
        <v>3</v>
      </c>
      <c r="Q174" s="9" t="s">
        <v>6</v>
      </c>
      <c r="R174" s="1">
        <v>0</v>
      </c>
      <c r="S174" s="26"/>
    </row>
    <row r="175" spans="1:19" ht="16.5" customHeight="1" x14ac:dyDescent="0.25">
      <c r="A175" s="9"/>
      <c r="B175" s="51" t="s">
        <v>96</v>
      </c>
      <c r="C175" s="52"/>
      <c r="D175" s="52"/>
      <c r="E175" s="52"/>
      <c r="F175" s="52"/>
      <c r="G175" s="53"/>
      <c r="H175" s="20"/>
      <c r="I175" s="9">
        <v>2</v>
      </c>
      <c r="J175" s="9"/>
      <c r="K175" s="9"/>
      <c r="L175" s="9"/>
      <c r="M175" s="9">
        <f t="shared" si="22"/>
        <v>13.6</v>
      </c>
      <c r="N175" s="9">
        <f t="shared" si="23"/>
        <v>5</v>
      </c>
      <c r="O175" s="9">
        <v>6.8</v>
      </c>
      <c r="P175" s="9">
        <v>2.5</v>
      </c>
      <c r="Q175" s="9" t="s">
        <v>5</v>
      </c>
      <c r="R175" s="1">
        <v>0</v>
      </c>
      <c r="S175" s="26"/>
    </row>
    <row r="176" spans="1:19" ht="16.5" hidden="1" customHeight="1" x14ac:dyDescent="0.25">
      <c r="A176" s="21"/>
      <c r="H176" s="21"/>
      <c r="I176" s="21"/>
      <c r="J176" s="21"/>
      <c r="K176" s="21"/>
      <c r="L176" s="21"/>
      <c r="M176" s="9">
        <f t="shared" si="22"/>
        <v>0</v>
      </c>
      <c r="N176" s="9">
        <f t="shared" si="23"/>
        <v>0</v>
      </c>
      <c r="O176" s="21"/>
      <c r="P176" s="21"/>
      <c r="Q176" s="21"/>
      <c r="S176" s="25"/>
    </row>
    <row r="177" spans="1:19" ht="16.5" customHeight="1" x14ac:dyDescent="0.25">
      <c r="A177" s="9"/>
      <c r="B177" s="39" t="s">
        <v>42</v>
      </c>
      <c r="C177" s="40"/>
      <c r="D177" s="40"/>
      <c r="E177" s="40"/>
      <c r="F177" s="40"/>
      <c r="G177" s="41"/>
      <c r="H177" s="23"/>
      <c r="I177" s="24">
        <f>SUM(I165:I176)</f>
        <v>22</v>
      </c>
      <c r="J177" s="9"/>
      <c r="K177" s="9"/>
      <c r="L177" s="9"/>
      <c r="M177" s="9">
        <f t="shared" si="22"/>
        <v>161.04000000000002</v>
      </c>
      <c r="N177" s="9">
        <f t="shared" si="23"/>
        <v>63.14</v>
      </c>
      <c r="O177" s="24">
        <f>ROUND(SUM(M165:M176)/I177,2)</f>
        <v>7.32</v>
      </c>
      <c r="P177" s="24">
        <f>ROUND(SUM(N165:N176)/I177,2)</f>
        <v>2.87</v>
      </c>
      <c r="Q177" s="9"/>
      <c r="S177" s="25"/>
    </row>
    <row r="178" spans="1:19" ht="20.25" customHeight="1" x14ac:dyDescent="0.25">
      <c r="A178" s="27" t="s">
        <v>101</v>
      </c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</row>
    <row r="179" spans="1:19" ht="16.5" customHeight="1" x14ac:dyDescent="0.25">
      <c r="A179" s="9"/>
      <c r="B179" s="51" t="s">
        <v>102</v>
      </c>
      <c r="C179" s="52"/>
      <c r="D179" s="52"/>
      <c r="E179" s="52"/>
      <c r="F179" s="52"/>
      <c r="G179" s="53"/>
      <c r="H179" s="20"/>
      <c r="I179" s="9">
        <v>1</v>
      </c>
      <c r="J179" s="9"/>
      <c r="K179" s="9"/>
      <c r="L179" s="9"/>
      <c r="M179" s="9">
        <f t="shared" ref="M179:M192" si="24">I179*O179</f>
        <v>7.3</v>
      </c>
      <c r="N179" s="9">
        <f t="shared" ref="N179:N192" si="25">I179*P179</f>
        <v>3</v>
      </c>
      <c r="O179" s="9">
        <v>7.3</v>
      </c>
      <c r="P179" s="9">
        <v>3</v>
      </c>
      <c r="Q179" s="9" t="s">
        <v>6</v>
      </c>
      <c r="R179" s="1">
        <v>0</v>
      </c>
      <c r="S179" s="26"/>
    </row>
    <row r="180" spans="1:19" ht="16.5" customHeight="1" x14ac:dyDescent="0.25">
      <c r="A180" s="9"/>
      <c r="B180" s="51" t="s">
        <v>103</v>
      </c>
      <c r="C180" s="52"/>
      <c r="D180" s="52"/>
      <c r="E180" s="52"/>
      <c r="F180" s="52"/>
      <c r="G180" s="53"/>
      <c r="H180" s="20"/>
      <c r="I180" s="9">
        <v>2</v>
      </c>
      <c r="J180" s="9"/>
      <c r="K180" s="9"/>
      <c r="L180" s="9"/>
      <c r="M180" s="9">
        <f t="shared" si="24"/>
        <v>16.399999999999999</v>
      </c>
      <c r="N180" s="9">
        <f t="shared" si="25"/>
        <v>7</v>
      </c>
      <c r="O180" s="9">
        <v>8.1999999999999993</v>
      </c>
      <c r="P180" s="9">
        <v>3.5</v>
      </c>
      <c r="Q180" s="9" t="s">
        <v>9</v>
      </c>
      <c r="R180" s="1">
        <v>0</v>
      </c>
      <c r="S180" s="26"/>
    </row>
    <row r="181" spans="1:19" ht="16.5" customHeight="1" x14ac:dyDescent="0.25">
      <c r="A181" s="9"/>
      <c r="B181" s="51" t="s">
        <v>104</v>
      </c>
      <c r="C181" s="52"/>
      <c r="D181" s="52"/>
      <c r="E181" s="52"/>
      <c r="F181" s="52"/>
      <c r="G181" s="53"/>
      <c r="H181" s="20"/>
      <c r="I181" s="9">
        <v>4</v>
      </c>
      <c r="J181" s="9"/>
      <c r="K181" s="9"/>
      <c r="L181" s="9"/>
      <c r="M181" s="9">
        <f t="shared" si="24"/>
        <v>30</v>
      </c>
      <c r="N181" s="9">
        <f t="shared" si="25"/>
        <v>12</v>
      </c>
      <c r="O181" s="9">
        <v>7.5</v>
      </c>
      <c r="P181" s="9">
        <v>3</v>
      </c>
      <c r="Q181" s="9" t="s">
        <v>6</v>
      </c>
      <c r="R181" s="1">
        <v>0</v>
      </c>
      <c r="S181" s="26"/>
    </row>
    <row r="182" spans="1:19" ht="16.5" customHeight="1" x14ac:dyDescent="0.25">
      <c r="A182" s="9"/>
      <c r="B182" s="51" t="s">
        <v>105</v>
      </c>
      <c r="C182" s="52"/>
      <c r="D182" s="52"/>
      <c r="E182" s="52"/>
      <c r="F182" s="52"/>
      <c r="G182" s="53"/>
      <c r="H182" s="20"/>
      <c r="I182" s="9">
        <v>3</v>
      </c>
      <c r="J182" s="9"/>
      <c r="K182" s="9"/>
      <c r="L182" s="9"/>
      <c r="M182" s="9">
        <f t="shared" si="24"/>
        <v>25.799999999999997</v>
      </c>
      <c r="N182" s="9">
        <f t="shared" si="25"/>
        <v>11.100000000000001</v>
      </c>
      <c r="O182" s="9">
        <v>8.6</v>
      </c>
      <c r="P182" s="9">
        <v>3.7</v>
      </c>
      <c r="Q182" s="9" t="s">
        <v>10</v>
      </c>
      <c r="R182" s="1">
        <v>0</v>
      </c>
      <c r="S182" s="26"/>
    </row>
    <row r="183" spans="1:19" ht="16.5" customHeight="1" x14ac:dyDescent="0.25">
      <c r="A183" s="9"/>
      <c r="B183" s="51" t="s">
        <v>106</v>
      </c>
      <c r="C183" s="52"/>
      <c r="D183" s="52"/>
      <c r="E183" s="52"/>
      <c r="F183" s="52"/>
      <c r="G183" s="53"/>
      <c r="H183" s="20"/>
      <c r="I183" s="9">
        <v>2</v>
      </c>
      <c r="J183" s="9"/>
      <c r="K183" s="9"/>
      <c r="L183" s="9"/>
      <c r="M183" s="9">
        <f t="shared" si="24"/>
        <v>14.2</v>
      </c>
      <c r="N183" s="9">
        <f t="shared" si="25"/>
        <v>6</v>
      </c>
      <c r="O183" s="9">
        <v>7.1</v>
      </c>
      <c r="P183" s="9">
        <v>3</v>
      </c>
      <c r="Q183" s="9" t="s">
        <v>6</v>
      </c>
      <c r="R183" s="1">
        <v>0</v>
      </c>
      <c r="S183" s="26"/>
    </row>
    <row r="184" spans="1:19" ht="16.5" customHeight="1" x14ac:dyDescent="0.25">
      <c r="A184" s="9"/>
      <c r="B184" s="51" t="s">
        <v>107</v>
      </c>
      <c r="C184" s="52"/>
      <c r="D184" s="52"/>
      <c r="E184" s="52"/>
      <c r="F184" s="52"/>
      <c r="G184" s="53"/>
      <c r="H184" s="20"/>
      <c r="I184" s="9">
        <v>2</v>
      </c>
      <c r="J184" s="9"/>
      <c r="K184" s="9"/>
      <c r="L184" s="9"/>
      <c r="M184" s="9">
        <f t="shared" si="24"/>
        <v>14.8</v>
      </c>
      <c r="N184" s="9">
        <f t="shared" si="25"/>
        <v>6</v>
      </c>
      <c r="O184" s="9">
        <v>7.4</v>
      </c>
      <c r="P184" s="9">
        <v>3</v>
      </c>
      <c r="Q184" s="9" t="s">
        <v>6</v>
      </c>
      <c r="R184" s="1">
        <v>0</v>
      </c>
      <c r="S184" s="26"/>
    </row>
    <row r="185" spans="1:19" ht="16.5" customHeight="1" x14ac:dyDescent="0.25">
      <c r="A185" s="9"/>
      <c r="B185" s="51" t="s">
        <v>108</v>
      </c>
      <c r="C185" s="52"/>
      <c r="D185" s="52"/>
      <c r="E185" s="52"/>
      <c r="F185" s="52"/>
      <c r="G185" s="53"/>
      <c r="H185" s="20"/>
      <c r="I185" s="9">
        <v>4</v>
      </c>
      <c r="J185" s="9"/>
      <c r="K185" s="9"/>
      <c r="L185" s="9"/>
      <c r="M185" s="9">
        <f t="shared" si="24"/>
        <v>30.8</v>
      </c>
      <c r="N185" s="9">
        <f t="shared" si="25"/>
        <v>12</v>
      </c>
      <c r="O185" s="9">
        <v>7.7</v>
      </c>
      <c r="P185" s="9">
        <v>3</v>
      </c>
      <c r="Q185" s="9" t="s">
        <v>6</v>
      </c>
      <c r="R185" s="1">
        <v>0</v>
      </c>
      <c r="S185" s="26"/>
    </row>
    <row r="186" spans="1:19" ht="16.5" customHeight="1" x14ac:dyDescent="0.25">
      <c r="A186" s="9"/>
      <c r="B186" s="51" t="s">
        <v>109</v>
      </c>
      <c r="C186" s="52"/>
      <c r="D186" s="52"/>
      <c r="E186" s="52"/>
      <c r="F186" s="52"/>
      <c r="G186" s="53"/>
      <c r="H186" s="20"/>
      <c r="I186" s="9">
        <v>2</v>
      </c>
      <c r="J186" s="9"/>
      <c r="K186" s="9"/>
      <c r="L186" s="9"/>
      <c r="M186" s="9">
        <f t="shared" si="24"/>
        <v>13.2</v>
      </c>
      <c r="N186" s="9">
        <f t="shared" si="25"/>
        <v>5</v>
      </c>
      <c r="O186" s="9">
        <v>6.6</v>
      </c>
      <c r="P186" s="9">
        <v>2.5</v>
      </c>
      <c r="Q186" s="9" t="s">
        <v>5</v>
      </c>
      <c r="R186" s="1">
        <v>0</v>
      </c>
      <c r="S186" s="26"/>
    </row>
    <row r="187" spans="1:19" ht="16.5" customHeight="1" x14ac:dyDescent="0.25">
      <c r="A187" s="9"/>
      <c r="B187" s="51" t="s">
        <v>110</v>
      </c>
      <c r="C187" s="52"/>
      <c r="D187" s="52"/>
      <c r="E187" s="52"/>
      <c r="F187" s="52"/>
      <c r="G187" s="53"/>
      <c r="H187" s="20"/>
      <c r="I187" s="9">
        <v>2</v>
      </c>
      <c r="J187" s="9"/>
      <c r="K187" s="9"/>
      <c r="L187" s="9"/>
      <c r="M187" s="9">
        <f t="shared" si="24"/>
        <v>16.399999999999999</v>
      </c>
      <c r="N187" s="9">
        <f t="shared" si="25"/>
        <v>7</v>
      </c>
      <c r="O187" s="9">
        <v>8.1999999999999993</v>
      </c>
      <c r="P187" s="9">
        <v>3.5</v>
      </c>
      <c r="Q187" s="9" t="s">
        <v>9</v>
      </c>
      <c r="R187" s="1">
        <v>0</v>
      </c>
      <c r="S187" s="26"/>
    </row>
    <row r="188" spans="1:19" ht="16.5" customHeight="1" x14ac:dyDescent="0.25">
      <c r="A188" s="9"/>
      <c r="B188" s="51" t="s">
        <v>111</v>
      </c>
      <c r="C188" s="52"/>
      <c r="D188" s="52"/>
      <c r="E188" s="52"/>
      <c r="F188" s="52"/>
      <c r="G188" s="53"/>
      <c r="H188" s="20"/>
      <c r="I188" s="9">
        <v>4</v>
      </c>
      <c r="J188" s="9"/>
      <c r="K188" s="9"/>
      <c r="L188" s="9"/>
      <c r="M188" s="9">
        <f t="shared" si="24"/>
        <v>24.8</v>
      </c>
      <c r="N188" s="9">
        <f t="shared" si="25"/>
        <v>8</v>
      </c>
      <c r="O188" s="9">
        <v>6.2</v>
      </c>
      <c r="P188" s="9">
        <v>2</v>
      </c>
      <c r="Q188" s="9" t="s">
        <v>3</v>
      </c>
      <c r="R188" s="1">
        <v>0</v>
      </c>
      <c r="S188" s="26"/>
    </row>
    <row r="189" spans="1:19" ht="16.5" customHeight="1" x14ac:dyDescent="0.25">
      <c r="A189" s="9"/>
      <c r="B189" s="51" t="s">
        <v>112</v>
      </c>
      <c r="C189" s="52"/>
      <c r="D189" s="52"/>
      <c r="E189" s="52"/>
      <c r="F189" s="52"/>
      <c r="G189" s="53"/>
      <c r="H189" s="20"/>
      <c r="I189" s="9">
        <v>2</v>
      </c>
      <c r="J189" s="9"/>
      <c r="K189" s="9"/>
      <c r="L189" s="9"/>
      <c r="M189" s="9">
        <f t="shared" si="24"/>
        <v>13.6</v>
      </c>
      <c r="N189" s="9">
        <f t="shared" si="25"/>
        <v>5</v>
      </c>
      <c r="O189" s="9">
        <v>6.8</v>
      </c>
      <c r="P189" s="9">
        <v>2.5</v>
      </c>
      <c r="Q189" s="9" t="s">
        <v>5</v>
      </c>
      <c r="R189" s="1">
        <v>0</v>
      </c>
      <c r="S189" s="26"/>
    </row>
    <row r="190" spans="1:19" ht="16.5" customHeight="1" x14ac:dyDescent="0.25">
      <c r="A190" s="9"/>
      <c r="B190" s="51" t="s">
        <v>113</v>
      </c>
      <c r="C190" s="52"/>
      <c r="D190" s="52"/>
      <c r="E190" s="52"/>
      <c r="F190" s="52"/>
      <c r="G190" s="53"/>
      <c r="H190" s="20"/>
      <c r="I190" s="9">
        <v>1</v>
      </c>
      <c r="J190" s="9"/>
      <c r="K190" s="9"/>
      <c r="L190" s="9"/>
      <c r="M190" s="9">
        <f t="shared" si="24"/>
        <v>7.7</v>
      </c>
      <c r="N190" s="9">
        <f t="shared" si="25"/>
        <v>3</v>
      </c>
      <c r="O190" s="9">
        <v>7.7</v>
      </c>
      <c r="P190" s="9">
        <v>3</v>
      </c>
      <c r="Q190" s="9" t="s">
        <v>6</v>
      </c>
      <c r="R190" s="1">
        <v>0</v>
      </c>
      <c r="S190" s="26"/>
    </row>
    <row r="191" spans="1:19" ht="16.5" hidden="1" customHeight="1" x14ac:dyDescent="0.25">
      <c r="A191" s="21"/>
      <c r="H191" s="21"/>
      <c r="I191" s="21"/>
      <c r="J191" s="21"/>
      <c r="K191" s="21"/>
      <c r="L191" s="21"/>
      <c r="M191" s="9">
        <f t="shared" si="24"/>
        <v>0</v>
      </c>
      <c r="N191" s="9">
        <f t="shared" si="25"/>
        <v>0</v>
      </c>
      <c r="O191" s="21"/>
      <c r="P191" s="21"/>
      <c r="Q191" s="21"/>
      <c r="S191" s="25"/>
    </row>
    <row r="192" spans="1:19" ht="16.5" customHeight="1" x14ac:dyDescent="0.25">
      <c r="A192" s="9"/>
      <c r="B192" s="39" t="s">
        <v>42</v>
      </c>
      <c r="C192" s="40"/>
      <c r="D192" s="40"/>
      <c r="E192" s="40"/>
      <c r="F192" s="40"/>
      <c r="G192" s="41"/>
      <c r="H192" s="23"/>
      <c r="I192" s="24">
        <f>SUM(I179:I191)</f>
        <v>29</v>
      </c>
      <c r="J192" s="9"/>
      <c r="K192" s="9"/>
      <c r="L192" s="9"/>
      <c r="M192" s="9">
        <f t="shared" si="24"/>
        <v>214.89000000000001</v>
      </c>
      <c r="N192" s="9">
        <f t="shared" si="25"/>
        <v>84.97</v>
      </c>
      <c r="O192" s="24">
        <f>ROUND(SUM(M179:M191)/I192,2)</f>
        <v>7.41</v>
      </c>
      <c r="P192" s="24">
        <f>ROUND(SUM(N179:N191)/I192,2)</f>
        <v>2.93</v>
      </c>
      <c r="Q192" s="9"/>
      <c r="S192" s="25"/>
    </row>
    <row r="193" spans="1:19" ht="20.25" customHeight="1" x14ac:dyDescent="0.25">
      <c r="A193" s="27" t="s">
        <v>114</v>
      </c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</row>
    <row r="194" spans="1:19" ht="16.5" customHeight="1" x14ac:dyDescent="0.25">
      <c r="A194" s="9"/>
      <c r="B194" s="51" t="s">
        <v>115</v>
      </c>
      <c r="C194" s="52"/>
      <c r="D194" s="52"/>
      <c r="E194" s="52"/>
      <c r="F194" s="52"/>
      <c r="G194" s="53"/>
      <c r="H194" s="20"/>
      <c r="I194" s="9">
        <v>2</v>
      </c>
      <c r="J194" s="9"/>
      <c r="K194" s="9"/>
      <c r="L194" s="9"/>
      <c r="M194" s="9">
        <f t="shared" ref="M194:M204" si="26">I194*O194</f>
        <v>0</v>
      </c>
      <c r="N194" s="9">
        <f t="shared" ref="N194:N204" si="27">I194*P194</f>
        <v>0</v>
      </c>
      <c r="O194" s="9"/>
      <c r="P194" s="9"/>
      <c r="Q194" s="9"/>
      <c r="R194" s="1">
        <v>0</v>
      </c>
      <c r="S194" s="26"/>
    </row>
    <row r="195" spans="1:19" ht="16.5" customHeight="1" x14ac:dyDescent="0.25">
      <c r="A195" s="9"/>
      <c r="B195" s="51" t="s">
        <v>122</v>
      </c>
      <c r="C195" s="52"/>
      <c r="D195" s="52"/>
      <c r="E195" s="52"/>
      <c r="F195" s="52"/>
      <c r="G195" s="53"/>
      <c r="H195" s="20"/>
      <c r="I195" s="9">
        <v>2</v>
      </c>
      <c r="J195" s="9"/>
      <c r="K195" s="9"/>
      <c r="L195" s="9"/>
      <c r="M195" s="9">
        <f t="shared" si="26"/>
        <v>0</v>
      </c>
      <c r="N195" s="9">
        <f t="shared" si="27"/>
        <v>0</v>
      </c>
      <c r="O195" s="9"/>
      <c r="P195" s="9"/>
      <c r="Q195" s="9"/>
      <c r="R195" s="1">
        <v>0</v>
      </c>
      <c r="S195" s="26"/>
    </row>
    <row r="196" spans="1:19" ht="16.5" customHeight="1" x14ac:dyDescent="0.25">
      <c r="A196" s="9"/>
      <c r="B196" s="51" t="s">
        <v>117</v>
      </c>
      <c r="C196" s="52"/>
      <c r="D196" s="52"/>
      <c r="E196" s="52"/>
      <c r="F196" s="52"/>
      <c r="G196" s="53"/>
      <c r="H196" s="20"/>
      <c r="I196" s="9">
        <v>3</v>
      </c>
      <c r="J196" s="9"/>
      <c r="K196" s="9"/>
      <c r="L196" s="9"/>
      <c r="M196" s="9">
        <f t="shared" si="26"/>
        <v>0</v>
      </c>
      <c r="N196" s="9">
        <f t="shared" si="27"/>
        <v>0</v>
      </c>
      <c r="O196" s="9"/>
      <c r="P196" s="9"/>
      <c r="Q196" s="9"/>
      <c r="R196" s="1">
        <v>0</v>
      </c>
      <c r="S196" s="26"/>
    </row>
    <row r="197" spans="1:19" ht="16.5" customHeight="1" x14ac:dyDescent="0.25">
      <c r="A197" s="9"/>
      <c r="B197" s="51" t="s">
        <v>123</v>
      </c>
      <c r="C197" s="52"/>
      <c r="D197" s="52"/>
      <c r="E197" s="52"/>
      <c r="F197" s="52"/>
      <c r="G197" s="53"/>
      <c r="H197" s="20"/>
      <c r="I197" s="9">
        <v>2</v>
      </c>
      <c r="J197" s="9"/>
      <c r="K197" s="9"/>
      <c r="L197" s="9"/>
      <c r="M197" s="9">
        <f t="shared" si="26"/>
        <v>0</v>
      </c>
      <c r="N197" s="9">
        <f t="shared" si="27"/>
        <v>0</v>
      </c>
      <c r="O197" s="9"/>
      <c r="P197" s="9"/>
      <c r="Q197" s="9"/>
      <c r="R197" s="1">
        <v>0</v>
      </c>
      <c r="S197" s="26"/>
    </row>
    <row r="198" spans="1:19" ht="16.5" customHeight="1" x14ac:dyDescent="0.25">
      <c r="A198" s="9"/>
      <c r="B198" s="51" t="s">
        <v>119</v>
      </c>
      <c r="C198" s="52"/>
      <c r="D198" s="52"/>
      <c r="E198" s="52"/>
      <c r="F198" s="52"/>
      <c r="G198" s="53"/>
      <c r="H198" s="20"/>
      <c r="I198" s="9">
        <v>4</v>
      </c>
      <c r="J198" s="9"/>
      <c r="K198" s="9"/>
      <c r="L198" s="9"/>
      <c r="M198" s="9">
        <f t="shared" si="26"/>
        <v>0</v>
      </c>
      <c r="N198" s="9">
        <f t="shared" si="27"/>
        <v>0</v>
      </c>
      <c r="O198" s="9"/>
      <c r="P198" s="9"/>
      <c r="Q198" s="9"/>
      <c r="R198" s="1">
        <v>0</v>
      </c>
      <c r="S198" s="26"/>
    </row>
    <row r="199" spans="1:19" ht="16.5" customHeight="1" x14ac:dyDescent="0.25">
      <c r="A199" s="9"/>
      <c r="B199" s="51" t="s">
        <v>120</v>
      </c>
      <c r="C199" s="52"/>
      <c r="D199" s="52"/>
      <c r="E199" s="52"/>
      <c r="F199" s="52"/>
      <c r="G199" s="53"/>
      <c r="H199" s="20"/>
      <c r="I199" s="9">
        <v>3</v>
      </c>
      <c r="J199" s="9"/>
      <c r="K199" s="9"/>
      <c r="L199" s="9"/>
      <c r="M199" s="9">
        <f t="shared" si="26"/>
        <v>20.399999999999999</v>
      </c>
      <c r="N199" s="9">
        <f t="shared" si="27"/>
        <v>7.5</v>
      </c>
      <c r="O199" s="9">
        <v>6.8</v>
      </c>
      <c r="P199" s="9">
        <v>2.5</v>
      </c>
      <c r="Q199" s="9" t="s">
        <v>5</v>
      </c>
      <c r="R199" s="1">
        <v>0</v>
      </c>
      <c r="S199" s="26"/>
    </row>
    <row r="200" spans="1:19" ht="16.5" customHeight="1" x14ac:dyDescent="0.25">
      <c r="A200" s="9"/>
      <c r="B200" s="51" t="s">
        <v>121</v>
      </c>
      <c r="C200" s="52"/>
      <c r="D200" s="52"/>
      <c r="E200" s="52"/>
      <c r="F200" s="52"/>
      <c r="G200" s="53"/>
      <c r="H200" s="20"/>
      <c r="I200" s="9">
        <v>2</v>
      </c>
      <c r="J200" s="9"/>
      <c r="K200" s="9"/>
      <c r="L200" s="9"/>
      <c r="M200" s="9">
        <f t="shared" si="26"/>
        <v>15.8</v>
      </c>
      <c r="N200" s="9">
        <f t="shared" si="27"/>
        <v>6</v>
      </c>
      <c r="O200" s="9">
        <v>7.9</v>
      </c>
      <c r="P200" s="9">
        <v>3</v>
      </c>
      <c r="Q200" s="9" t="s">
        <v>6</v>
      </c>
      <c r="R200" s="1">
        <v>0</v>
      </c>
      <c r="S200" s="26"/>
    </row>
    <row r="201" spans="1:19" ht="16.5" customHeight="1" x14ac:dyDescent="0.25">
      <c r="A201" s="9"/>
      <c r="B201" s="51" t="s">
        <v>116</v>
      </c>
      <c r="C201" s="52"/>
      <c r="D201" s="52"/>
      <c r="E201" s="52"/>
      <c r="F201" s="52"/>
      <c r="G201" s="53"/>
      <c r="H201" s="20"/>
      <c r="I201" s="9">
        <v>3</v>
      </c>
      <c r="J201" s="9"/>
      <c r="K201" s="9"/>
      <c r="L201" s="9"/>
      <c r="M201" s="9">
        <f t="shared" si="26"/>
        <v>21.299999999999997</v>
      </c>
      <c r="N201" s="9">
        <f t="shared" si="27"/>
        <v>9</v>
      </c>
      <c r="O201" s="9">
        <v>7.1</v>
      </c>
      <c r="P201" s="9">
        <v>3</v>
      </c>
      <c r="Q201" s="9" t="s">
        <v>6</v>
      </c>
      <c r="R201" s="1">
        <v>0</v>
      </c>
      <c r="S201" s="26"/>
    </row>
    <row r="202" spans="1:19" ht="16.5" customHeight="1" x14ac:dyDescent="0.25">
      <c r="A202" s="9"/>
      <c r="B202" s="51" t="s">
        <v>118</v>
      </c>
      <c r="C202" s="52"/>
      <c r="D202" s="52"/>
      <c r="E202" s="52"/>
      <c r="F202" s="52"/>
      <c r="G202" s="53"/>
      <c r="H202" s="20"/>
      <c r="I202" s="9">
        <v>1</v>
      </c>
      <c r="J202" s="9"/>
      <c r="K202" s="9"/>
      <c r="L202" s="9"/>
      <c r="M202" s="9">
        <f t="shared" si="26"/>
        <v>6.9</v>
      </c>
      <c r="N202" s="9">
        <f t="shared" si="27"/>
        <v>2.5</v>
      </c>
      <c r="O202" s="9">
        <v>6.9</v>
      </c>
      <c r="P202" s="9">
        <v>2.5</v>
      </c>
      <c r="Q202" s="9" t="s">
        <v>5</v>
      </c>
      <c r="R202" s="1">
        <v>0</v>
      </c>
      <c r="S202" s="26"/>
    </row>
    <row r="203" spans="1:19" ht="16.5" hidden="1" customHeight="1" x14ac:dyDescent="0.25">
      <c r="A203" s="21"/>
      <c r="H203" s="21"/>
      <c r="I203" s="21"/>
      <c r="J203" s="21"/>
      <c r="K203" s="21"/>
      <c r="L203" s="21"/>
      <c r="M203" s="9">
        <f t="shared" si="26"/>
        <v>0</v>
      </c>
      <c r="N203" s="9">
        <f t="shared" si="27"/>
        <v>0</v>
      </c>
      <c r="O203" s="21"/>
      <c r="P203" s="21"/>
      <c r="Q203" s="21"/>
      <c r="S203" s="25"/>
    </row>
    <row r="204" spans="1:19" ht="16.5" customHeight="1" x14ac:dyDescent="0.25">
      <c r="A204" s="9"/>
      <c r="B204" s="39" t="s">
        <v>42</v>
      </c>
      <c r="C204" s="40"/>
      <c r="D204" s="40"/>
      <c r="E204" s="40"/>
      <c r="F204" s="40"/>
      <c r="G204" s="41"/>
      <c r="H204" s="23"/>
      <c r="I204" s="24">
        <f>SUM(I194:I203)</f>
        <v>22</v>
      </c>
      <c r="J204" s="9"/>
      <c r="K204" s="9"/>
      <c r="L204" s="9"/>
      <c r="M204" s="9">
        <f t="shared" si="26"/>
        <v>64.460000000000008</v>
      </c>
      <c r="N204" s="9">
        <f t="shared" si="27"/>
        <v>25.08</v>
      </c>
      <c r="O204" s="24">
        <f>ROUND(SUM(M194:M203)/I204,2)</f>
        <v>2.93</v>
      </c>
      <c r="P204" s="24">
        <f>ROUND(SUM(N194:N203)/I204,2)</f>
        <v>1.1399999999999999</v>
      </c>
      <c r="Q204" s="9"/>
      <c r="S204" s="25"/>
    </row>
    <row r="205" spans="1:19" ht="16.5" customHeight="1" x14ac:dyDescent="0.25">
      <c r="A205" s="21"/>
      <c r="B205" s="22"/>
      <c r="C205" s="22"/>
      <c r="D205" s="22"/>
      <c r="E205" s="22"/>
      <c r="F205" s="22"/>
      <c r="G205" s="22"/>
      <c r="H205" s="21"/>
      <c r="I205" s="21"/>
      <c r="J205" s="21"/>
      <c r="K205" s="21"/>
      <c r="L205" s="21"/>
      <c r="M205" s="21"/>
      <c r="N205" s="21"/>
      <c r="O205" s="21"/>
      <c r="P205" s="21"/>
      <c r="Q205" s="21"/>
    </row>
    <row r="207" spans="1:19" ht="18" x14ac:dyDescent="0.25">
      <c r="A207" s="35" t="s">
        <v>50</v>
      </c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</row>
    <row r="208" spans="1:19" ht="18" x14ac:dyDescent="0.25">
      <c r="A208" s="35" t="s">
        <v>127</v>
      </c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</row>
    <row r="209" spans="1:20" ht="18" x14ac:dyDescent="0.25">
      <c r="A209" s="35" t="s">
        <v>52</v>
      </c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</row>
    <row r="210" spans="1:20" ht="18" x14ac:dyDescent="0.25">
      <c r="A210" s="45" t="s">
        <v>53</v>
      </c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</row>
    <row r="211" spans="1:20" ht="19.5" customHeight="1" x14ac:dyDescent="0.25">
      <c r="A211" s="17"/>
      <c r="B211" s="17"/>
      <c r="C211" s="8"/>
      <c r="D211" s="18"/>
      <c r="E211" s="10"/>
      <c r="F211" s="11"/>
      <c r="G211" s="46" t="s">
        <v>49</v>
      </c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</row>
    <row r="212" spans="1:20" ht="31.5" customHeight="1" x14ac:dyDescent="0.3">
      <c r="A212" s="8"/>
      <c r="B212" s="8"/>
      <c r="C212" s="8"/>
      <c r="D212" s="8"/>
      <c r="E212" s="8"/>
      <c r="F212" s="8"/>
      <c r="G212" s="8"/>
      <c r="H212" s="12"/>
      <c r="I212" s="42" t="s">
        <v>40</v>
      </c>
      <c r="J212" s="43"/>
      <c r="K212" s="43"/>
      <c r="L212" s="43"/>
      <c r="M212" s="43"/>
      <c r="N212" s="43"/>
      <c r="O212" s="43"/>
      <c r="P212" s="43"/>
      <c r="Q212" s="43"/>
      <c r="R212" s="43"/>
      <c r="S212" s="43"/>
    </row>
    <row r="213" spans="1:20" ht="16.8" x14ac:dyDescent="0.3">
      <c r="A213" s="8"/>
      <c r="B213" s="8"/>
      <c r="C213" s="8"/>
      <c r="D213" s="8"/>
      <c r="E213" s="8"/>
      <c r="F213" s="8"/>
      <c r="G213" s="8"/>
      <c r="H213" s="12"/>
      <c r="I213" s="12"/>
      <c r="J213" s="12"/>
      <c r="K213" s="12"/>
      <c r="L213" s="8"/>
      <c r="M213" s="8"/>
      <c r="N213" s="8"/>
      <c r="O213" s="8"/>
      <c r="P213" s="8"/>
      <c r="Q213" s="8"/>
    </row>
    <row r="214" spans="1:20" ht="33" customHeight="1" x14ac:dyDescent="0.3">
      <c r="A214" s="8"/>
      <c r="B214" s="8"/>
      <c r="C214" s="8"/>
      <c r="D214" s="8"/>
      <c r="E214" s="8"/>
      <c r="F214" s="8"/>
      <c r="G214" s="8"/>
      <c r="H214" s="12"/>
      <c r="I214" s="12"/>
      <c r="J214" s="12"/>
      <c r="K214" s="12"/>
      <c r="L214" s="8"/>
      <c r="M214" s="8"/>
      <c r="N214" s="8"/>
      <c r="O214" s="8"/>
      <c r="P214" s="8"/>
      <c r="Q214" s="8"/>
    </row>
    <row r="215" spans="1:20" ht="11.25" customHeight="1" x14ac:dyDescent="0.3">
      <c r="A215" s="8"/>
      <c r="B215" s="8"/>
      <c r="C215" s="8"/>
      <c r="D215" s="8"/>
      <c r="E215" s="8"/>
      <c r="F215" s="8"/>
      <c r="G215" s="8"/>
      <c r="H215" s="12"/>
      <c r="I215" s="12"/>
      <c r="J215" s="12"/>
      <c r="K215" s="12"/>
      <c r="L215" s="8"/>
      <c r="M215" s="8"/>
      <c r="N215" s="8"/>
      <c r="O215" s="8"/>
      <c r="P215" s="8"/>
      <c r="Q215" s="8"/>
    </row>
    <row r="216" spans="1:20" ht="17.399999999999999" x14ac:dyDescent="0.3">
      <c r="A216" s="8"/>
      <c r="B216" s="8"/>
      <c r="C216" s="8"/>
      <c r="D216" s="8"/>
      <c r="E216" s="8"/>
      <c r="F216" s="8"/>
      <c r="G216" s="47" t="s">
        <v>41</v>
      </c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</row>
    <row r="217" spans="1:20" ht="54" customHeight="1" x14ac:dyDescent="0.25">
      <c r="A217" s="48" t="s">
        <v>33</v>
      </c>
      <c r="B217" s="48"/>
      <c r="C217" s="48"/>
      <c r="D217" s="48"/>
      <c r="E217" s="48"/>
      <c r="F217" s="42" t="s">
        <v>24</v>
      </c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</row>
    <row r="218" spans="1:20" ht="17.399999999999999" x14ac:dyDescent="0.25">
      <c r="A218" s="49" t="s">
        <v>34</v>
      </c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</row>
    <row r="219" spans="1:20" ht="4.5" customHeight="1" x14ac:dyDescent="0.25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</row>
    <row r="220" spans="1:20" ht="5.25" customHeight="1" x14ac:dyDescent="0.25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</row>
    <row r="221" spans="1:20" ht="16.5" customHeight="1" x14ac:dyDescent="0.25">
      <c r="A221" s="54" t="s">
        <v>128</v>
      </c>
      <c r="B221" s="54"/>
      <c r="C221" s="54"/>
      <c r="D221" s="54"/>
      <c r="E221" s="54"/>
      <c r="F221" s="54"/>
      <c r="G221" s="58" t="s">
        <v>129</v>
      </c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</row>
    <row r="222" spans="1:20" ht="16.5" customHeight="1" x14ac:dyDescent="0.25">
      <c r="A222" s="54" t="s">
        <v>130</v>
      </c>
      <c r="B222" s="54"/>
      <c r="C222" s="54"/>
      <c r="D222" s="54"/>
      <c r="E222" s="54"/>
      <c r="F222" s="54"/>
      <c r="G222" s="8" t="s">
        <v>46</v>
      </c>
      <c r="H222" s="8"/>
      <c r="I222" s="8"/>
      <c r="J222" s="8"/>
      <c r="K222" s="8"/>
      <c r="L222" s="8"/>
      <c r="M222" s="8"/>
      <c r="N222" s="8"/>
      <c r="O222" s="8"/>
      <c r="P222" s="8"/>
      <c r="Q222" s="8"/>
      <c r="T222" s="2"/>
    </row>
    <row r="223" spans="1:20" ht="16.5" customHeight="1" x14ac:dyDescent="0.25">
      <c r="A223" s="54" t="s">
        <v>47</v>
      </c>
      <c r="B223" s="54"/>
      <c r="C223" s="54"/>
      <c r="D223" s="54"/>
      <c r="E223" s="54"/>
      <c r="F223" s="54"/>
      <c r="G223" s="58" t="s">
        <v>48</v>
      </c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</row>
    <row r="224" spans="1:20" ht="5.25" customHeight="1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19"/>
      <c r="K224" s="19"/>
      <c r="L224" s="19"/>
      <c r="M224" s="19"/>
      <c r="N224" s="19"/>
      <c r="O224" s="19"/>
      <c r="P224" s="19"/>
      <c r="Q224" s="19"/>
    </row>
    <row r="225" spans="1:19" ht="15" customHeight="1" x14ac:dyDescent="0.25">
      <c r="A225" s="36" t="s">
        <v>0</v>
      </c>
      <c r="B225" s="29" t="s">
        <v>1</v>
      </c>
      <c r="C225" s="30"/>
      <c r="D225" s="30"/>
      <c r="E225" s="30"/>
      <c r="F225" s="30"/>
      <c r="G225" s="31"/>
      <c r="H225" s="36" t="s">
        <v>32</v>
      </c>
      <c r="I225" s="36" t="s">
        <v>39</v>
      </c>
      <c r="J225" s="55" t="s">
        <v>2</v>
      </c>
      <c r="K225" s="56"/>
      <c r="L225" s="56"/>
      <c r="M225" s="56"/>
      <c r="N225" s="56"/>
      <c r="O225" s="56"/>
      <c r="P225" s="56"/>
      <c r="Q225" s="57"/>
      <c r="S225" s="36" t="s">
        <v>38</v>
      </c>
    </row>
    <row r="226" spans="1:19" ht="24" customHeight="1" x14ac:dyDescent="0.25">
      <c r="A226" s="37"/>
      <c r="B226" s="32"/>
      <c r="C226" s="33"/>
      <c r="D226" s="33"/>
      <c r="E226" s="33"/>
      <c r="F226" s="33"/>
      <c r="G226" s="34"/>
      <c r="H226" s="37"/>
      <c r="I226" s="37"/>
      <c r="J226" s="7" t="s">
        <v>28</v>
      </c>
      <c r="K226" s="7" t="s">
        <v>29</v>
      </c>
      <c r="L226" s="7" t="s">
        <v>30</v>
      </c>
      <c r="M226" s="7"/>
      <c r="N226" s="7"/>
      <c r="O226" s="6" t="s">
        <v>35</v>
      </c>
      <c r="P226" s="6" t="s">
        <v>36</v>
      </c>
      <c r="Q226" s="6" t="s">
        <v>37</v>
      </c>
      <c r="S226" s="37"/>
    </row>
    <row r="227" spans="1:19" ht="20.25" customHeight="1" x14ac:dyDescent="0.25">
      <c r="A227" s="27" t="s">
        <v>54</v>
      </c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</row>
    <row r="228" spans="1:19" ht="16.5" customHeight="1" x14ac:dyDescent="0.25">
      <c r="A228" s="9"/>
      <c r="B228" s="51" t="s">
        <v>61</v>
      </c>
      <c r="C228" s="52"/>
      <c r="D228" s="52"/>
      <c r="E228" s="52"/>
      <c r="F228" s="52"/>
      <c r="G228" s="53"/>
      <c r="H228" s="20"/>
      <c r="I228" s="9">
        <v>1</v>
      </c>
      <c r="J228" s="9"/>
      <c r="K228" s="9"/>
      <c r="L228" s="9"/>
      <c r="M228" s="9">
        <f t="shared" ref="M228:M236" si="28">I228*O228</f>
        <v>6.4</v>
      </c>
      <c r="N228" s="9">
        <f t="shared" ref="N228:N236" si="29">I228*P228</f>
        <v>2</v>
      </c>
      <c r="O228" s="9">
        <v>6.4</v>
      </c>
      <c r="P228" s="9">
        <v>2</v>
      </c>
      <c r="Q228" s="9" t="s">
        <v>3</v>
      </c>
      <c r="R228" s="1">
        <v>0</v>
      </c>
      <c r="S228" s="26"/>
    </row>
    <row r="229" spans="1:19" ht="16.5" customHeight="1" x14ac:dyDescent="0.25">
      <c r="A229" s="9"/>
      <c r="B229" s="51" t="s">
        <v>56</v>
      </c>
      <c r="C229" s="52"/>
      <c r="D229" s="52"/>
      <c r="E229" s="52"/>
      <c r="F229" s="52"/>
      <c r="G229" s="53"/>
      <c r="H229" s="20"/>
      <c r="I229" s="9">
        <v>3</v>
      </c>
      <c r="J229" s="9"/>
      <c r="K229" s="9"/>
      <c r="L229" s="9"/>
      <c r="M229" s="9">
        <f t="shared" si="28"/>
        <v>14.700000000000001</v>
      </c>
      <c r="N229" s="9">
        <f t="shared" si="29"/>
        <v>3</v>
      </c>
      <c r="O229" s="9">
        <v>4.9000000000000004</v>
      </c>
      <c r="P229" s="9">
        <v>1</v>
      </c>
      <c r="Q229" s="9" t="s">
        <v>8</v>
      </c>
      <c r="R229" s="1">
        <v>0</v>
      </c>
      <c r="S229" s="26"/>
    </row>
    <row r="230" spans="1:19" ht="31.2" customHeight="1" x14ac:dyDescent="0.25">
      <c r="A230" s="9"/>
      <c r="B230" s="51" t="s">
        <v>57</v>
      </c>
      <c r="C230" s="52"/>
      <c r="D230" s="52"/>
      <c r="E230" s="52"/>
      <c r="F230" s="52"/>
      <c r="G230" s="53"/>
      <c r="H230" s="20"/>
      <c r="I230" s="9">
        <v>3</v>
      </c>
      <c r="J230" s="9"/>
      <c r="K230" s="9"/>
      <c r="L230" s="9"/>
      <c r="M230" s="9">
        <f t="shared" si="28"/>
        <v>23.700000000000003</v>
      </c>
      <c r="N230" s="9">
        <f t="shared" si="29"/>
        <v>9</v>
      </c>
      <c r="O230" s="9">
        <v>7.9</v>
      </c>
      <c r="P230" s="9">
        <v>3</v>
      </c>
      <c r="Q230" s="9" t="s">
        <v>6</v>
      </c>
      <c r="R230" s="1">
        <v>0</v>
      </c>
      <c r="S230" s="26"/>
    </row>
    <row r="231" spans="1:19" ht="16.5" customHeight="1" x14ac:dyDescent="0.25">
      <c r="A231" s="9"/>
      <c r="B231" s="51" t="s">
        <v>58</v>
      </c>
      <c r="C231" s="52"/>
      <c r="D231" s="52"/>
      <c r="E231" s="52"/>
      <c r="F231" s="52"/>
      <c r="G231" s="53"/>
      <c r="H231" s="20"/>
      <c r="I231" s="9">
        <v>1</v>
      </c>
      <c r="J231" s="9"/>
      <c r="K231" s="9"/>
      <c r="L231" s="9"/>
      <c r="M231" s="9">
        <f t="shared" si="28"/>
        <v>6.8</v>
      </c>
      <c r="N231" s="9">
        <f t="shared" si="29"/>
        <v>2.5</v>
      </c>
      <c r="O231" s="9">
        <v>6.8</v>
      </c>
      <c r="P231" s="9">
        <v>2.5</v>
      </c>
      <c r="Q231" s="9" t="s">
        <v>5</v>
      </c>
      <c r="R231" s="1">
        <v>0</v>
      </c>
      <c r="S231" s="26"/>
    </row>
    <row r="232" spans="1:19" ht="16.5" customHeight="1" x14ac:dyDescent="0.25">
      <c r="A232" s="9"/>
      <c r="B232" s="51" t="s">
        <v>59</v>
      </c>
      <c r="C232" s="52"/>
      <c r="D232" s="52"/>
      <c r="E232" s="52"/>
      <c r="F232" s="52"/>
      <c r="G232" s="53"/>
      <c r="H232" s="20"/>
      <c r="I232" s="9">
        <v>1</v>
      </c>
      <c r="J232" s="9"/>
      <c r="K232" s="9"/>
      <c r="L232" s="9"/>
      <c r="M232" s="9">
        <f t="shared" si="28"/>
        <v>6.8</v>
      </c>
      <c r="N232" s="9">
        <f t="shared" si="29"/>
        <v>2.5</v>
      </c>
      <c r="O232" s="9">
        <v>6.8</v>
      </c>
      <c r="P232" s="9">
        <v>2.5</v>
      </c>
      <c r="Q232" s="9" t="s">
        <v>5</v>
      </c>
      <c r="R232" s="1">
        <v>0</v>
      </c>
      <c r="S232" s="26"/>
    </row>
    <row r="233" spans="1:19" ht="16.5" customHeight="1" x14ac:dyDescent="0.25">
      <c r="A233" s="9"/>
      <c r="B233" s="51" t="s">
        <v>60</v>
      </c>
      <c r="C233" s="52"/>
      <c r="D233" s="52"/>
      <c r="E233" s="52"/>
      <c r="F233" s="52"/>
      <c r="G233" s="53"/>
      <c r="H233" s="20"/>
      <c r="I233" s="9">
        <v>3</v>
      </c>
      <c r="J233" s="9"/>
      <c r="K233" s="9"/>
      <c r="L233" s="9"/>
      <c r="M233" s="9">
        <f t="shared" si="28"/>
        <v>21</v>
      </c>
      <c r="N233" s="9">
        <f t="shared" si="29"/>
        <v>9</v>
      </c>
      <c r="O233" s="9">
        <v>7</v>
      </c>
      <c r="P233" s="9">
        <v>3</v>
      </c>
      <c r="Q233" s="9" t="s">
        <v>6</v>
      </c>
      <c r="R233" s="1">
        <v>0</v>
      </c>
      <c r="S233" s="26"/>
    </row>
    <row r="234" spans="1:19" ht="16.5" customHeight="1" x14ac:dyDescent="0.25">
      <c r="A234" s="9"/>
      <c r="B234" s="51" t="s">
        <v>55</v>
      </c>
      <c r="C234" s="52"/>
      <c r="D234" s="52"/>
      <c r="E234" s="52"/>
      <c r="F234" s="52"/>
      <c r="G234" s="53"/>
      <c r="H234" s="20"/>
      <c r="I234" s="9">
        <v>2</v>
      </c>
      <c r="J234" s="9"/>
      <c r="K234" s="9"/>
      <c r="L234" s="9"/>
      <c r="M234" s="9">
        <f t="shared" si="28"/>
        <v>14.6</v>
      </c>
      <c r="N234" s="9">
        <f t="shared" si="29"/>
        <v>6</v>
      </c>
      <c r="O234" s="9">
        <v>7.3</v>
      </c>
      <c r="P234" s="9">
        <v>3</v>
      </c>
      <c r="Q234" s="9" t="s">
        <v>6</v>
      </c>
      <c r="R234" s="1">
        <v>0</v>
      </c>
      <c r="S234" s="26"/>
    </row>
    <row r="235" spans="1:19" ht="16.5" hidden="1" customHeight="1" x14ac:dyDescent="0.25">
      <c r="A235" s="21"/>
      <c r="H235" s="21"/>
      <c r="I235" s="21"/>
      <c r="J235" s="21"/>
      <c r="K235" s="21"/>
      <c r="L235" s="21"/>
      <c r="M235" s="9">
        <f t="shared" si="28"/>
        <v>0</v>
      </c>
      <c r="N235" s="9">
        <f t="shared" si="29"/>
        <v>0</v>
      </c>
      <c r="O235" s="21"/>
      <c r="P235" s="21"/>
      <c r="Q235" s="21"/>
      <c r="S235" s="25"/>
    </row>
    <row r="236" spans="1:19" ht="16.5" customHeight="1" x14ac:dyDescent="0.25">
      <c r="A236" s="9"/>
      <c r="B236" s="39" t="s">
        <v>42</v>
      </c>
      <c r="C236" s="40"/>
      <c r="D236" s="40"/>
      <c r="E236" s="40"/>
      <c r="F236" s="40"/>
      <c r="G236" s="41"/>
      <c r="H236" s="23"/>
      <c r="I236" s="24">
        <f>SUM(I228:I235)</f>
        <v>14</v>
      </c>
      <c r="J236" s="9"/>
      <c r="K236" s="9"/>
      <c r="L236" s="9"/>
      <c r="M236" s="9">
        <f t="shared" si="28"/>
        <v>93.94</v>
      </c>
      <c r="N236" s="9">
        <f t="shared" si="29"/>
        <v>34.020000000000003</v>
      </c>
      <c r="O236" s="24">
        <f>ROUND(SUM(M228:M235)/I236,2)</f>
        <v>6.71</v>
      </c>
      <c r="P236" s="24">
        <f>ROUND(SUM(N228:N235)/I236,2)</f>
        <v>2.4300000000000002</v>
      </c>
      <c r="Q236" s="9"/>
      <c r="S236" s="25"/>
    </row>
    <row r="237" spans="1:19" ht="20.25" customHeight="1" x14ac:dyDescent="0.25">
      <c r="A237" s="27" t="s">
        <v>62</v>
      </c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</row>
    <row r="238" spans="1:19" ht="16.5" customHeight="1" x14ac:dyDescent="0.25">
      <c r="A238" s="9"/>
      <c r="B238" s="51" t="s">
        <v>63</v>
      </c>
      <c r="C238" s="52"/>
      <c r="D238" s="52"/>
      <c r="E238" s="52"/>
      <c r="F238" s="52"/>
      <c r="G238" s="53"/>
      <c r="H238" s="20"/>
      <c r="I238" s="9">
        <v>4</v>
      </c>
      <c r="J238" s="9"/>
      <c r="K238" s="9"/>
      <c r="L238" s="9"/>
      <c r="M238" s="9">
        <f t="shared" ref="M238:M246" si="30">I238*O238</f>
        <v>30.4</v>
      </c>
      <c r="N238" s="9">
        <f t="shared" ref="N238:N246" si="31">I238*P238</f>
        <v>12</v>
      </c>
      <c r="O238" s="9">
        <v>7.6</v>
      </c>
      <c r="P238" s="9">
        <v>3</v>
      </c>
      <c r="Q238" s="9" t="s">
        <v>6</v>
      </c>
      <c r="R238" s="1">
        <v>0</v>
      </c>
      <c r="S238" s="26"/>
    </row>
    <row r="239" spans="1:19" ht="16.5" customHeight="1" x14ac:dyDescent="0.25">
      <c r="A239" s="9"/>
      <c r="B239" s="51" t="s">
        <v>64</v>
      </c>
      <c r="C239" s="52"/>
      <c r="D239" s="52"/>
      <c r="E239" s="52"/>
      <c r="F239" s="52"/>
      <c r="G239" s="53"/>
      <c r="H239" s="20"/>
      <c r="I239" s="9">
        <v>4</v>
      </c>
      <c r="J239" s="9"/>
      <c r="K239" s="9"/>
      <c r="L239" s="9"/>
      <c r="M239" s="9">
        <f t="shared" si="30"/>
        <v>27.6</v>
      </c>
      <c r="N239" s="9">
        <f t="shared" si="31"/>
        <v>10</v>
      </c>
      <c r="O239" s="9">
        <v>6.9</v>
      </c>
      <c r="P239" s="9">
        <v>2.5</v>
      </c>
      <c r="Q239" s="9" t="s">
        <v>5</v>
      </c>
      <c r="R239" s="1">
        <v>0</v>
      </c>
      <c r="S239" s="26"/>
    </row>
    <row r="240" spans="1:19" ht="16.5" customHeight="1" x14ac:dyDescent="0.25">
      <c r="A240" s="9"/>
      <c r="B240" s="51" t="s">
        <v>65</v>
      </c>
      <c r="C240" s="52"/>
      <c r="D240" s="52"/>
      <c r="E240" s="52"/>
      <c r="F240" s="52"/>
      <c r="G240" s="53"/>
      <c r="H240" s="20"/>
      <c r="I240" s="9">
        <v>4</v>
      </c>
      <c r="J240" s="9"/>
      <c r="K240" s="9"/>
      <c r="L240" s="9"/>
      <c r="M240" s="9">
        <f t="shared" si="30"/>
        <v>30.8</v>
      </c>
      <c r="N240" s="9">
        <f t="shared" si="31"/>
        <v>12</v>
      </c>
      <c r="O240" s="9">
        <v>7.7</v>
      </c>
      <c r="P240" s="9">
        <v>3</v>
      </c>
      <c r="Q240" s="9" t="s">
        <v>6</v>
      </c>
      <c r="R240" s="1">
        <v>0</v>
      </c>
      <c r="S240" s="26"/>
    </row>
    <row r="241" spans="1:19" ht="16.5" customHeight="1" x14ac:dyDescent="0.25">
      <c r="A241" s="9"/>
      <c r="B241" s="51" t="s">
        <v>66</v>
      </c>
      <c r="C241" s="52"/>
      <c r="D241" s="52"/>
      <c r="E241" s="52"/>
      <c r="F241" s="52"/>
      <c r="G241" s="53"/>
      <c r="H241" s="20"/>
      <c r="I241" s="9">
        <v>1</v>
      </c>
      <c r="J241" s="9"/>
      <c r="K241" s="9"/>
      <c r="L241" s="9"/>
      <c r="M241" s="9">
        <f t="shared" si="30"/>
        <v>7.7</v>
      </c>
      <c r="N241" s="9">
        <f t="shared" si="31"/>
        <v>3</v>
      </c>
      <c r="O241" s="9">
        <v>7.7</v>
      </c>
      <c r="P241" s="9">
        <v>3</v>
      </c>
      <c r="Q241" s="9" t="s">
        <v>6</v>
      </c>
      <c r="R241" s="1">
        <v>0</v>
      </c>
      <c r="S241" s="26"/>
    </row>
    <row r="242" spans="1:19" ht="16.5" customHeight="1" x14ac:dyDescent="0.25">
      <c r="A242" s="9"/>
      <c r="B242" s="51" t="s">
        <v>67</v>
      </c>
      <c r="C242" s="52"/>
      <c r="D242" s="52"/>
      <c r="E242" s="52"/>
      <c r="F242" s="52"/>
      <c r="G242" s="53"/>
      <c r="H242" s="20"/>
      <c r="I242" s="9">
        <v>1</v>
      </c>
      <c r="J242" s="9"/>
      <c r="K242" s="9"/>
      <c r="L242" s="9"/>
      <c r="M242" s="9">
        <f t="shared" si="30"/>
        <v>7.7</v>
      </c>
      <c r="N242" s="9">
        <f t="shared" si="31"/>
        <v>3</v>
      </c>
      <c r="O242" s="9">
        <v>7.7</v>
      </c>
      <c r="P242" s="9">
        <v>3</v>
      </c>
      <c r="Q242" s="9" t="s">
        <v>6</v>
      </c>
      <c r="R242" s="1">
        <v>0</v>
      </c>
      <c r="S242" s="26"/>
    </row>
    <row r="243" spans="1:19" ht="16.5" customHeight="1" x14ac:dyDescent="0.25">
      <c r="A243" s="9"/>
      <c r="B243" s="51" t="s">
        <v>68</v>
      </c>
      <c r="C243" s="52"/>
      <c r="D243" s="52"/>
      <c r="E243" s="52"/>
      <c r="F243" s="52"/>
      <c r="G243" s="53"/>
      <c r="H243" s="20"/>
      <c r="I243" s="9">
        <v>1</v>
      </c>
      <c r="J243" s="9"/>
      <c r="K243" s="9"/>
      <c r="L243" s="9"/>
      <c r="M243" s="9">
        <f t="shared" si="30"/>
        <v>8.1</v>
      </c>
      <c r="N243" s="9">
        <f t="shared" si="31"/>
        <v>3.5</v>
      </c>
      <c r="O243" s="9">
        <v>8.1</v>
      </c>
      <c r="P243" s="9">
        <v>3.5</v>
      </c>
      <c r="Q243" s="9" t="s">
        <v>9</v>
      </c>
      <c r="R243" s="1">
        <v>0</v>
      </c>
      <c r="S243" s="26"/>
    </row>
    <row r="244" spans="1:19" ht="16.5" customHeight="1" x14ac:dyDescent="0.25">
      <c r="A244" s="9"/>
      <c r="B244" s="51" t="s">
        <v>69</v>
      </c>
      <c r="C244" s="52"/>
      <c r="D244" s="52"/>
      <c r="E244" s="52"/>
      <c r="F244" s="52"/>
      <c r="G244" s="53"/>
      <c r="H244" s="20"/>
      <c r="I244" s="9">
        <v>1</v>
      </c>
      <c r="J244" s="9"/>
      <c r="K244" s="9"/>
      <c r="L244" s="9"/>
      <c r="M244" s="9">
        <f t="shared" si="30"/>
        <v>7.9</v>
      </c>
      <c r="N244" s="9">
        <f t="shared" si="31"/>
        <v>3</v>
      </c>
      <c r="O244" s="9">
        <v>7.9</v>
      </c>
      <c r="P244" s="9">
        <v>3</v>
      </c>
      <c r="Q244" s="9" t="s">
        <v>6</v>
      </c>
      <c r="R244" s="1">
        <v>0</v>
      </c>
      <c r="S244" s="26"/>
    </row>
    <row r="245" spans="1:19" ht="16.5" hidden="1" customHeight="1" x14ac:dyDescent="0.25">
      <c r="A245" s="21"/>
      <c r="H245" s="21"/>
      <c r="I245" s="21"/>
      <c r="J245" s="21"/>
      <c r="K245" s="21"/>
      <c r="L245" s="21"/>
      <c r="M245" s="9">
        <f t="shared" si="30"/>
        <v>0</v>
      </c>
      <c r="N245" s="9">
        <f t="shared" si="31"/>
        <v>0</v>
      </c>
      <c r="O245" s="21"/>
      <c r="P245" s="21"/>
      <c r="Q245" s="21"/>
      <c r="S245" s="25"/>
    </row>
    <row r="246" spans="1:19" ht="16.5" customHeight="1" x14ac:dyDescent="0.25">
      <c r="A246" s="9"/>
      <c r="B246" s="39" t="s">
        <v>42</v>
      </c>
      <c r="C246" s="40"/>
      <c r="D246" s="40"/>
      <c r="E246" s="40"/>
      <c r="F246" s="40"/>
      <c r="G246" s="41"/>
      <c r="H246" s="23"/>
      <c r="I246" s="24">
        <f>SUM(I238:I245)</f>
        <v>16</v>
      </c>
      <c r="J246" s="9"/>
      <c r="K246" s="9"/>
      <c r="L246" s="9"/>
      <c r="M246" s="9">
        <f t="shared" si="30"/>
        <v>120.16</v>
      </c>
      <c r="N246" s="9">
        <f t="shared" si="31"/>
        <v>46.56</v>
      </c>
      <c r="O246" s="24">
        <f>ROUND(SUM(M238:M245)/I246,2)</f>
        <v>7.51</v>
      </c>
      <c r="P246" s="24">
        <f>ROUND(SUM(N238:N245)/I246,2)</f>
        <v>2.91</v>
      </c>
      <c r="Q246" s="9"/>
      <c r="S246" s="25"/>
    </row>
    <row r="247" spans="1:19" ht="20.25" customHeight="1" x14ac:dyDescent="0.25">
      <c r="A247" s="27" t="s">
        <v>131</v>
      </c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</row>
    <row r="248" spans="1:19" ht="16.5" customHeight="1" x14ac:dyDescent="0.25">
      <c r="A248" s="9"/>
      <c r="B248" s="51" t="s">
        <v>56</v>
      </c>
      <c r="C248" s="52"/>
      <c r="D248" s="52"/>
      <c r="E248" s="52"/>
      <c r="F248" s="52"/>
      <c r="G248" s="53"/>
      <c r="H248" s="20"/>
      <c r="I248" s="9">
        <v>3</v>
      </c>
      <c r="J248" s="9"/>
      <c r="K248" s="9"/>
      <c r="L248" s="9"/>
      <c r="M248" s="9">
        <f>I248*O248</f>
        <v>18.600000000000001</v>
      </c>
      <c r="N248" s="9">
        <f>I248*P248</f>
        <v>6</v>
      </c>
      <c r="O248" s="9">
        <v>6.2</v>
      </c>
      <c r="P248" s="9">
        <v>2</v>
      </c>
      <c r="Q248" s="9" t="s">
        <v>3</v>
      </c>
      <c r="R248" s="1">
        <v>6</v>
      </c>
      <c r="S248" s="26" t="s">
        <v>132</v>
      </c>
    </row>
    <row r="249" spans="1:19" ht="16.5" hidden="1" customHeight="1" x14ac:dyDescent="0.25">
      <c r="A249" s="21"/>
      <c r="H249" s="21"/>
      <c r="I249" s="21"/>
      <c r="J249" s="21"/>
      <c r="K249" s="21"/>
      <c r="L249" s="21"/>
      <c r="M249" s="9">
        <f>I249*O249</f>
        <v>0</v>
      </c>
      <c r="N249" s="9">
        <f>I249*P249</f>
        <v>0</v>
      </c>
      <c r="O249" s="21"/>
      <c r="P249" s="21"/>
      <c r="Q249" s="21"/>
      <c r="S249" s="25"/>
    </row>
    <row r="250" spans="1:19" ht="16.5" customHeight="1" x14ac:dyDescent="0.25">
      <c r="A250" s="9"/>
      <c r="B250" s="39" t="s">
        <v>42</v>
      </c>
      <c r="C250" s="40"/>
      <c r="D250" s="40"/>
      <c r="E250" s="40"/>
      <c r="F250" s="40"/>
      <c r="G250" s="41"/>
      <c r="H250" s="23"/>
      <c r="I250" s="24">
        <f>SUM(I248:I249)</f>
        <v>3</v>
      </c>
      <c r="J250" s="9"/>
      <c r="K250" s="9"/>
      <c r="L250" s="9"/>
      <c r="M250" s="9">
        <f>I250*O250</f>
        <v>18.600000000000001</v>
      </c>
      <c r="N250" s="9">
        <f>I250*P250</f>
        <v>6</v>
      </c>
      <c r="O250" s="24">
        <f>ROUND(SUM(M248:M249)/I250,2)</f>
        <v>6.2</v>
      </c>
      <c r="P250" s="24">
        <f>ROUND(SUM(N248:N249)/I250,2)</f>
        <v>2</v>
      </c>
      <c r="Q250" s="9"/>
      <c r="S250" s="25"/>
    </row>
    <row r="251" spans="1:19" ht="20.25" customHeight="1" x14ac:dyDescent="0.25">
      <c r="A251" s="27" t="s">
        <v>70</v>
      </c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</row>
    <row r="252" spans="1:19" ht="16.5" customHeight="1" x14ac:dyDescent="0.25">
      <c r="A252" s="9"/>
      <c r="B252" s="51" t="s">
        <v>71</v>
      </c>
      <c r="C252" s="52"/>
      <c r="D252" s="52"/>
      <c r="E252" s="52"/>
      <c r="F252" s="52"/>
      <c r="G252" s="53"/>
      <c r="H252" s="20"/>
      <c r="I252" s="9">
        <v>4</v>
      </c>
      <c r="J252" s="9"/>
      <c r="K252" s="9"/>
      <c r="L252" s="9"/>
      <c r="M252" s="9">
        <f t="shared" ref="M252:M261" si="32">I252*O252</f>
        <v>30</v>
      </c>
      <c r="N252" s="9">
        <f t="shared" ref="N252:N261" si="33">I252*P252</f>
        <v>12</v>
      </c>
      <c r="O252" s="9">
        <v>7.5</v>
      </c>
      <c r="P252" s="9">
        <v>3</v>
      </c>
      <c r="Q252" s="9" t="s">
        <v>6</v>
      </c>
      <c r="R252" s="1">
        <v>0</v>
      </c>
      <c r="S252" s="26"/>
    </row>
    <row r="253" spans="1:19" ht="16.5" customHeight="1" x14ac:dyDescent="0.25">
      <c r="A253" s="9"/>
      <c r="B253" s="51" t="s">
        <v>74</v>
      </c>
      <c r="C253" s="52"/>
      <c r="D253" s="52"/>
      <c r="E253" s="52"/>
      <c r="F253" s="52"/>
      <c r="G253" s="53"/>
      <c r="H253" s="20"/>
      <c r="I253" s="9">
        <v>2</v>
      </c>
      <c r="J253" s="9"/>
      <c r="K253" s="9"/>
      <c r="L253" s="9"/>
      <c r="M253" s="9">
        <f t="shared" si="32"/>
        <v>15.4</v>
      </c>
      <c r="N253" s="9">
        <f t="shared" si="33"/>
        <v>6</v>
      </c>
      <c r="O253" s="9">
        <v>7.7</v>
      </c>
      <c r="P253" s="9">
        <v>3</v>
      </c>
      <c r="Q253" s="9" t="s">
        <v>6</v>
      </c>
      <c r="R253" s="1">
        <v>0</v>
      </c>
      <c r="S253" s="26"/>
    </row>
    <row r="254" spans="1:19" ht="16.5" customHeight="1" x14ac:dyDescent="0.25">
      <c r="A254" s="9"/>
      <c r="B254" s="51" t="s">
        <v>73</v>
      </c>
      <c r="C254" s="52"/>
      <c r="D254" s="52"/>
      <c r="E254" s="52"/>
      <c r="F254" s="52"/>
      <c r="G254" s="53"/>
      <c r="H254" s="20"/>
      <c r="I254" s="9">
        <v>2</v>
      </c>
      <c r="J254" s="9"/>
      <c r="K254" s="9"/>
      <c r="L254" s="9"/>
      <c r="M254" s="9">
        <f t="shared" si="32"/>
        <v>0</v>
      </c>
      <c r="N254" s="9">
        <f t="shared" si="33"/>
        <v>0</v>
      </c>
      <c r="O254" s="9"/>
      <c r="P254" s="9"/>
      <c r="Q254" s="9"/>
      <c r="R254" s="1">
        <v>0</v>
      </c>
      <c r="S254" s="26"/>
    </row>
    <row r="255" spans="1:19" ht="16.5" customHeight="1" x14ac:dyDescent="0.25">
      <c r="A255" s="9"/>
      <c r="B255" s="51" t="s">
        <v>72</v>
      </c>
      <c r="C255" s="52"/>
      <c r="D255" s="52"/>
      <c r="E255" s="52"/>
      <c r="F255" s="52"/>
      <c r="G255" s="53"/>
      <c r="H255" s="20"/>
      <c r="I255" s="9">
        <v>4</v>
      </c>
      <c r="J255" s="9"/>
      <c r="K255" s="9"/>
      <c r="L255" s="9"/>
      <c r="M255" s="9">
        <f t="shared" si="32"/>
        <v>30.4</v>
      </c>
      <c r="N255" s="9">
        <f t="shared" si="33"/>
        <v>12</v>
      </c>
      <c r="O255" s="9">
        <v>7.6</v>
      </c>
      <c r="P255" s="9">
        <v>3</v>
      </c>
      <c r="Q255" s="9" t="s">
        <v>6</v>
      </c>
      <c r="R255" s="1">
        <v>0</v>
      </c>
      <c r="S255" s="26"/>
    </row>
    <row r="256" spans="1:19" ht="16.5" customHeight="1" x14ac:dyDescent="0.25">
      <c r="A256" s="9"/>
      <c r="B256" s="51" t="s">
        <v>75</v>
      </c>
      <c r="C256" s="52"/>
      <c r="D256" s="52"/>
      <c r="E256" s="52"/>
      <c r="F256" s="52"/>
      <c r="G256" s="53"/>
      <c r="H256" s="20"/>
      <c r="I256" s="9">
        <v>1</v>
      </c>
      <c r="J256" s="9"/>
      <c r="K256" s="9"/>
      <c r="L256" s="9"/>
      <c r="M256" s="9">
        <f t="shared" si="32"/>
        <v>6.9</v>
      </c>
      <c r="N256" s="9">
        <f t="shared" si="33"/>
        <v>2.5</v>
      </c>
      <c r="O256" s="9">
        <v>6.9</v>
      </c>
      <c r="P256" s="9">
        <v>2.5</v>
      </c>
      <c r="Q256" s="9" t="s">
        <v>5</v>
      </c>
      <c r="R256" s="1">
        <v>0</v>
      </c>
      <c r="S256" s="26"/>
    </row>
    <row r="257" spans="1:19" ht="16.5" customHeight="1" x14ac:dyDescent="0.25">
      <c r="A257" s="9"/>
      <c r="B257" s="51" t="s">
        <v>78</v>
      </c>
      <c r="C257" s="52"/>
      <c r="D257" s="52"/>
      <c r="E257" s="52"/>
      <c r="F257" s="52"/>
      <c r="G257" s="53"/>
      <c r="H257" s="20"/>
      <c r="I257" s="9">
        <v>3</v>
      </c>
      <c r="J257" s="9"/>
      <c r="K257" s="9"/>
      <c r="L257" s="9"/>
      <c r="M257" s="9">
        <f t="shared" si="32"/>
        <v>17.399999999999999</v>
      </c>
      <c r="N257" s="9">
        <f t="shared" si="33"/>
        <v>6</v>
      </c>
      <c r="O257" s="9">
        <v>5.8</v>
      </c>
      <c r="P257" s="9">
        <v>2</v>
      </c>
      <c r="Q257" s="9" t="s">
        <v>3</v>
      </c>
      <c r="R257" s="1">
        <v>0</v>
      </c>
      <c r="S257" s="26"/>
    </row>
    <row r="258" spans="1:19" ht="16.5" customHeight="1" x14ac:dyDescent="0.25">
      <c r="A258" s="9"/>
      <c r="B258" s="51" t="s">
        <v>77</v>
      </c>
      <c r="C258" s="52"/>
      <c r="D258" s="52"/>
      <c r="E258" s="52"/>
      <c r="F258" s="52"/>
      <c r="G258" s="53"/>
      <c r="H258" s="20"/>
      <c r="I258" s="9">
        <v>1</v>
      </c>
      <c r="J258" s="9"/>
      <c r="K258" s="9"/>
      <c r="L258" s="9"/>
      <c r="M258" s="9">
        <f t="shared" si="32"/>
        <v>6.4</v>
      </c>
      <c r="N258" s="9">
        <f t="shared" si="33"/>
        <v>2</v>
      </c>
      <c r="O258" s="9">
        <v>6.4</v>
      </c>
      <c r="P258" s="9">
        <v>2</v>
      </c>
      <c r="Q258" s="9" t="s">
        <v>3</v>
      </c>
      <c r="R258" s="1">
        <v>0</v>
      </c>
      <c r="S258" s="26"/>
    </row>
    <row r="259" spans="1:19" ht="16.5" customHeight="1" x14ac:dyDescent="0.25">
      <c r="A259" s="9"/>
      <c r="B259" s="51" t="s">
        <v>76</v>
      </c>
      <c r="C259" s="52"/>
      <c r="D259" s="52"/>
      <c r="E259" s="52"/>
      <c r="F259" s="52"/>
      <c r="G259" s="53"/>
      <c r="H259" s="20"/>
      <c r="I259" s="9">
        <v>4</v>
      </c>
      <c r="J259" s="9"/>
      <c r="K259" s="9"/>
      <c r="L259" s="9"/>
      <c r="M259" s="9">
        <f t="shared" si="32"/>
        <v>35.200000000000003</v>
      </c>
      <c r="N259" s="9">
        <f t="shared" si="33"/>
        <v>14.8</v>
      </c>
      <c r="O259" s="9">
        <v>8.8000000000000007</v>
      </c>
      <c r="P259" s="9">
        <v>3.7</v>
      </c>
      <c r="Q259" s="9" t="s">
        <v>10</v>
      </c>
      <c r="R259" s="1">
        <v>0</v>
      </c>
      <c r="S259" s="26"/>
    </row>
    <row r="260" spans="1:19" ht="16.5" hidden="1" customHeight="1" x14ac:dyDescent="0.25">
      <c r="A260" s="21"/>
      <c r="H260" s="21"/>
      <c r="I260" s="21"/>
      <c r="J260" s="21"/>
      <c r="K260" s="21"/>
      <c r="L260" s="21"/>
      <c r="M260" s="9">
        <f t="shared" si="32"/>
        <v>0</v>
      </c>
      <c r="N260" s="9">
        <f t="shared" si="33"/>
        <v>0</v>
      </c>
      <c r="O260" s="21"/>
      <c r="P260" s="21"/>
      <c r="Q260" s="21"/>
      <c r="S260" s="25"/>
    </row>
    <row r="261" spans="1:19" ht="16.5" customHeight="1" x14ac:dyDescent="0.25">
      <c r="A261" s="9"/>
      <c r="B261" s="39" t="s">
        <v>42</v>
      </c>
      <c r="C261" s="40"/>
      <c r="D261" s="40"/>
      <c r="E261" s="40"/>
      <c r="F261" s="40"/>
      <c r="G261" s="41"/>
      <c r="H261" s="23"/>
      <c r="I261" s="24">
        <f>SUM(I252:I260)</f>
        <v>21</v>
      </c>
      <c r="J261" s="9"/>
      <c r="K261" s="9"/>
      <c r="L261" s="9"/>
      <c r="M261" s="9">
        <f t="shared" si="32"/>
        <v>141.75</v>
      </c>
      <c r="N261" s="9">
        <f t="shared" si="33"/>
        <v>55.23</v>
      </c>
      <c r="O261" s="24">
        <f>ROUND(SUM(M252:M260)/I261,2)</f>
        <v>6.75</v>
      </c>
      <c r="P261" s="24">
        <f>ROUND(SUM(N252:N260)/I261,2)</f>
        <v>2.63</v>
      </c>
      <c r="Q261" s="9"/>
      <c r="S261" s="25"/>
    </row>
    <row r="262" spans="1:19" ht="20.25" customHeight="1" x14ac:dyDescent="0.25">
      <c r="A262" s="27" t="s">
        <v>133</v>
      </c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</row>
    <row r="263" spans="1:19" ht="16.5" customHeight="1" x14ac:dyDescent="0.25">
      <c r="A263" s="9"/>
      <c r="B263" s="51" t="s">
        <v>73</v>
      </c>
      <c r="C263" s="52"/>
      <c r="D263" s="52"/>
      <c r="E263" s="52"/>
      <c r="F263" s="52"/>
      <c r="G263" s="53"/>
      <c r="H263" s="20"/>
      <c r="I263" s="9">
        <v>2</v>
      </c>
      <c r="J263" s="9"/>
      <c r="K263" s="9"/>
      <c r="L263" s="9"/>
      <c r="M263" s="9">
        <f>I263*O263</f>
        <v>15.4</v>
      </c>
      <c r="N263" s="9">
        <f>I263*P263</f>
        <v>6</v>
      </c>
      <c r="O263" s="9">
        <v>7.7</v>
      </c>
      <c r="P263" s="9">
        <v>3</v>
      </c>
      <c r="Q263" s="9" t="s">
        <v>6</v>
      </c>
      <c r="R263" s="1">
        <v>0</v>
      </c>
      <c r="S263" s="26"/>
    </row>
    <row r="264" spans="1:19" ht="16.5" hidden="1" customHeight="1" x14ac:dyDescent="0.25">
      <c r="A264" s="21"/>
      <c r="H264" s="21"/>
      <c r="I264" s="21"/>
      <c r="J264" s="21"/>
      <c r="K264" s="21"/>
      <c r="L264" s="21"/>
      <c r="M264" s="9">
        <f>I264*O264</f>
        <v>0</v>
      </c>
      <c r="N264" s="9">
        <f>I264*P264</f>
        <v>0</v>
      </c>
      <c r="O264" s="21"/>
      <c r="P264" s="21"/>
      <c r="Q264" s="21"/>
      <c r="S264" s="25"/>
    </row>
    <row r="265" spans="1:19" ht="15" customHeight="1" x14ac:dyDescent="0.25">
      <c r="A265" s="36" t="s">
        <v>0</v>
      </c>
      <c r="B265" s="29" t="s">
        <v>1</v>
      </c>
      <c r="C265" s="30"/>
      <c r="D265" s="30"/>
      <c r="E265" s="30"/>
      <c r="F265" s="30"/>
      <c r="G265" s="31"/>
      <c r="H265" s="36" t="s">
        <v>32</v>
      </c>
      <c r="I265" s="36" t="s">
        <v>39</v>
      </c>
      <c r="J265" s="55" t="s">
        <v>2</v>
      </c>
      <c r="K265" s="56"/>
      <c r="L265" s="56"/>
      <c r="M265" s="56"/>
      <c r="N265" s="56"/>
      <c r="O265" s="56"/>
      <c r="P265" s="56"/>
      <c r="Q265" s="57"/>
      <c r="S265" s="36" t="s">
        <v>38</v>
      </c>
    </row>
    <row r="266" spans="1:19" ht="24" customHeight="1" x14ac:dyDescent="0.25">
      <c r="A266" s="37"/>
      <c r="B266" s="32"/>
      <c r="C266" s="33"/>
      <c r="D266" s="33"/>
      <c r="E266" s="33"/>
      <c r="F266" s="33"/>
      <c r="G266" s="34"/>
      <c r="H266" s="37"/>
      <c r="I266" s="37"/>
      <c r="J266" s="7" t="s">
        <v>28</v>
      </c>
      <c r="K266" s="7" t="s">
        <v>29</v>
      </c>
      <c r="L266" s="7" t="s">
        <v>30</v>
      </c>
      <c r="M266" s="7"/>
      <c r="N266" s="7"/>
      <c r="O266" s="6" t="s">
        <v>35</v>
      </c>
      <c r="P266" s="6" t="s">
        <v>36</v>
      </c>
      <c r="Q266" s="6" t="s">
        <v>37</v>
      </c>
      <c r="S266" s="37"/>
    </row>
    <row r="267" spans="1:19" ht="16.5" customHeight="1" x14ac:dyDescent="0.25">
      <c r="A267" s="9"/>
      <c r="B267" s="39" t="s">
        <v>42</v>
      </c>
      <c r="C267" s="40"/>
      <c r="D267" s="40"/>
      <c r="E267" s="40"/>
      <c r="F267" s="40"/>
      <c r="G267" s="41"/>
      <c r="H267" s="23"/>
      <c r="I267" s="24">
        <f>SUM(I263:I264)</f>
        <v>2</v>
      </c>
      <c r="J267" s="9"/>
      <c r="K267" s="9"/>
      <c r="L267" s="9"/>
      <c r="M267" s="9">
        <f>I267*O267</f>
        <v>15.4</v>
      </c>
      <c r="N267" s="9">
        <f>I267*P267</f>
        <v>6</v>
      </c>
      <c r="O267" s="24">
        <f>ROUND(SUM(M263:M264)/I267,2)</f>
        <v>7.7</v>
      </c>
      <c r="P267" s="24">
        <f>ROUND(SUM(N263:N264)/I267,2)</f>
        <v>3</v>
      </c>
      <c r="Q267" s="9"/>
      <c r="S267" s="25"/>
    </row>
    <row r="268" spans="1:19" ht="20.25" customHeight="1" x14ac:dyDescent="0.25">
      <c r="A268" s="27" t="s">
        <v>79</v>
      </c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</row>
    <row r="269" spans="1:19" ht="16.5" customHeight="1" x14ac:dyDescent="0.25">
      <c r="A269" s="9"/>
      <c r="B269" s="51" t="s">
        <v>83</v>
      </c>
      <c r="C269" s="52"/>
      <c r="D269" s="52"/>
      <c r="E269" s="52"/>
      <c r="F269" s="52"/>
      <c r="G269" s="53"/>
      <c r="H269" s="20"/>
      <c r="I269" s="9">
        <v>1</v>
      </c>
      <c r="J269" s="9"/>
      <c r="K269" s="9"/>
      <c r="L269" s="9"/>
      <c r="M269" s="9">
        <f t="shared" ref="M269:M279" si="34">I269*O269</f>
        <v>8</v>
      </c>
      <c r="N269" s="9">
        <f t="shared" ref="N269:N279" si="35">I269*P269</f>
        <v>3.5</v>
      </c>
      <c r="O269" s="9">
        <v>8</v>
      </c>
      <c r="P269" s="9">
        <v>3.5</v>
      </c>
      <c r="Q269" s="9" t="s">
        <v>9</v>
      </c>
      <c r="S269" s="26" t="s">
        <v>134</v>
      </c>
    </row>
    <row r="270" spans="1:19" ht="16.5" customHeight="1" x14ac:dyDescent="0.25">
      <c r="A270" s="9"/>
      <c r="B270" s="51" t="s">
        <v>80</v>
      </c>
      <c r="C270" s="52"/>
      <c r="D270" s="52"/>
      <c r="E270" s="52"/>
      <c r="F270" s="52"/>
      <c r="G270" s="53"/>
      <c r="H270" s="20"/>
      <c r="I270" s="9">
        <v>3</v>
      </c>
      <c r="J270" s="9"/>
      <c r="K270" s="9"/>
      <c r="L270" s="9"/>
      <c r="M270" s="9">
        <f t="shared" si="34"/>
        <v>27.299999999999997</v>
      </c>
      <c r="N270" s="9">
        <f t="shared" si="35"/>
        <v>12</v>
      </c>
      <c r="O270" s="9">
        <v>9.1</v>
      </c>
      <c r="P270" s="9">
        <v>4</v>
      </c>
      <c r="Q270" s="9" t="s">
        <v>12</v>
      </c>
      <c r="S270" s="26" t="s">
        <v>134</v>
      </c>
    </row>
    <row r="271" spans="1:19" ht="16.5" customHeight="1" x14ac:dyDescent="0.25">
      <c r="A271" s="9"/>
      <c r="B271" s="51" t="s">
        <v>87</v>
      </c>
      <c r="C271" s="52"/>
      <c r="D271" s="52"/>
      <c r="E271" s="52"/>
      <c r="F271" s="52"/>
      <c r="G271" s="53"/>
      <c r="H271" s="20"/>
      <c r="I271" s="9">
        <v>3</v>
      </c>
      <c r="J271" s="9"/>
      <c r="K271" s="9"/>
      <c r="L271" s="9"/>
      <c r="M271" s="9">
        <f t="shared" si="34"/>
        <v>23.4</v>
      </c>
      <c r="N271" s="9">
        <f t="shared" si="35"/>
        <v>9</v>
      </c>
      <c r="O271" s="9">
        <v>7.8</v>
      </c>
      <c r="P271" s="9">
        <v>3</v>
      </c>
      <c r="Q271" s="9" t="s">
        <v>6</v>
      </c>
      <c r="S271" s="26" t="s">
        <v>134</v>
      </c>
    </row>
    <row r="272" spans="1:19" ht="16.5" customHeight="1" x14ac:dyDescent="0.25">
      <c r="A272" s="9"/>
      <c r="B272" s="51" t="s">
        <v>86</v>
      </c>
      <c r="C272" s="52"/>
      <c r="D272" s="52"/>
      <c r="E272" s="52"/>
      <c r="F272" s="52"/>
      <c r="G272" s="53"/>
      <c r="H272" s="20"/>
      <c r="I272" s="9">
        <v>2</v>
      </c>
      <c r="J272" s="9"/>
      <c r="K272" s="9"/>
      <c r="L272" s="9"/>
      <c r="M272" s="9">
        <f t="shared" si="34"/>
        <v>15</v>
      </c>
      <c r="N272" s="9">
        <f t="shared" si="35"/>
        <v>6</v>
      </c>
      <c r="O272" s="9">
        <v>7.5</v>
      </c>
      <c r="P272" s="9">
        <v>3</v>
      </c>
      <c r="Q272" s="9" t="s">
        <v>6</v>
      </c>
      <c r="S272" s="26" t="s">
        <v>134</v>
      </c>
    </row>
    <row r="273" spans="1:19" ht="16.5" customHeight="1" x14ac:dyDescent="0.25">
      <c r="A273" s="9"/>
      <c r="B273" s="51" t="s">
        <v>85</v>
      </c>
      <c r="C273" s="52"/>
      <c r="D273" s="52"/>
      <c r="E273" s="52"/>
      <c r="F273" s="52"/>
      <c r="G273" s="53"/>
      <c r="H273" s="20"/>
      <c r="I273" s="9">
        <v>2</v>
      </c>
      <c r="J273" s="9"/>
      <c r="K273" s="9"/>
      <c r="L273" s="9"/>
      <c r="M273" s="9">
        <f t="shared" si="34"/>
        <v>15.2</v>
      </c>
      <c r="N273" s="9">
        <f t="shared" si="35"/>
        <v>6</v>
      </c>
      <c r="O273" s="9">
        <v>7.6</v>
      </c>
      <c r="P273" s="9">
        <v>3</v>
      </c>
      <c r="Q273" s="9" t="s">
        <v>6</v>
      </c>
      <c r="S273" s="26" t="s">
        <v>134</v>
      </c>
    </row>
    <row r="274" spans="1:19" ht="16.5" customHeight="1" x14ac:dyDescent="0.25">
      <c r="A274" s="9"/>
      <c r="B274" s="51" t="s">
        <v>84</v>
      </c>
      <c r="C274" s="52"/>
      <c r="D274" s="52"/>
      <c r="E274" s="52"/>
      <c r="F274" s="52"/>
      <c r="G274" s="53"/>
      <c r="H274" s="20"/>
      <c r="I274" s="9">
        <v>2</v>
      </c>
      <c r="J274" s="9"/>
      <c r="K274" s="9"/>
      <c r="L274" s="9"/>
      <c r="M274" s="9">
        <f t="shared" si="34"/>
        <v>14.8</v>
      </c>
      <c r="N274" s="9">
        <f t="shared" si="35"/>
        <v>6</v>
      </c>
      <c r="O274" s="9">
        <v>7.4</v>
      </c>
      <c r="P274" s="9">
        <v>3</v>
      </c>
      <c r="Q274" s="9" t="s">
        <v>6</v>
      </c>
      <c r="S274" s="26" t="s">
        <v>134</v>
      </c>
    </row>
    <row r="275" spans="1:19" ht="16.5" customHeight="1" x14ac:dyDescent="0.25">
      <c r="A275" s="9"/>
      <c r="B275" s="51" t="s">
        <v>81</v>
      </c>
      <c r="C275" s="52"/>
      <c r="D275" s="52"/>
      <c r="E275" s="52"/>
      <c r="F275" s="52"/>
      <c r="G275" s="53"/>
      <c r="H275" s="20"/>
      <c r="I275" s="9">
        <v>4</v>
      </c>
      <c r="J275" s="9"/>
      <c r="K275" s="9"/>
      <c r="L275" s="9"/>
      <c r="M275" s="9">
        <f t="shared" si="34"/>
        <v>32</v>
      </c>
      <c r="N275" s="9">
        <f t="shared" si="35"/>
        <v>14</v>
      </c>
      <c r="O275" s="9">
        <v>8</v>
      </c>
      <c r="P275" s="9">
        <v>3.5</v>
      </c>
      <c r="Q275" s="9" t="s">
        <v>9</v>
      </c>
      <c r="S275" s="26" t="s">
        <v>134</v>
      </c>
    </row>
    <row r="276" spans="1:19" ht="16.5" customHeight="1" x14ac:dyDescent="0.25">
      <c r="A276" s="9"/>
      <c r="B276" s="51" t="s">
        <v>82</v>
      </c>
      <c r="C276" s="52"/>
      <c r="D276" s="52"/>
      <c r="E276" s="52"/>
      <c r="F276" s="52"/>
      <c r="G276" s="53"/>
      <c r="H276" s="20"/>
      <c r="I276" s="9">
        <v>3</v>
      </c>
      <c r="J276" s="9"/>
      <c r="K276" s="9"/>
      <c r="L276" s="9"/>
      <c r="M276" s="9">
        <f t="shared" si="34"/>
        <v>24.900000000000002</v>
      </c>
      <c r="N276" s="9">
        <f t="shared" si="35"/>
        <v>10.5</v>
      </c>
      <c r="O276" s="9">
        <v>8.3000000000000007</v>
      </c>
      <c r="P276" s="9">
        <v>3.5</v>
      </c>
      <c r="Q276" s="9" t="s">
        <v>9</v>
      </c>
      <c r="S276" s="26" t="s">
        <v>134</v>
      </c>
    </row>
    <row r="277" spans="1:19" ht="16.5" customHeight="1" x14ac:dyDescent="0.25">
      <c r="A277" s="9"/>
      <c r="B277" s="51" t="s">
        <v>88</v>
      </c>
      <c r="C277" s="52"/>
      <c r="D277" s="52"/>
      <c r="E277" s="52"/>
      <c r="F277" s="52"/>
      <c r="G277" s="53"/>
      <c r="H277" s="20"/>
      <c r="I277" s="9">
        <v>3</v>
      </c>
      <c r="J277" s="9"/>
      <c r="K277" s="9"/>
      <c r="L277" s="9"/>
      <c r="M277" s="9">
        <f t="shared" si="34"/>
        <v>28.200000000000003</v>
      </c>
      <c r="N277" s="9">
        <f t="shared" si="35"/>
        <v>12</v>
      </c>
      <c r="O277" s="9">
        <v>9.4</v>
      </c>
      <c r="P277" s="9">
        <v>4</v>
      </c>
      <c r="Q277" s="9" t="s">
        <v>12</v>
      </c>
      <c r="S277" s="26" t="s">
        <v>134</v>
      </c>
    </row>
    <row r="278" spans="1:19" ht="16.5" hidden="1" customHeight="1" x14ac:dyDescent="0.25">
      <c r="A278" s="21"/>
      <c r="H278" s="21"/>
      <c r="I278" s="21"/>
      <c r="J278" s="21"/>
      <c r="K278" s="21"/>
      <c r="L278" s="21"/>
      <c r="M278" s="9">
        <f t="shared" si="34"/>
        <v>0</v>
      </c>
      <c r="N278" s="9">
        <f t="shared" si="35"/>
        <v>0</v>
      </c>
      <c r="O278" s="21"/>
      <c r="P278" s="21"/>
      <c r="Q278" s="21"/>
      <c r="S278" s="25"/>
    </row>
    <row r="279" spans="1:19" ht="16.5" customHeight="1" x14ac:dyDescent="0.25">
      <c r="A279" s="9"/>
      <c r="B279" s="39" t="s">
        <v>42</v>
      </c>
      <c r="C279" s="40"/>
      <c r="D279" s="40"/>
      <c r="E279" s="40"/>
      <c r="F279" s="40"/>
      <c r="G279" s="41"/>
      <c r="H279" s="23"/>
      <c r="I279" s="24">
        <f>SUM(I269:I278)</f>
        <v>23</v>
      </c>
      <c r="J279" s="9"/>
      <c r="K279" s="9"/>
      <c r="L279" s="9"/>
      <c r="M279" s="9">
        <f t="shared" si="34"/>
        <v>188.83</v>
      </c>
      <c r="N279" s="9">
        <f t="shared" si="35"/>
        <v>78.89</v>
      </c>
      <c r="O279" s="24">
        <f>ROUND(SUM(M269:M278)/I279,2)</f>
        <v>8.2100000000000009</v>
      </c>
      <c r="P279" s="24">
        <f>ROUND(SUM(N269:N278)/I279,2)</f>
        <v>3.43</v>
      </c>
      <c r="Q279" s="9"/>
      <c r="S279" s="25"/>
    </row>
    <row r="280" spans="1:19" ht="20.25" customHeight="1" x14ac:dyDescent="0.25">
      <c r="A280" s="27" t="s">
        <v>89</v>
      </c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</row>
    <row r="281" spans="1:19" ht="16.5" customHeight="1" x14ac:dyDescent="0.25">
      <c r="A281" s="9"/>
      <c r="B281" s="51" t="s">
        <v>90</v>
      </c>
      <c r="C281" s="52"/>
      <c r="D281" s="52"/>
      <c r="E281" s="52"/>
      <c r="F281" s="52"/>
      <c r="G281" s="53"/>
      <c r="H281" s="20"/>
      <c r="I281" s="9">
        <v>1</v>
      </c>
      <c r="J281" s="9"/>
      <c r="K281" s="9"/>
      <c r="L281" s="9"/>
      <c r="M281" s="9">
        <f t="shared" ref="M281:M293" si="36">I281*O281</f>
        <v>7.9</v>
      </c>
      <c r="N281" s="9">
        <f t="shared" ref="N281:N293" si="37">I281*P281</f>
        <v>3</v>
      </c>
      <c r="O281" s="9">
        <v>7.9</v>
      </c>
      <c r="P281" s="9">
        <v>3</v>
      </c>
      <c r="Q281" s="9" t="s">
        <v>6</v>
      </c>
      <c r="S281" s="26" t="s">
        <v>134</v>
      </c>
    </row>
    <row r="282" spans="1:19" ht="16.5" customHeight="1" x14ac:dyDescent="0.25">
      <c r="A282" s="9"/>
      <c r="B282" s="51" t="s">
        <v>91</v>
      </c>
      <c r="C282" s="52"/>
      <c r="D282" s="52"/>
      <c r="E282" s="52"/>
      <c r="F282" s="52"/>
      <c r="G282" s="53"/>
      <c r="H282" s="20"/>
      <c r="I282" s="9">
        <v>3</v>
      </c>
      <c r="J282" s="9"/>
      <c r="K282" s="9"/>
      <c r="L282" s="9"/>
      <c r="M282" s="9">
        <f t="shared" si="36"/>
        <v>21.9</v>
      </c>
      <c r="N282" s="9">
        <f t="shared" si="37"/>
        <v>9</v>
      </c>
      <c r="O282" s="9">
        <v>7.3</v>
      </c>
      <c r="P282" s="9">
        <v>3</v>
      </c>
      <c r="Q282" s="9" t="s">
        <v>6</v>
      </c>
      <c r="S282" s="26" t="s">
        <v>134</v>
      </c>
    </row>
    <row r="283" spans="1:19" ht="16.5" customHeight="1" x14ac:dyDescent="0.25">
      <c r="A283" s="9"/>
      <c r="B283" s="51" t="s">
        <v>92</v>
      </c>
      <c r="C283" s="52"/>
      <c r="D283" s="52"/>
      <c r="E283" s="52"/>
      <c r="F283" s="52"/>
      <c r="G283" s="53"/>
      <c r="H283" s="20"/>
      <c r="I283" s="9">
        <v>1</v>
      </c>
      <c r="J283" s="9"/>
      <c r="K283" s="9"/>
      <c r="L283" s="9"/>
      <c r="M283" s="9">
        <f t="shared" si="36"/>
        <v>7.5</v>
      </c>
      <c r="N283" s="9">
        <f t="shared" si="37"/>
        <v>3</v>
      </c>
      <c r="O283" s="9">
        <v>7.5</v>
      </c>
      <c r="P283" s="9">
        <v>3</v>
      </c>
      <c r="Q283" s="9" t="s">
        <v>6</v>
      </c>
      <c r="S283" s="26" t="s">
        <v>134</v>
      </c>
    </row>
    <row r="284" spans="1:19" ht="16.5" customHeight="1" x14ac:dyDescent="0.25">
      <c r="A284" s="9"/>
      <c r="B284" s="51" t="s">
        <v>93</v>
      </c>
      <c r="C284" s="52"/>
      <c r="D284" s="52"/>
      <c r="E284" s="52"/>
      <c r="F284" s="52"/>
      <c r="G284" s="53"/>
      <c r="H284" s="20"/>
      <c r="I284" s="9">
        <v>2</v>
      </c>
      <c r="J284" s="9"/>
      <c r="K284" s="9"/>
      <c r="L284" s="9"/>
      <c r="M284" s="9">
        <f t="shared" si="36"/>
        <v>15.2</v>
      </c>
      <c r="N284" s="9">
        <f t="shared" si="37"/>
        <v>6</v>
      </c>
      <c r="O284" s="9">
        <v>7.6</v>
      </c>
      <c r="P284" s="9">
        <v>3</v>
      </c>
      <c r="Q284" s="9" t="s">
        <v>6</v>
      </c>
      <c r="S284" s="26" t="s">
        <v>134</v>
      </c>
    </row>
    <row r="285" spans="1:19" ht="16.5" customHeight="1" x14ac:dyDescent="0.25">
      <c r="A285" s="9"/>
      <c r="B285" s="51" t="s">
        <v>94</v>
      </c>
      <c r="C285" s="52"/>
      <c r="D285" s="52"/>
      <c r="E285" s="52"/>
      <c r="F285" s="52"/>
      <c r="G285" s="53"/>
      <c r="H285" s="20"/>
      <c r="I285" s="9">
        <v>1</v>
      </c>
      <c r="J285" s="9"/>
      <c r="K285" s="9"/>
      <c r="L285" s="9"/>
      <c r="M285" s="9">
        <f t="shared" si="36"/>
        <v>7.6</v>
      </c>
      <c r="N285" s="9">
        <f t="shared" si="37"/>
        <v>3</v>
      </c>
      <c r="O285" s="9">
        <v>7.6</v>
      </c>
      <c r="P285" s="9">
        <v>3</v>
      </c>
      <c r="Q285" s="9" t="s">
        <v>6</v>
      </c>
      <c r="S285" s="26" t="s">
        <v>134</v>
      </c>
    </row>
    <row r="286" spans="1:19" ht="16.5" customHeight="1" x14ac:dyDescent="0.25">
      <c r="A286" s="9"/>
      <c r="B286" s="51" t="s">
        <v>97</v>
      </c>
      <c r="C286" s="52"/>
      <c r="D286" s="52"/>
      <c r="E286" s="52"/>
      <c r="F286" s="52"/>
      <c r="G286" s="53"/>
      <c r="H286" s="20"/>
      <c r="I286" s="9">
        <v>3</v>
      </c>
      <c r="J286" s="9"/>
      <c r="K286" s="9"/>
      <c r="L286" s="9"/>
      <c r="M286" s="9">
        <f t="shared" si="36"/>
        <v>26.099999999999998</v>
      </c>
      <c r="N286" s="9">
        <f t="shared" si="37"/>
        <v>11.100000000000001</v>
      </c>
      <c r="O286" s="9">
        <v>8.6999999999999993</v>
      </c>
      <c r="P286" s="9">
        <v>3.7</v>
      </c>
      <c r="Q286" s="9" t="s">
        <v>10</v>
      </c>
      <c r="S286" s="26" t="s">
        <v>134</v>
      </c>
    </row>
    <row r="287" spans="1:19" ht="16.5" customHeight="1" x14ac:dyDescent="0.25">
      <c r="A287" s="9"/>
      <c r="B287" s="51" t="s">
        <v>96</v>
      </c>
      <c r="C287" s="52"/>
      <c r="D287" s="52"/>
      <c r="E287" s="52"/>
      <c r="F287" s="52"/>
      <c r="G287" s="53"/>
      <c r="H287" s="20"/>
      <c r="I287" s="9">
        <v>2</v>
      </c>
      <c r="J287" s="9"/>
      <c r="K287" s="9"/>
      <c r="L287" s="9"/>
      <c r="M287" s="9">
        <f t="shared" si="36"/>
        <v>14</v>
      </c>
      <c r="N287" s="9">
        <f t="shared" si="37"/>
        <v>6</v>
      </c>
      <c r="O287" s="9">
        <v>7</v>
      </c>
      <c r="P287" s="9">
        <v>3</v>
      </c>
      <c r="Q287" s="9" t="s">
        <v>6</v>
      </c>
      <c r="S287" s="26" t="s">
        <v>134</v>
      </c>
    </row>
    <row r="288" spans="1:19" ht="16.5" customHeight="1" x14ac:dyDescent="0.25">
      <c r="A288" s="9"/>
      <c r="B288" s="51" t="s">
        <v>95</v>
      </c>
      <c r="C288" s="52"/>
      <c r="D288" s="52"/>
      <c r="E288" s="52"/>
      <c r="F288" s="52"/>
      <c r="G288" s="53"/>
      <c r="H288" s="20"/>
      <c r="I288" s="9">
        <v>2</v>
      </c>
      <c r="J288" s="9"/>
      <c r="K288" s="9"/>
      <c r="L288" s="9"/>
      <c r="M288" s="9">
        <f t="shared" si="36"/>
        <v>16.2</v>
      </c>
      <c r="N288" s="9">
        <f t="shared" si="37"/>
        <v>7</v>
      </c>
      <c r="O288" s="9">
        <v>8.1</v>
      </c>
      <c r="P288" s="9">
        <v>3.5</v>
      </c>
      <c r="Q288" s="9" t="s">
        <v>9</v>
      </c>
      <c r="S288" s="26" t="s">
        <v>134</v>
      </c>
    </row>
    <row r="289" spans="1:19" ht="16.5" customHeight="1" x14ac:dyDescent="0.25">
      <c r="A289" s="9"/>
      <c r="B289" s="51" t="s">
        <v>98</v>
      </c>
      <c r="C289" s="52"/>
      <c r="D289" s="52"/>
      <c r="E289" s="52"/>
      <c r="F289" s="52"/>
      <c r="G289" s="53"/>
      <c r="H289" s="20"/>
      <c r="I289" s="9">
        <v>4</v>
      </c>
      <c r="J289" s="9"/>
      <c r="K289" s="9"/>
      <c r="L289" s="9"/>
      <c r="M289" s="9">
        <f t="shared" si="36"/>
        <v>10</v>
      </c>
      <c r="N289" s="9">
        <f t="shared" si="37"/>
        <v>0</v>
      </c>
      <c r="O289" s="9">
        <v>2.5</v>
      </c>
      <c r="P289" s="9">
        <v>0</v>
      </c>
      <c r="Q289" s="9" t="s">
        <v>7</v>
      </c>
      <c r="S289" s="26" t="s">
        <v>134</v>
      </c>
    </row>
    <row r="290" spans="1:19" ht="16.5" customHeight="1" x14ac:dyDescent="0.25">
      <c r="A290" s="9"/>
      <c r="B290" s="51" t="s">
        <v>99</v>
      </c>
      <c r="C290" s="52"/>
      <c r="D290" s="52"/>
      <c r="E290" s="52"/>
      <c r="F290" s="52"/>
      <c r="G290" s="53"/>
      <c r="H290" s="20"/>
      <c r="I290" s="9">
        <v>1</v>
      </c>
      <c r="J290" s="9"/>
      <c r="K290" s="9"/>
      <c r="L290" s="9"/>
      <c r="M290" s="9">
        <f t="shared" si="36"/>
        <v>8.6999999999999993</v>
      </c>
      <c r="N290" s="9">
        <f t="shared" si="37"/>
        <v>3.7</v>
      </c>
      <c r="O290" s="9">
        <v>8.6999999999999993</v>
      </c>
      <c r="P290" s="9">
        <v>3.7</v>
      </c>
      <c r="Q290" s="9" t="s">
        <v>10</v>
      </c>
      <c r="S290" s="26" t="s">
        <v>134</v>
      </c>
    </row>
    <row r="291" spans="1:19" ht="16.5" customHeight="1" x14ac:dyDescent="0.25">
      <c r="A291" s="9"/>
      <c r="B291" s="51" t="s">
        <v>100</v>
      </c>
      <c r="C291" s="52"/>
      <c r="D291" s="52"/>
      <c r="E291" s="52"/>
      <c r="F291" s="52"/>
      <c r="G291" s="53"/>
      <c r="H291" s="20"/>
      <c r="I291" s="9">
        <v>2</v>
      </c>
      <c r="J291" s="9"/>
      <c r="K291" s="9"/>
      <c r="L291" s="9"/>
      <c r="M291" s="9">
        <f t="shared" si="36"/>
        <v>15.4</v>
      </c>
      <c r="N291" s="9">
        <f t="shared" si="37"/>
        <v>6</v>
      </c>
      <c r="O291" s="9">
        <v>7.7</v>
      </c>
      <c r="P291" s="9">
        <v>3</v>
      </c>
      <c r="Q291" s="9" t="s">
        <v>6</v>
      </c>
      <c r="S291" s="26" t="s">
        <v>134</v>
      </c>
    </row>
    <row r="292" spans="1:19" ht="16.5" hidden="1" customHeight="1" x14ac:dyDescent="0.25">
      <c r="A292" s="21"/>
      <c r="H292" s="21"/>
      <c r="I292" s="21"/>
      <c r="J292" s="21"/>
      <c r="K292" s="21"/>
      <c r="L292" s="21"/>
      <c r="M292" s="9">
        <f t="shared" si="36"/>
        <v>0</v>
      </c>
      <c r="N292" s="9">
        <f t="shared" si="37"/>
        <v>0</v>
      </c>
      <c r="O292" s="21"/>
      <c r="P292" s="21"/>
      <c r="Q292" s="21"/>
      <c r="S292" s="25"/>
    </row>
    <row r="293" spans="1:19" ht="16.5" customHeight="1" x14ac:dyDescent="0.25">
      <c r="A293" s="9"/>
      <c r="B293" s="39" t="s">
        <v>42</v>
      </c>
      <c r="C293" s="40"/>
      <c r="D293" s="40"/>
      <c r="E293" s="40"/>
      <c r="F293" s="40"/>
      <c r="G293" s="41"/>
      <c r="H293" s="23"/>
      <c r="I293" s="24">
        <f>SUM(I281:I292)</f>
        <v>22</v>
      </c>
      <c r="J293" s="9"/>
      <c r="K293" s="9"/>
      <c r="L293" s="9"/>
      <c r="M293" s="9">
        <f t="shared" si="36"/>
        <v>150.47999999999999</v>
      </c>
      <c r="N293" s="9">
        <f t="shared" si="37"/>
        <v>57.86</v>
      </c>
      <c r="O293" s="24">
        <f>ROUND(SUM(M281:M292)/I293,2)</f>
        <v>6.84</v>
      </c>
      <c r="P293" s="24">
        <f>ROUND(SUM(N281:N292)/I293,2)</f>
        <v>2.63</v>
      </c>
      <c r="Q293" s="9"/>
      <c r="S293" s="25"/>
    </row>
    <row r="294" spans="1:19" ht="20.25" customHeight="1" x14ac:dyDescent="0.25">
      <c r="A294" s="27" t="s">
        <v>135</v>
      </c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</row>
    <row r="295" spans="1:19" ht="16.5" customHeight="1" x14ac:dyDescent="0.25">
      <c r="A295" s="9"/>
      <c r="B295" s="51" t="s">
        <v>98</v>
      </c>
      <c r="C295" s="52"/>
      <c r="D295" s="52"/>
      <c r="E295" s="52"/>
      <c r="F295" s="52"/>
      <c r="G295" s="53"/>
      <c r="H295" s="20"/>
      <c r="I295" s="9">
        <v>4</v>
      </c>
      <c r="J295" s="9"/>
      <c r="K295" s="9"/>
      <c r="L295" s="9"/>
      <c r="M295" s="9">
        <f>I295*O295</f>
        <v>27.6</v>
      </c>
      <c r="N295" s="9">
        <f>I295*P295</f>
        <v>10</v>
      </c>
      <c r="O295" s="9">
        <v>6.9</v>
      </c>
      <c r="P295" s="9">
        <v>2.5</v>
      </c>
      <c r="Q295" s="9" t="s">
        <v>5</v>
      </c>
      <c r="S295" s="26" t="s">
        <v>134</v>
      </c>
    </row>
    <row r="296" spans="1:19" ht="16.5" hidden="1" customHeight="1" x14ac:dyDescent="0.25">
      <c r="A296" s="21"/>
      <c r="H296" s="21"/>
      <c r="I296" s="21"/>
      <c r="J296" s="21"/>
      <c r="K296" s="21"/>
      <c r="L296" s="21"/>
      <c r="M296" s="9">
        <f>I296*O296</f>
        <v>0</v>
      </c>
      <c r="N296" s="9">
        <f>I296*P296</f>
        <v>0</v>
      </c>
      <c r="O296" s="21"/>
      <c r="P296" s="21"/>
      <c r="Q296" s="21"/>
      <c r="S296" s="25"/>
    </row>
    <row r="297" spans="1:19" ht="16.5" customHeight="1" x14ac:dyDescent="0.25">
      <c r="A297" s="9"/>
      <c r="B297" s="39" t="s">
        <v>42</v>
      </c>
      <c r="C297" s="40"/>
      <c r="D297" s="40"/>
      <c r="E297" s="40"/>
      <c r="F297" s="40"/>
      <c r="G297" s="41"/>
      <c r="H297" s="23"/>
      <c r="I297" s="24">
        <f>SUM(I295:I296)</f>
        <v>4</v>
      </c>
      <c r="J297" s="9"/>
      <c r="K297" s="9"/>
      <c r="L297" s="9"/>
      <c r="M297" s="9">
        <f>I297*O297</f>
        <v>27.6</v>
      </c>
      <c r="N297" s="9">
        <f>I297*P297</f>
        <v>10</v>
      </c>
      <c r="O297" s="24">
        <f>ROUND(SUM(M295:M296)/I297,2)</f>
        <v>6.9</v>
      </c>
      <c r="P297" s="24">
        <f>ROUND(SUM(N295:N296)/I297,2)</f>
        <v>2.5</v>
      </c>
      <c r="Q297" s="9"/>
      <c r="S297" s="25"/>
    </row>
    <row r="298" spans="1:19" ht="20.25" customHeight="1" x14ac:dyDescent="0.25">
      <c r="A298" s="27" t="s">
        <v>101</v>
      </c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</row>
    <row r="299" spans="1:19" ht="16.5" customHeight="1" x14ac:dyDescent="0.25">
      <c r="A299" s="9"/>
      <c r="B299" s="51" t="s">
        <v>102</v>
      </c>
      <c r="C299" s="52"/>
      <c r="D299" s="52"/>
      <c r="E299" s="52"/>
      <c r="F299" s="52"/>
      <c r="G299" s="53"/>
      <c r="H299" s="20"/>
      <c r="I299" s="9">
        <v>1</v>
      </c>
      <c r="J299" s="9"/>
      <c r="K299" s="9"/>
      <c r="L299" s="9"/>
      <c r="M299" s="9">
        <f t="shared" ref="M299:M312" si="38">I299*O299</f>
        <v>7.4</v>
      </c>
      <c r="N299" s="9">
        <f t="shared" ref="N299:N312" si="39">I299*P299</f>
        <v>3</v>
      </c>
      <c r="O299" s="9">
        <v>7.4</v>
      </c>
      <c r="P299" s="9">
        <v>3</v>
      </c>
      <c r="Q299" s="9" t="s">
        <v>6</v>
      </c>
      <c r="S299" s="26" t="s">
        <v>134</v>
      </c>
    </row>
    <row r="300" spans="1:19" ht="16.5" customHeight="1" x14ac:dyDescent="0.25">
      <c r="A300" s="9"/>
      <c r="B300" s="51" t="s">
        <v>113</v>
      </c>
      <c r="C300" s="52"/>
      <c r="D300" s="52"/>
      <c r="E300" s="52"/>
      <c r="F300" s="52"/>
      <c r="G300" s="53"/>
      <c r="H300" s="20"/>
      <c r="I300" s="9">
        <v>1</v>
      </c>
      <c r="J300" s="9"/>
      <c r="K300" s="9"/>
      <c r="L300" s="9"/>
      <c r="M300" s="9">
        <f t="shared" si="38"/>
        <v>7.4</v>
      </c>
      <c r="N300" s="9">
        <f t="shared" si="39"/>
        <v>3</v>
      </c>
      <c r="O300" s="9">
        <v>7.4</v>
      </c>
      <c r="P300" s="9">
        <v>3</v>
      </c>
      <c r="Q300" s="9" t="s">
        <v>6</v>
      </c>
      <c r="S300" s="26" t="s">
        <v>134</v>
      </c>
    </row>
    <row r="301" spans="1:19" ht="16.5" customHeight="1" x14ac:dyDescent="0.25">
      <c r="A301" s="9"/>
      <c r="B301" s="51" t="s">
        <v>104</v>
      </c>
      <c r="C301" s="52"/>
      <c r="D301" s="52"/>
      <c r="E301" s="52"/>
      <c r="F301" s="52"/>
      <c r="G301" s="53"/>
      <c r="H301" s="20"/>
      <c r="I301" s="9">
        <v>4</v>
      </c>
      <c r="J301" s="9"/>
      <c r="K301" s="9"/>
      <c r="L301" s="9"/>
      <c r="M301" s="9">
        <f t="shared" si="38"/>
        <v>30.8</v>
      </c>
      <c r="N301" s="9">
        <f t="shared" si="39"/>
        <v>12</v>
      </c>
      <c r="O301" s="9">
        <v>7.7</v>
      </c>
      <c r="P301" s="9">
        <v>3</v>
      </c>
      <c r="Q301" s="9" t="s">
        <v>6</v>
      </c>
      <c r="S301" s="26" t="s">
        <v>134</v>
      </c>
    </row>
    <row r="302" spans="1:19" ht="16.5" customHeight="1" x14ac:dyDescent="0.25">
      <c r="A302" s="9"/>
      <c r="B302" s="51" t="s">
        <v>109</v>
      </c>
      <c r="C302" s="52"/>
      <c r="D302" s="52"/>
      <c r="E302" s="52"/>
      <c r="F302" s="52"/>
      <c r="G302" s="53"/>
      <c r="H302" s="20"/>
      <c r="I302" s="9">
        <v>2</v>
      </c>
      <c r="J302" s="9"/>
      <c r="K302" s="9"/>
      <c r="L302" s="9"/>
      <c r="M302" s="9">
        <f t="shared" si="38"/>
        <v>15</v>
      </c>
      <c r="N302" s="9">
        <f t="shared" si="39"/>
        <v>6</v>
      </c>
      <c r="O302" s="9">
        <v>7.5</v>
      </c>
      <c r="P302" s="9">
        <v>3</v>
      </c>
      <c r="Q302" s="9" t="s">
        <v>6</v>
      </c>
      <c r="S302" s="26" t="s">
        <v>134</v>
      </c>
    </row>
    <row r="303" spans="1:19" ht="16.5" customHeight="1" x14ac:dyDescent="0.25">
      <c r="A303" s="9"/>
      <c r="B303" s="51" t="s">
        <v>106</v>
      </c>
      <c r="C303" s="52"/>
      <c r="D303" s="52"/>
      <c r="E303" s="52"/>
      <c r="F303" s="52"/>
      <c r="G303" s="53"/>
      <c r="H303" s="20"/>
      <c r="I303" s="9">
        <v>2</v>
      </c>
      <c r="J303" s="9"/>
      <c r="K303" s="9"/>
      <c r="L303" s="9"/>
      <c r="M303" s="9">
        <f t="shared" si="38"/>
        <v>14.6</v>
      </c>
      <c r="N303" s="9">
        <f t="shared" si="39"/>
        <v>6</v>
      </c>
      <c r="O303" s="9">
        <v>7.3</v>
      </c>
      <c r="P303" s="9">
        <v>3</v>
      </c>
      <c r="Q303" s="9" t="s">
        <v>6</v>
      </c>
      <c r="S303" s="26" t="s">
        <v>134</v>
      </c>
    </row>
    <row r="304" spans="1:19" ht="16.5" customHeight="1" x14ac:dyDescent="0.25">
      <c r="A304" s="9"/>
      <c r="B304" s="51" t="s">
        <v>107</v>
      </c>
      <c r="C304" s="52"/>
      <c r="D304" s="52"/>
      <c r="E304" s="52"/>
      <c r="F304" s="52"/>
      <c r="G304" s="53"/>
      <c r="H304" s="20"/>
      <c r="I304" s="9">
        <v>2</v>
      </c>
      <c r="J304" s="9"/>
      <c r="K304" s="9"/>
      <c r="L304" s="9"/>
      <c r="M304" s="9">
        <f t="shared" si="38"/>
        <v>14.4</v>
      </c>
      <c r="N304" s="9">
        <f t="shared" si="39"/>
        <v>6</v>
      </c>
      <c r="O304" s="9">
        <v>7.2</v>
      </c>
      <c r="P304" s="9">
        <v>3</v>
      </c>
      <c r="Q304" s="9" t="s">
        <v>6</v>
      </c>
      <c r="S304" s="26" t="s">
        <v>134</v>
      </c>
    </row>
    <row r="305" spans="1:19" ht="16.5" customHeight="1" x14ac:dyDescent="0.25">
      <c r="A305" s="9"/>
      <c r="B305" s="51" t="s">
        <v>108</v>
      </c>
      <c r="C305" s="52"/>
      <c r="D305" s="52"/>
      <c r="E305" s="52"/>
      <c r="F305" s="52"/>
      <c r="G305" s="53"/>
      <c r="H305" s="20"/>
      <c r="I305" s="9">
        <v>4</v>
      </c>
      <c r="J305" s="9"/>
      <c r="K305" s="9"/>
      <c r="L305" s="9"/>
      <c r="M305" s="9">
        <f t="shared" si="38"/>
        <v>30.8</v>
      </c>
      <c r="N305" s="9">
        <f t="shared" si="39"/>
        <v>12</v>
      </c>
      <c r="O305" s="9">
        <v>7.7</v>
      </c>
      <c r="P305" s="9">
        <v>3</v>
      </c>
      <c r="Q305" s="9" t="s">
        <v>6</v>
      </c>
      <c r="S305" s="26" t="s">
        <v>134</v>
      </c>
    </row>
    <row r="306" spans="1:19" ht="16.5" customHeight="1" x14ac:dyDescent="0.25">
      <c r="A306" s="9"/>
      <c r="B306" s="51" t="s">
        <v>105</v>
      </c>
      <c r="C306" s="52"/>
      <c r="D306" s="52"/>
      <c r="E306" s="52"/>
      <c r="F306" s="52"/>
      <c r="G306" s="53"/>
      <c r="H306" s="20"/>
      <c r="I306" s="9">
        <v>3</v>
      </c>
      <c r="J306" s="9"/>
      <c r="K306" s="9"/>
      <c r="L306" s="9"/>
      <c r="M306" s="9">
        <f t="shared" si="38"/>
        <v>27</v>
      </c>
      <c r="N306" s="9">
        <f t="shared" si="39"/>
        <v>12</v>
      </c>
      <c r="O306" s="9">
        <v>9</v>
      </c>
      <c r="P306" s="9">
        <v>4</v>
      </c>
      <c r="Q306" s="9" t="s">
        <v>12</v>
      </c>
      <c r="S306" s="26" t="s">
        <v>134</v>
      </c>
    </row>
    <row r="307" spans="1:19" ht="16.5" customHeight="1" x14ac:dyDescent="0.25">
      <c r="A307" s="9"/>
      <c r="B307" s="51" t="s">
        <v>110</v>
      </c>
      <c r="C307" s="52"/>
      <c r="D307" s="52"/>
      <c r="E307" s="52"/>
      <c r="F307" s="52"/>
      <c r="G307" s="53"/>
      <c r="H307" s="20"/>
      <c r="I307" s="9">
        <v>2</v>
      </c>
      <c r="J307" s="9"/>
      <c r="K307" s="9"/>
      <c r="L307" s="9"/>
      <c r="M307" s="9">
        <f t="shared" si="38"/>
        <v>16.399999999999999</v>
      </c>
      <c r="N307" s="9">
        <f t="shared" si="39"/>
        <v>7</v>
      </c>
      <c r="O307" s="9">
        <v>8.1999999999999993</v>
      </c>
      <c r="P307" s="9">
        <v>3.5</v>
      </c>
      <c r="Q307" s="9" t="s">
        <v>9</v>
      </c>
      <c r="S307" s="26" t="s">
        <v>134</v>
      </c>
    </row>
    <row r="308" spans="1:19" ht="16.5" customHeight="1" x14ac:dyDescent="0.25">
      <c r="A308" s="9"/>
      <c r="B308" s="51" t="s">
        <v>111</v>
      </c>
      <c r="C308" s="52"/>
      <c r="D308" s="52"/>
      <c r="E308" s="52"/>
      <c r="F308" s="52"/>
      <c r="G308" s="53"/>
      <c r="H308" s="20"/>
      <c r="I308" s="9">
        <v>4</v>
      </c>
      <c r="J308" s="9"/>
      <c r="K308" s="9"/>
      <c r="L308" s="9"/>
      <c r="M308" s="9">
        <f t="shared" si="38"/>
        <v>26</v>
      </c>
      <c r="N308" s="9">
        <f t="shared" si="39"/>
        <v>10</v>
      </c>
      <c r="O308" s="9">
        <v>6.5</v>
      </c>
      <c r="P308" s="9">
        <v>2.5</v>
      </c>
      <c r="Q308" s="9" t="s">
        <v>5</v>
      </c>
      <c r="S308" s="26" t="s">
        <v>134</v>
      </c>
    </row>
    <row r="309" spans="1:19" ht="16.5" customHeight="1" x14ac:dyDescent="0.25">
      <c r="A309" s="9"/>
      <c r="B309" s="51" t="s">
        <v>112</v>
      </c>
      <c r="C309" s="52"/>
      <c r="D309" s="52"/>
      <c r="E309" s="52"/>
      <c r="F309" s="52"/>
      <c r="G309" s="53"/>
      <c r="H309" s="20"/>
      <c r="I309" s="9">
        <v>2</v>
      </c>
      <c r="J309" s="9"/>
      <c r="K309" s="9"/>
      <c r="L309" s="9"/>
      <c r="M309" s="9">
        <f t="shared" si="38"/>
        <v>14.6</v>
      </c>
      <c r="N309" s="9">
        <f t="shared" si="39"/>
        <v>6</v>
      </c>
      <c r="O309" s="9">
        <v>7.3</v>
      </c>
      <c r="P309" s="9">
        <v>3</v>
      </c>
      <c r="Q309" s="9" t="s">
        <v>6</v>
      </c>
      <c r="S309" s="26" t="s">
        <v>134</v>
      </c>
    </row>
    <row r="310" spans="1:19" ht="16.5" customHeight="1" x14ac:dyDescent="0.25">
      <c r="A310" s="9"/>
      <c r="B310" s="51" t="s">
        <v>103</v>
      </c>
      <c r="C310" s="52"/>
      <c r="D310" s="52"/>
      <c r="E310" s="52"/>
      <c r="F310" s="52"/>
      <c r="G310" s="53"/>
      <c r="H310" s="20"/>
      <c r="I310" s="9">
        <v>2</v>
      </c>
      <c r="J310" s="9"/>
      <c r="K310" s="9"/>
      <c r="L310" s="9"/>
      <c r="M310" s="9">
        <f t="shared" si="38"/>
        <v>16</v>
      </c>
      <c r="N310" s="9">
        <f t="shared" si="39"/>
        <v>7</v>
      </c>
      <c r="O310" s="9">
        <v>8</v>
      </c>
      <c r="P310" s="9">
        <v>3.5</v>
      </c>
      <c r="Q310" s="9" t="s">
        <v>9</v>
      </c>
      <c r="S310" s="26" t="s">
        <v>134</v>
      </c>
    </row>
    <row r="311" spans="1:19" ht="16.5" hidden="1" customHeight="1" x14ac:dyDescent="0.25">
      <c r="A311" s="21"/>
      <c r="H311" s="21"/>
      <c r="I311" s="21"/>
      <c r="J311" s="21"/>
      <c r="K311" s="21"/>
      <c r="L311" s="21"/>
      <c r="M311" s="9">
        <f t="shared" si="38"/>
        <v>0</v>
      </c>
      <c r="N311" s="9">
        <f t="shared" si="39"/>
        <v>0</v>
      </c>
      <c r="O311" s="21"/>
      <c r="P311" s="21"/>
      <c r="Q311" s="21"/>
      <c r="S311" s="25"/>
    </row>
    <row r="312" spans="1:19" ht="16.5" customHeight="1" x14ac:dyDescent="0.25">
      <c r="A312" s="9"/>
      <c r="B312" s="39" t="s">
        <v>42</v>
      </c>
      <c r="C312" s="40"/>
      <c r="D312" s="40"/>
      <c r="E312" s="40"/>
      <c r="F312" s="40"/>
      <c r="G312" s="41"/>
      <c r="H312" s="23"/>
      <c r="I312" s="24">
        <f>SUM(I299:I311)</f>
        <v>29</v>
      </c>
      <c r="J312" s="9"/>
      <c r="K312" s="9"/>
      <c r="L312" s="9"/>
      <c r="M312" s="9">
        <f t="shared" si="38"/>
        <v>220.39999999999998</v>
      </c>
      <c r="N312" s="9">
        <f t="shared" si="39"/>
        <v>89.9</v>
      </c>
      <c r="O312" s="24">
        <f>ROUND(SUM(M299:M311)/I312,2)</f>
        <v>7.6</v>
      </c>
      <c r="P312" s="24">
        <f>ROUND(SUM(N299:N311)/I312,2)</f>
        <v>3.1</v>
      </c>
      <c r="Q312" s="9"/>
      <c r="S312" s="25"/>
    </row>
    <row r="313" spans="1:19" ht="20.25" customHeight="1" x14ac:dyDescent="0.25">
      <c r="A313" s="27" t="s">
        <v>114</v>
      </c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</row>
    <row r="314" spans="1:19" ht="16.5" customHeight="1" x14ac:dyDescent="0.25">
      <c r="A314" s="9"/>
      <c r="B314" s="51" t="s">
        <v>115</v>
      </c>
      <c r="C314" s="52"/>
      <c r="D314" s="52"/>
      <c r="E314" s="52"/>
      <c r="F314" s="52"/>
      <c r="G314" s="53"/>
      <c r="H314" s="20"/>
      <c r="I314" s="9">
        <v>2</v>
      </c>
      <c r="J314" s="9"/>
      <c r="K314" s="9"/>
      <c r="L314" s="9"/>
      <c r="M314" s="9">
        <f t="shared" ref="M314:M324" si="40">I314*O314</f>
        <v>0</v>
      </c>
      <c r="N314" s="9">
        <f t="shared" ref="N314:N324" si="41">I314*P314</f>
        <v>0</v>
      </c>
      <c r="O314" s="9"/>
      <c r="P314" s="9"/>
      <c r="Q314" s="9"/>
      <c r="S314" s="26" t="s">
        <v>134</v>
      </c>
    </row>
    <row r="315" spans="1:19" ht="16.5" customHeight="1" x14ac:dyDescent="0.25">
      <c r="A315" s="9"/>
      <c r="B315" s="51" t="s">
        <v>116</v>
      </c>
      <c r="C315" s="52"/>
      <c r="D315" s="52"/>
      <c r="E315" s="52"/>
      <c r="F315" s="52"/>
      <c r="G315" s="53"/>
      <c r="H315" s="20"/>
      <c r="I315" s="9">
        <v>3</v>
      </c>
      <c r="J315" s="9"/>
      <c r="K315" s="9"/>
      <c r="L315" s="9"/>
      <c r="M315" s="9">
        <f t="shared" si="40"/>
        <v>25.799999999999997</v>
      </c>
      <c r="N315" s="9">
        <f t="shared" si="41"/>
        <v>11.100000000000001</v>
      </c>
      <c r="O315" s="9">
        <v>8.6</v>
      </c>
      <c r="P315" s="9">
        <v>3.7</v>
      </c>
      <c r="Q315" s="9" t="s">
        <v>10</v>
      </c>
      <c r="S315" s="26" t="s">
        <v>134</v>
      </c>
    </row>
    <row r="316" spans="1:19" ht="16.5" customHeight="1" x14ac:dyDescent="0.25">
      <c r="A316" s="9"/>
      <c r="B316" s="51" t="s">
        <v>117</v>
      </c>
      <c r="C316" s="52"/>
      <c r="D316" s="52"/>
      <c r="E316" s="52"/>
      <c r="F316" s="52"/>
      <c r="G316" s="53"/>
      <c r="H316" s="20"/>
      <c r="I316" s="9">
        <v>3</v>
      </c>
      <c r="J316" s="9"/>
      <c r="K316" s="9"/>
      <c r="L316" s="9"/>
      <c r="M316" s="9">
        <f t="shared" si="40"/>
        <v>0</v>
      </c>
      <c r="N316" s="9">
        <f t="shared" si="41"/>
        <v>0</v>
      </c>
      <c r="O316" s="9"/>
      <c r="P316" s="9"/>
      <c r="Q316" s="9"/>
      <c r="S316" s="26" t="s">
        <v>134</v>
      </c>
    </row>
    <row r="317" spans="1:19" ht="16.5" customHeight="1" x14ac:dyDescent="0.25">
      <c r="A317" s="9"/>
      <c r="B317" s="51" t="s">
        <v>123</v>
      </c>
      <c r="C317" s="52"/>
      <c r="D317" s="52"/>
      <c r="E317" s="52"/>
      <c r="F317" s="52"/>
      <c r="G317" s="53"/>
      <c r="H317" s="20"/>
      <c r="I317" s="9">
        <v>2</v>
      </c>
      <c r="J317" s="9"/>
      <c r="K317" s="9"/>
      <c r="L317" s="9"/>
      <c r="M317" s="9">
        <f t="shared" si="40"/>
        <v>0</v>
      </c>
      <c r="N317" s="9">
        <f t="shared" si="41"/>
        <v>0</v>
      </c>
      <c r="O317" s="9"/>
      <c r="P317" s="9"/>
      <c r="Q317" s="9"/>
      <c r="S317" s="26" t="s">
        <v>134</v>
      </c>
    </row>
    <row r="318" spans="1:19" ht="16.5" customHeight="1" x14ac:dyDescent="0.25">
      <c r="A318" s="9"/>
      <c r="B318" s="51" t="s">
        <v>119</v>
      </c>
      <c r="C318" s="52"/>
      <c r="D318" s="52"/>
      <c r="E318" s="52"/>
      <c r="F318" s="52"/>
      <c r="G318" s="53"/>
      <c r="H318" s="20"/>
      <c r="I318" s="9">
        <v>4</v>
      </c>
      <c r="J318" s="9"/>
      <c r="K318" s="9"/>
      <c r="L318" s="9"/>
      <c r="M318" s="9">
        <f t="shared" si="40"/>
        <v>0</v>
      </c>
      <c r="N318" s="9">
        <f t="shared" si="41"/>
        <v>0</v>
      </c>
      <c r="O318" s="9"/>
      <c r="P318" s="9"/>
      <c r="Q318" s="9"/>
      <c r="S318" s="26" t="s">
        <v>134</v>
      </c>
    </row>
    <row r="319" spans="1:19" ht="16.5" customHeight="1" x14ac:dyDescent="0.25">
      <c r="A319" s="9"/>
      <c r="B319" s="51" t="s">
        <v>120</v>
      </c>
      <c r="C319" s="52"/>
      <c r="D319" s="52"/>
      <c r="E319" s="52"/>
      <c r="F319" s="52"/>
      <c r="G319" s="53"/>
      <c r="H319" s="20"/>
      <c r="I319" s="9">
        <v>3</v>
      </c>
      <c r="J319" s="9"/>
      <c r="K319" s="9"/>
      <c r="L319" s="9"/>
      <c r="M319" s="9">
        <f t="shared" si="40"/>
        <v>22.5</v>
      </c>
      <c r="N319" s="9">
        <f t="shared" si="41"/>
        <v>9</v>
      </c>
      <c r="O319" s="9">
        <v>7.5</v>
      </c>
      <c r="P319" s="9">
        <v>3</v>
      </c>
      <c r="Q319" s="9" t="s">
        <v>6</v>
      </c>
      <c r="S319" s="26" t="s">
        <v>134</v>
      </c>
    </row>
    <row r="320" spans="1:19" ht="16.5" customHeight="1" x14ac:dyDescent="0.25">
      <c r="A320" s="9"/>
      <c r="B320" s="51" t="s">
        <v>121</v>
      </c>
      <c r="C320" s="52"/>
      <c r="D320" s="52"/>
      <c r="E320" s="52"/>
      <c r="F320" s="52"/>
      <c r="G320" s="53"/>
      <c r="H320" s="20"/>
      <c r="I320" s="9">
        <v>2</v>
      </c>
      <c r="J320" s="9"/>
      <c r="K320" s="9"/>
      <c r="L320" s="9"/>
      <c r="M320" s="9">
        <f t="shared" si="40"/>
        <v>16.2</v>
      </c>
      <c r="N320" s="9">
        <f t="shared" si="41"/>
        <v>7</v>
      </c>
      <c r="O320" s="9">
        <v>8.1</v>
      </c>
      <c r="P320" s="9">
        <v>3.5</v>
      </c>
      <c r="Q320" s="9" t="s">
        <v>9</v>
      </c>
      <c r="S320" s="26" t="s">
        <v>134</v>
      </c>
    </row>
    <row r="321" spans="1:19" ht="16.5" customHeight="1" x14ac:dyDescent="0.25">
      <c r="A321" s="9"/>
      <c r="B321" s="51" t="s">
        <v>122</v>
      </c>
      <c r="C321" s="52"/>
      <c r="D321" s="52"/>
      <c r="E321" s="52"/>
      <c r="F321" s="52"/>
      <c r="G321" s="53"/>
      <c r="H321" s="20"/>
      <c r="I321" s="9">
        <v>2</v>
      </c>
      <c r="J321" s="9"/>
      <c r="K321" s="9"/>
      <c r="L321" s="9"/>
      <c r="M321" s="9">
        <f t="shared" si="40"/>
        <v>0</v>
      </c>
      <c r="N321" s="9">
        <f t="shared" si="41"/>
        <v>0</v>
      </c>
      <c r="O321" s="9"/>
      <c r="P321" s="9"/>
      <c r="Q321" s="9"/>
      <c r="S321" s="26" t="s">
        <v>134</v>
      </c>
    </row>
    <row r="322" spans="1:19" ht="16.5" customHeight="1" x14ac:dyDescent="0.25">
      <c r="A322" s="9"/>
      <c r="B322" s="51" t="s">
        <v>118</v>
      </c>
      <c r="C322" s="52"/>
      <c r="D322" s="52"/>
      <c r="E322" s="52"/>
      <c r="F322" s="52"/>
      <c r="G322" s="53"/>
      <c r="H322" s="20"/>
      <c r="I322" s="9">
        <v>1</v>
      </c>
      <c r="J322" s="9"/>
      <c r="K322" s="9"/>
      <c r="L322" s="9"/>
      <c r="M322" s="9">
        <f t="shared" si="40"/>
        <v>6.8</v>
      </c>
      <c r="N322" s="9">
        <f t="shared" si="41"/>
        <v>2.5</v>
      </c>
      <c r="O322" s="9">
        <v>6.8</v>
      </c>
      <c r="P322" s="9">
        <v>2.5</v>
      </c>
      <c r="Q322" s="9" t="s">
        <v>5</v>
      </c>
      <c r="S322" s="26" t="s">
        <v>134</v>
      </c>
    </row>
    <row r="323" spans="1:19" ht="16.5" hidden="1" customHeight="1" x14ac:dyDescent="0.25">
      <c r="A323" s="21"/>
      <c r="H323" s="21"/>
      <c r="I323" s="21"/>
      <c r="J323" s="21"/>
      <c r="K323" s="21"/>
      <c r="L323" s="21"/>
      <c r="M323" s="9">
        <f t="shared" si="40"/>
        <v>0</v>
      </c>
      <c r="N323" s="9">
        <f t="shared" si="41"/>
        <v>0</v>
      </c>
      <c r="O323" s="21"/>
      <c r="P323" s="21"/>
      <c r="Q323" s="21"/>
      <c r="S323" s="25"/>
    </row>
    <row r="324" spans="1:19" ht="16.5" customHeight="1" x14ac:dyDescent="0.25">
      <c r="A324" s="9"/>
      <c r="B324" s="39" t="s">
        <v>42</v>
      </c>
      <c r="C324" s="40"/>
      <c r="D324" s="40"/>
      <c r="E324" s="40"/>
      <c r="F324" s="40"/>
      <c r="G324" s="41"/>
      <c r="H324" s="23"/>
      <c r="I324" s="24">
        <f>SUM(I314:I323)</f>
        <v>22</v>
      </c>
      <c r="J324" s="9"/>
      <c r="K324" s="9"/>
      <c r="L324" s="9"/>
      <c r="M324" s="9">
        <f t="shared" si="40"/>
        <v>71.28</v>
      </c>
      <c r="N324" s="9">
        <f t="shared" si="41"/>
        <v>29.700000000000003</v>
      </c>
      <c r="O324" s="24">
        <f>ROUND(SUM(M314:M323)/I324,2)</f>
        <v>3.24</v>
      </c>
      <c r="P324" s="24">
        <f>ROUND(SUM(N314:N323)/I324,2)</f>
        <v>1.35</v>
      </c>
      <c r="Q324" s="9"/>
      <c r="S324" s="25"/>
    </row>
    <row r="325" spans="1:19" ht="16.5" customHeight="1" x14ac:dyDescent="0.25">
      <c r="A325" s="21"/>
      <c r="B325" s="22"/>
      <c r="C325" s="22"/>
      <c r="D325" s="22"/>
      <c r="E325" s="22"/>
      <c r="F325" s="22"/>
      <c r="G325" s="22"/>
      <c r="H325" s="21"/>
      <c r="I325" s="21"/>
      <c r="J325" s="21"/>
      <c r="K325" s="21"/>
      <c r="L325" s="21"/>
      <c r="M325" s="21"/>
      <c r="N325" s="21"/>
      <c r="O325" s="21"/>
      <c r="P325" s="21"/>
      <c r="Q325" s="21"/>
    </row>
    <row r="327" spans="1:19" ht="19.5" customHeight="1" x14ac:dyDescent="0.25">
      <c r="A327" s="17"/>
      <c r="B327" s="17"/>
      <c r="C327" s="8"/>
      <c r="D327" s="18"/>
      <c r="E327" s="10"/>
      <c r="F327" s="11"/>
      <c r="G327" s="46" t="s">
        <v>49</v>
      </c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</row>
    <row r="328" spans="1:19" ht="31.5" customHeight="1" x14ac:dyDescent="0.3">
      <c r="A328" s="8"/>
      <c r="B328" s="8"/>
      <c r="C328" s="8"/>
      <c r="D328" s="8"/>
      <c r="E328" s="8"/>
      <c r="F328" s="8"/>
      <c r="G328" s="8"/>
      <c r="H328" s="12"/>
      <c r="I328" s="42" t="s">
        <v>40</v>
      </c>
      <c r="J328" s="43"/>
      <c r="K328" s="43"/>
      <c r="L328" s="43"/>
      <c r="M328" s="43"/>
      <c r="N328" s="43"/>
      <c r="O328" s="43"/>
      <c r="P328" s="43"/>
      <c r="Q328" s="43"/>
      <c r="R328" s="43"/>
      <c r="S328" s="43"/>
    </row>
    <row r="329" spans="1:19" ht="16.8" x14ac:dyDescent="0.3">
      <c r="A329" s="8"/>
      <c r="B329" s="8"/>
      <c r="C329" s="8"/>
      <c r="D329" s="8"/>
      <c r="E329" s="8"/>
      <c r="F329" s="8"/>
      <c r="G329" s="8"/>
      <c r="H329" s="12"/>
      <c r="I329" s="12"/>
      <c r="J329" s="12"/>
      <c r="K329" s="12"/>
      <c r="L329" s="8"/>
      <c r="M329" s="8"/>
      <c r="N329" s="8"/>
      <c r="O329" s="8"/>
      <c r="P329" s="8"/>
      <c r="Q329" s="8"/>
    </row>
    <row r="330" spans="1:19" ht="33" customHeight="1" x14ac:dyDescent="0.3">
      <c r="A330" s="8"/>
      <c r="B330" s="8"/>
      <c r="C330" s="8"/>
      <c r="D330" s="8"/>
      <c r="E330" s="8"/>
      <c r="F330" s="8"/>
      <c r="G330" s="8"/>
      <c r="H330" s="12"/>
      <c r="I330" s="12"/>
      <c r="J330" s="12"/>
      <c r="K330" s="12"/>
      <c r="L330" s="8"/>
      <c r="M330" s="8"/>
      <c r="N330" s="8"/>
      <c r="O330" s="8"/>
      <c r="P330" s="8"/>
      <c r="Q330" s="8"/>
    </row>
    <row r="331" spans="1:19" ht="11.25" customHeight="1" x14ac:dyDescent="0.3">
      <c r="A331" s="8"/>
      <c r="B331" s="8"/>
      <c r="C331" s="8"/>
      <c r="D331" s="8"/>
      <c r="E331" s="8"/>
      <c r="F331" s="8"/>
      <c r="G331" s="8"/>
      <c r="H331" s="12"/>
      <c r="I331" s="12"/>
      <c r="J331" s="12"/>
      <c r="K331" s="12"/>
      <c r="L331" s="8"/>
      <c r="M331" s="8"/>
      <c r="N331" s="8"/>
      <c r="O331" s="8"/>
      <c r="P331" s="8"/>
      <c r="Q331" s="8"/>
    </row>
    <row r="332" spans="1:19" ht="17.399999999999999" x14ac:dyDescent="0.3">
      <c r="A332" s="8"/>
      <c r="B332" s="8"/>
      <c r="C332" s="8"/>
      <c r="D332" s="8"/>
      <c r="E332" s="8"/>
      <c r="F332" s="8"/>
      <c r="G332" s="47" t="s">
        <v>41</v>
      </c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</row>
    <row r="333" spans="1:19" ht="54" customHeight="1" x14ac:dyDescent="0.25">
      <c r="A333" s="48" t="s">
        <v>33</v>
      </c>
      <c r="B333" s="48"/>
      <c r="C333" s="48"/>
      <c r="D333" s="48"/>
      <c r="E333" s="48"/>
      <c r="F333" s="42" t="s">
        <v>24</v>
      </c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</row>
    <row r="334" spans="1:19" ht="17.399999999999999" x14ac:dyDescent="0.25">
      <c r="A334" s="49" t="s">
        <v>34</v>
      </c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</row>
    <row r="335" spans="1:19" ht="4.5" customHeight="1" x14ac:dyDescent="0.25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</row>
    <row r="336" spans="1:19" ht="5.25" customHeight="1" x14ac:dyDescent="0.25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</row>
    <row r="337" spans="1:20" ht="16.5" customHeight="1" x14ac:dyDescent="0.25">
      <c r="A337" s="54" t="s">
        <v>136</v>
      </c>
      <c r="B337" s="54"/>
      <c r="C337" s="54"/>
      <c r="D337" s="54"/>
      <c r="E337" s="54"/>
      <c r="F337" s="54"/>
      <c r="G337" s="58" t="s">
        <v>137</v>
      </c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</row>
    <row r="338" spans="1:20" ht="16.5" customHeight="1" x14ac:dyDescent="0.25">
      <c r="A338" s="54" t="s">
        <v>138</v>
      </c>
      <c r="B338" s="54"/>
      <c r="C338" s="54"/>
      <c r="D338" s="54"/>
      <c r="E338" s="54"/>
      <c r="F338" s="54"/>
      <c r="G338" s="8" t="s">
        <v>46</v>
      </c>
      <c r="H338" s="8"/>
      <c r="I338" s="8"/>
      <c r="J338" s="8"/>
      <c r="K338" s="8"/>
      <c r="L338" s="8"/>
      <c r="M338" s="8"/>
      <c r="N338" s="8"/>
      <c r="O338" s="8"/>
      <c r="P338" s="8"/>
      <c r="Q338" s="8"/>
      <c r="T338" s="2"/>
    </row>
    <row r="339" spans="1:20" ht="16.5" customHeight="1" x14ac:dyDescent="0.25">
      <c r="A339" s="54" t="s">
        <v>47</v>
      </c>
      <c r="B339" s="54"/>
      <c r="C339" s="54"/>
      <c r="D339" s="54"/>
      <c r="E339" s="54"/>
      <c r="F339" s="54"/>
      <c r="G339" s="58" t="s">
        <v>48</v>
      </c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</row>
    <row r="340" spans="1:20" ht="5.25" customHeight="1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19"/>
      <c r="K340" s="19"/>
      <c r="L340" s="19"/>
      <c r="M340" s="19"/>
      <c r="N340" s="19"/>
      <c r="O340" s="19"/>
      <c r="P340" s="19"/>
      <c r="Q340" s="19"/>
    </row>
    <row r="341" spans="1:20" ht="15" customHeight="1" x14ac:dyDescent="0.25">
      <c r="A341" s="36" t="s">
        <v>0</v>
      </c>
      <c r="B341" s="29" t="s">
        <v>1</v>
      </c>
      <c r="C341" s="30"/>
      <c r="D341" s="30"/>
      <c r="E341" s="30"/>
      <c r="F341" s="30"/>
      <c r="G341" s="31"/>
      <c r="H341" s="36" t="s">
        <v>32</v>
      </c>
      <c r="I341" s="36" t="s">
        <v>39</v>
      </c>
      <c r="J341" s="55" t="s">
        <v>2</v>
      </c>
      <c r="K341" s="56"/>
      <c r="L341" s="56"/>
      <c r="M341" s="56"/>
      <c r="N341" s="56"/>
      <c r="O341" s="56"/>
      <c r="P341" s="56"/>
      <c r="Q341" s="57"/>
      <c r="S341" s="36" t="s">
        <v>38</v>
      </c>
    </row>
    <row r="342" spans="1:20" ht="24" customHeight="1" x14ac:dyDescent="0.25">
      <c r="A342" s="37"/>
      <c r="B342" s="32"/>
      <c r="C342" s="33"/>
      <c r="D342" s="33"/>
      <c r="E342" s="33"/>
      <c r="F342" s="33"/>
      <c r="G342" s="34"/>
      <c r="H342" s="37"/>
      <c r="I342" s="37"/>
      <c r="J342" s="7" t="s">
        <v>28</v>
      </c>
      <c r="K342" s="7" t="s">
        <v>29</v>
      </c>
      <c r="L342" s="7" t="s">
        <v>30</v>
      </c>
      <c r="M342" s="7"/>
      <c r="N342" s="7"/>
      <c r="O342" s="6" t="s">
        <v>35</v>
      </c>
      <c r="P342" s="6" t="s">
        <v>36</v>
      </c>
      <c r="Q342" s="6" t="s">
        <v>37</v>
      </c>
      <c r="S342" s="37"/>
    </row>
    <row r="343" spans="1:20" ht="20.25" customHeight="1" x14ac:dyDescent="0.25">
      <c r="A343" s="27" t="s">
        <v>54</v>
      </c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</row>
    <row r="344" spans="1:20" ht="16.5" customHeight="1" x14ac:dyDescent="0.25">
      <c r="A344" s="9"/>
      <c r="B344" s="51" t="s">
        <v>55</v>
      </c>
      <c r="C344" s="52"/>
      <c r="D344" s="52"/>
      <c r="E344" s="52"/>
      <c r="F344" s="52"/>
      <c r="G344" s="53"/>
      <c r="H344" s="20"/>
      <c r="I344" s="9">
        <v>2</v>
      </c>
      <c r="J344" s="9"/>
      <c r="K344" s="9"/>
      <c r="L344" s="9"/>
      <c r="M344" s="9">
        <f t="shared" ref="M344:M352" si="42">I344*O344</f>
        <v>15.4</v>
      </c>
      <c r="N344" s="9">
        <f t="shared" ref="N344:N352" si="43">I344*P344</f>
        <v>6</v>
      </c>
      <c r="O344" s="9">
        <v>7.7</v>
      </c>
      <c r="P344" s="9">
        <v>3</v>
      </c>
      <c r="Q344" s="9" t="s">
        <v>6</v>
      </c>
      <c r="R344" s="1">
        <v>0</v>
      </c>
      <c r="S344" s="26"/>
    </row>
    <row r="345" spans="1:20" ht="16.5" customHeight="1" x14ac:dyDescent="0.25">
      <c r="A345" s="9"/>
      <c r="B345" s="51" t="s">
        <v>56</v>
      </c>
      <c r="C345" s="52"/>
      <c r="D345" s="52"/>
      <c r="E345" s="52"/>
      <c r="F345" s="52"/>
      <c r="G345" s="53"/>
      <c r="H345" s="20"/>
      <c r="I345" s="9">
        <v>3</v>
      </c>
      <c r="J345" s="9"/>
      <c r="K345" s="9"/>
      <c r="L345" s="9"/>
      <c r="M345" s="9">
        <f t="shared" si="42"/>
        <v>13.799999999999999</v>
      </c>
      <c r="N345" s="9">
        <f t="shared" si="43"/>
        <v>3</v>
      </c>
      <c r="O345" s="9">
        <v>4.5999999999999996</v>
      </c>
      <c r="P345" s="9">
        <v>1</v>
      </c>
      <c r="Q345" s="9" t="s">
        <v>8</v>
      </c>
      <c r="R345" s="1">
        <v>0</v>
      </c>
      <c r="S345" s="26"/>
    </row>
    <row r="346" spans="1:20" ht="31.2" customHeight="1" x14ac:dyDescent="0.25">
      <c r="A346" s="9"/>
      <c r="B346" s="51" t="s">
        <v>57</v>
      </c>
      <c r="C346" s="52"/>
      <c r="D346" s="52"/>
      <c r="E346" s="52"/>
      <c r="F346" s="52"/>
      <c r="G346" s="53"/>
      <c r="H346" s="20"/>
      <c r="I346" s="9">
        <v>3</v>
      </c>
      <c r="J346" s="9"/>
      <c r="K346" s="9"/>
      <c r="L346" s="9"/>
      <c r="M346" s="9">
        <f t="shared" si="42"/>
        <v>23.700000000000003</v>
      </c>
      <c r="N346" s="9">
        <f t="shared" si="43"/>
        <v>9</v>
      </c>
      <c r="O346" s="9">
        <v>7.9</v>
      </c>
      <c r="P346" s="9">
        <v>3</v>
      </c>
      <c r="Q346" s="9" t="s">
        <v>6</v>
      </c>
      <c r="R346" s="1">
        <v>0</v>
      </c>
      <c r="S346" s="26"/>
    </row>
    <row r="347" spans="1:20" ht="16.5" customHeight="1" x14ac:dyDescent="0.25">
      <c r="A347" s="9"/>
      <c r="B347" s="51" t="s">
        <v>58</v>
      </c>
      <c r="C347" s="52"/>
      <c r="D347" s="52"/>
      <c r="E347" s="52"/>
      <c r="F347" s="52"/>
      <c r="G347" s="53"/>
      <c r="H347" s="20"/>
      <c r="I347" s="9">
        <v>1</v>
      </c>
      <c r="J347" s="9"/>
      <c r="K347" s="9"/>
      <c r="L347" s="9"/>
      <c r="M347" s="9">
        <f t="shared" si="42"/>
        <v>7.6</v>
      </c>
      <c r="N347" s="9">
        <f t="shared" si="43"/>
        <v>3</v>
      </c>
      <c r="O347" s="9">
        <v>7.6</v>
      </c>
      <c r="P347" s="9">
        <v>3</v>
      </c>
      <c r="Q347" s="9" t="s">
        <v>6</v>
      </c>
      <c r="R347" s="1">
        <v>0</v>
      </c>
      <c r="S347" s="26"/>
    </row>
    <row r="348" spans="1:20" ht="16.5" customHeight="1" x14ac:dyDescent="0.25">
      <c r="A348" s="9"/>
      <c r="B348" s="51" t="s">
        <v>59</v>
      </c>
      <c r="C348" s="52"/>
      <c r="D348" s="52"/>
      <c r="E348" s="52"/>
      <c r="F348" s="52"/>
      <c r="G348" s="53"/>
      <c r="H348" s="20"/>
      <c r="I348" s="9">
        <v>1</v>
      </c>
      <c r="J348" s="9"/>
      <c r="K348" s="9"/>
      <c r="L348" s="9"/>
      <c r="M348" s="9">
        <f t="shared" si="42"/>
        <v>7.4</v>
      </c>
      <c r="N348" s="9">
        <f t="shared" si="43"/>
        <v>3</v>
      </c>
      <c r="O348" s="9">
        <v>7.4</v>
      </c>
      <c r="P348" s="9">
        <v>3</v>
      </c>
      <c r="Q348" s="9" t="s">
        <v>6</v>
      </c>
      <c r="R348" s="1">
        <v>0</v>
      </c>
      <c r="S348" s="26"/>
    </row>
    <row r="349" spans="1:20" ht="16.5" customHeight="1" x14ac:dyDescent="0.25">
      <c r="A349" s="9"/>
      <c r="B349" s="51" t="s">
        <v>60</v>
      </c>
      <c r="C349" s="52"/>
      <c r="D349" s="52"/>
      <c r="E349" s="52"/>
      <c r="F349" s="52"/>
      <c r="G349" s="53"/>
      <c r="H349" s="20"/>
      <c r="I349" s="9">
        <v>3</v>
      </c>
      <c r="J349" s="9"/>
      <c r="K349" s="9"/>
      <c r="L349" s="9"/>
      <c r="M349" s="9">
        <f t="shared" si="42"/>
        <v>23.700000000000003</v>
      </c>
      <c r="N349" s="9">
        <f t="shared" si="43"/>
        <v>9</v>
      </c>
      <c r="O349" s="9">
        <v>7.9</v>
      </c>
      <c r="P349" s="9">
        <v>3</v>
      </c>
      <c r="Q349" s="9" t="s">
        <v>6</v>
      </c>
      <c r="R349" s="1">
        <v>0</v>
      </c>
      <c r="S349" s="26"/>
    </row>
    <row r="350" spans="1:20" ht="16.5" customHeight="1" x14ac:dyDescent="0.25">
      <c r="A350" s="9"/>
      <c r="B350" s="51" t="s">
        <v>61</v>
      </c>
      <c r="C350" s="52"/>
      <c r="D350" s="52"/>
      <c r="E350" s="52"/>
      <c r="F350" s="52"/>
      <c r="G350" s="53"/>
      <c r="H350" s="20"/>
      <c r="I350" s="9">
        <v>1</v>
      </c>
      <c r="J350" s="9"/>
      <c r="K350" s="9"/>
      <c r="L350" s="9"/>
      <c r="M350" s="9">
        <f t="shared" si="42"/>
        <v>6.9</v>
      </c>
      <c r="N350" s="9">
        <f t="shared" si="43"/>
        <v>2.5</v>
      </c>
      <c r="O350" s="9">
        <v>6.9</v>
      </c>
      <c r="P350" s="9">
        <v>2.5</v>
      </c>
      <c r="Q350" s="9" t="s">
        <v>5</v>
      </c>
      <c r="R350" s="1">
        <v>0</v>
      </c>
      <c r="S350" s="26"/>
    </row>
    <row r="351" spans="1:20" ht="16.5" hidden="1" customHeight="1" x14ac:dyDescent="0.25">
      <c r="A351" s="21"/>
      <c r="H351" s="21"/>
      <c r="I351" s="21"/>
      <c r="J351" s="21"/>
      <c r="K351" s="21"/>
      <c r="L351" s="21"/>
      <c r="M351" s="9">
        <f t="shared" si="42"/>
        <v>0</v>
      </c>
      <c r="N351" s="9">
        <f t="shared" si="43"/>
        <v>0</v>
      </c>
      <c r="O351" s="21"/>
      <c r="P351" s="21"/>
      <c r="Q351" s="21"/>
      <c r="S351" s="25"/>
    </row>
    <row r="352" spans="1:20" ht="16.5" customHeight="1" x14ac:dyDescent="0.25">
      <c r="A352" s="9"/>
      <c r="B352" s="39" t="s">
        <v>42</v>
      </c>
      <c r="C352" s="40"/>
      <c r="D352" s="40"/>
      <c r="E352" s="40"/>
      <c r="F352" s="40"/>
      <c r="G352" s="41"/>
      <c r="H352" s="23"/>
      <c r="I352" s="24">
        <f>SUM(I344:I351)</f>
        <v>14</v>
      </c>
      <c r="J352" s="9"/>
      <c r="K352" s="9"/>
      <c r="L352" s="9"/>
      <c r="M352" s="9">
        <f t="shared" si="42"/>
        <v>98.56</v>
      </c>
      <c r="N352" s="9">
        <f t="shared" si="43"/>
        <v>35.56</v>
      </c>
      <c r="O352" s="24">
        <f>ROUND(SUM(M344:M351)/I352,2)</f>
        <v>7.04</v>
      </c>
      <c r="P352" s="24">
        <f>ROUND(SUM(N344:N351)/I352,2)</f>
        <v>2.54</v>
      </c>
      <c r="Q352" s="9"/>
      <c r="S352" s="25"/>
    </row>
    <row r="353" spans="1:19" ht="20.25" customHeight="1" x14ac:dyDescent="0.25">
      <c r="A353" s="27" t="s">
        <v>62</v>
      </c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</row>
    <row r="354" spans="1:19" ht="16.5" customHeight="1" x14ac:dyDescent="0.25">
      <c r="A354" s="9"/>
      <c r="B354" s="51" t="s">
        <v>63</v>
      </c>
      <c r="C354" s="52"/>
      <c r="D354" s="52"/>
      <c r="E354" s="52"/>
      <c r="F354" s="52"/>
      <c r="G354" s="53"/>
      <c r="H354" s="20"/>
      <c r="I354" s="9">
        <v>4</v>
      </c>
      <c r="J354" s="9"/>
      <c r="K354" s="9"/>
      <c r="L354" s="9"/>
      <c r="M354" s="9">
        <f t="shared" ref="M354:M362" si="44">I354*O354</f>
        <v>30.4</v>
      </c>
      <c r="N354" s="9">
        <f t="shared" ref="N354:N362" si="45">I354*P354</f>
        <v>12</v>
      </c>
      <c r="O354" s="9">
        <v>7.6</v>
      </c>
      <c r="P354" s="9">
        <v>3</v>
      </c>
      <c r="Q354" s="9" t="s">
        <v>6</v>
      </c>
      <c r="R354" s="1">
        <v>0</v>
      </c>
      <c r="S354" s="26"/>
    </row>
    <row r="355" spans="1:19" ht="16.5" customHeight="1" x14ac:dyDescent="0.25">
      <c r="A355" s="9"/>
      <c r="B355" s="51" t="s">
        <v>64</v>
      </c>
      <c r="C355" s="52"/>
      <c r="D355" s="52"/>
      <c r="E355" s="52"/>
      <c r="F355" s="52"/>
      <c r="G355" s="53"/>
      <c r="H355" s="20"/>
      <c r="I355" s="9">
        <v>4</v>
      </c>
      <c r="J355" s="9"/>
      <c r="K355" s="9"/>
      <c r="L355" s="9"/>
      <c r="M355" s="9">
        <f t="shared" si="44"/>
        <v>23.2</v>
      </c>
      <c r="N355" s="9">
        <f t="shared" si="45"/>
        <v>8</v>
      </c>
      <c r="O355" s="9">
        <v>5.8</v>
      </c>
      <c r="P355" s="9">
        <v>2</v>
      </c>
      <c r="Q355" s="9" t="s">
        <v>3</v>
      </c>
      <c r="R355" s="1">
        <v>0</v>
      </c>
      <c r="S355" s="26"/>
    </row>
    <row r="356" spans="1:19" ht="16.5" customHeight="1" x14ac:dyDescent="0.25">
      <c r="A356" s="9"/>
      <c r="B356" s="51" t="s">
        <v>65</v>
      </c>
      <c r="C356" s="52"/>
      <c r="D356" s="52"/>
      <c r="E356" s="52"/>
      <c r="F356" s="52"/>
      <c r="G356" s="53"/>
      <c r="H356" s="20"/>
      <c r="I356" s="9">
        <v>4</v>
      </c>
      <c r="J356" s="9"/>
      <c r="K356" s="9"/>
      <c r="L356" s="9"/>
      <c r="M356" s="9">
        <f t="shared" si="44"/>
        <v>31.6</v>
      </c>
      <c r="N356" s="9">
        <f t="shared" si="45"/>
        <v>12</v>
      </c>
      <c r="O356" s="9">
        <v>7.9</v>
      </c>
      <c r="P356" s="9">
        <v>3</v>
      </c>
      <c r="Q356" s="9" t="s">
        <v>6</v>
      </c>
      <c r="R356" s="1">
        <v>0</v>
      </c>
      <c r="S356" s="26"/>
    </row>
    <row r="357" spans="1:19" ht="16.5" customHeight="1" x14ac:dyDescent="0.25">
      <c r="A357" s="9"/>
      <c r="B357" s="51" t="s">
        <v>66</v>
      </c>
      <c r="C357" s="52"/>
      <c r="D357" s="52"/>
      <c r="E357" s="52"/>
      <c r="F357" s="52"/>
      <c r="G357" s="53"/>
      <c r="H357" s="20"/>
      <c r="I357" s="9">
        <v>1</v>
      </c>
      <c r="J357" s="9"/>
      <c r="K357" s="9"/>
      <c r="L357" s="9"/>
      <c r="M357" s="9">
        <f t="shared" si="44"/>
        <v>7.7</v>
      </c>
      <c r="N357" s="9">
        <f t="shared" si="45"/>
        <v>3</v>
      </c>
      <c r="O357" s="9">
        <v>7.7</v>
      </c>
      <c r="P357" s="9">
        <v>3</v>
      </c>
      <c r="Q357" s="9" t="s">
        <v>6</v>
      </c>
      <c r="R357" s="1">
        <v>0</v>
      </c>
      <c r="S357" s="26"/>
    </row>
    <row r="358" spans="1:19" ht="16.5" customHeight="1" x14ac:dyDescent="0.25">
      <c r="A358" s="9"/>
      <c r="B358" s="51" t="s">
        <v>67</v>
      </c>
      <c r="C358" s="52"/>
      <c r="D358" s="52"/>
      <c r="E358" s="52"/>
      <c r="F358" s="52"/>
      <c r="G358" s="53"/>
      <c r="H358" s="20"/>
      <c r="I358" s="9">
        <v>1</v>
      </c>
      <c r="J358" s="9"/>
      <c r="K358" s="9"/>
      <c r="L358" s="9"/>
      <c r="M358" s="9">
        <f t="shared" si="44"/>
        <v>8</v>
      </c>
      <c r="N358" s="9">
        <f t="shared" si="45"/>
        <v>3.5</v>
      </c>
      <c r="O358" s="9">
        <v>8</v>
      </c>
      <c r="P358" s="9">
        <v>3.5</v>
      </c>
      <c r="Q358" s="9" t="s">
        <v>9</v>
      </c>
      <c r="R358" s="1">
        <v>0</v>
      </c>
      <c r="S358" s="26"/>
    </row>
    <row r="359" spans="1:19" ht="16.5" customHeight="1" x14ac:dyDescent="0.25">
      <c r="A359" s="9"/>
      <c r="B359" s="51" t="s">
        <v>68</v>
      </c>
      <c r="C359" s="52"/>
      <c r="D359" s="52"/>
      <c r="E359" s="52"/>
      <c r="F359" s="52"/>
      <c r="G359" s="53"/>
      <c r="H359" s="20"/>
      <c r="I359" s="9">
        <v>1</v>
      </c>
      <c r="J359" s="9"/>
      <c r="K359" s="9"/>
      <c r="L359" s="9"/>
      <c r="M359" s="9">
        <f t="shared" si="44"/>
        <v>8</v>
      </c>
      <c r="N359" s="9">
        <f t="shared" si="45"/>
        <v>3.5</v>
      </c>
      <c r="O359" s="9">
        <v>8</v>
      </c>
      <c r="P359" s="9">
        <v>3.5</v>
      </c>
      <c r="Q359" s="9" t="s">
        <v>9</v>
      </c>
      <c r="R359" s="1">
        <v>0</v>
      </c>
      <c r="S359" s="26"/>
    </row>
    <row r="360" spans="1:19" ht="16.5" customHeight="1" x14ac:dyDescent="0.25">
      <c r="A360" s="9"/>
      <c r="B360" s="51" t="s">
        <v>69</v>
      </c>
      <c r="C360" s="52"/>
      <c r="D360" s="52"/>
      <c r="E360" s="52"/>
      <c r="F360" s="52"/>
      <c r="G360" s="53"/>
      <c r="H360" s="20"/>
      <c r="I360" s="9">
        <v>1</v>
      </c>
      <c r="J360" s="9"/>
      <c r="K360" s="9"/>
      <c r="L360" s="9"/>
      <c r="M360" s="9">
        <f t="shared" si="44"/>
        <v>7.6</v>
      </c>
      <c r="N360" s="9">
        <f t="shared" si="45"/>
        <v>3</v>
      </c>
      <c r="O360" s="9">
        <v>7.6</v>
      </c>
      <c r="P360" s="9">
        <v>3</v>
      </c>
      <c r="Q360" s="9" t="s">
        <v>6</v>
      </c>
      <c r="R360" s="1">
        <v>0</v>
      </c>
      <c r="S360" s="26"/>
    </row>
    <row r="361" spans="1:19" ht="16.5" hidden="1" customHeight="1" x14ac:dyDescent="0.25">
      <c r="A361" s="21"/>
      <c r="H361" s="21"/>
      <c r="I361" s="21"/>
      <c r="J361" s="21"/>
      <c r="K361" s="21"/>
      <c r="L361" s="21"/>
      <c r="M361" s="9">
        <f t="shared" si="44"/>
        <v>0</v>
      </c>
      <c r="N361" s="9">
        <f t="shared" si="45"/>
        <v>0</v>
      </c>
      <c r="O361" s="21"/>
      <c r="P361" s="21"/>
      <c r="Q361" s="21"/>
      <c r="S361" s="25"/>
    </row>
    <row r="362" spans="1:19" ht="16.5" customHeight="1" x14ac:dyDescent="0.25">
      <c r="A362" s="9"/>
      <c r="B362" s="39" t="s">
        <v>42</v>
      </c>
      <c r="C362" s="40"/>
      <c r="D362" s="40"/>
      <c r="E362" s="40"/>
      <c r="F362" s="40"/>
      <c r="G362" s="41"/>
      <c r="H362" s="23"/>
      <c r="I362" s="24">
        <f>SUM(I354:I361)</f>
        <v>16</v>
      </c>
      <c r="J362" s="9"/>
      <c r="K362" s="9"/>
      <c r="L362" s="9"/>
      <c r="M362" s="9">
        <f t="shared" si="44"/>
        <v>116.48</v>
      </c>
      <c r="N362" s="9">
        <f t="shared" si="45"/>
        <v>44.96</v>
      </c>
      <c r="O362" s="24">
        <f>ROUND(SUM(M354:M361)/I362,2)</f>
        <v>7.28</v>
      </c>
      <c r="P362" s="24">
        <f>ROUND(SUM(N354:N361)/I362,2)</f>
        <v>2.81</v>
      </c>
      <c r="Q362" s="9"/>
      <c r="S362" s="25"/>
    </row>
    <row r="363" spans="1:19" ht="20.25" customHeight="1" x14ac:dyDescent="0.25">
      <c r="A363" s="27" t="s">
        <v>70</v>
      </c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</row>
    <row r="364" spans="1:19" ht="16.5" customHeight="1" x14ac:dyDescent="0.25">
      <c r="A364" s="9"/>
      <c r="B364" s="51" t="s">
        <v>71</v>
      </c>
      <c r="C364" s="52"/>
      <c r="D364" s="52"/>
      <c r="E364" s="52"/>
      <c r="F364" s="52"/>
      <c r="G364" s="53"/>
      <c r="H364" s="20"/>
      <c r="I364" s="9">
        <v>4</v>
      </c>
      <c r="J364" s="9"/>
      <c r="K364" s="9"/>
      <c r="L364" s="9"/>
      <c r="M364" s="9">
        <f t="shared" ref="M364:M373" si="46">I364*O364</f>
        <v>21.6</v>
      </c>
      <c r="N364" s="9">
        <f t="shared" ref="N364:N373" si="47">I364*P364</f>
        <v>6</v>
      </c>
      <c r="O364" s="9">
        <v>5.4</v>
      </c>
      <c r="P364" s="9">
        <v>1.5</v>
      </c>
      <c r="Q364" s="9" t="s">
        <v>4</v>
      </c>
      <c r="R364" s="1">
        <v>0</v>
      </c>
      <c r="S364" s="26"/>
    </row>
    <row r="365" spans="1:19" ht="16.5" customHeight="1" x14ac:dyDescent="0.25">
      <c r="A365" s="9"/>
      <c r="B365" s="51" t="s">
        <v>72</v>
      </c>
      <c r="C365" s="52"/>
      <c r="D365" s="52"/>
      <c r="E365" s="52"/>
      <c r="F365" s="52"/>
      <c r="G365" s="53"/>
      <c r="H365" s="20"/>
      <c r="I365" s="9">
        <v>4</v>
      </c>
      <c r="J365" s="9"/>
      <c r="K365" s="9"/>
      <c r="L365" s="9"/>
      <c r="M365" s="9">
        <f t="shared" si="46"/>
        <v>28.4</v>
      </c>
      <c r="N365" s="9">
        <f t="shared" si="47"/>
        <v>12</v>
      </c>
      <c r="O365" s="9">
        <v>7.1</v>
      </c>
      <c r="P365" s="9">
        <v>3</v>
      </c>
      <c r="Q365" s="9" t="s">
        <v>6</v>
      </c>
      <c r="R365" s="1">
        <v>0</v>
      </c>
      <c r="S365" s="26"/>
    </row>
    <row r="366" spans="1:19" ht="16.5" customHeight="1" x14ac:dyDescent="0.25">
      <c r="A366" s="9"/>
      <c r="B366" s="51" t="s">
        <v>73</v>
      </c>
      <c r="C366" s="52"/>
      <c r="D366" s="52"/>
      <c r="E366" s="52"/>
      <c r="F366" s="52"/>
      <c r="G366" s="53"/>
      <c r="H366" s="20"/>
      <c r="I366" s="9">
        <v>2</v>
      </c>
      <c r="J366" s="9"/>
      <c r="K366" s="9"/>
      <c r="L366" s="9"/>
      <c r="M366" s="9">
        <f t="shared" si="46"/>
        <v>15.8</v>
      </c>
      <c r="N366" s="9">
        <f t="shared" si="47"/>
        <v>6</v>
      </c>
      <c r="O366" s="9">
        <v>7.9</v>
      </c>
      <c r="P366" s="9">
        <v>3</v>
      </c>
      <c r="Q366" s="9" t="s">
        <v>6</v>
      </c>
      <c r="R366" s="1">
        <v>0</v>
      </c>
      <c r="S366" s="26"/>
    </row>
    <row r="367" spans="1:19" ht="16.5" customHeight="1" x14ac:dyDescent="0.25">
      <c r="A367" s="9"/>
      <c r="B367" s="51" t="s">
        <v>74</v>
      </c>
      <c r="C367" s="52"/>
      <c r="D367" s="52"/>
      <c r="E367" s="52"/>
      <c r="F367" s="52"/>
      <c r="G367" s="53"/>
      <c r="H367" s="20"/>
      <c r="I367" s="9">
        <v>2</v>
      </c>
      <c r="J367" s="9"/>
      <c r="K367" s="9"/>
      <c r="L367" s="9"/>
      <c r="M367" s="9">
        <f t="shared" si="46"/>
        <v>14.2</v>
      </c>
      <c r="N367" s="9">
        <f t="shared" si="47"/>
        <v>6</v>
      </c>
      <c r="O367" s="9">
        <v>7.1</v>
      </c>
      <c r="P367" s="9">
        <v>3</v>
      </c>
      <c r="Q367" s="9" t="s">
        <v>6</v>
      </c>
      <c r="R367" s="1">
        <v>0</v>
      </c>
      <c r="S367" s="26"/>
    </row>
    <row r="368" spans="1:19" ht="16.5" customHeight="1" x14ac:dyDescent="0.25">
      <c r="A368" s="9"/>
      <c r="B368" s="51" t="s">
        <v>75</v>
      </c>
      <c r="C368" s="52"/>
      <c r="D368" s="52"/>
      <c r="E368" s="52"/>
      <c r="F368" s="52"/>
      <c r="G368" s="53"/>
      <c r="H368" s="20"/>
      <c r="I368" s="9">
        <v>1</v>
      </c>
      <c r="J368" s="9"/>
      <c r="K368" s="9"/>
      <c r="L368" s="9"/>
      <c r="M368" s="9">
        <f t="shared" si="46"/>
        <v>6.1</v>
      </c>
      <c r="N368" s="9">
        <f t="shared" si="47"/>
        <v>2</v>
      </c>
      <c r="O368" s="9">
        <v>6.1</v>
      </c>
      <c r="P368" s="9">
        <v>2</v>
      </c>
      <c r="Q368" s="9" t="s">
        <v>3</v>
      </c>
      <c r="R368" s="1">
        <v>0</v>
      </c>
      <c r="S368" s="26"/>
    </row>
    <row r="369" spans="1:19" ht="16.5" customHeight="1" x14ac:dyDescent="0.25">
      <c r="A369" s="9"/>
      <c r="B369" s="51" t="s">
        <v>76</v>
      </c>
      <c r="C369" s="52"/>
      <c r="D369" s="52"/>
      <c r="E369" s="52"/>
      <c r="F369" s="52"/>
      <c r="G369" s="53"/>
      <c r="H369" s="20"/>
      <c r="I369" s="9">
        <v>4</v>
      </c>
      <c r="J369" s="9"/>
      <c r="K369" s="9"/>
      <c r="L369" s="9"/>
      <c r="M369" s="9">
        <f t="shared" si="46"/>
        <v>29.2</v>
      </c>
      <c r="N369" s="9">
        <f t="shared" si="47"/>
        <v>12</v>
      </c>
      <c r="O369" s="9">
        <v>7.3</v>
      </c>
      <c r="P369" s="9">
        <v>3</v>
      </c>
      <c r="Q369" s="9" t="s">
        <v>6</v>
      </c>
      <c r="R369" s="1">
        <v>0</v>
      </c>
      <c r="S369" s="26"/>
    </row>
    <row r="370" spans="1:19" ht="16.5" customHeight="1" x14ac:dyDescent="0.25">
      <c r="A370" s="9"/>
      <c r="B370" s="51" t="s">
        <v>77</v>
      </c>
      <c r="C370" s="52"/>
      <c r="D370" s="52"/>
      <c r="E370" s="52"/>
      <c r="F370" s="52"/>
      <c r="G370" s="53"/>
      <c r="H370" s="20"/>
      <c r="I370" s="9">
        <v>1</v>
      </c>
      <c r="J370" s="9"/>
      <c r="K370" s="9"/>
      <c r="L370" s="9"/>
      <c r="M370" s="9">
        <f t="shared" si="46"/>
        <v>8.1</v>
      </c>
      <c r="N370" s="9">
        <f t="shared" si="47"/>
        <v>3.5</v>
      </c>
      <c r="O370" s="9">
        <v>8.1</v>
      </c>
      <c r="P370" s="9">
        <v>3.5</v>
      </c>
      <c r="Q370" s="9" t="s">
        <v>9</v>
      </c>
      <c r="R370" s="1">
        <v>0</v>
      </c>
      <c r="S370" s="26"/>
    </row>
    <row r="371" spans="1:19" ht="16.5" customHeight="1" x14ac:dyDescent="0.25">
      <c r="A371" s="9"/>
      <c r="B371" s="51" t="s">
        <v>78</v>
      </c>
      <c r="C371" s="52"/>
      <c r="D371" s="52"/>
      <c r="E371" s="52"/>
      <c r="F371" s="52"/>
      <c r="G371" s="53"/>
      <c r="H371" s="20"/>
      <c r="I371" s="9">
        <v>3</v>
      </c>
      <c r="J371" s="9"/>
      <c r="K371" s="9"/>
      <c r="L371" s="9"/>
      <c r="M371" s="9">
        <f t="shared" si="46"/>
        <v>20.100000000000001</v>
      </c>
      <c r="N371" s="9">
        <f t="shared" si="47"/>
        <v>7.5</v>
      </c>
      <c r="O371" s="9">
        <v>6.7</v>
      </c>
      <c r="P371" s="9">
        <v>2.5</v>
      </c>
      <c r="Q371" s="9" t="s">
        <v>5</v>
      </c>
      <c r="R371" s="1">
        <v>0</v>
      </c>
      <c r="S371" s="26"/>
    </row>
    <row r="372" spans="1:19" ht="16.5" hidden="1" customHeight="1" x14ac:dyDescent="0.25">
      <c r="A372" s="21"/>
      <c r="H372" s="21"/>
      <c r="I372" s="21"/>
      <c r="J372" s="21"/>
      <c r="K372" s="21"/>
      <c r="L372" s="21"/>
      <c r="M372" s="9">
        <f t="shared" si="46"/>
        <v>0</v>
      </c>
      <c r="N372" s="9">
        <f t="shared" si="47"/>
        <v>0</v>
      </c>
      <c r="O372" s="21"/>
      <c r="P372" s="21"/>
      <c r="Q372" s="21"/>
      <c r="S372" s="25"/>
    </row>
    <row r="373" spans="1:19" ht="16.5" customHeight="1" x14ac:dyDescent="0.25">
      <c r="A373" s="9"/>
      <c r="B373" s="39" t="s">
        <v>42</v>
      </c>
      <c r="C373" s="40"/>
      <c r="D373" s="40"/>
      <c r="E373" s="40"/>
      <c r="F373" s="40"/>
      <c r="G373" s="41"/>
      <c r="H373" s="23"/>
      <c r="I373" s="24">
        <f>SUM(I364:I372)</f>
        <v>21</v>
      </c>
      <c r="J373" s="9"/>
      <c r="K373" s="9"/>
      <c r="L373" s="9"/>
      <c r="M373" s="9">
        <f t="shared" si="46"/>
        <v>143.43</v>
      </c>
      <c r="N373" s="9">
        <f t="shared" si="47"/>
        <v>55.02</v>
      </c>
      <c r="O373" s="24">
        <f>ROUND(SUM(M364:M372)/I373,2)</f>
        <v>6.83</v>
      </c>
      <c r="P373" s="24">
        <f>ROUND(SUM(N364:N372)/I373,2)</f>
        <v>2.62</v>
      </c>
      <c r="Q373" s="9"/>
      <c r="S373" s="25"/>
    </row>
    <row r="374" spans="1:19" ht="20.25" customHeight="1" x14ac:dyDescent="0.25">
      <c r="A374" s="27" t="s">
        <v>79</v>
      </c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</row>
    <row r="375" spans="1:19" ht="16.5" customHeight="1" x14ac:dyDescent="0.25">
      <c r="A375" s="9"/>
      <c r="B375" s="51" t="s">
        <v>80</v>
      </c>
      <c r="C375" s="52"/>
      <c r="D375" s="52"/>
      <c r="E375" s="52"/>
      <c r="F375" s="52"/>
      <c r="G375" s="53"/>
      <c r="H375" s="20"/>
      <c r="I375" s="9">
        <v>3</v>
      </c>
      <c r="J375" s="9"/>
      <c r="K375" s="9"/>
      <c r="L375" s="9"/>
      <c r="M375" s="9">
        <f t="shared" ref="M375:M380" si="48">I375*O375</f>
        <v>17.700000000000003</v>
      </c>
      <c r="N375" s="9">
        <f t="shared" ref="N375:N380" si="49">I375*P375</f>
        <v>6</v>
      </c>
      <c r="O375" s="9">
        <v>5.9</v>
      </c>
      <c r="P375" s="9">
        <v>2</v>
      </c>
      <c r="Q375" s="9" t="s">
        <v>3</v>
      </c>
      <c r="R375" s="1">
        <v>0</v>
      </c>
      <c r="S375" s="26"/>
    </row>
    <row r="376" spans="1:19" ht="16.5" customHeight="1" x14ac:dyDescent="0.25">
      <c r="A376" s="9"/>
      <c r="B376" s="51" t="s">
        <v>87</v>
      </c>
      <c r="C376" s="52"/>
      <c r="D376" s="52"/>
      <c r="E376" s="52"/>
      <c r="F376" s="52"/>
      <c r="G376" s="53"/>
      <c r="H376" s="20"/>
      <c r="I376" s="9">
        <v>3</v>
      </c>
      <c r="J376" s="9"/>
      <c r="K376" s="9"/>
      <c r="L376" s="9"/>
      <c r="M376" s="9">
        <f t="shared" si="48"/>
        <v>23.1</v>
      </c>
      <c r="N376" s="9">
        <f t="shared" si="49"/>
        <v>9</v>
      </c>
      <c r="O376" s="9">
        <v>7.7</v>
      </c>
      <c r="P376" s="9">
        <v>3</v>
      </c>
      <c r="Q376" s="9" t="s">
        <v>6</v>
      </c>
      <c r="R376" s="1">
        <v>0</v>
      </c>
      <c r="S376" s="26"/>
    </row>
    <row r="377" spans="1:19" ht="16.5" customHeight="1" x14ac:dyDescent="0.25">
      <c r="A377" s="9"/>
      <c r="B377" s="51" t="s">
        <v>82</v>
      </c>
      <c r="C377" s="52"/>
      <c r="D377" s="52"/>
      <c r="E377" s="52"/>
      <c r="F377" s="52"/>
      <c r="G377" s="53"/>
      <c r="H377" s="20"/>
      <c r="I377" s="9">
        <v>3</v>
      </c>
      <c r="J377" s="9"/>
      <c r="K377" s="9"/>
      <c r="L377" s="9"/>
      <c r="M377" s="9">
        <f t="shared" si="48"/>
        <v>18.600000000000001</v>
      </c>
      <c r="N377" s="9">
        <f t="shared" si="49"/>
        <v>6</v>
      </c>
      <c r="O377" s="9">
        <v>6.2</v>
      </c>
      <c r="P377" s="9">
        <v>2</v>
      </c>
      <c r="Q377" s="9" t="s">
        <v>3</v>
      </c>
      <c r="R377" s="1">
        <v>0</v>
      </c>
      <c r="S377" s="26"/>
    </row>
    <row r="378" spans="1:19" ht="16.5" customHeight="1" x14ac:dyDescent="0.25">
      <c r="A378" s="9"/>
      <c r="B378" s="51" t="s">
        <v>83</v>
      </c>
      <c r="C378" s="52"/>
      <c r="D378" s="52"/>
      <c r="E378" s="52"/>
      <c r="F378" s="52"/>
      <c r="G378" s="53"/>
      <c r="H378" s="20"/>
      <c r="I378" s="9">
        <v>1</v>
      </c>
      <c r="J378" s="9"/>
      <c r="K378" s="9"/>
      <c r="L378" s="9"/>
      <c r="M378" s="9">
        <f t="shared" si="48"/>
        <v>8</v>
      </c>
      <c r="N378" s="9">
        <f t="shared" si="49"/>
        <v>3.5</v>
      </c>
      <c r="O378" s="9">
        <v>8</v>
      </c>
      <c r="P378" s="9">
        <v>3.5</v>
      </c>
      <c r="Q378" s="9" t="s">
        <v>9</v>
      </c>
      <c r="R378" s="1">
        <v>0</v>
      </c>
      <c r="S378" s="26"/>
    </row>
    <row r="379" spans="1:19" ht="16.5" customHeight="1" x14ac:dyDescent="0.25">
      <c r="A379" s="9"/>
      <c r="B379" s="51" t="s">
        <v>84</v>
      </c>
      <c r="C379" s="52"/>
      <c r="D379" s="52"/>
      <c r="E379" s="52"/>
      <c r="F379" s="52"/>
      <c r="G379" s="53"/>
      <c r="H379" s="20"/>
      <c r="I379" s="9">
        <v>2</v>
      </c>
      <c r="J379" s="9"/>
      <c r="K379" s="9"/>
      <c r="L379" s="9"/>
      <c r="M379" s="9">
        <f t="shared" si="48"/>
        <v>14.8</v>
      </c>
      <c r="N379" s="9">
        <f t="shared" si="49"/>
        <v>6</v>
      </c>
      <c r="O379" s="9">
        <v>7.4</v>
      </c>
      <c r="P379" s="9">
        <v>3</v>
      </c>
      <c r="Q379" s="9" t="s">
        <v>6</v>
      </c>
      <c r="R379" s="1">
        <v>0</v>
      </c>
      <c r="S379" s="26"/>
    </row>
    <row r="380" spans="1:19" ht="16.5" customHeight="1" x14ac:dyDescent="0.25">
      <c r="A380" s="9"/>
      <c r="B380" s="51" t="s">
        <v>85</v>
      </c>
      <c r="C380" s="52"/>
      <c r="D380" s="52"/>
      <c r="E380" s="52"/>
      <c r="F380" s="52"/>
      <c r="G380" s="53"/>
      <c r="H380" s="20"/>
      <c r="I380" s="9">
        <v>2</v>
      </c>
      <c r="J380" s="9"/>
      <c r="K380" s="9"/>
      <c r="L380" s="9"/>
      <c r="M380" s="9">
        <f t="shared" si="48"/>
        <v>14.2</v>
      </c>
      <c r="N380" s="9">
        <f t="shared" si="49"/>
        <v>6</v>
      </c>
      <c r="O380" s="9">
        <v>7.1</v>
      </c>
      <c r="P380" s="9">
        <v>3</v>
      </c>
      <c r="Q380" s="9" t="s">
        <v>6</v>
      </c>
      <c r="R380" s="1">
        <v>0</v>
      </c>
      <c r="S380" s="26"/>
    </row>
    <row r="381" spans="1:19" ht="15" customHeight="1" x14ac:dyDescent="0.25">
      <c r="A381" s="36" t="s">
        <v>0</v>
      </c>
      <c r="B381" s="29" t="s">
        <v>1</v>
      </c>
      <c r="C381" s="30"/>
      <c r="D381" s="30"/>
      <c r="E381" s="30"/>
      <c r="F381" s="30"/>
      <c r="G381" s="31"/>
      <c r="H381" s="36" t="s">
        <v>32</v>
      </c>
      <c r="I381" s="36" t="s">
        <v>39</v>
      </c>
      <c r="J381" s="55" t="s">
        <v>2</v>
      </c>
      <c r="K381" s="56"/>
      <c r="L381" s="56"/>
      <c r="M381" s="56"/>
      <c r="N381" s="56"/>
      <c r="O381" s="56"/>
      <c r="P381" s="56"/>
      <c r="Q381" s="57"/>
      <c r="S381" s="36" t="s">
        <v>38</v>
      </c>
    </row>
    <row r="382" spans="1:19" ht="24" customHeight="1" x14ac:dyDescent="0.25">
      <c r="A382" s="37"/>
      <c r="B382" s="32"/>
      <c r="C382" s="33"/>
      <c r="D382" s="33"/>
      <c r="E382" s="33"/>
      <c r="F382" s="33"/>
      <c r="G382" s="34"/>
      <c r="H382" s="37"/>
      <c r="I382" s="37"/>
      <c r="J382" s="7" t="s">
        <v>28</v>
      </c>
      <c r="K382" s="7" t="s">
        <v>29</v>
      </c>
      <c r="L382" s="7" t="s">
        <v>30</v>
      </c>
      <c r="M382" s="7"/>
      <c r="N382" s="7"/>
      <c r="O382" s="6" t="s">
        <v>35</v>
      </c>
      <c r="P382" s="6" t="s">
        <v>36</v>
      </c>
      <c r="Q382" s="6" t="s">
        <v>37</v>
      </c>
      <c r="S382" s="37"/>
    </row>
    <row r="383" spans="1:19" ht="16.5" customHeight="1" x14ac:dyDescent="0.25">
      <c r="A383" s="9"/>
      <c r="B383" s="51" t="s">
        <v>86</v>
      </c>
      <c r="C383" s="52"/>
      <c r="D383" s="52"/>
      <c r="E383" s="52"/>
      <c r="F383" s="52"/>
      <c r="G383" s="53"/>
      <c r="H383" s="20"/>
      <c r="I383" s="9">
        <v>2</v>
      </c>
      <c r="J383" s="9"/>
      <c r="K383" s="9"/>
      <c r="L383" s="9"/>
      <c r="M383" s="9">
        <f>I383*O383</f>
        <v>14.6</v>
      </c>
      <c r="N383" s="9">
        <f>I383*P383</f>
        <v>6</v>
      </c>
      <c r="O383" s="9">
        <v>7.3</v>
      </c>
      <c r="P383" s="9">
        <v>3</v>
      </c>
      <c r="Q383" s="9" t="s">
        <v>6</v>
      </c>
      <c r="R383" s="1">
        <v>0</v>
      </c>
      <c r="S383" s="26"/>
    </row>
    <row r="384" spans="1:19" ht="16.5" customHeight="1" x14ac:dyDescent="0.25">
      <c r="A384" s="9"/>
      <c r="B384" s="51" t="s">
        <v>81</v>
      </c>
      <c r="C384" s="52"/>
      <c r="D384" s="52"/>
      <c r="E384" s="52"/>
      <c r="F384" s="52"/>
      <c r="G384" s="53"/>
      <c r="H384" s="20"/>
      <c r="I384" s="9">
        <v>4</v>
      </c>
      <c r="J384" s="9"/>
      <c r="K384" s="9"/>
      <c r="L384" s="9"/>
      <c r="M384" s="9">
        <f>I384*O384</f>
        <v>29.6</v>
      </c>
      <c r="N384" s="9">
        <f>I384*P384</f>
        <v>12</v>
      </c>
      <c r="O384" s="9">
        <v>7.4</v>
      </c>
      <c r="P384" s="9">
        <v>3</v>
      </c>
      <c r="Q384" s="9" t="s">
        <v>6</v>
      </c>
      <c r="R384" s="1">
        <v>0</v>
      </c>
      <c r="S384" s="26"/>
    </row>
    <row r="385" spans="1:19" ht="16.5" customHeight="1" x14ac:dyDescent="0.25">
      <c r="A385" s="9"/>
      <c r="B385" s="51" t="s">
        <v>88</v>
      </c>
      <c r="C385" s="52"/>
      <c r="D385" s="52"/>
      <c r="E385" s="52"/>
      <c r="F385" s="52"/>
      <c r="G385" s="53"/>
      <c r="H385" s="20"/>
      <c r="I385" s="9">
        <v>3</v>
      </c>
      <c r="J385" s="9"/>
      <c r="K385" s="9"/>
      <c r="L385" s="9"/>
      <c r="M385" s="9">
        <f>I385*O385</f>
        <v>24.900000000000002</v>
      </c>
      <c r="N385" s="9">
        <f>I385*P385</f>
        <v>10.5</v>
      </c>
      <c r="O385" s="9">
        <v>8.3000000000000007</v>
      </c>
      <c r="P385" s="9">
        <v>3.5</v>
      </c>
      <c r="Q385" s="9" t="s">
        <v>9</v>
      </c>
      <c r="R385" s="1">
        <v>0</v>
      </c>
      <c r="S385" s="26"/>
    </row>
    <row r="386" spans="1:19" ht="16.5" hidden="1" customHeight="1" x14ac:dyDescent="0.25">
      <c r="A386" s="21"/>
      <c r="H386" s="21"/>
      <c r="I386" s="21"/>
      <c r="J386" s="21"/>
      <c r="K386" s="21"/>
      <c r="L386" s="21"/>
      <c r="M386" s="9">
        <f>I386*O386</f>
        <v>0</v>
      </c>
      <c r="N386" s="9">
        <f>I386*P386</f>
        <v>0</v>
      </c>
      <c r="O386" s="21"/>
      <c r="P386" s="21"/>
      <c r="Q386" s="21"/>
      <c r="S386" s="25"/>
    </row>
    <row r="387" spans="1:19" ht="16.5" customHeight="1" x14ac:dyDescent="0.25">
      <c r="A387" s="9"/>
      <c r="B387" s="39" t="s">
        <v>42</v>
      </c>
      <c r="C387" s="40"/>
      <c r="D387" s="40"/>
      <c r="E387" s="40"/>
      <c r="F387" s="40"/>
      <c r="G387" s="41"/>
      <c r="H387" s="23"/>
      <c r="I387" s="24">
        <f>SUM(I375:I386)</f>
        <v>23</v>
      </c>
      <c r="J387" s="9"/>
      <c r="K387" s="9"/>
      <c r="L387" s="9"/>
      <c r="M387" s="9">
        <f>I387*O387</f>
        <v>165.6</v>
      </c>
      <c r="N387" s="9">
        <f>I387*P387</f>
        <v>65.09</v>
      </c>
      <c r="O387" s="24">
        <f>ROUND(SUM(M375:M386)/I387,2)</f>
        <v>7.2</v>
      </c>
      <c r="P387" s="24">
        <f>ROUND(SUM(N375:N386)/I387,2)</f>
        <v>2.83</v>
      </c>
      <c r="Q387" s="9"/>
      <c r="S387" s="25"/>
    </row>
    <row r="388" spans="1:19" ht="20.25" customHeight="1" x14ac:dyDescent="0.25">
      <c r="A388" s="27" t="s">
        <v>89</v>
      </c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</row>
    <row r="389" spans="1:19" ht="16.5" customHeight="1" x14ac:dyDescent="0.25">
      <c r="A389" s="9"/>
      <c r="B389" s="51" t="s">
        <v>90</v>
      </c>
      <c r="C389" s="52"/>
      <c r="D389" s="52"/>
      <c r="E389" s="52"/>
      <c r="F389" s="52"/>
      <c r="G389" s="53"/>
      <c r="H389" s="20"/>
      <c r="I389" s="9">
        <v>1</v>
      </c>
      <c r="J389" s="9"/>
      <c r="K389" s="9"/>
      <c r="L389" s="9"/>
      <c r="M389" s="9">
        <f t="shared" ref="M389:M401" si="50">I389*O389</f>
        <v>8.1999999999999993</v>
      </c>
      <c r="N389" s="9">
        <f t="shared" ref="N389:N401" si="51">I389*P389</f>
        <v>3.5</v>
      </c>
      <c r="O389" s="9">
        <v>8.1999999999999993</v>
      </c>
      <c r="P389" s="9">
        <v>3.5</v>
      </c>
      <c r="Q389" s="9" t="s">
        <v>9</v>
      </c>
      <c r="R389" s="1">
        <v>0</v>
      </c>
      <c r="S389" s="26"/>
    </row>
    <row r="390" spans="1:19" ht="16.5" customHeight="1" x14ac:dyDescent="0.25">
      <c r="A390" s="9"/>
      <c r="B390" s="51" t="s">
        <v>91</v>
      </c>
      <c r="C390" s="52"/>
      <c r="D390" s="52"/>
      <c r="E390" s="52"/>
      <c r="F390" s="52"/>
      <c r="G390" s="53"/>
      <c r="H390" s="20"/>
      <c r="I390" s="9">
        <v>3</v>
      </c>
      <c r="J390" s="9"/>
      <c r="K390" s="9"/>
      <c r="L390" s="9"/>
      <c r="M390" s="9">
        <f t="shared" si="50"/>
        <v>23.700000000000003</v>
      </c>
      <c r="N390" s="9">
        <f t="shared" si="51"/>
        <v>9</v>
      </c>
      <c r="O390" s="9">
        <v>7.9</v>
      </c>
      <c r="P390" s="9">
        <v>3</v>
      </c>
      <c r="Q390" s="9" t="s">
        <v>6</v>
      </c>
      <c r="R390" s="1">
        <v>0</v>
      </c>
      <c r="S390" s="26"/>
    </row>
    <row r="391" spans="1:19" ht="16.5" customHeight="1" x14ac:dyDescent="0.25">
      <c r="A391" s="9"/>
      <c r="B391" s="51" t="s">
        <v>92</v>
      </c>
      <c r="C391" s="52"/>
      <c r="D391" s="52"/>
      <c r="E391" s="52"/>
      <c r="F391" s="52"/>
      <c r="G391" s="53"/>
      <c r="H391" s="20"/>
      <c r="I391" s="9">
        <v>1</v>
      </c>
      <c r="J391" s="9"/>
      <c r="K391" s="9"/>
      <c r="L391" s="9"/>
      <c r="M391" s="9">
        <f t="shared" si="50"/>
        <v>8</v>
      </c>
      <c r="N391" s="9">
        <f t="shared" si="51"/>
        <v>3.5</v>
      </c>
      <c r="O391" s="9">
        <v>8</v>
      </c>
      <c r="P391" s="9">
        <v>3.5</v>
      </c>
      <c r="Q391" s="9" t="s">
        <v>9</v>
      </c>
      <c r="R391" s="1">
        <v>0</v>
      </c>
      <c r="S391" s="26"/>
    </row>
    <row r="392" spans="1:19" ht="16.5" customHeight="1" x14ac:dyDescent="0.25">
      <c r="A392" s="9"/>
      <c r="B392" s="51" t="s">
        <v>93</v>
      </c>
      <c r="C392" s="52"/>
      <c r="D392" s="52"/>
      <c r="E392" s="52"/>
      <c r="F392" s="52"/>
      <c r="G392" s="53"/>
      <c r="H392" s="20"/>
      <c r="I392" s="9">
        <v>2</v>
      </c>
      <c r="J392" s="9"/>
      <c r="K392" s="9"/>
      <c r="L392" s="9"/>
      <c r="M392" s="9">
        <f t="shared" si="50"/>
        <v>13.6</v>
      </c>
      <c r="N392" s="9">
        <f t="shared" si="51"/>
        <v>5</v>
      </c>
      <c r="O392" s="9">
        <v>6.8</v>
      </c>
      <c r="P392" s="9">
        <v>2.5</v>
      </c>
      <c r="Q392" s="9" t="s">
        <v>5</v>
      </c>
      <c r="R392" s="1">
        <v>0</v>
      </c>
      <c r="S392" s="26"/>
    </row>
    <row r="393" spans="1:19" ht="16.5" customHeight="1" x14ac:dyDescent="0.25">
      <c r="A393" s="9"/>
      <c r="B393" s="51" t="s">
        <v>98</v>
      </c>
      <c r="C393" s="52"/>
      <c r="D393" s="52"/>
      <c r="E393" s="52"/>
      <c r="F393" s="52"/>
      <c r="G393" s="53"/>
      <c r="H393" s="20"/>
      <c r="I393" s="9">
        <v>4</v>
      </c>
      <c r="J393" s="9"/>
      <c r="K393" s="9"/>
      <c r="L393" s="9"/>
      <c r="M393" s="9">
        <f t="shared" si="50"/>
        <v>26</v>
      </c>
      <c r="N393" s="9">
        <f t="shared" si="51"/>
        <v>10</v>
      </c>
      <c r="O393" s="9">
        <v>6.5</v>
      </c>
      <c r="P393" s="9">
        <v>2.5</v>
      </c>
      <c r="Q393" s="9" t="s">
        <v>5</v>
      </c>
      <c r="R393" s="1">
        <v>0</v>
      </c>
      <c r="S393" s="26"/>
    </row>
    <row r="394" spans="1:19" ht="16.5" customHeight="1" x14ac:dyDescent="0.25">
      <c r="A394" s="9"/>
      <c r="B394" s="51" t="s">
        <v>97</v>
      </c>
      <c r="C394" s="52"/>
      <c r="D394" s="52"/>
      <c r="E394" s="52"/>
      <c r="F394" s="52"/>
      <c r="G394" s="53"/>
      <c r="H394" s="20"/>
      <c r="I394" s="9">
        <v>3</v>
      </c>
      <c r="J394" s="9"/>
      <c r="K394" s="9"/>
      <c r="L394" s="9"/>
      <c r="M394" s="9">
        <f t="shared" si="50"/>
        <v>17.100000000000001</v>
      </c>
      <c r="N394" s="9">
        <f t="shared" si="51"/>
        <v>6</v>
      </c>
      <c r="O394" s="9">
        <v>5.7</v>
      </c>
      <c r="P394" s="9">
        <v>2</v>
      </c>
      <c r="Q394" s="9" t="s">
        <v>3</v>
      </c>
      <c r="R394" s="1">
        <v>0</v>
      </c>
      <c r="S394" s="26"/>
    </row>
    <row r="395" spans="1:19" ht="16.5" customHeight="1" x14ac:dyDescent="0.25">
      <c r="A395" s="9"/>
      <c r="B395" s="51" t="s">
        <v>100</v>
      </c>
      <c r="C395" s="52"/>
      <c r="D395" s="52"/>
      <c r="E395" s="52"/>
      <c r="F395" s="52"/>
      <c r="G395" s="53"/>
      <c r="H395" s="20"/>
      <c r="I395" s="9">
        <v>2</v>
      </c>
      <c r="J395" s="9"/>
      <c r="K395" s="9"/>
      <c r="L395" s="9"/>
      <c r="M395" s="9">
        <f t="shared" si="50"/>
        <v>13.2</v>
      </c>
      <c r="N395" s="9">
        <f t="shared" si="51"/>
        <v>5</v>
      </c>
      <c r="O395" s="9">
        <v>6.6</v>
      </c>
      <c r="P395" s="9">
        <v>2.5</v>
      </c>
      <c r="Q395" s="9" t="s">
        <v>5</v>
      </c>
      <c r="R395" s="1">
        <v>0</v>
      </c>
      <c r="S395" s="26"/>
    </row>
    <row r="396" spans="1:19" ht="16.5" customHeight="1" x14ac:dyDescent="0.25">
      <c r="A396" s="9"/>
      <c r="B396" s="51" t="s">
        <v>99</v>
      </c>
      <c r="C396" s="52"/>
      <c r="D396" s="52"/>
      <c r="E396" s="52"/>
      <c r="F396" s="52"/>
      <c r="G396" s="53"/>
      <c r="H396" s="20"/>
      <c r="I396" s="9">
        <v>1</v>
      </c>
      <c r="J396" s="9"/>
      <c r="K396" s="9"/>
      <c r="L396" s="9"/>
      <c r="M396" s="9">
        <f t="shared" si="50"/>
        <v>7.4</v>
      </c>
      <c r="N396" s="9">
        <f t="shared" si="51"/>
        <v>3</v>
      </c>
      <c r="O396" s="9">
        <v>7.4</v>
      </c>
      <c r="P396" s="9">
        <v>3</v>
      </c>
      <c r="Q396" s="9" t="s">
        <v>6</v>
      </c>
      <c r="R396" s="1">
        <v>0</v>
      </c>
      <c r="S396" s="26"/>
    </row>
    <row r="397" spans="1:19" ht="16.5" customHeight="1" x14ac:dyDescent="0.25">
      <c r="A397" s="9"/>
      <c r="B397" s="51" t="s">
        <v>94</v>
      </c>
      <c r="C397" s="52"/>
      <c r="D397" s="52"/>
      <c r="E397" s="52"/>
      <c r="F397" s="52"/>
      <c r="G397" s="53"/>
      <c r="H397" s="20"/>
      <c r="I397" s="9">
        <v>1</v>
      </c>
      <c r="J397" s="9"/>
      <c r="K397" s="9"/>
      <c r="L397" s="9"/>
      <c r="M397" s="9">
        <f t="shared" si="50"/>
        <v>9.1</v>
      </c>
      <c r="N397" s="9">
        <f t="shared" si="51"/>
        <v>4</v>
      </c>
      <c r="O397" s="9">
        <v>9.1</v>
      </c>
      <c r="P397" s="9">
        <v>4</v>
      </c>
      <c r="Q397" s="9" t="s">
        <v>12</v>
      </c>
      <c r="R397" s="1">
        <v>0</v>
      </c>
      <c r="S397" s="26"/>
    </row>
    <row r="398" spans="1:19" ht="16.5" customHeight="1" x14ac:dyDescent="0.25">
      <c r="A398" s="9"/>
      <c r="B398" s="51" t="s">
        <v>95</v>
      </c>
      <c r="C398" s="52"/>
      <c r="D398" s="52"/>
      <c r="E398" s="52"/>
      <c r="F398" s="52"/>
      <c r="G398" s="53"/>
      <c r="H398" s="20"/>
      <c r="I398" s="9">
        <v>2</v>
      </c>
      <c r="J398" s="9"/>
      <c r="K398" s="9"/>
      <c r="L398" s="9"/>
      <c r="M398" s="9">
        <f t="shared" si="50"/>
        <v>15</v>
      </c>
      <c r="N398" s="9">
        <f t="shared" si="51"/>
        <v>6</v>
      </c>
      <c r="O398" s="9">
        <v>7.5</v>
      </c>
      <c r="P398" s="9">
        <v>3</v>
      </c>
      <c r="Q398" s="9" t="s">
        <v>6</v>
      </c>
      <c r="R398" s="1">
        <v>0</v>
      </c>
      <c r="S398" s="26"/>
    </row>
    <row r="399" spans="1:19" ht="16.5" customHeight="1" x14ac:dyDescent="0.25">
      <c r="A399" s="9"/>
      <c r="B399" s="51" t="s">
        <v>96</v>
      </c>
      <c r="C399" s="52"/>
      <c r="D399" s="52"/>
      <c r="E399" s="52"/>
      <c r="F399" s="52"/>
      <c r="G399" s="53"/>
      <c r="H399" s="20"/>
      <c r="I399" s="9">
        <v>2</v>
      </c>
      <c r="J399" s="9"/>
      <c r="K399" s="9"/>
      <c r="L399" s="9"/>
      <c r="M399" s="9">
        <f t="shared" si="50"/>
        <v>13</v>
      </c>
      <c r="N399" s="9">
        <f t="shared" si="51"/>
        <v>5</v>
      </c>
      <c r="O399" s="9">
        <v>6.5</v>
      </c>
      <c r="P399" s="9">
        <v>2.5</v>
      </c>
      <c r="Q399" s="9" t="s">
        <v>5</v>
      </c>
      <c r="R399" s="1">
        <v>0</v>
      </c>
      <c r="S399" s="26"/>
    </row>
    <row r="400" spans="1:19" ht="16.5" hidden="1" customHeight="1" x14ac:dyDescent="0.25">
      <c r="A400" s="21"/>
      <c r="H400" s="21"/>
      <c r="I400" s="21"/>
      <c r="J400" s="21"/>
      <c r="K400" s="21"/>
      <c r="L400" s="21"/>
      <c r="M400" s="9">
        <f t="shared" si="50"/>
        <v>0</v>
      </c>
      <c r="N400" s="9">
        <f t="shared" si="51"/>
        <v>0</v>
      </c>
      <c r="O400" s="21"/>
      <c r="P400" s="21"/>
      <c r="Q400" s="21"/>
      <c r="S400" s="25"/>
    </row>
    <row r="401" spans="1:19" ht="16.5" customHeight="1" x14ac:dyDescent="0.25">
      <c r="A401" s="9"/>
      <c r="B401" s="39" t="s">
        <v>42</v>
      </c>
      <c r="C401" s="40"/>
      <c r="D401" s="40"/>
      <c r="E401" s="40"/>
      <c r="F401" s="40"/>
      <c r="G401" s="41"/>
      <c r="H401" s="23"/>
      <c r="I401" s="24">
        <f>SUM(I389:I400)</f>
        <v>22</v>
      </c>
      <c r="J401" s="9"/>
      <c r="K401" s="9"/>
      <c r="L401" s="9"/>
      <c r="M401" s="9">
        <f t="shared" si="50"/>
        <v>154.22</v>
      </c>
      <c r="N401" s="9">
        <f t="shared" si="51"/>
        <v>60.06</v>
      </c>
      <c r="O401" s="24">
        <f>ROUND(SUM(M389:M400)/I401,2)</f>
        <v>7.01</v>
      </c>
      <c r="P401" s="24">
        <f>ROUND(SUM(N389:N400)/I401,2)</f>
        <v>2.73</v>
      </c>
      <c r="Q401" s="9"/>
      <c r="S401" s="25"/>
    </row>
    <row r="402" spans="1:19" ht="20.25" customHeight="1" x14ac:dyDescent="0.25">
      <c r="A402" s="27" t="s">
        <v>101</v>
      </c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</row>
    <row r="403" spans="1:19" ht="16.5" customHeight="1" x14ac:dyDescent="0.25">
      <c r="A403" s="9"/>
      <c r="B403" s="51" t="s">
        <v>102</v>
      </c>
      <c r="C403" s="52"/>
      <c r="D403" s="52"/>
      <c r="E403" s="52"/>
      <c r="F403" s="52"/>
      <c r="G403" s="53"/>
      <c r="H403" s="20"/>
      <c r="I403" s="9">
        <v>1</v>
      </c>
      <c r="J403" s="9"/>
      <c r="K403" s="9"/>
      <c r="L403" s="9"/>
      <c r="M403" s="9">
        <f t="shared" ref="M403:M416" si="52">I403*O403</f>
        <v>7.4</v>
      </c>
      <c r="N403" s="9">
        <f t="shared" ref="N403:N416" si="53">I403*P403</f>
        <v>3</v>
      </c>
      <c r="O403" s="9">
        <v>7.4</v>
      </c>
      <c r="P403" s="9">
        <v>3</v>
      </c>
      <c r="Q403" s="9" t="s">
        <v>6</v>
      </c>
      <c r="R403" s="1">
        <v>0</v>
      </c>
      <c r="S403" s="26"/>
    </row>
    <row r="404" spans="1:19" ht="16.5" customHeight="1" x14ac:dyDescent="0.25">
      <c r="A404" s="9"/>
      <c r="B404" s="51" t="s">
        <v>103</v>
      </c>
      <c r="C404" s="52"/>
      <c r="D404" s="52"/>
      <c r="E404" s="52"/>
      <c r="F404" s="52"/>
      <c r="G404" s="53"/>
      <c r="H404" s="20"/>
      <c r="I404" s="9">
        <v>2</v>
      </c>
      <c r="J404" s="9"/>
      <c r="K404" s="9"/>
      <c r="L404" s="9"/>
      <c r="M404" s="9">
        <f t="shared" si="52"/>
        <v>12.8</v>
      </c>
      <c r="N404" s="9">
        <f t="shared" si="53"/>
        <v>4</v>
      </c>
      <c r="O404" s="9">
        <v>6.4</v>
      </c>
      <c r="P404" s="9">
        <v>2</v>
      </c>
      <c r="Q404" s="9" t="s">
        <v>3</v>
      </c>
      <c r="R404" s="1">
        <v>0</v>
      </c>
      <c r="S404" s="26"/>
    </row>
    <row r="405" spans="1:19" ht="16.5" customHeight="1" x14ac:dyDescent="0.25">
      <c r="A405" s="9"/>
      <c r="B405" s="51" t="s">
        <v>104</v>
      </c>
      <c r="C405" s="52"/>
      <c r="D405" s="52"/>
      <c r="E405" s="52"/>
      <c r="F405" s="52"/>
      <c r="G405" s="53"/>
      <c r="H405" s="20"/>
      <c r="I405" s="9">
        <v>4</v>
      </c>
      <c r="J405" s="9"/>
      <c r="K405" s="9"/>
      <c r="L405" s="9"/>
      <c r="M405" s="9">
        <f t="shared" si="52"/>
        <v>32</v>
      </c>
      <c r="N405" s="9">
        <f t="shared" si="53"/>
        <v>14</v>
      </c>
      <c r="O405" s="9">
        <v>8</v>
      </c>
      <c r="P405" s="9">
        <v>3.5</v>
      </c>
      <c r="Q405" s="9" t="s">
        <v>9</v>
      </c>
      <c r="R405" s="1">
        <v>0</v>
      </c>
      <c r="S405" s="26"/>
    </row>
    <row r="406" spans="1:19" ht="16.5" customHeight="1" x14ac:dyDescent="0.25">
      <c r="A406" s="9"/>
      <c r="B406" s="51" t="s">
        <v>112</v>
      </c>
      <c r="C406" s="52"/>
      <c r="D406" s="52"/>
      <c r="E406" s="52"/>
      <c r="F406" s="52"/>
      <c r="G406" s="53"/>
      <c r="H406" s="20"/>
      <c r="I406" s="9">
        <v>2</v>
      </c>
      <c r="J406" s="9"/>
      <c r="K406" s="9"/>
      <c r="L406" s="9"/>
      <c r="M406" s="9">
        <f t="shared" si="52"/>
        <v>13.4</v>
      </c>
      <c r="N406" s="9">
        <f t="shared" si="53"/>
        <v>5</v>
      </c>
      <c r="O406" s="9">
        <v>6.7</v>
      </c>
      <c r="P406" s="9">
        <v>2.5</v>
      </c>
      <c r="Q406" s="9" t="s">
        <v>5</v>
      </c>
      <c r="R406" s="1">
        <v>0</v>
      </c>
      <c r="S406" s="26"/>
    </row>
    <row r="407" spans="1:19" ht="16.5" customHeight="1" x14ac:dyDescent="0.25">
      <c r="A407" s="9"/>
      <c r="B407" s="51" t="s">
        <v>106</v>
      </c>
      <c r="C407" s="52"/>
      <c r="D407" s="52"/>
      <c r="E407" s="52"/>
      <c r="F407" s="52"/>
      <c r="G407" s="53"/>
      <c r="H407" s="20"/>
      <c r="I407" s="9">
        <v>2</v>
      </c>
      <c r="J407" s="9"/>
      <c r="K407" s="9"/>
      <c r="L407" s="9"/>
      <c r="M407" s="9">
        <f t="shared" si="52"/>
        <v>13.6</v>
      </c>
      <c r="N407" s="9">
        <f t="shared" si="53"/>
        <v>5</v>
      </c>
      <c r="O407" s="9">
        <v>6.8</v>
      </c>
      <c r="P407" s="9">
        <v>2.5</v>
      </c>
      <c r="Q407" s="9" t="s">
        <v>5</v>
      </c>
      <c r="R407" s="1">
        <v>0</v>
      </c>
      <c r="S407" s="26"/>
    </row>
    <row r="408" spans="1:19" ht="16.5" customHeight="1" x14ac:dyDescent="0.25">
      <c r="A408" s="9"/>
      <c r="B408" s="51" t="s">
        <v>107</v>
      </c>
      <c r="C408" s="52"/>
      <c r="D408" s="52"/>
      <c r="E408" s="52"/>
      <c r="F408" s="52"/>
      <c r="G408" s="53"/>
      <c r="H408" s="20"/>
      <c r="I408" s="9">
        <v>2</v>
      </c>
      <c r="J408" s="9"/>
      <c r="K408" s="9"/>
      <c r="L408" s="9"/>
      <c r="M408" s="9">
        <f t="shared" si="52"/>
        <v>13.6</v>
      </c>
      <c r="N408" s="9">
        <f t="shared" si="53"/>
        <v>5</v>
      </c>
      <c r="O408" s="9">
        <v>6.8</v>
      </c>
      <c r="P408" s="9">
        <v>2.5</v>
      </c>
      <c r="Q408" s="9" t="s">
        <v>5</v>
      </c>
      <c r="R408" s="1">
        <v>0</v>
      </c>
      <c r="S408" s="26"/>
    </row>
    <row r="409" spans="1:19" ht="16.5" customHeight="1" x14ac:dyDescent="0.25">
      <c r="A409" s="9"/>
      <c r="B409" s="51" t="s">
        <v>108</v>
      </c>
      <c r="C409" s="52"/>
      <c r="D409" s="52"/>
      <c r="E409" s="52"/>
      <c r="F409" s="52"/>
      <c r="G409" s="53"/>
      <c r="H409" s="20"/>
      <c r="I409" s="9">
        <v>4</v>
      </c>
      <c r="J409" s="9"/>
      <c r="K409" s="9"/>
      <c r="L409" s="9"/>
      <c r="M409" s="9">
        <f t="shared" si="52"/>
        <v>32</v>
      </c>
      <c r="N409" s="9">
        <f t="shared" si="53"/>
        <v>14</v>
      </c>
      <c r="O409" s="9">
        <v>8</v>
      </c>
      <c r="P409" s="9">
        <v>3.5</v>
      </c>
      <c r="Q409" s="9" t="s">
        <v>9</v>
      </c>
      <c r="R409" s="1">
        <v>0</v>
      </c>
      <c r="S409" s="26"/>
    </row>
    <row r="410" spans="1:19" ht="16.5" customHeight="1" x14ac:dyDescent="0.25">
      <c r="A410" s="9"/>
      <c r="B410" s="51" t="s">
        <v>109</v>
      </c>
      <c r="C410" s="52"/>
      <c r="D410" s="52"/>
      <c r="E410" s="52"/>
      <c r="F410" s="52"/>
      <c r="G410" s="53"/>
      <c r="H410" s="20"/>
      <c r="I410" s="9">
        <v>2</v>
      </c>
      <c r="J410" s="9"/>
      <c r="K410" s="9"/>
      <c r="L410" s="9"/>
      <c r="M410" s="9">
        <f t="shared" si="52"/>
        <v>15.2</v>
      </c>
      <c r="N410" s="9">
        <f t="shared" si="53"/>
        <v>6</v>
      </c>
      <c r="O410" s="9">
        <v>7.6</v>
      </c>
      <c r="P410" s="9">
        <v>3</v>
      </c>
      <c r="Q410" s="9" t="s">
        <v>6</v>
      </c>
      <c r="R410" s="1">
        <v>0</v>
      </c>
      <c r="S410" s="26"/>
    </row>
    <row r="411" spans="1:19" ht="16.5" customHeight="1" x14ac:dyDescent="0.25">
      <c r="A411" s="9"/>
      <c r="B411" s="51" t="s">
        <v>110</v>
      </c>
      <c r="C411" s="52"/>
      <c r="D411" s="52"/>
      <c r="E411" s="52"/>
      <c r="F411" s="52"/>
      <c r="G411" s="53"/>
      <c r="H411" s="20"/>
      <c r="I411" s="9">
        <v>2</v>
      </c>
      <c r="J411" s="9"/>
      <c r="K411" s="9"/>
      <c r="L411" s="9"/>
      <c r="M411" s="9">
        <f t="shared" si="52"/>
        <v>16.2</v>
      </c>
      <c r="N411" s="9">
        <f t="shared" si="53"/>
        <v>7</v>
      </c>
      <c r="O411" s="9">
        <v>8.1</v>
      </c>
      <c r="P411" s="9">
        <v>3.5</v>
      </c>
      <c r="Q411" s="9" t="s">
        <v>9</v>
      </c>
      <c r="R411" s="1">
        <v>0</v>
      </c>
      <c r="S411" s="26"/>
    </row>
    <row r="412" spans="1:19" ht="16.5" customHeight="1" x14ac:dyDescent="0.25">
      <c r="A412" s="9"/>
      <c r="B412" s="51" t="s">
        <v>111</v>
      </c>
      <c r="C412" s="52"/>
      <c r="D412" s="52"/>
      <c r="E412" s="52"/>
      <c r="F412" s="52"/>
      <c r="G412" s="53"/>
      <c r="H412" s="20"/>
      <c r="I412" s="9">
        <v>4</v>
      </c>
      <c r="J412" s="9"/>
      <c r="K412" s="9"/>
      <c r="L412" s="9"/>
      <c r="M412" s="9">
        <f t="shared" si="52"/>
        <v>38.4</v>
      </c>
      <c r="N412" s="9">
        <f t="shared" si="53"/>
        <v>16</v>
      </c>
      <c r="O412" s="9">
        <v>9.6</v>
      </c>
      <c r="P412" s="9">
        <v>4</v>
      </c>
      <c r="Q412" s="9" t="s">
        <v>12</v>
      </c>
      <c r="R412" s="1">
        <v>0</v>
      </c>
      <c r="S412" s="26"/>
    </row>
    <row r="413" spans="1:19" ht="16.5" customHeight="1" x14ac:dyDescent="0.25">
      <c r="A413" s="9"/>
      <c r="B413" s="51" t="s">
        <v>105</v>
      </c>
      <c r="C413" s="52"/>
      <c r="D413" s="52"/>
      <c r="E413" s="52"/>
      <c r="F413" s="52"/>
      <c r="G413" s="53"/>
      <c r="H413" s="20"/>
      <c r="I413" s="9">
        <v>3</v>
      </c>
      <c r="J413" s="9"/>
      <c r="K413" s="9"/>
      <c r="L413" s="9"/>
      <c r="M413" s="9">
        <f t="shared" si="52"/>
        <v>18.299999999999997</v>
      </c>
      <c r="N413" s="9">
        <f t="shared" si="53"/>
        <v>6</v>
      </c>
      <c r="O413" s="9">
        <v>6.1</v>
      </c>
      <c r="P413" s="9">
        <v>2</v>
      </c>
      <c r="Q413" s="9" t="s">
        <v>3</v>
      </c>
      <c r="R413" s="1">
        <v>0</v>
      </c>
      <c r="S413" s="26"/>
    </row>
    <row r="414" spans="1:19" ht="16.5" customHeight="1" x14ac:dyDescent="0.25">
      <c r="A414" s="9"/>
      <c r="B414" s="51" t="s">
        <v>113</v>
      </c>
      <c r="C414" s="52"/>
      <c r="D414" s="52"/>
      <c r="E414" s="52"/>
      <c r="F414" s="52"/>
      <c r="G414" s="53"/>
      <c r="H414" s="20"/>
      <c r="I414" s="9">
        <v>1</v>
      </c>
      <c r="J414" s="9"/>
      <c r="K414" s="9"/>
      <c r="L414" s="9"/>
      <c r="M414" s="9">
        <f t="shared" si="52"/>
        <v>7.4</v>
      </c>
      <c r="N414" s="9">
        <f t="shared" si="53"/>
        <v>3</v>
      </c>
      <c r="O414" s="9">
        <v>7.4</v>
      </c>
      <c r="P414" s="9">
        <v>3</v>
      </c>
      <c r="Q414" s="9" t="s">
        <v>6</v>
      </c>
      <c r="R414" s="1">
        <v>0</v>
      </c>
      <c r="S414" s="26"/>
    </row>
    <row r="415" spans="1:19" ht="16.5" hidden="1" customHeight="1" x14ac:dyDescent="0.25">
      <c r="A415" s="21"/>
      <c r="H415" s="21"/>
      <c r="I415" s="21"/>
      <c r="J415" s="21"/>
      <c r="K415" s="21"/>
      <c r="L415" s="21"/>
      <c r="M415" s="9">
        <f t="shared" si="52"/>
        <v>0</v>
      </c>
      <c r="N415" s="9">
        <f t="shared" si="53"/>
        <v>0</v>
      </c>
      <c r="O415" s="21"/>
      <c r="P415" s="21"/>
      <c r="Q415" s="21"/>
      <c r="S415" s="25"/>
    </row>
    <row r="416" spans="1:19" ht="16.5" customHeight="1" x14ac:dyDescent="0.25">
      <c r="A416" s="9"/>
      <c r="B416" s="39" t="s">
        <v>42</v>
      </c>
      <c r="C416" s="40"/>
      <c r="D416" s="40"/>
      <c r="E416" s="40"/>
      <c r="F416" s="40"/>
      <c r="G416" s="41"/>
      <c r="H416" s="23"/>
      <c r="I416" s="24">
        <f>SUM(I403:I415)</f>
        <v>29</v>
      </c>
      <c r="J416" s="9"/>
      <c r="K416" s="9"/>
      <c r="L416" s="9"/>
      <c r="M416" s="9">
        <f t="shared" si="52"/>
        <v>220.39999999999998</v>
      </c>
      <c r="N416" s="9">
        <f t="shared" si="53"/>
        <v>87.86999999999999</v>
      </c>
      <c r="O416" s="24">
        <f>ROUND(SUM(M403:M415)/I416,2)</f>
        <v>7.6</v>
      </c>
      <c r="P416" s="24">
        <f>ROUND(SUM(N403:N415)/I416,2)</f>
        <v>3.03</v>
      </c>
      <c r="Q416" s="9"/>
      <c r="S416" s="25"/>
    </row>
    <row r="417" spans="1:19" ht="20.25" customHeight="1" x14ac:dyDescent="0.25">
      <c r="A417" s="27" t="s">
        <v>114</v>
      </c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</row>
    <row r="418" spans="1:19" ht="16.5" customHeight="1" x14ac:dyDescent="0.25">
      <c r="A418" s="9"/>
      <c r="B418" s="51" t="s">
        <v>115</v>
      </c>
      <c r="C418" s="52"/>
      <c r="D418" s="52"/>
      <c r="E418" s="52"/>
      <c r="F418" s="52"/>
      <c r="G418" s="53"/>
      <c r="H418" s="20"/>
      <c r="I418" s="9">
        <v>2</v>
      </c>
      <c r="J418" s="9"/>
      <c r="K418" s="9"/>
      <c r="L418" s="9"/>
      <c r="M418" s="9">
        <f t="shared" ref="M418:M429" si="54">I418*O418</f>
        <v>0</v>
      </c>
      <c r="N418" s="9">
        <f t="shared" ref="N418:N429" si="55">I418*P418</f>
        <v>0</v>
      </c>
      <c r="O418" s="9"/>
      <c r="P418" s="9"/>
      <c r="Q418" s="9"/>
      <c r="R418" s="1">
        <v>0</v>
      </c>
      <c r="S418" s="26"/>
    </row>
    <row r="419" spans="1:19" ht="16.5" customHeight="1" x14ac:dyDescent="0.25">
      <c r="A419" s="9"/>
      <c r="B419" s="51" t="s">
        <v>116</v>
      </c>
      <c r="C419" s="52"/>
      <c r="D419" s="52"/>
      <c r="E419" s="52"/>
      <c r="F419" s="52"/>
      <c r="G419" s="53"/>
      <c r="H419" s="20"/>
      <c r="I419" s="9">
        <v>3</v>
      </c>
      <c r="J419" s="9"/>
      <c r="K419" s="9"/>
      <c r="L419" s="9"/>
      <c r="M419" s="9">
        <f t="shared" si="54"/>
        <v>23.4</v>
      </c>
      <c r="N419" s="9">
        <f t="shared" si="55"/>
        <v>9</v>
      </c>
      <c r="O419" s="9">
        <v>7.8</v>
      </c>
      <c r="P419" s="9">
        <v>3</v>
      </c>
      <c r="Q419" s="9" t="s">
        <v>6</v>
      </c>
      <c r="R419" s="1">
        <v>0</v>
      </c>
      <c r="S419" s="26"/>
    </row>
    <row r="420" spans="1:19" ht="16.5" customHeight="1" x14ac:dyDescent="0.25">
      <c r="A420" s="9"/>
      <c r="B420" s="51" t="s">
        <v>117</v>
      </c>
      <c r="C420" s="52"/>
      <c r="D420" s="52"/>
      <c r="E420" s="52"/>
      <c r="F420" s="52"/>
      <c r="G420" s="53"/>
      <c r="H420" s="20"/>
      <c r="I420" s="9">
        <v>3</v>
      </c>
      <c r="J420" s="9"/>
      <c r="K420" s="9"/>
      <c r="L420" s="9"/>
      <c r="M420" s="9">
        <f t="shared" si="54"/>
        <v>0</v>
      </c>
      <c r="N420" s="9">
        <f t="shared" si="55"/>
        <v>0</v>
      </c>
      <c r="O420" s="9"/>
      <c r="P420" s="9"/>
      <c r="Q420" s="9"/>
      <c r="R420" s="1">
        <v>0</v>
      </c>
      <c r="S420" s="26"/>
    </row>
    <row r="421" spans="1:19" ht="16.5" customHeight="1" x14ac:dyDescent="0.25">
      <c r="A421" s="9"/>
      <c r="B421" s="51" t="s">
        <v>118</v>
      </c>
      <c r="C421" s="52"/>
      <c r="D421" s="52"/>
      <c r="E421" s="52"/>
      <c r="F421" s="52"/>
      <c r="G421" s="53"/>
      <c r="H421" s="20"/>
      <c r="I421" s="9">
        <v>1</v>
      </c>
      <c r="J421" s="9"/>
      <c r="K421" s="9"/>
      <c r="L421" s="9"/>
      <c r="M421" s="9">
        <f t="shared" si="54"/>
        <v>7.4</v>
      </c>
      <c r="N421" s="9">
        <f t="shared" si="55"/>
        <v>3</v>
      </c>
      <c r="O421" s="9">
        <v>7.4</v>
      </c>
      <c r="P421" s="9">
        <v>3</v>
      </c>
      <c r="Q421" s="9" t="s">
        <v>6</v>
      </c>
      <c r="R421" s="1">
        <v>0</v>
      </c>
      <c r="S421" s="26"/>
    </row>
    <row r="422" spans="1:19" ht="16.5" customHeight="1" x14ac:dyDescent="0.25">
      <c r="A422" s="9"/>
      <c r="B422" s="51" t="s">
        <v>142</v>
      </c>
      <c r="C422" s="52"/>
      <c r="D422" s="52"/>
      <c r="E422" s="52"/>
      <c r="F422" s="52"/>
      <c r="G422" s="53"/>
      <c r="H422" s="20"/>
      <c r="I422" s="9">
        <v>3</v>
      </c>
      <c r="J422" s="9"/>
      <c r="K422" s="9"/>
      <c r="L422" s="9"/>
      <c r="M422" s="9">
        <f t="shared" si="54"/>
        <v>20.700000000000003</v>
      </c>
      <c r="N422" s="9">
        <f t="shared" si="55"/>
        <v>7.5</v>
      </c>
      <c r="O422" s="9">
        <v>6.9</v>
      </c>
      <c r="P422" s="9">
        <v>2.5</v>
      </c>
      <c r="Q422" s="9" t="s">
        <v>5</v>
      </c>
      <c r="R422" s="1">
        <v>0</v>
      </c>
      <c r="S422" s="26"/>
    </row>
    <row r="423" spans="1:19" ht="16.5" customHeight="1" x14ac:dyDescent="0.25">
      <c r="A423" s="9"/>
      <c r="B423" s="51" t="s">
        <v>120</v>
      </c>
      <c r="C423" s="52"/>
      <c r="D423" s="52"/>
      <c r="E423" s="52"/>
      <c r="F423" s="52"/>
      <c r="G423" s="53"/>
      <c r="H423" s="20"/>
      <c r="I423" s="9">
        <v>3</v>
      </c>
      <c r="J423" s="9"/>
      <c r="K423" s="9"/>
      <c r="L423" s="9"/>
      <c r="M423" s="9">
        <f t="shared" si="54"/>
        <v>22.5</v>
      </c>
      <c r="N423" s="9">
        <f t="shared" si="55"/>
        <v>9</v>
      </c>
      <c r="O423" s="9">
        <v>7.5</v>
      </c>
      <c r="P423" s="9">
        <v>3</v>
      </c>
      <c r="Q423" s="9" t="s">
        <v>6</v>
      </c>
      <c r="R423" s="1">
        <v>0</v>
      </c>
      <c r="S423" s="26"/>
    </row>
    <row r="424" spans="1:19" ht="16.5" customHeight="1" x14ac:dyDescent="0.25">
      <c r="A424" s="9"/>
      <c r="B424" s="51" t="s">
        <v>119</v>
      </c>
      <c r="C424" s="52"/>
      <c r="D424" s="52"/>
      <c r="E424" s="52"/>
      <c r="F424" s="52"/>
      <c r="G424" s="53"/>
      <c r="H424" s="20"/>
      <c r="I424" s="9">
        <v>4</v>
      </c>
      <c r="J424" s="9"/>
      <c r="K424" s="9"/>
      <c r="L424" s="9"/>
      <c r="M424" s="9">
        <f t="shared" si="54"/>
        <v>0</v>
      </c>
      <c r="N424" s="9">
        <f t="shared" si="55"/>
        <v>0</v>
      </c>
      <c r="O424" s="9"/>
      <c r="P424" s="9"/>
      <c r="Q424" s="9"/>
      <c r="R424" s="1">
        <v>0</v>
      </c>
      <c r="S424" s="26"/>
    </row>
    <row r="425" spans="1:19" ht="16.5" customHeight="1" x14ac:dyDescent="0.25">
      <c r="A425" s="9"/>
      <c r="B425" s="51" t="s">
        <v>121</v>
      </c>
      <c r="C425" s="52"/>
      <c r="D425" s="52"/>
      <c r="E425" s="52"/>
      <c r="F425" s="52"/>
      <c r="G425" s="53"/>
      <c r="H425" s="20"/>
      <c r="I425" s="9">
        <v>2</v>
      </c>
      <c r="J425" s="9"/>
      <c r="K425" s="9"/>
      <c r="L425" s="9"/>
      <c r="M425" s="9">
        <f t="shared" si="54"/>
        <v>16.399999999999999</v>
      </c>
      <c r="N425" s="9">
        <f t="shared" si="55"/>
        <v>7</v>
      </c>
      <c r="O425" s="9">
        <v>8.1999999999999993</v>
      </c>
      <c r="P425" s="9">
        <v>3.5</v>
      </c>
      <c r="Q425" s="9" t="s">
        <v>9</v>
      </c>
      <c r="R425" s="1">
        <v>0</v>
      </c>
      <c r="S425" s="26"/>
    </row>
    <row r="426" spans="1:19" ht="16.5" customHeight="1" x14ac:dyDescent="0.25">
      <c r="A426" s="9"/>
      <c r="B426" s="51" t="s">
        <v>122</v>
      </c>
      <c r="C426" s="52"/>
      <c r="D426" s="52"/>
      <c r="E426" s="52"/>
      <c r="F426" s="52"/>
      <c r="G426" s="53"/>
      <c r="H426" s="20"/>
      <c r="I426" s="9">
        <v>2</v>
      </c>
      <c r="J426" s="9"/>
      <c r="K426" s="9"/>
      <c r="L426" s="9"/>
      <c r="M426" s="9">
        <f t="shared" si="54"/>
        <v>0</v>
      </c>
      <c r="N426" s="9">
        <f t="shared" si="55"/>
        <v>0</v>
      </c>
      <c r="O426" s="9"/>
      <c r="P426" s="9"/>
      <c r="Q426" s="9"/>
      <c r="R426" s="1">
        <v>0</v>
      </c>
      <c r="S426" s="26"/>
    </row>
    <row r="427" spans="1:19" ht="16.5" customHeight="1" x14ac:dyDescent="0.25">
      <c r="A427" s="9"/>
      <c r="B427" s="51" t="s">
        <v>123</v>
      </c>
      <c r="C427" s="52"/>
      <c r="D427" s="52"/>
      <c r="E427" s="52"/>
      <c r="F427" s="52"/>
      <c r="G427" s="53"/>
      <c r="H427" s="20"/>
      <c r="I427" s="9">
        <v>2</v>
      </c>
      <c r="J427" s="9"/>
      <c r="K427" s="9"/>
      <c r="L427" s="9"/>
      <c r="M427" s="9">
        <f t="shared" si="54"/>
        <v>0</v>
      </c>
      <c r="N427" s="9">
        <f t="shared" si="55"/>
        <v>0</v>
      </c>
      <c r="O427" s="9"/>
      <c r="P427" s="9"/>
      <c r="Q427" s="9"/>
      <c r="R427" s="1">
        <v>0</v>
      </c>
      <c r="S427" s="26"/>
    </row>
    <row r="428" spans="1:19" ht="16.5" hidden="1" customHeight="1" x14ac:dyDescent="0.25">
      <c r="A428" s="21"/>
      <c r="H428" s="21"/>
      <c r="I428" s="21"/>
      <c r="J428" s="21"/>
      <c r="K428" s="21"/>
      <c r="L428" s="21"/>
      <c r="M428" s="9">
        <f t="shared" si="54"/>
        <v>0</v>
      </c>
      <c r="N428" s="9">
        <f t="shared" si="55"/>
        <v>0</v>
      </c>
      <c r="O428" s="21"/>
      <c r="P428" s="21"/>
      <c r="Q428" s="21"/>
      <c r="S428" s="25"/>
    </row>
    <row r="429" spans="1:19" ht="16.5" customHeight="1" x14ac:dyDescent="0.25">
      <c r="A429" s="9"/>
      <c r="B429" s="39" t="s">
        <v>42</v>
      </c>
      <c r="C429" s="40"/>
      <c r="D429" s="40"/>
      <c r="E429" s="40"/>
      <c r="F429" s="40"/>
      <c r="G429" s="41"/>
      <c r="H429" s="23"/>
      <c r="I429" s="24">
        <f>SUM(I418:I428)</f>
        <v>25</v>
      </c>
      <c r="J429" s="9"/>
      <c r="K429" s="9"/>
      <c r="L429" s="9"/>
      <c r="M429" s="9">
        <f t="shared" si="54"/>
        <v>90.5</v>
      </c>
      <c r="N429" s="9">
        <f t="shared" si="55"/>
        <v>35.5</v>
      </c>
      <c r="O429" s="24">
        <f>ROUND(SUM(M418:M428)/I429,2)</f>
        <v>3.62</v>
      </c>
      <c r="P429" s="24">
        <f>ROUND(SUM(N418:N428)/I429,2)</f>
        <v>1.42</v>
      </c>
      <c r="Q429" s="9"/>
      <c r="S429" s="25"/>
    </row>
    <row r="430" spans="1:19" ht="16.5" customHeight="1" x14ac:dyDescent="0.25">
      <c r="A430" s="21"/>
      <c r="B430" s="22"/>
      <c r="C430" s="22"/>
      <c r="D430" s="22"/>
      <c r="E430" s="22"/>
      <c r="F430" s="22"/>
      <c r="G430" s="22"/>
      <c r="H430" s="21"/>
      <c r="I430" s="21"/>
      <c r="J430" s="21"/>
      <c r="K430" s="21"/>
      <c r="L430" s="21"/>
      <c r="M430" s="21"/>
      <c r="N430" s="21"/>
      <c r="O430" s="21"/>
      <c r="P430" s="21"/>
      <c r="Q430" s="21"/>
    </row>
    <row r="432" spans="1:19" ht="18" x14ac:dyDescent="0.25">
      <c r="A432" s="35" t="s">
        <v>139</v>
      </c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</row>
    <row r="433" spans="1:20" ht="18" x14ac:dyDescent="0.25">
      <c r="A433" s="35" t="s">
        <v>140</v>
      </c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</row>
    <row r="434" spans="1:20" ht="18" x14ac:dyDescent="0.25">
      <c r="A434" s="35" t="s">
        <v>141</v>
      </c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</row>
    <row r="435" spans="1:20" ht="18" x14ac:dyDescent="0.25">
      <c r="A435" s="45" t="s">
        <v>53</v>
      </c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</row>
    <row r="436" spans="1:20" ht="19.5" customHeight="1" x14ac:dyDescent="0.25">
      <c r="A436" s="17"/>
      <c r="B436" s="17"/>
      <c r="C436" s="8"/>
      <c r="D436" s="18"/>
      <c r="E436" s="10"/>
      <c r="F436" s="11"/>
      <c r="G436" s="46" t="s">
        <v>49</v>
      </c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</row>
    <row r="437" spans="1:20" ht="31.5" customHeight="1" x14ac:dyDescent="0.3">
      <c r="A437" s="8"/>
      <c r="B437" s="8"/>
      <c r="C437" s="8"/>
      <c r="D437" s="8"/>
      <c r="E437" s="8"/>
      <c r="F437" s="8"/>
      <c r="G437" s="8"/>
      <c r="H437" s="12"/>
      <c r="I437" s="42" t="s">
        <v>40</v>
      </c>
      <c r="J437" s="43"/>
      <c r="K437" s="43"/>
      <c r="L437" s="43"/>
      <c r="M437" s="43"/>
      <c r="N437" s="43"/>
      <c r="O437" s="43"/>
      <c r="P437" s="43"/>
      <c r="Q437" s="43"/>
      <c r="R437" s="43"/>
      <c r="S437" s="43"/>
    </row>
    <row r="438" spans="1:20" ht="16.8" x14ac:dyDescent="0.3">
      <c r="A438" s="8"/>
      <c r="B438" s="8"/>
      <c r="C438" s="8"/>
      <c r="D438" s="8"/>
      <c r="E438" s="8"/>
      <c r="F438" s="8"/>
      <c r="G438" s="8"/>
      <c r="H438" s="12"/>
      <c r="I438" s="12"/>
      <c r="J438" s="12"/>
      <c r="K438" s="12"/>
      <c r="L438" s="8"/>
      <c r="M438" s="8"/>
      <c r="N438" s="8"/>
      <c r="O438" s="8"/>
      <c r="P438" s="8"/>
      <c r="Q438" s="8"/>
    </row>
    <row r="439" spans="1:20" ht="33" customHeight="1" x14ac:dyDescent="0.3">
      <c r="A439" s="8"/>
      <c r="B439" s="8"/>
      <c r="C439" s="8"/>
      <c r="D439" s="8"/>
      <c r="E439" s="8"/>
      <c r="F439" s="8"/>
      <c r="G439" s="8"/>
      <c r="H439" s="12"/>
      <c r="I439" s="12"/>
      <c r="J439" s="12"/>
      <c r="K439" s="12"/>
      <c r="L439" s="8"/>
      <c r="M439" s="8"/>
      <c r="N439" s="8"/>
      <c r="O439" s="8"/>
      <c r="P439" s="8"/>
      <c r="Q439" s="8"/>
    </row>
    <row r="440" spans="1:20" ht="11.25" customHeight="1" x14ac:dyDescent="0.3">
      <c r="A440" s="8"/>
      <c r="B440" s="8"/>
      <c r="C440" s="8"/>
      <c r="D440" s="8"/>
      <c r="E440" s="8"/>
      <c r="F440" s="8"/>
      <c r="G440" s="8"/>
      <c r="H440" s="12"/>
      <c r="I440" s="12"/>
      <c r="J440" s="12"/>
      <c r="K440" s="12"/>
      <c r="L440" s="8"/>
      <c r="M440" s="8"/>
      <c r="N440" s="8"/>
      <c r="O440" s="8"/>
      <c r="P440" s="8"/>
      <c r="Q440" s="8"/>
    </row>
    <row r="441" spans="1:20" ht="17.399999999999999" x14ac:dyDescent="0.3">
      <c r="A441" s="8"/>
      <c r="B441" s="8"/>
      <c r="C441" s="8"/>
      <c r="D441" s="8"/>
      <c r="E441" s="8"/>
      <c r="F441" s="8"/>
      <c r="G441" s="47" t="s">
        <v>41</v>
      </c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</row>
    <row r="442" spans="1:20" ht="54" customHeight="1" x14ac:dyDescent="0.25">
      <c r="A442" s="48" t="s">
        <v>33</v>
      </c>
      <c r="B442" s="48"/>
      <c r="C442" s="48"/>
      <c r="D442" s="48"/>
      <c r="E442" s="48"/>
      <c r="F442" s="42" t="s">
        <v>24</v>
      </c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</row>
    <row r="443" spans="1:20" ht="17.399999999999999" x14ac:dyDescent="0.25">
      <c r="A443" s="49" t="s">
        <v>34</v>
      </c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</row>
    <row r="444" spans="1:20" ht="4.5" customHeight="1" x14ac:dyDescent="0.25">
      <c r="A444" s="50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</row>
    <row r="445" spans="1:20" ht="5.25" customHeight="1" x14ac:dyDescent="0.25">
      <c r="A445" s="50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</row>
    <row r="446" spans="1:20" ht="16.5" customHeight="1" x14ac:dyDescent="0.25">
      <c r="A446" s="54" t="s">
        <v>143</v>
      </c>
      <c r="B446" s="54"/>
      <c r="C446" s="54"/>
      <c r="D446" s="54"/>
      <c r="E446" s="54"/>
      <c r="F446" s="54"/>
      <c r="G446" s="58" t="s">
        <v>144</v>
      </c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</row>
    <row r="447" spans="1:20" ht="16.5" customHeight="1" x14ac:dyDescent="0.25">
      <c r="A447" s="54" t="s">
        <v>145</v>
      </c>
      <c r="B447" s="54"/>
      <c r="C447" s="54"/>
      <c r="D447" s="54"/>
      <c r="E447" s="54"/>
      <c r="F447" s="54"/>
      <c r="G447" s="8" t="s">
        <v>46</v>
      </c>
      <c r="H447" s="8"/>
      <c r="I447" s="8"/>
      <c r="J447" s="8"/>
      <c r="K447" s="8"/>
      <c r="L447" s="8"/>
      <c r="M447" s="8"/>
      <c r="N447" s="8"/>
      <c r="O447" s="8"/>
      <c r="P447" s="8"/>
      <c r="Q447" s="8"/>
      <c r="T447" s="2"/>
    </row>
    <row r="448" spans="1:20" ht="16.5" customHeight="1" x14ac:dyDescent="0.25">
      <c r="A448" s="54" t="s">
        <v>47</v>
      </c>
      <c r="B448" s="54"/>
      <c r="C448" s="54"/>
      <c r="D448" s="54"/>
      <c r="E448" s="54"/>
      <c r="F448" s="54"/>
      <c r="G448" s="58" t="s">
        <v>48</v>
      </c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</row>
    <row r="449" spans="1:19" ht="5.25" customHeight="1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19"/>
      <c r="K449" s="19"/>
      <c r="L449" s="19"/>
      <c r="M449" s="19"/>
      <c r="N449" s="19"/>
      <c r="O449" s="19"/>
      <c r="P449" s="19"/>
      <c r="Q449" s="19"/>
    </row>
    <row r="450" spans="1:19" ht="15" customHeight="1" x14ac:dyDescent="0.25">
      <c r="A450" s="36" t="s">
        <v>0</v>
      </c>
      <c r="B450" s="29" t="s">
        <v>1</v>
      </c>
      <c r="C450" s="30"/>
      <c r="D450" s="30"/>
      <c r="E450" s="30"/>
      <c r="F450" s="30"/>
      <c r="G450" s="31"/>
      <c r="H450" s="36" t="s">
        <v>32</v>
      </c>
      <c r="I450" s="36" t="s">
        <v>39</v>
      </c>
      <c r="J450" s="55" t="s">
        <v>2</v>
      </c>
      <c r="K450" s="56"/>
      <c r="L450" s="56"/>
      <c r="M450" s="56"/>
      <c r="N450" s="56"/>
      <c r="O450" s="56"/>
      <c r="P450" s="56"/>
      <c r="Q450" s="57"/>
      <c r="S450" s="36" t="s">
        <v>38</v>
      </c>
    </row>
    <row r="451" spans="1:19" ht="24" customHeight="1" x14ac:dyDescent="0.25">
      <c r="A451" s="37"/>
      <c r="B451" s="32"/>
      <c r="C451" s="33"/>
      <c r="D451" s="33"/>
      <c r="E451" s="33"/>
      <c r="F451" s="33"/>
      <c r="G451" s="34"/>
      <c r="H451" s="37"/>
      <c r="I451" s="37"/>
      <c r="J451" s="7" t="s">
        <v>28</v>
      </c>
      <c r="K451" s="7" t="s">
        <v>29</v>
      </c>
      <c r="L451" s="7" t="s">
        <v>30</v>
      </c>
      <c r="M451" s="7"/>
      <c r="N451" s="7"/>
      <c r="O451" s="6" t="s">
        <v>35</v>
      </c>
      <c r="P451" s="6" t="s">
        <v>36</v>
      </c>
      <c r="Q451" s="6" t="s">
        <v>37</v>
      </c>
      <c r="S451" s="37"/>
    </row>
    <row r="452" spans="1:19" ht="20.25" customHeight="1" x14ac:dyDescent="0.25">
      <c r="A452" s="27" t="s">
        <v>54</v>
      </c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</row>
    <row r="453" spans="1:19" ht="16.5" customHeight="1" x14ac:dyDescent="0.25">
      <c r="A453" s="9"/>
      <c r="B453" s="51" t="s">
        <v>55</v>
      </c>
      <c r="C453" s="52"/>
      <c r="D453" s="52"/>
      <c r="E453" s="52"/>
      <c r="F453" s="52"/>
      <c r="G453" s="53"/>
      <c r="H453" s="20"/>
      <c r="I453" s="9">
        <v>2</v>
      </c>
      <c r="J453" s="9"/>
      <c r="K453" s="9"/>
      <c r="L453" s="9"/>
      <c r="M453" s="9">
        <f t="shared" ref="M453:M461" si="56">I453*O453</f>
        <v>13</v>
      </c>
      <c r="N453" s="9">
        <f t="shared" ref="N453:N461" si="57">I453*P453</f>
        <v>5</v>
      </c>
      <c r="O453" s="9">
        <v>6.5</v>
      </c>
      <c r="P453" s="9">
        <v>2.5</v>
      </c>
      <c r="Q453" s="9" t="s">
        <v>5</v>
      </c>
      <c r="R453" s="1">
        <v>0</v>
      </c>
      <c r="S453" s="26"/>
    </row>
    <row r="454" spans="1:19" ht="16.5" customHeight="1" x14ac:dyDescent="0.25">
      <c r="A454" s="9"/>
      <c r="B454" s="51" t="s">
        <v>56</v>
      </c>
      <c r="C454" s="52"/>
      <c r="D454" s="52"/>
      <c r="E454" s="52"/>
      <c r="F454" s="52"/>
      <c r="G454" s="53"/>
      <c r="H454" s="20"/>
      <c r="I454" s="9">
        <v>3</v>
      </c>
      <c r="J454" s="9"/>
      <c r="K454" s="9"/>
      <c r="L454" s="9"/>
      <c r="M454" s="9">
        <f t="shared" si="56"/>
        <v>7.5</v>
      </c>
      <c r="N454" s="9">
        <f t="shared" si="57"/>
        <v>0</v>
      </c>
      <c r="O454" s="9">
        <v>2.5</v>
      </c>
      <c r="P454" s="9">
        <v>0</v>
      </c>
      <c r="Q454" s="9" t="s">
        <v>7</v>
      </c>
      <c r="R454" s="1">
        <v>0</v>
      </c>
      <c r="S454" s="26"/>
    </row>
    <row r="455" spans="1:19" ht="31.2" customHeight="1" x14ac:dyDescent="0.25">
      <c r="A455" s="9"/>
      <c r="B455" s="51" t="s">
        <v>57</v>
      </c>
      <c r="C455" s="52"/>
      <c r="D455" s="52"/>
      <c r="E455" s="52"/>
      <c r="F455" s="52"/>
      <c r="G455" s="53"/>
      <c r="H455" s="20"/>
      <c r="I455" s="9">
        <v>3</v>
      </c>
      <c r="J455" s="9"/>
      <c r="K455" s="9"/>
      <c r="L455" s="9"/>
      <c r="M455" s="9">
        <f t="shared" si="56"/>
        <v>22.200000000000003</v>
      </c>
      <c r="N455" s="9">
        <f t="shared" si="57"/>
        <v>9</v>
      </c>
      <c r="O455" s="9">
        <v>7.4</v>
      </c>
      <c r="P455" s="9">
        <v>3</v>
      </c>
      <c r="Q455" s="9" t="s">
        <v>6</v>
      </c>
      <c r="R455" s="1">
        <v>0</v>
      </c>
      <c r="S455" s="26"/>
    </row>
    <row r="456" spans="1:19" ht="16.5" customHeight="1" x14ac:dyDescent="0.25">
      <c r="A456" s="9"/>
      <c r="B456" s="51" t="s">
        <v>58</v>
      </c>
      <c r="C456" s="52"/>
      <c r="D456" s="52"/>
      <c r="E456" s="52"/>
      <c r="F456" s="52"/>
      <c r="G456" s="53"/>
      <c r="H456" s="20"/>
      <c r="I456" s="9">
        <v>1</v>
      </c>
      <c r="J456" s="9"/>
      <c r="K456" s="9"/>
      <c r="L456" s="9"/>
      <c r="M456" s="9">
        <f t="shared" si="56"/>
        <v>6.8</v>
      </c>
      <c r="N456" s="9">
        <f t="shared" si="57"/>
        <v>2.5</v>
      </c>
      <c r="O456" s="9">
        <v>6.8</v>
      </c>
      <c r="P456" s="9">
        <v>2.5</v>
      </c>
      <c r="Q456" s="9" t="s">
        <v>5</v>
      </c>
      <c r="R456" s="1">
        <v>0</v>
      </c>
      <c r="S456" s="26"/>
    </row>
    <row r="457" spans="1:19" ht="16.5" customHeight="1" x14ac:dyDescent="0.25">
      <c r="A457" s="9"/>
      <c r="B457" s="51" t="s">
        <v>59</v>
      </c>
      <c r="C457" s="52"/>
      <c r="D457" s="52"/>
      <c r="E457" s="52"/>
      <c r="F457" s="52"/>
      <c r="G457" s="53"/>
      <c r="H457" s="20"/>
      <c r="I457" s="9">
        <v>1</v>
      </c>
      <c r="J457" s="9"/>
      <c r="K457" s="9"/>
      <c r="L457" s="9"/>
      <c r="M457" s="9">
        <f t="shared" si="56"/>
        <v>5.9</v>
      </c>
      <c r="N457" s="9">
        <f t="shared" si="57"/>
        <v>2</v>
      </c>
      <c r="O457" s="9">
        <v>5.9</v>
      </c>
      <c r="P457" s="9">
        <v>2</v>
      </c>
      <c r="Q457" s="9" t="s">
        <v>3</v>
      </c>
      <c r="R457" s="1">
        <v>0</v>
      </c>
      <c r="S457" s="26"/>
    </row>
    <row r="458" spans="1:19" ht="16.5" customHeight="1" x14ac:dyDescent="0.25">
      <c r="A458" s="9"/>
      <c r="B458" s="51" t="s">
        <v>60</v>
      </c>
      <c r="C458" s="52"/>
      <c r="D458" s="52"/>
      <c r="E458" s="52"/>
      <c r="F458" s="52"/>
      <c r="G458" s="53"/>
      <c r="H458" s="20"/>
      <c r="I458" s="9">
        <v>3</v>
      </c>
      <c r="J458" s="9"/>
      <c r="K458" s="9"/>
      <c r="L458" s="9"/>
      <c r="M458" s="9">
        <f t="shared" si="56"/>
        <v>21</v>
      </c>
      <c r="N458" s="9">
        <f t="shared" si="57"/>
        <v>9</v>
      </c>
      <c r="O458" s="9">
        <v>7</v>
      </c>
      <c r="P458" s="9">
        <v>3</v>
      </c>
      <c r="Q458" s="9" t="s">
        <v>6</v>
      </c>
      <c r="R458" s="1">
        <v>0</v>
      </c>
      <c r="S458" s="26"/>
    </row>
    <row r="459" spans="1:19" ht="16.5" customHeight="1" x14ac:dyDescent="0.25">
      <c r="A459" s="9"/>
      <c r="B459" s="51" t="s">
        <v>61</v>
      </c>
      <c r="C459" s="52"/>
      <c r="D459" s="52"/>
      <c r="E459" s="52"/>
      <c r="F459" s="52"/>
      <c r="G459" s="53"/>
      <c r="H459" s="20"/>
      <c r="I459" s="9">
        <v>1</v>
      </c>
      <c r="J459" s="9"/>
      <c r="K459" s="9"/>
      <c r="L459" s="9"/>
      <c r="M459" s="9">
        <f t="shared" si="56"/>
        <v>4.5999999999999996</v>
      </c>
      <c r="N459" s="9">
        <f t="shared" si="57"/>
        <v>1</v>
      </c>
      <c r="O459" s="9">
        <v>4.5999999999999996</v>
      </c>
      <c r="P459" s="9">
        <v>1</v>
      </c>
      <c r="Q459" s="9" t="s">
        <v>8</v>
      </c>
      <c r="R459" s="1">
        <v>0</v>
      </c>
      <c r="S459" s="26"/>
    </row>
    <row r="460" spans="1:19" ht="16.5" hidden="1" customHeight="1" x14ac:dyDescent="0.25">
      <c r="A460" s="21"/>
      <c r="H460" s="21"/>
      <c r="I460" s="21"/>
      <c r="J460" s="21"/>
      <c r="K460" s="21"/>
      <c r="L460" s="21"/>
      <c r="M460" s="9">
        <f t="shared" si="56"/>
        <v>0</v>
      </c>
      <c r="N460" s="9">
        <f t="shared" si="57"/>
        <v>0</v>
      </c>
      <c r="O460" s="21"/>
      <c r="P460" s="21"/>
      <c r="Q460" s="21"/>
      <c r="S460" s="25"/>
    </row>
    <row r="461" spans="1:19" ht="16.5" customHeight="1" x14ac:dyDescent="0.25">
      <c r="A461" s="9"/>
      <c r="B461" s="39" t="s">
        <v>42</v>
      </c>
      <c r="C461" s="40"/>
      <c r="D461" s="40"/>
      <c r="E461" s="40"/>
      <c r="F461" s="40"/>
      <c r="G461" s="41"/>
      <c r="H461" s="23"/>
      <c r="I461" s="24">
        <f>SUM(I453:I460)</f>
        <v>14</v>
      </c>
      <c r="J461" s="9"/>
      <c r="K461" s="9"/>
      <c r="L461" s="9"/>
      <c r="M461" s="9">
        <f t="shared" si="56"/>
        <v>81.06</v>
      </c>
      <c r="N461" s="9">
        <f t="shared" si="57"/>
        <v>28.560000000000002</v>
      </c>
      <c r="O461" s="24">
        <f>ROUND(SUM(M453:M460)/I461,2)</f>
        <v>5.79</v>
      </c>
      <c r="P461" s="24">
        <f>ROUND(SUM(N453:N460)/I461,2)</f>
        <v>2.04</v>
      </c>
      <c r="Q461" s="9"/>
      <c r="S461" s="25"/>
    </row>
    <row r="462" spans="1:19" ht="20.25" customHeight="1" x14ac:dyDescent="0.25">
      <c r="A462" s="27" t="s">
        <v>62</v>
      </c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</row>
    <row r="463" spans="1:19" ht="16.5" customHeight="1" x14ac:dyDescent="0.25">
      <c r="A463" s="9"/>
      <c r="B463" s="51" t="s">
        <v>63</v>
      </c>
      <c r="C463" s="52"/>
      <c r="D463" s="52"/>
      <c r="E463" s="52"/>
      <c r="F463" s="52"/>
      <c r="G463" s="53"/>
      <c r="H463" s="20"/>
      <c r="I463" s="9">
        <v>4</v>
      </c>
      <c r="J463" s="9"/>
      <c r="K463" s="9"/>
      <c r="L463" s="9"/>
      <c r="M463" s="9">
        <f t="shared" ref="M463:M471" si="58">I463*O463</f>
        <v>23.6</v>
      </c>
      <c r="N463" s="9">
        <f t="shared" ref="N463:N471" si="59">I463*P463</f>
        <v>8</v>
      </c>
      <c r="O463" s="9">
        <v>5.9</v>
      </c>
      <c r="P463" s="9">
        <v>2</v>
      </c>
      <c r="Q463" s="9" t="s">
        <v>3</v>
      </c>
      <c r="R463" s="1">
        <v>0</v>
      </c>
      <c r="S463" s="26"/>
    </row>
    <row r="464" spans="1:19" ht="16.5" customHeight="1" x14ac:dyDescent="0.25">
      <c r="A464" s="9"/>
      <c r="B464" s="51" t="s">
        <v>64</v>
      </c>
      <c r="C464" s="52"/>
      <c r="D464" s="52"/>
      <c r="E464" s="52"/>
      <c r="F464" s="52"/>
      <c r="G464" s="53"/>
      <c r="H464" s="20"/>
      <c r="I464" s="9">
        <v>4</v>
      </c>
      <c r="J464" s="9"/>
      <c r="K464" s="9"/>
      <c r="L464" s="9"/>
      <c r="M464" s="9">
        <f t="shared" si="58"/>
        <v>20</v>
      </c>
      <c r="N464" s="9">
        <f t="shared" si="59"/>
        <v>6</v>
      </c>
      <c r="O464" s="9">
        <v>5</v>
      </c>
      <c r="P464" s="9">
        <v>1.5</v>
      </c>
      <c r="Q464" s="9" t="s">
        <v>4</v>
      </c>
      <c r="R464" s="1">
        <v>0</v>
      </c>
      <c r="S464" s="26"/>
    </row>
    <row r="465" spans="1:19" ht="16.5" customHeight="1" x14ac:dyDescent="0.25">
      <c r="A465" s="9"/>
      <c r="B465" s="51" t="s">
        <v>65</v>
      </c>
      <c r="C465" s="52"/>
      <c r="D465" s="52"/>
      <c r="E465" s="52"/>
      <c r="F465" s="52"/>
      <c r="G465" s="53"/>
      <c r="H465" s="20"/>
      <c r="I465" s="9">
        <v>4</v>
      </c>
      <c r="J465" s="9"/>
      <c r="K465" s="9"/>
      <c r="L465" s="9"/>
      <c r="M465" s="9">
        <f t="shared" si="58"/>
        <v>26.8</v>
      </c>
      <c r="N465" s="9">
        <f t="shared" si="59"/>
        <v>10</v>
      </c>
      <c r="O465" s="9">
        <v>6.7</v>
      </c>
      <c r="P465" s="9">
        <v>2.5</v>
      </c>
      <c r="Q465" s="9" t="s">
        <v>5</v>
      </c>
      <c r="R465" s="1">
        <v>0</v>
      </c>
      <c r="S465" s="26"/>
    </row>
    <row r="466" spans="1:19" ht="16.5" customHeight="1" x14ac:dyDescent="0.25">
      <c r="A466" s="9"/>
      <c r="B466" s="51" t="s">
        <v>66</v>
      </c>
      <c r="C466" s="52"/>
      <c r="D466" s="52"/>
      <c r="E466" s="52"/>
      <c r="F466" s="52"/>
      <c r="G466" s="53"/>
      <c r="H466" s="20"/>
      <c r="I466" s="9">
        <v>1</v>
      </c>
      <c r="J466" s="9"/>
      <c r="K466" s="9"/>
      <c r="L466" s="9"/>
      <c r="M466" s="9">
        <f t="shared" si="58"/>
        <v>7.4</v>
      </c>
      <c r="N466" s="9">
        <f t="shared" si="59"/>
        <v>3</v>
      </c>
      <c r="O466" s="9">
        <v>7.4</v>
      </c>
      <c r="P466" s="9">
        <v>3</v>
      </c>
      <c r="Q466" s="9" t="s">
        <v>6</v>
      </c>
      <c r="R466" s="1">
        <v>0</v>
      </c>
      <c r="S466" s="26"/>
    </row>
    <row r="467" spans="1:19" ht="16.5" customHeight="1" x14ac:dyDescent="0.25">
      <c r="A467" s="9"/>
      <c r="B467" s="51" t="s">
        <v>67</v>
      </c>
      <c r="C467" s="52"/>
      <c r="D467" s="52"/>
      <c r="E467" s="52"/>
      <c r="F467" s="52"/>
      <c r="G467" s="53"/>
      <c r="H467" s="20"/>
      <c r="I467" s="9">
        <v>1</v>
      </c>
      <c r="J467" s="9"/>
      <c r="K467" s="9"/>
      <c r="L467" s="9"/>
      <c r="M467" s="9">
        <f t="shared" si="58"/>
        <v>7.8</v>
      </c>
      <c r="N467" s="9">
        <f t="shared" si="59"/>
        <v>3</v>
      </c>
      <c r="O467" s="9">
        <v>7.8</v>
      </c>
      <c r="P467" s="9">
        <v>3</v>
      </c>
      <c r="Q467" s="9" t="s">
        <v>6</v>
      </c>
      <c r="R467" s="1">
        <v>0</v>
      </c>
      <c r="S467" s="26"/>
    </row>
    <row r="468" spans="1:19" ht="16.5" customHeight="1" x14ac:dyDescent="0.25">
      <c r="A468" s="9"/>
      <c r="B468" s="51" t="s">
        <v>69</v>
      </c>
      <c r="C468" s="52"/>
      <c r="D468" s="52"/>
      <c r="E468" s="52"/>
      <c r="F468" s="52"/>
      <c r="G468" s="53"/>
      <c r="H468" s="20"/>
      <c r="I468" s="9">
        <v>1</v>
      </c>
      <c r="J468" s="9"/>
      <c r="K468" s="9"/>
      <c r="L468" s="9"/>
      <c r="M468" s="9">
        <f t="shared" si="58"/>
        <v>7.3</v>
      </c>
      <c r="N468" s="9">
        <f t="shared" si="59"/>
        <v>3</v>
      </c>
      <c r="O468" s="9">
        <v>7.3</v>
      </c>
      <c r="P468" s="9">
        <v>3</v>
      </c>
      <c r="Q468" s="9" t="s">
        <v>6</v>
      </c>
      <c r="R468" s="1">
        <v>0</v>
      </c>
      <c r="S468" s="26"/>
    </row>
    <row r="469" spans="1:19" ht="16.5" customHeight="1" x14ac:dyDescent="0.25">
      <c r="A469" s="9"/>
      <c r="B469" s="51" t="s">
        <v>68</v>
      </c>
      <c r="C469" s="52"/>
      <c r="D469" s="52"/>
      <c r="E469" s="52"/>
      <c r="F469" s="52"/>
      <c r="G469" s="53"/>
      <c r="H469" s="20"/>
      <c r="I469" s="9">
        <v>1</v>
      </c>
      <c r="J469" s="9"/>
      <c r="K469" s="9"/>
      <c r="L469" s="9"/>
      <c r="M469" s="9">
        <f t="shared" si="58"/>
        <v>7.3</v>
      </c>
      <c r="N469" s="9">
        <f t="shared" si="59"/>
        <v>3</v>
      </c>
      <c r="O469" s="9">
        <v>7.3</v>
      </c>
      <c r="P469" s="9">
        <v>3</v>
      </c>
      <c r="Q469" s="9" t="s">
        <v>6</v>
      </c>
      <c r="R469" s="1">
        <v>0</v>
      </c>
      <c r="S469" s="26"/>
    </row>
    <row r="470" spans="1:19" ht="16.5" hidden="1" customHeight="1" x14ac:dyDescent="0.25">
      <c r="A470" s="21"/>
      <c r="H470" s="21"/>
      <c r="I470" s="21"/>
      <c r="J470" s="21"/>
      <c r="K470" s="21"/>
      <c r="L470" s="21"/>
      <c r="M470" s="9">
        <f t="shared" si="58"/>
        <v>0</v>
      </c>
      <c r="N470" s="9">
        <f t="shared" si="59"/>
        <v>0</v>
      </c>
      <c r="O470" s="21"/>
      <c r="P470" s="21"/>
      <c r="Q470" s="21"/>
      <c r="S470" s="25"/>
    </row>
    <row r="471" spans="1:19" ht="16.5" customHeight="1" x14ac:dyDescent="0.25">
      <c r="A471" s="9"/>
      <c r="B471" s="39" t="s">
        <v>42</v>
      </c>
      <c r="C471" s="40"/>
      <c r="D471" s="40"/>
      <c r="E471" s="40"/>
      <c r="F471" s="40"/>
      <c r="G471" s="41"/>
      <c r="H471" s="23"/>
      <c r="I471" s="24">
        <f>SUM(I463:I470)</f>
        <v>16</v>
      </c>
      <c r="J471" s="9"/>
      <c r="K471" s="9"/>
      <c r="L471" s="9"/>
      <c r="M471" s="9">
        <f t="shared" si="58"/>
        <v>100.16</v>
      </c>
      <c r="N471" s="9">
        <f t="shared" si="59"/>
        <v>36</v>
      </c>
      <c r="O471" s="24">
        <f>ROUND(SUM(M463:M470)/I471,2)</f>
        <v>6.26</v>
      </c>
      <c r="P471" s="24">
        <f>ROUND(SUM(N463:N470)/I471,2)</f>
        <v>2.25</v>
      </c>
      <c r="Q471" s="9"/>
      <c r="S471" s="25"/>
    </row>
    <row r="472" spans="1:19" ht="20.25" customHeight="1" x14ac:dyDescent="0.25">
      <c r="A472" s="27" t="s">
        <v>150</v>
      </c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</row>
    <row r="473" spans="1:19" ht="16.5" customHeight="1" x14ac:dyDescent="0.25">
      <c r="A473" s="9"/>
      <c r="B473" s="51" t="s">
        <v>56</v>
      </c>
      <c r="C473" s="52"/>
      <c r="D473" s="52"/>
      <c r="E473" s="52"/>
      <c r="F473" s="52"/>
      <c r="G473" s="53"/>
      <c r="H473" s="20"/>
      <c r="I473" s="9">
        <v>3</v>
      </c>
      <c r="J473" s="9"/>
      <c r="K473" s="9"/>
      <c r="L473" s="9"/>
      <c r="M473" s="9">
        <f>I473*O473</f>
        <v>3</v>
      </c>
      <c r="N473" s="9">
        <f>I473*P473</f>
        <v>0</v>
      </c>
      <c r="O473" s="9">
        <v>1</v>
      </c>
      <c r="P473" s="9">
        <v>0</v>
      </c>
      <c r="Q473" s="9" t="s">
        <v>7</v>
      </c>
      <c r="R473" s="1">
        <v>6</v>
      </c>
      <c r="S473" s="26" t="s">
        <v>132</v>
      </c>
    </row>
    <row r="474" spans="1:19" ht="16.5" hidden="1" customHeight="1" x14ac:dyDescent="0.25">
      <c r="A474" s="21"/>
      <c r="H474" s="21"/>
      <c r="I474" s="21"/>
      <c r="J474" s="21"/>
      <c r="K474" s="21"/>
      <c r="L474" s="21"/>
      <c r="M474" s="9">
        <f>I474*O474</f>
        <v>0</v>
      </c>
      <c r="N474" s="9">
        <f>I474*P474</f>
        <v>0</v>
      </c>
      <c r="O474" s="21"/>
      <c r="P474" s="21"/>
      <c r="Q474" s="21"/>
      <c r="S474" s="25"/>
    </row>
    <row r="475" spans="1:19" ht="16.5" customHeight="1" x14ac:dyDescent="0.25">
      <c r="A475" s="9"/>
      <c r="B475" s="39" t="s">
        <v>42</v>
      </c>
      <c r="C475" s="40"/>
      <c r="D475" s="40"/>
      <c r="E475" s="40"/>
      <c r="F475" s="40"/>
      <c r="G475" s="41"/>
      <c r="H475" s="23"/>
      <c r="I475" s="24">
        <f>SUM(I473:I474)</f>
        <v>3</v>
      </c>
      <c r="J475" s="9"/>
      <c r="K475" s="9"/>
      <c r="L475" s="9"/>
      <c r="M475" s="9">
        <f>I475*O475</f>
        <v>3</v>
      </c>
      <c r="N475" s="9">
        <f>I475*P475</f>
        <v>0</v>
      </c>
      <c r="O475" s="24">
        <f>ROUND(SUM(M473:M474)/I475,2)</f>
        <v>1</v>
      </c>
      <c r="P475" s="24">
        <f>ROUND(SUM(N473:N474)/I475,2)</f>
        <v>0</v>
      </c>
      <c r="Q475" s="9"/>
      <c r="S475" s="25"/>
    </row>
    <row r="476" spans="1:19" ht="20.25" customHeight="1" x14ac:dyDescent="0.25">
      <c r="A476" s="27" t="s">
        <v>131</v>
      </c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</row>
    <row r="477" spans="1:19" ht="16.5" customHeight="1" x14ac:dyDescent="0.25">
      <c r="A477" s="9"/>
      <c r="B477" s="51" t="s">
        <v>56</v>
      </c>
      <c r="C477" s="52"/>
      <c r="D477" s="52"/>
      <c r="E477" s="52"/>
      <c r="F477" s="52"/>
      <c r="G477" s="53"/>
      <c r="H477" s="20"/>
      <c r="I477" s="9">
        <v>3</v>
      </c>
      <c r="J477" s="9"/>
      <c r="K477" s="9"/>
      <c r="L477" s="9"/>
      <c r="M477" s="9">
        <f>I477*O477</f>
        <v>16.5</v>
      </c>
      <c r="N477" s="9">
        <f>I477*P477</f>
        <v>6</v>
      </c>
      <c r="O477" s="9">
        <v>5.5</v>
      </c>
      <c r="P477" s="9">
        <v>2</v>
      </c>
      <c r="Q477" s="9" t="s">
        <v>3</v>
      </c>
      <c r="R477" s="1">
        <v>4</v>
      </c>
      <c r="S477" s="26" t="s">
        <v>151</v>
      </c>
    </row>
    <row r="478" spans="1:19" ht="16.5" hidden="1" customHeight="1" x14ac:dyDescent="0.25">
      <c r="A478" s="21"/>
      <c r="H478" s="21"/>
      <c r="I478" s="21"/>
      <c r="J478" s="21"/>
      <c r="K478" s="21"/>
      <c r="L478" s="21"/>
      <c r="M478" s="9">
        <f>I478*O478</f>
        <v>0</v>
      </c>
      <c r="N478" s="9">
        <f>I478*P478</f>
        <v>0</v>
      </c>
      <c r="O478" s="21"/>
      <c r="P478" s="21"/>
      <c r="Q478" s="21"/>
      <c r="S478" s="25"/>
    </row>
    <row r="479" spans="1:19" ht="16.5" customHeight="1" x14ac:dyDescent="0.25">
      <c r="A479" s="9"/>
      <c r="B479" s="39" t="s">
        <v>42</v>
      </c>
      <c r="C479" s="40"/>
      <c r="D479" s="40"/>
      <c r="E479" s="40"/>
      <c r="F479" s="40"/>
      <c r="G479" s="41"/>
      <c r="H479" s="23"/>
      <c r="I479" s="24">
        <f>SUM(I477:I478)</f>
        <v>3</v>
      </c>
      <c r="J479" s="9"/>
      <c r="K479" s="9"/>
      <c r="L479" s="9"/>
      <c r="M479" s="9">
        <f>I479*O479</f>
        <v>16.5</v>
      </c>
      <c r="N479" s="9">
        <f>I479*P479</f>
        <v>6</v>
      </c>
      <c r="O479" s="24">
        <f>ROUND(SUM(M477:M478)/I479,2)</f>
        <v>5.5</v>
      </c>
      <c r="P479" s="24">
        <f>ROUND(SUM(N477:N478)/I479,2)</f>
        <v>2</v>
      </c>
      <c r="Q479" s="9"/>
      <c r="S479" s="25"/>
    </row>
    <row r="480" spans="1:19" ht="20.25" customHeight="1" x14ac:dyDescent="0.25">
      <c r="A480" s="27" t="s">
        <v>70</v>
      </c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</row>
    <row r="481" spans="1:19" ht="16.5" customHeight="1" x14ac:dyDescent="0.25">
      <c r="A481" s="9"/>
      <c r="B481" s="51" t="s">
        <v>71</v>
      </c>
      <c r="C481" s="52"/>
      <c r="D481" s="52"/>
      <c r="E481" s="52"/>
      <c r="F481" s="52"/>
      <c r="G481" s="53"/>
      <c r="H481" s="20"/>
      <c r="I481" s="9">
        <v>4</v>
      </c>
      <c r="J481" s="9"/>
      <c r="K481" s="9"/>
      <c r="L481" s="9"/>
      <c r="M481" s="9">
        <f t="shared" ref="M481:M489" si="60">I481*O481</f>
        <v>4</v>
      </c>
      <c r="N481" s="9">
        <f t="shared" ref="N481:N489" si="61">I481*P481</f>
        <v>0</v>
      </c>
      <c r="O481" s="9">
        <v>1</v>
      </c>
      <c r="P481" s="9">
        <v>0</v>
      </c>
      <c r="Q481" s="9" t="s">
        <v>7</v>
      </c>
      <c r="R481" s="1">
        <v>0</v>
      </c>
      <c r="S481" s="26"/>
    </row>
    <row r="482" spans="1:19" ht="16.5" customHeight="1" x14ac:dyDescent="0.25">
      <c r="A482" s="9"/>
      <c r="B482" s="51" t="s">
        <v>74</v>
      </c>
      <c r="C482" s="52"/>
      <c r="D482" s="52"/>
      <c r="E482" s="52"/>
      <c r="F482" s="52"/>
      <c r="G482" s="53"/>
      <c r="H482" s="20"/>
      <c r="I482" s="9">
        <v>2</v>
      </c>
      <c r="J482" s="9"/>
      <c r="K482" s="9"/>
      <c r="L482" s="9"/>
      <c r="M482" s="9">
        <f t="shared" si="60"/>
        <v>14.2</v>
      </c>
      <c r="N482" s="9">
        <f t="shared" si="61"/>
        <v>6</v>
      </c>
      <c r="O482" s="9">
        <v>7.1</v>
      </c>
      <c r="P482" s="9">
        <v>3</v>
      </c>
      <c r="Q482" s="9" t="s">
        <v>6</v>
      </c>
      <c r="R482" s="1">
        <v>0</v>
      </c>
      <c r="S482" s="26"/>
    </row>
    <row r="483" spans="1:19" ht="16.5" customHeight="1" x14ac:dyDescent="0.25">
      <c r="A483" s="9"/>
      <c r="B483" s="51" t="s">
        <v>73</v>
      </c>
      <c r="C483" s="52"/>
      <c r="D483" s="52"/>
      <c r="E483" s="52"/>
      <c r="F483" s="52"/>
      <c r="G483" s="53"/>
      <c r="H483" s="20"/>
      <c r="I483" s="9">
        <v>2</v>
      </c>
      <c r="J483" s="9"/>
      <c r="K483" s="9"/>
      <c r="L483" s="9"/>
      <c r="M483" s="9">
        <f t="shared" si="60"/>
        <v>14.2</v>
      </c>
      <c r="N483" s="9">
        <f t="shared" si="61"/>
        <v>6</v>
      </c>
      <c r="O483" s="9">
        <v>7.1</v>
      </c>
      <c r="P483" s="9">
        <v>3</v>
      </c>
      <c r="Q483" s="9" t="s">
        <v>6</v>
      </c>
      <c r="R483" s="1">
        <v>0</v>
      </c>
      <c r="S483" s="26"/>
    </row>
    <row r="484" spans="1:19" ht="16.5" customHeight="1" x14ac:dyDescent="0.25">
      <c r="A484" s="9"/>
      <c r="B484" s="51" t="s">
        <v>72</v>
      </c>
      <c r="C484" s="52"/>
      <c r="D484" s="52"/>
      <c r="E484" s="52"/>
      <c r="F484" s="52"/>
      <c r="G484" s="53"/>
      <c r="H484" s="20"/>
      <c r="I484" s="9">
        <v>4</v>
      </c>
      <c r="J484" s="9"/>
      <c r="K484" s="9"/>
      <c r="L484" s="9"/>
      <c r="M484" s="9">
        <f t="shared" si="60"/>
        <v>23.2</v>
      </c>
      <c r="N484" s="9">
        <f t="shared" si="61"/>
        <v>8</v>
      </c>
      <c r="O484" s="9">
        <v>5.8</v>
      </c>
      <c r="P484" s="9">
        <v>2</v>
      </c>
      <c r="Q484" s="9" t="s">
        <v>3</v>
      </c>
      <c r="R484" s="1">
        <v>0</v>
      </c>
      <c r="S484" s="26"/>
    </row>
    <row r="485" spans="1:19" ht="16.5" customHeight="1" x14ac:dyDescent="0.25">
      <c r="A485" s="9"/>
      <c r="B485" s="51" t="s">
        <v>75</v>
      </c>
      <c r="C485" s="52"/>
      <c r="D485" s="52"/>
      <c r="E485" s="52"/>
      <c r="F485" s="52"/>
      <c r="G485" s="53"/>
      <c r="H485" s="20"/>
      <c r="I485" s="9">
        <v>1</v>
      </c>
      <c r="J485" s="9"/>
      <c r="K485" s="9"/>
      <c r="L485" s="9"/>
      <c r="M485" s="9">
        <f t="shared" si="60"/>
        <v>6.7</v>
      </c>
      <c r="N485" s="9">
        <f t="shared" si="61"/>
        <v>2.5</v>
      </c>
      <c r="O485" s="9">
        <v>6.7</v>
      </c>
      <c r="P485" s="9">
        <v>2.5</v>
      </c>
      <c r="Q485" s="9" t="s">
        <v>5</v>
      </c>
      <c r="R485" s="1">
        <v>0</v>
      </c>
      <c r="S485" s="26"/>
    </row>
    <row r="486" spans="1:19" ht="16.5" customHeight="1" x14ac:dyDescent="0.25">
      <c r="A486" s="9"/>
      <c r="B486" s="51" t="s">
        <v>78</v>
      </c>
      <c r="C486" s="52"/>
      <c r="D486" s="52"/>
      <c r="E486" s="52"/>
      <c r="F486" s="52"/>
      <c r="G486" s="53"/>
      <c r="H486" s="20"/>
      <c r="I486" s="9">
        <v>3</v>
      </c>
      <c r="J486" s="9"/>
      <c r="K486" s="9"/>
      <c r="L486" s="9"/>
      <c r="M486" s="9">
        <f t="shared" si="60"/>
        <v>14.700000000000001</v>
      </c>
      <c r="N486" s="9">
        <f t="shared" si="61"/>
        <v>3</v>
      </c>
      <c r="O486" s="9">
        <v>4.9000000000000004</v>
      </c>
      <c r="P486" s="9">
        <v>1</v>
      </c>
      <c r="Q486" s="9" t="s">
        <v>8</v>
      </c>
      <c r="R486" s="1">
        <v>0</v>
      </c>
      <c r="S486" s="26"/>
    </row>
    <row r="487" spans="1:19" ht="16.5" customHeight="1" x14ac:dyDescent="0.25">
      <c r="A487" s="9"/>
      <c r="B487" s="51" t="s">
        <v>77</v>
      </c>
      <c r="C487" s="52"/>
      <c r="D487" s="52"/>
      <c r="E487" s="52"/>
      <c r="F487" s="52"/>
      <c r="G487" s="53"/>
      <c r="H487" s="20"/>
      <c r="I487" s="9">
        <v>1</v>
      </c>
      <c r="J487" s="9"/>
      <c r="K487" s="9"/>
      <c r="L487" s="9"/>
      <c r="M487" s="9">
        <f t="shared" si="60"/>
        <v>5.4</v>
      </c>
      <c r="N487" s="9">
        <f t="shared" si="61"/>
        <v>1.5</v>
      </c>
      <c r="O487" s="9">
        <v>5.4</v>
      </c>
      <c r="P487" s="9">
        <v>1.5</v>
      </c>
      <c r="Q487" s="9" t="s">
        <v>4</v>
      </c>
      <c r="R487" s="1">
        <v>0</v>
      </c>
      <c r="S487" s="26"/>
    </row>
    <row r="488" spans="1:19" ht="16.5" customHeight="1" x14ac:dyDescent="0.25">
      <c r="A488" s="9"/>
      <c r="B488" s="51" t="s">
        <v>76</v>
      </c>
      <c r="C488" s="52"/>
      <c r="D488" s="52"/>
      <c r="E488" s="52"/>
      <c r="F488" s="52"/>
      <c r="G488" s="53"/>
      <c r="H488" s="20"/>
      <c r="I488" s="9">
        <v>4</v>
      </c>
      <c r="J488" s="9"/>
      <c r="K488" s="9"/>
      <c r="L488" s="9"/>
      <c r="M488" s="9">
        <f t="shared" si="60"/>
        <v>24.8</v>
      </c>
      <c r="N488" s="9">
        <f t="shared" si="61"/>
        <v>8</v>
      </c>
      <c r="O488" s="9">
        <v>6.2</v>
      </c>
      <c r="P488" s="9">
        <v>2</v>
      </c>
      <c r="Q488" s="9" t="s">
        <v>3</v>
      </c>
      <c r="R488" s="1">
        <v>0</v>
      </c>
      <c r="S488" s="26"/>
    </row>
    <row r="489" spans="1:19" ht="16.5" hidden="1" customHeight="1" x14ac:dyDescent="0.25">
      <c r="A489" s="21"/>
      <c r="H489" s="21"/>
      <c r="I489" s="21"/>
      <c r="J489" s="21"/>
      <c r="K489" s="21"/>
      <c r="L489" s="21"/>
      <c r="M489" s="9">
        <f t="shared" si="60"/>
        <v>0</v>
      </c>
      <c r="N489" s="9">
        <f t="shared" si="61"/>
        <v>0</v>
      </c>
      <c r="O489" s="21"/>
      <c r="P489" s="21"/>
      <c r="Q489" s="21"/>
      <c r="S489" s="25"/>
    </row>
    <row r="490" spans="1:19" ht="15" customHeight="1" x14ac:dyDescent="0.25">
      <c r="A490" s="36" t="s">
        <v>0</v>
      </c>
      <c r="B490" s="29" t="s">
        <v>1</v>
      </c>
      <c r="C490" s="30"/>
      <c r="D490" s="30"/>
      <c r="E490" s="30"/>
      <c r="F490" s="30"/>
      <c r="G490" s="31"/>
      <c r="H490" s="36" t="s">
        <v>32</v>
      </c>
      <c r="I490" s="36" t="s">
        <v>39</v>
      </c>
      <c r="J490" s="55" t="s">
        <v>2</v>
      </c>
      <c r="K490" s="56"/>
      <c r="L490" s="56"/>
      <c r="M490" s="56"/>
      <c r="N490" s="56"/>
      <c r="O490" s="56"/>
      <c r="P490" s="56"/>
      <c r="Q490" s="57"/>
      <c r="S490" s="36" t="s">
        <v>38</v>
      </c>
    </row>
    <row r="491" spans="1:19" ht="24" customHeight="1" x14ac:dyDescent="0.25">
      <c r="A491" s="37"/>
      <c r="B491" s="32"/>
      <c r="C491" s="33"/>
      <c r="D491" s="33"/>
      <c r="E491" s="33"/>
      <c r="F491" s="33"/>
      <c r="G491" s="34"/>
      <c r="H491" s="37"/>
      <c r="I491" s="37"/>
      <c r="J491" s="7" t="s">
        <v>28</v>
      </c>
      <c r="K491" s="7" t="s">
        <v>29</v>
      </c>
      <c r="L491" s="7" t="s">
        <v>30</v>
      </c>
      <c r="M491" s="7"/>
      <c r="N491" s="7"/>
      <c r="O491" s="6" t="s">
        <v>35</v>
      </c>
      <c r="P491" s="6" t="s">
        <v>36</v>
      </c>
      <c r="Q491" s="6" t="s">
        <v>37</v>
      </c>
      <c r="S491" s="37"/>
    </row>
    <row r="492" spans="1:19" ht="16.5" customHeight="1" x14ac:dyDescent="0.25">
      <c r="A492" s="9"/>
      <c r="B492" s="39" t="s">
        <v>42</v>
      </c>
      <c r="C492" s="40"/>
      <c r="D492" s="40"/>
      <c r="E492" s="40"/>
      <c r="F492" s="40"/>
      <c r="G492" s="41"/>
      <c r="H492" s="23"/>
      <c r="I492" s="24">
        <f>SUM(I481:I489)</f>
        <v>21</v>
      </c>
      <c r="J492" s="9"/>
      <c r="K492" s="9"/>
      <c r="L492" s="9"/>
      <c r="M492" s="9">
        <f>I492*O492</f>
        <v>107.1</v>
      </c>
      <c r="N492" s="9">
        <f>I492*P492</f>
        <v>35.07</v>
      </c>
      <c r="O492" s="24">
        <f>ROUND(SUM(M481:M489)/I492,2)</f>
        <v>5.0999999999999996</v>
      </c>
      <c r="P492" s="24">
        <f>ROUND(SUM(N481:N489)/I492,2)</f>
        <v>1.67</v>
      </c>
      <c r="Q492" s="9"/>
      <c r="S492" s="25"/>
    </row>
    <row r="493" spans="1:19" ht="20.25" customHeight="1" x14ac:dyDescent="0.25">
      <c r="A493" s="27" t="s">
        <v>133</v>
      </c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</row>
    <row r="494" spans="1:19" ht="16.5" customHeight="1" x14ac:dyDescent="0.25">
      <c r="A494" s="9"/>
      <c r="B494" s="51" t="s">
        <v>71</v>
      </c>
      <c r="C494" s="52"/>
      <c r="D494" s="52"/>
      <c r="E494" s="52"/>
      <c r="F494" s="52"/>
      <c r="G494" s="53"/>
      <c r="H494" s="20"/>
      <c r="I494" s="9">
        <v>4</v>
      </c>
      <c r="J494" s="9"/>
      <c r="K494" s="9"/>
      <c r="L494" s="9"/>
      <c r="M494" s="9">
        <f>I494*O494</f>
        <v>20.399999999999999</v>
      </c>
      <c r="N494" s="9">
        <f>I494*P494</f>
        <v>6</v>
      </c>
      <c r="O494" s="9">
        <v>5.0999999999999996</v>
      </c>
      <c r="P494" s="9">
        <v>1.5</v>
      </c>
      <c r="Q494" s="9" t="s">
        <v>4</v>
      </c>
      <c r="R494" s="1">
        <v>6</v>
      </c>
      <c r="S494" s="26" t="s">
        <v>132</v>
      </c>
    </row>
    <row r="495" spans="1:19" ht="16.5" hidden="1" customHeight="1" x14ac:dyDescent="0.25">
      <c r="A495" s="21"/>
      <c r="H495" s="21"/>
      <c r="I495" s="21"/>
      <c r="J495" s="21"/>
      <c r="K495" s="21"/>
      <c r="L495" s="21"/>
      <c r="M495" s="9">
        <f>I495*O495</f>
        <v>0</v>
      </c>
      <c r="N495" s="9">
        <f>I495*P495</f>
        <v>0</v>
      </c>
      <c r="O495" s="21"/>
      <c r="P495" s="21"/>
      <c r="Q495" s="21"/>
      <c r="S495" s="25"/>
    </row>
    <row r="496" spans="1:19" ht="16.5" customHeight="1" x14ac:dyDescent="0.25">
      <c r="A496" s="9"/>
      <c r="B496" s="39" t="s">
        <v>42</v>
      </c>
      <c r="C496" s="40"/>
      <c r="D496" s="40"/>
      <c r="E496" s="40"/>
      <c r="F496" s="40"/>
      <c r="G496" s="41"/>
      <c r="H496" s="23"/>
      <c r="I496" s="24">
        <f>SUM(I494:I495)</f>
        <v>4</v>
      </c>
      <c r="J496" s="9"/>
      <c r="K496" s="9"/>
      <c r="L496" s="9"/>
      <c r="M496" s="9">
        <f>I496*O496</f>
        <v>20.399999999999999</v>
      </c>
      <c r="N496" s="9">
        <f>I496*P496</f>
        <v>6</v>
      </c>
      <c r="O496" s="24">
        <f>ROUND(SUM(M494:M495)/I496,2)</f>
        <v>5.0999999999999996</v>
      </c>
      <c r="P496" s="24">
        <f>ROUND(SUM(N494:N495)/I496,2)</f>
        <v>1.5</v>
      </c>
      <c r="Q496" s="9"/>
      <c r="S496" s="25"/>
    </row>
    <row r="497" spans="1:19" ht="20.25" customHeight="1" x14ac:dyDescent="0.25">
      <c r="A497" s="27" t="s">
        <v>79</v>
      </c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</row>
    <row r="498" spans="1:19" ht="16.5" customHeight="1" x14ac:dyDescent="0.25">
      <c r="A498" s="9"/>
      <c r="B498" s="51" t="s">
        <v>83</v>
      </c>
      <c r="C498" s="52"/>
      <c r="D498" s="52"/>
      <c r="E498" s="52"/>
      <c r="F498" s="52"/>
      <c r="G498" s="53"/>
      <c r="H498" s="20"/>
      <c r="I498" s="9">
        <v>1</v>
      </c>
      <c r="J498" s="9"/>
      <c r="K498" s="9"/>
      <c r="L498" s="9"/>
      <c r="M498" s="9">
        <f t="shared" ref="M498:M508" si="62">I498*O498</f>
        <v>8</v>
      </c>
      <c r="N498" s="9">
        <f t="shared" ref="N498:N508" si="63">I498*P498</f>
        <v>3.5</v>
      </c>
      <c r="O498" s="9">
        <v>8</v>
      </c>
      <c r="P498" s="9">
        <v>3.5</v>
      </c>
      <c r="Q498" s="9" t="s">
        <v>9</v>
      </c>
      <c r="R498" s="1">
        <v>0</v>
      </c>
      <c r="S498" s="26"/>
    </row>
    <row r="499" spans="1:19" ht="16.5" customHeight="1" x14ac:dyDescent="0.25">
      <c r="A499" s="9"/>
      <c r="B499" s="51" t="s">
        <v>82</v>
      </c>
      <c r="C499" s="52"/>
      <c r="D499" s="52"/>
      <c r="E499" s="52"/>
      <c r="F499" s="52"/>
      <c r="G499" s="53"/>
      <c r="H499" s="20"/>
      <c r="I499" s="9">
        <v>3</v>
      </c>
      <c r="J499" s="9"/>
      <c r="K499" s="9"/>
      <c r="L499" s="9"/>
      <c r="M499" s="9">
        <f t="shared" si="62"/>
        <v>21.9</v>
      </c>
      <c r="N499" s="9">
        <f t="shared" si="63"/>
        <v>9</v>
      </c>
      <c r="O499" s="9">
        <v>7.3</v>
      </c>
      <c r="P499" s="9">
        <v>3</v>
      </c>
      <c r="Q499" s="9" t="s">
        <v>6</v>
      </c>
      <c r="R499" s="1">
        <v>0</v>
      </c>
      <c r="S499" s="26"/>
    </row>
    <row r="500" spans="1:19" ht="16.5" customHeight="1" x14ac:dyDescent="0.25">
      <c r="A500" s="9"/>
      <c r="B500" s="51" t="s">
        <v>87</v>
      </c>
      <c r="C500" s="52"/>
      <c r="D500" s="52"/>
      <c r="E500" s="52"/>
      <c r="F500" s="52"/>
      <c r="G500" s="53"/>
      <c r="H500" s="20"/>
      <c r="I500" s="9">
        <v>3</v>
      </c>
      <c r="J500" s="9"/>
      <c r="K500" s="9"/>
      <c r="L500" s="9"/>
      <c r="M500" s="9">
        <f t="shared" si="62"/>
        <v>19.799999999999997</v>
      </c>
      <c r="N500" s="9">
        <f t="shared" si="63"/>
        <v>7.5</v>
      </c>
      <c r="O500" s="9">
        <v>6.6</v>
      </c>
      <c r="P500" s="9">
        <v>2.5</v>
      </c>
      <c r="Q500" s="9" t="s">
        <v>5</v>
      </c>
      <c r="R500" s="1">
        <v>0</v>
      </c>
      <c r="S500" s="26"/>
    </row>
    <row r="501" spans="1:19" ht="16.5" customHeight="1" x14ac:dyDescent="0.25">
      <c r="A501" s="9"/>
      <c r="B501" s="51" t="s">
        <v>80</v>
      </c>
      <c r="C501" s="52"/>
      <c r="D501" s="52"/>
      <c r="E501" s="52"/>
      <c r="F501" s="52"/>
      <c r="G501" s="53"/>
      <c r="H501" s="20"/>
      <c r="I501" s="9">
        <v>3</v>
      </c>
      <c r="J501" s="9"/>
      <c r="K501" s="9"/>
      <c r="L501" s="9"/>
      <c r="M501" s="9">
        <f t="shared" si="62"/>
        <v>18.299999999999997</v>
      </c>
      <c r="N501" s="9">
        <f t="shared" si="63"/>
        <v>6</v>
      </c>
      <c r="O501" s="9">
        <v>6.1</v>
      </c>
      <c r="P501" s="9">
        <v>2</v>
      </c>
      <c r="Q501" s="9" t="s">
        <v>3</v>
      </c>
      <c r="R501" s="1">
        <v>0</v>
      </c>
      <c r="S501" s="26"/>
    </row>
    <row r="502" spans="1:19" ht="16.5" customHeight="1" x14ac:dyDescent="0.25">
      <c r="A502" s="9"/>
      <c r="B502" s="51" t="s">
        <v>85</v>
      </c>
      <c r="C502" s="52"/>
      <c r="D502" s="52"/>
      <c r="E502" s="52"/>
      <c r="F502" s="52"/>
      <c r="G502" s="53"/>
      <c r="H502" s="20"/>
      <c r="I502" s="9">
        <v>2</v>
      </c>
      <c r="J502" s="9"/>
      <c r="K502" s="9"/>
      <c r="L502" s="9"/>
      <c r="M502" s="9">
        <f t="shared" si="62"/>
        <v>13</v>
      </c>
      <c r="N502" s="9">
        <f t="shared" si="63"/>
        <v>5</v>
      </c>
      <c r="O502" s="9">
        <v>6.5</v>
      </c>
      <c r="P502" s="9">
        <v>2.5</v>
      </c>
      <c r="Q502" s="9" t="s">
        <v>5</v>
      </c>
      <c r="R502" s="1">
        <v>0</v>
      </c>
      <c r="S502" s="26"/>
    </row>
    <row r="503" spans="1:19" ht="16.5" customHeight="1" x14ac:dyDescent="0.25">
      <c r="A503" s="9"/>
      <c r="B503" s="51" t="s">
        <v>86</v>
      </c>
      <c r="C503" s="52"/>
      <c r="D503" s="52"/>
      <c r="E503" s="52"/>
      <c r="F503" s="52"/>
      <c r="G503" s="53"/>
      <c r="H503" s="20"/>
      <c r="I503" s="9">
        <v>2</v>
      </c>
      <c r="J503" s="9"/>
      <c r="K503" s="9"/>
      <c r="L503" s="9"/>
      <c r="M503" s="9">
        <f t="shared" si="62"/>
        <v>13.2</v>
      </c>
      <c r="N503" s="9">
        <f t="shared" si="63"/>
        <v>5</v>
      </c>
      <c r="O503" s="9">
        <v>6.6</v>
      </c>
      <c r="P503" s="9">
        <v>2.5</v>
      </c>
      <c r="Q503" s="9" t="s">
        <v>5</v>
      </c>
      <c r="R503" s="1">
        <v>0</v>
      </c>
      <c r="S503" s="26"/>
    </row>
    <row r="504" spans="1:19" ht="16.5" customHeight="1" x14ac:dyDescent="0.25">
      <c r="A504" s="9"/>
      <c r="B504" s="51" t="s">
        <v>81</v>
      </c>
      <c r="C504" s="52"/>
      <c r="D504" s="52"/>
      <c r="E504" s="52"/>
      <c r="F504" s="52"/>
      <c r="G504" s="53"/>
      <c r="H504" s="20"/>
      <c r="I504" s="9">
        <v>4</v>
      </c>
      <c r="J504" s="9"/>
      <c r="K504" s="9"/>
      <c r="L504" s="9"/>
      <c r="M504" s="9">
        <f t="shared" si="62"/>
        <v>27.2</v>
      </c>
      <c r="N504" s="9">
        <f t="shared" si="63"/>
        <v>10</v>
      </c>
      <c r="O504" s="9">
        <v>6.8</v>
      </c>
      <c r="P504" s="9">
        <v>2.5</v>
      </c>
      <c r="Q504" s="9" t="s">
        <v>5</v>
      </c>
      <c r="R504" s="1">
        <v>0</v>
      </c>
      <c r="S504" s="26"/>
    </row>
    <row r="505" spans="1:19" ht="16.5" customHeight="1" x14ac:dyDescent="0.25">
      <c r="A505" s="9"/>
      <c r="B505" s="51" t="s">
        <v>84</v>
      </c>
      <c r="C505" s="52"/>
      <c r="D505" s="52"/>
      <c r="E505" s="52"/>
      <c r="F505" s="52"/>
      <c r="G505" s="53"/>
      <c r="H505" s="20"/>
      <c r="I505" s="9">
        <v>2</v>
      </c>
      <c r="J505" s="9"/>
      <c r="K505" s="9"/>
      <c r="L505" s="9"/>
      <c r="M505" s="9">
        <f t="shared" si="62"/>
        <v>12.6</v>
      </c>
      <c r="N505" s="9">
        <f t="shared" si="63"/>
        <v>4</v>
      </c>
      <c r="O505" s="9">
        <v>6.3</v>
      </c>
      <c r="P505" s="9">
        <v>2</v>
      </c>
      <c r="Q505" s="9" t="s">
        <v>3</v>
      </c>
      <c r="R505" s="1">
        <v>0</v>
      </c>
      <c r="S505" s="26"/>
    </row>
    <row r="506" spans="1:19" ht="16.5" customHeight="1" x14ac:dyDescent="0.25">
      <c r="A506" s="9"/>
      <c r="B506" s="51" t="s">
        <v>88</v>
      </c>
      <c r="C506" s="52"/>
      <c r="D506" s="52"/>
      <c r="E506" s="52"/>
      <c r="F506" s="52"/>
      <c r="G506" s="53"/>
      <c r="H506" s="20"/>
      <c r="I506" s="9">
        <v>3</v>
      </c>
      <c r="J506" s="9"/>
      <c r="K506" s="9"/>
      <c r="L506" s="9"/>
      <c r="M506" s="9">
        <f t="shared" si="62"/>
        <v>20.399999999999999</v>
      </c>
      <c r="N506" s="9">
        <f t="shared" si="63"/>
        <v>7.5</v>
      </c>
      <c r="O506" s="9">
        <v>6.8</v>
      </c>
      <c r="P506" s="9">
        <v>2.5</v>
      </c>
      <c r="Q506" s="9" t="s">
        <v>5</v>
      </c>
      <c r="R506" s="1">
        <v>0</v>
      </c>
      <c r="S506" s="26"/>
    </row>
    <row r="507" spans="1:19" ht="16.5" hidden="1" customHeight="1" x14ac:dyDescent="0.25">
      <c r="A507" s="21"/>
      <c r="H507" s="21"/>
      <c r="I507" s="21"/>
      <c r="J507" s="21"/>
      <c r="K507" s="21"/>
      <c r="L507" s="21"/>
      <c r="M507" s="9">
        <f t="shared" si="62"/>
        <v>0</v>
      </c>
      <c r="N507" s="9">
        <f t="shared" si="63"/>
        <v>0</v>
      </c>
      <c r="O507" s="21"/>
      <c r="P507" s="21"/>
      <c r="Q507" s="21"/>
      <c r="S507" s="25"/>
    </row>
    <row r="508" spans="1:19" ht="16.5" customHeight="1" x14ac:dyDescent="0.25">
      <c r="A508" s="9"/>
      <c r="B508" s="39" t="s">
        <v>42</v>
      </c>
      <c r="C508" s="40"/>
      <c r="D508" s="40"/>
      <c r="E508" s="40"/>
      <c r="F508" s="40"/>
      <c r="G508" s="41"/>
      <c r="H508" s="23"/>
      <c r="I508" s="24">
        <f>SUM(I498:I507)</f>
        <v>23</v>
      </c>
      <c r="J508" s="9"/>
      <c r="K508" s="9"/>
      <c r="L508" s="9"/>
      <c r="M508" s="9">
        <f t="shared" si="62"/>
        <v>154.33000000000001</v>
      </c>
      <c r="N508" s="9">
        <f t="shared" si="63"/>
        <v>57.5</v>
      </c>
      <c r="O508" s="24">
        <f>ROUND(SUM(M498:M507)/I508,2)</f>
        <v>6.71</v>
      </c>
      <c r="P508" s="24">
        <f>ROUND(SUM(N498:N507)/I508,2)</f>
        <v>2.5</v>
      </c>
      <c r="Q508" s="9"/>
      <c r="S508" s="25"/>
    </row>
    <row r="509" spans="1:19" ht="20.25" customHeight="1" x14ac:dyDescent="0.25">
      <c r="A509" s="27" t="s">
        <v>89</v>
      </c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</row>
    <row r="510" spans="1:19" ht="16.5" customHeight="1" x14ac:dyDescent="0.25">
      <c r="A510" s="9"/>
      <c r="B510" s="51" t="s">
        <v>92</v>
      </c>
      <c r="C510" s="52"/>
      <c r="D510" s="52"/>
      <c r="E510" s="52"/>
      <c r="F510" s="52"/>
      <c r="G510" s="53"/>
      <c r="H510" s="20"/>
      <c r="I510" s="9">
        <v>1</v>
      </c>
      <c r="J510" s="9"/>
      <c r="K510" s="9"/>
      <c r="L510" s="9"/>
      <c r="M510" s="9">
        <f t="shared" ref="M510:M522" si="64">I510*O510</f>
        <v>7.5</v>
      </c>
      <c r="N510" s="9">
        <f t="shared" ref="N510:N522" si="65">I510*P510</f>
        <v>3</v>
      </c>
      <c r="O510" s="9">
        <v>7.5</v>
      </c>
      <c r="P510" s="9">
        <v>3</v>
      </c>
      <c r="Q510" s="9" t="s">
        <v>6</v>
      </c>
      <c r="R510" s="1">
        <v>0</v>
      </c>
      <c r="S510" s="26"/>
    </row>
    <row r="511" spans="1:19" ht="16.5" customHeight="1" x14ac:dyDescent="0.25">
      <c r="A511" s="9"/>
      <c r="B511" s="51" t="s">
        <v>91</v>
      </c>
      <c r="C511" s="52"/>
      <c r="D511" s="52"/>
      <c r="E511" s="52"/>
      <c r="F511" s="52"/>
      <c r="G511" s="53"/>
      <c r="H511" s="20"/>
      <c r="I511" s="9">
        <v>3</v>
      </c>
      <c r="J511" s="9"/>
      <c r="K511" s="9"/>
      <c r="L511" s="9"/>
      <c r="M511" s="9">
        <f t="shared" si="64"/>
        <v>18.600000000000001</v>
      </c>
      <c r="N511" s="9">
        <f t="shared" si="65"/>
        <v>6</v>
      </c>
      <c r="O511" s="9">
        <v>6.2</v>
      </c>
      <c r="P511" s="9">
        <v>2</v>
      </c>
      <c r="Q511" s="9" t="s">
        <v>3</v>
      </c>
      <c r="R511" s="1">
        <v>0</v>
      </c>
      <c r="S511" s="26"/>
    </row>
    <row r="512" spans="1:19" ht="16.5" customHeight="1" x14ac:dyDescent="0.25">
      <c r="A512" s="9"/>
      <c r="B512" s="51" t="s">
        <v>90</v>
      </c>
      <c r="C512" s="52"/>
      <c r="D512" s="52"/>
      <c r="E512" s="52"/>
      <c r="F512" s="52"/>
      <c r="G512" s="53"/>
      <c r="H512" s="20"/>
      <c r="I512" s="9">
        <v>1</v>
      </c>
      <c r="J512" s="9"/>
      <c r="K512" s="9"/>
      <c r="L512" s="9"/>
      <c r="M512" s="9">
        <f t="shared" si="64"/>
        <v>7.1</v>
      </c>
      <c r="N512" s="9">
        <f t="shared" si="65"/>
        <v>3</v>
      </c>
      <c r="O512" s="9">
        <v>7.1</v>
      </c>
      <c r="P512" s="9">
        <v>3</v>
      </c>
      <c r="Q512" s="9" t="s">
        <v>6</v>
      </c>
      <c r="R512" s="1">
        <v>0</v>
      </c>
      <c r="S512" s="26"/>
    </row>
    <row r="513" spans="1:19" ht="16.5" customHeight="1" x14ac:dyDescent="0.25">
      <c r="A513" s="9"/>
      <c r="B513" s="51" t="s">
        <v>93</v>
      </c>
      <c r="C513" s="52"/>
      <c r="D513" s="52"/>
      <c r="E513" s="52"/>
      <c r="F513" s="52"/>
      <c r="G513" s="53"/>
      <c r="H513" s="20"/>
      <c r="I513" s="9">
        <v>2</v>
      </c>
      <c r="J513" s="9"/>
      <c r="K513" s="9"/>
      <c r="L513" s="9"/>
      <c r="M513" s="9">
        <f t="shared" si="64"/>
        <v>10.8</v>
      </c>
      <c r="N513" s="9">
        <f t="shared" si="65"/>
        <v>3</v>
      </c>
      <c r="O513" s="9">
        <v>5.4</v>
      </c>
      <c r="P513" s="9">
        <v>1.5</v>
      </c>
      <c r="Q513" s="9" t="s">
        <v>4</v>
      </c>
      <c r="R513" s="1">
        <v>0</v>
      </c>
      <c r="S513" s="26"/>
    </row>
    <row r="514" spans="1:19" ht="16.5" customHeight="1" x14ac:dyDescent="0.25">
      <c r="A514" s="9"/>
      <c r="B514" s="51" t="s">
        <v>94</v>
      </c>
      <c r="C514" s="52"/>
      <c r="D514" s="52"/>
      <c r="E514" s="52"/>
      <c r="F514" s="52"/>
      <c r="G514" s="53"/>
      <c r="H514" s="20"/>
      <c r="I514" s="9">
        <v>1</v>
      </c>
      <c r="J514" s="9"/>
      <c r="K514" s="9"/>
      <c r="L514" s="9"/>
      <c r="M514" s="9">
        <f t="shared" si="64"/>
        <v>6.1</v>
      </c>
      <c r="N514" s="9">
        <f t="shared" si="65"/>
        <v>2</v>
      </c>
      <c r="O514" s="9">
        <v>6.1</v>
      </c>
      <c r="P514" s="9">
        <v>2</v>
      </c>
      <c r="Q514" s="9" t="s">
        <v>3</v>
      </c>
      <c r="R514" s="1">
        <v>0</v>
      </c>
      <c r="S514" s="26"/>
    </row>
    <row r="515" spans="1:19" ht="16.5" customHeight="1" x14ac:dyDescent="0.25">
      <c r="A515" s="9"/>
      <c r="B515" s="51" t="s">
        <v>97</v>
      </c>
      <c r="C515" s="52"/>
      <c r="D515" s="52"/>
      <c r="E515" s="52"/>
      <c r="F515" s="52"/>
      <c r="G515" s="53"/>
      <c r="H515" s="20"/>
      <c r="I515" s="9">
        <v>3</v>
      </c>
      <c r="J515" s="9"/>
      <c r="K515" s="9"/>
      <c r="L515" s="9"/>
      <c r="M515" s="9">
        <f t="shared" si="64"/>
        <v>14.700000000000001</v>
      </c>
      <c r="N515" s="9">
        <f t="shared" si="65"/>
        <v>3</v>
      </c>
      <c r="O515" s="9">
        <v>4.9000000000000004</v>
      </c>
      <c r="P515" s="9">
        <v>1</v>
      </c>
      <c r="Q515" s="9" t="s">
        <v>8</v>
      </c>
      <c r="R515" s="1">
        <v>0</v>
      </c>
      <c r="S515" s="26"/>
    </row>
    <row r="516" spans="1:19" ht="16.5" customHeight="1" x14ac:dyDescent="0.25">
      <c r="A516" s="9"/>
      <c r="B516" s="51" t="s">
        <v>100</v>
      </c>
      <c r="C516" s="52"/>
      <c r="D516" s="52"/>
      <c r="E516" s="52"/>
      <c r="F516" s="52"/>
      <c r="G516" s="53"/>
      <c r="H516" s="20"/>
      <c r="I516" s="9">
        <v>2</v>
      </c>
      <c r="J516" s="9"/>
      <c r="K516" s="9"/>
      <c r="L516" s="9"/>
      <c r="M516" s="9">
        <f t="shared" si="64"/>
        <v>13.6</v>
      </c>
      <c r="N516" s="9">
        <f t="shared" si="65"/>
        <v>5</v>
      </c>
      <c r="O516" s="9">
        <v>6.8</v>
      </c>
      <c r="P516" s="9">
        <v>2.5</v>
      </c>
      <c r="Q516" s="9" t="s">
        <v>5</v>
      </c>
      <c r="R516" s="1">
        <v>0</v>
      </c>
      <c r="S516" s="26"/>
    </row>
    <row r="517" spans="1:19" ht="16.5" customHeight="1" x14ac:dyDescent="0.25">
      <c r="A517" s="9"/>
      <c r="B517" s="51" t="s">
        <v>99</v>
      </c>
      <c r="C517" s="52"/>
      <c r="D517" s="52"/>
      <c r="E517" s="52"/>
      <c r="F517" s="52"/>
      <c r="G517" s="53"/>
      <c r="H517" s="20"/>
      <c r="I517" s="9">
        <v>1</v>
      </c>
      <c r="J517" s="9"/>
      <c r="K517" s="9"/>
      <c r="L517" s="9"/>
      <c r="M517" s="9">
        <f t="shared" si="64"/>
        <v>7.1</v>
      </c>
      <c r="N517" s="9">
        <f t="shared" si="65"/>
        <v>3</v>
      </c>
      <c r="O517" s="9">
        <v>7.1</v>
      </c>
      <c r="P517" s="9">
        <v>3</v>
      </c>
      <c r="Q517" s="9" t="s">
        <v>6</v>
      </c>
      <c r="R517" s="1">
        <v>0</v>
      </c>
      <c r="S517" s="26"/>
    </row>
    <row r="518" spans="1:19" ht="16.5" customHeight="1" x14ac:dyDescent="0.25">
      <c r="A518" s="9"/>
      <c r="B518" s="51" t="s">
        <v>98</v>
      </c>
      <c r="C518" s="52"/>
      <c r="D518" s="52"/>
      <c r="E518" s="52"/>
      <c r="F518" s="52"/>
      <c r="G518" s="53"/>
      <c r="H518" s="20"/>
      <c r="I518" s="9">
        <v>4</v>
      </c>
      <c r="J518" s="9"/>
      <c r="K518" s="9"/>
      <c r="L518" s="9"/>
      <c r="M518" s="9">
        <f t="shared" si="64"/>
        <v>22.4</v>
      </c>
      <c r="N518" s="9">
        <f t="shared" si="65"/>
        <v>8</v>
      </c>
      <c r="O518" s="9">
        <v>5.6</v>
      </c>
      <c r="P518" s="9">
        <v>2</v>
      </c>
      <c r="Q518" s="9" t="s">
        <v>3</v>
      </c>
      <c r="R518" s="1">
        <v>0</v>
      </c>
      <c r="S518" s="26"/>
    </row>
    <row r="519" spans="1:19" ht="16.5" customHeight="1" x14ac:dyDescent="0.25">
      <c r="A519" s="9"/>
      <c r="B519" s="51" t="s">
        <v>95</v>
      </c>
      <c r="C519" s="52"/>
      <c r="D519" s="52"/>
      <c r="E519" s="52"/>
      <c r="F519" s="52"/>
      <c r="G519" s="53"/>
      <c r="H519" s="20"/>
      <c r="I519" s="9">
        <v>2</v>
      </c>
      <c r="J519" s="9"/>
      <c r="K519" s="9"/>
      <c r="L519" s="9"/>
      <c r="M519" s="9">
        <f t="shared" si="64"/>
        <v>14.4</v>
      </c>
      <c r="N519" s="9">
        <f t="shared" si="65"/>
        <v>6</v>
      </c>
      <c r="O519" s="9">
        <v>7.2</v>
      </c>
      <c r="P519" s="9">
        <v>3</v>
      </c>
      <c r="Q519" s="9" t="s">
        <v>6</v>
      </c>
      <c r="R519" s="1">
        <v>0</v>
      </c>
      <c r="S519" s="26"/>
    </row>
    <row r="520" spans="1:19" ht="16.5" customHeight="1" x14ac:dyDescent="0.25">
      <c r="A520" s="9"/>
      <c r="B520" s="51" t="s">
        <v>96</v>
      </c>
      <c r="C520" s="52"/>
      <c r="D520" s="52"/>
      <c r="E520" s="52"/>
      <c r="F520" s="52"/>
      <c r="G520" s="53"/>
      <c r="H520" s="20"/>
      <c r="I520" s="9">
        <v>2</v>
      </c>
      <c r="J520" s="9"/>
      <c r="K520" s="9"/>
      <c r="L520" s="9"/>
      <c r="M520" s="9">
        <f t="shared" si="64"/>
        <v>13.6</v>
      </c>
      <c r="N520" s="9">
        <f t="shared" si="65"/>
        <v>5</v>
      </c>
      <c r="O520" s="9">
        <v>6.8</v>
      </c>
      <c r="P520" s="9">
        <v>2.5</v>
      </c>
      <c r="Q520" s="9" t="s">
        <v>5</v>
      </c>
      <c r="R520" s="1">
        <v>0</v>
      </c>
      <c r="S520" s="26"/>
    </row>
    <row r="521" spans="1:19" ht="16.5" hidden="1" customHeight="1" x14ac:dyDescent="0.25">
      <c r="A521" s="21"/>
      <c r="H521" s="21"/>
      <c r="I521" s="21"/>
      <c r="J521" s="21"/>
      <c r="K521" s="21"/>
      <c r="L521" s="21"/>
      <c r="M521" s="9">
        <f t="shared" si="64"/>
        <v>0</v>
      </c>
      <c r="N521" s="9">
        <f t="shared" si="65"/>
        <v>0</v>
      </c>
      <c r="O521" s="21"/>
      <c r="P521" s="21"/>
      <c r="Q521" s="21"/>
      <c r="S521" s="25"/>
    </row>
    <row r="522" spans="1:19" ht="16.5" customHeight="1" x14ac:dyDescent="0.25">
      <c r="A522" s="9"/>
      <c r="B522" s="39" t="s">
        <v>42</v>
      </c>
      <c r="C522" s="40"/>
      <c r="D522" s="40"/>
      <c r="E522" s="40"/>
      <c r="F522" s="40"/>
      <c r="G522" s="41"/>
      <c r="H522" s="23"/>
      <c r="I522" s="24">
        <f>SUM(I510:I521)</f>
        <v>22</v>
      </c>
      <c r="J522" s="9"/>
      <c r="K522" s="9"/>
      <c r="L522" s="9"/>
      <c r="M522" s="9">
        <f t="shared" si="64"/>
        <v>135.95999999999998</v>
      </c>
      <c r="N522" s="9">
        <f t="shared" si="65"/>
        <v>47.080000000000005</v>
      </c>
      <c r="O522" s="24">
        <f>ROUND(SUM(M510:M521)/I522,2)</f>
        <v>6.18</v>
      </c>
      <c r="P522" s="24">
        <f>ROUND(SUM(N510:N521)/I522,2)</f>
        <v>2.14</v>
      </c>
      <c r="Q522" s="9"/>
      <c r="S522" s="25"/>
    </row>
    <row r="523" spans="1:19" ht="20.25" customHeight="1" x14ac:dyDescent="0.25">
      <c r="A523" s="27" t="s">
        <v>101</v>
      </c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</row>
    <row r="524" spans="1:19" ht="16.5" customHeight="1" x14ac:dyDescent="0.25">
      <c r="A524" s="9"/>
      <c r="B524" s="51" t="s">
        <v>104</v>
      </c>
      <c r="C524" s="52"/>
      <c r="D524" s="52"/>
      <c r="E524" s="52"/>
      <c r="F524" s="52"/>
      <c r="G524" s="53"/>
      <c r="H524" s="20"/>
      <c r="I524" s="9">
        <v>4</v>
      </c>
      <c r="J524" s="9"/>
      <c r="K524" s="9"/>
      <c r="L524" s="9"/>
      <c r="M524" s="9">
        <f t="shared" ref="M524:M537" si="66">I524*O524</f>
        <v>27.6</v>
      </c>
      <c r="N524" s="9">
        <f t="shared" ref="N524:N537" si="67">I524*P524</f>
        <v>10</v>
      </c>
      <c r="O524" s="9">
        <v>6.9</v>
      </c>
      <c r="P524" s="9">
        <v>2.5</v>
      </c>
      <c r="Q524" s="9" t="s">
        <v>5</v>
      </c>
      <c r="R524" s="1">
        <v>0</v>
      </c>
      <c r="S524" s="26"/>
    </row>
    <row r="525" spans="1:19" ht="16.5" customHeight="1" x14ac:dyDescent="0.25">
      <c r="A525" s="9"/>
      <c r="B525" s="51" t="s">
        <v>113</v>
      </c>
      <c r="C525" s="52"/>
      <c r="D525" s="52"/>
      <c r="E525" s="52"/>
      <c r="F525" s="52"/>
      <c r="G525" s="53"/>
      <c r="H525" s="20"/>
      <c r="I525" s="9">
        <v>1</v>
      </c>
      <c r="J525" s="9"/>
      <c r="K525" s="9"/>
      <c r="L525" s="9"/>
      <c r="M525" s="9">
        <f t="shared" si="66"/>
        <v>7.7</v>
      </c>
      <c r="N525" s="9">
        <f t="shared" si="67"/>
        <v>3</v>
      </c>
      <c r="O525" s="9">
        <v>7.7</v>
      </c>
      <c r="P525" s="9">
        <v>3</v>
      </c>
      <c r="Q525" s="9" t="s">
        <v>6</v>
      </c>
      <c r="R525" s="1">
        <v>0</v>
      </c>
      <c r="S525" s="26"/>
    </row>
    <row r="526" spans="1:19" ht="16.5" customHeight="1" x14ac:dyDescent="0.25">
      <c r="A526" s="9"/>
      <c r="B526" s="51" t="s">
        <v>102</v>
      </c>
      <c r="C526" s="52"/>
      <c r="D526" s="52"/>
      <c r="E526" s="52"/>
      <c r="F526" s="52"/>
      <c r="G526" s="53"/>
      <c r="H526" s="20"/>
      <c r="I526" s="9">
        <v>1</v>
      </c>
      <c r="J526" s="9"/>
      <c r="K526" s="9"/>
      <c r="L526" s="9"/>
      <c r="M526" s="9">
        <f t="shared" si="66"/>
        <v>6.7</v>
      </c>
      <c r="N526" s="9">
        <f t="shared" si="67"/>
        <v>2.5</v>
      </c>
      <c r="O526" s="9">
        <v>6.7</v>
      </c>
      <c r="P526" s="9">
        <v>2.5</v>
      </c>
      <c r="Q526" s="9" t="s">
        <v>5</v>
      </c>
      <c r="R526" s="1">
        <v>0</v>
      </c>
      <c r="S526" s="26"/>
    </row>
    <row r="527" spans="1:19" ht="16.5" customHeight="1" x14ac:dyDescent="0.25">
      <c r="A527" s="9"/>
      <c r="B527" s="51" t="s">
        <v>105</v>
      </c>
      <c r="C527" s="52"/>
      <c r="D527" s="52"/>
      <c r="E527" s="52"/>
      <c r="F527" s="52"/>
      <c r="G527" s="53"/>
      <c r="H527" s="20"/>
      <c r="I527" s="9">
        <v>3</v>
      </c>
      <c r="J527" s="9"/>
      <c r="K527" s="9"/>
      <c r="L527" s="9"/>
      <c r="M527" s="9">
        <f t="shared" si="66"/>
        <v>21.9</v>
      </c>
      <c r="N527" s="9">
        <f t="shared" si="67"/>
        <v>9</v>
      </c>
      <c r="O527" s="9">
        <v>7.3</v>
      </c>
      <c r="P527" s="9">
        <v>3</v>
      </c>
      <c r="Q527" s="9" t="s">
        <v>6</v>
      </c>
      <c r="R527" s="1">
        <v>0</v>
      </c>
      <c r="S527" s="26"/>
    </row>
    <row r="528" spans="1:19" ht="16.5" customHeight="1" x14ac:dyDescent="0.25">
      <c r="A528" s="9"/>
      <c r="B528" s="51" t="s">
        <v>108</v>
      </c>
      <c r="C528" s="52"/>
      <c r="D528" s="52"/>
      <c r="E528" s="52"/>
      <c r="F528" s="52"/>
      <c r="G528" s="53"/>
      <c r="H528" s="20"/>
      <c r="I528" s="9">
        <v>4</v>
      </c>
      <c r="J528" s="9"/>
      <c r="K528" s="9"/>
      <c r="L528" s="9"/>
      <c r="M528" s="9">
        <f t="shared" si="66"/>
        <v>29.2</v>
      </c>
      <c r="N528" s="9">
        <f t="shared" si="67"/>
        <v>12</v>
      </c>
      <c r="O528" s="9">
        <v>7.3</v>
      </c>
      <c r="P528" s="9">
        <v>3</v>
      </c>
      <c r="Q528" s="9" t="s">
        <v>6</v>
      </c>
      <c r="R528" s="1">
        <v>0</v>
      </c>
      <c r="S528" s="26"/>
    </row>
    <row r="529" spans="1:19" ht="16.5" customHeight="1" x14ac:dyDescent="0.25">
      <c r="A529" s="9"/>
      <c r="B529" s="51" t="s">
        <v>107</v>
      </c>
      <c r="C529" s="52"/>
      <c r="D529" s="52"/>
      <c r="E529" s="52"/>
      <c r="F529" s="52"/>
      <c r="G529" s="53"/>
      <c r="H529" s="20"/>
      <c r="I529" s="9">
        <v>2</v>
      </c>
      <c r="J529" s="9"/>
      <c r="K529" s="9"/>
      <c r="L529" s="9"/>
      <c r="M529" s="9">
        <f t="shared" si="66"/>
        <v>14.4</v>
      </c>
      <c r="N529" s="9">
        <f t="shared" si="67"/>
        <v>6</v>
      </c>
      <c r="O529" s="9">
        <v>7.2</v>
      </c>
      <c r="P529" s="9">
        <v>3</v>
      </c>
      <c r="Q529" s="9" t="s">
        <v>6</v>
      </c>
      <c r="R529" s="1">
        <v>0</v>
      </c>
      <c r="S529" s="26"/>
    </row>
    <row r="530" spans="1:19" ht="16.5" customHeight="1" x14ac:dyDescent="0.25">
      <c r="A530" s="9"/>
      <c r="B530" s="51" t="s">
        <v>106</v>
      </c>
      <c r="C530" s="52"/>
      <c r="D530" s="52"/>
      <c r="E530" s="52"/>
      <c r="F530" s="52"/>
      <c r="G530" s="53"/>
      <c r="H530" s="20"/>
      <c r="I530" s="9">
        <v>2</v>
      </c>
      <c r="J530" s="9"/>
      <c r="K530" s="9"/>
      <c r="L530" s="9"/>
      <c r="M530" s="9">
        <f t="shared" si="66"/>
        <v>14</v>
      </c>
      <c r="N530" s="9">
        <f t="shared" si="67"/>
        <v>6</v>
      </c>
      <c r="O530" s="9">
        <v>7</v>
      </c>
      <c r="P530" s="9">
        <v>3</v>
      </c>
      <c r="Q530" s="9" t="s">
        <v>6</v>
      </c>
      <c r="R530" s="1">
        <v>0</v>
      </c>
      <c r="S530" s="26"/>
    </row>
    <row r="531" spans="1:19" ht="16.5" customHeight="1" x14ac:dyDescent="0.25">
      <c r="A531" s="9"/>
      <c r="B531" s="51" t="s">
        <v>109</v>
      </c>
      <c r="C531" s="52"/>
      <c r="D531" s="52"/>
      <c r="E531" s="52"/>
      <c r="F531" s="52"/>
      <c r="G531" s="53"/>
      <c r="H531" s="20"/>
      <c r="I531" s="9">
        <v>2</v>
      </c>
      <c r="J531" s="9"/>
      <c r="K531" s="9"/>
      <c r="L531" s="9"/>
      <c r="M531" s="9">
        <f t="shared" si="66"/>
        <v>13.8</v>
      </c>
      <c r="N531" s="9">
        <f t="shared" si="67"/>
        <v>5</v>
      </c>
      <c r="O531" s="9">
        <v>6.9</v>
      </c>
      <c r="P531" s="9">
        <v>2.5</v>
      </c>
      <c r="Q531" s="9" t="s">
        <v>5</v>
      </c>
      <c r="R531" s="1">
        <v>0</v>
      </c>
      <c r="S531" s="26"/>
    </row>
    <row r="532" spans="1:19" ht="16.5" customHeight="1" x14ac:dyDescent="0.25">
      <c r="A532" s="9"/>
      <c r="B532" s="51" t="s">
        <v>110</v>
      </c>
      <c r="C532" s="52"/>
      <c r="D532" s="52"/>
      <c r="E532" s="52"/>
      <c r="F532" s="52"/>
      <c r="G532" s="53"/>
      <c r="H532" s="20"/>
      <c r="I532" s="9">
        <v>2</v>
      </c>
      <c r="J532" s="9"/>
      <c r="K532" s="9"/>
      <c r="L532" s="9"/>
      <c r="M532" s="9">
        <f t="shared" si="66"/>
        <v>15.8</v>
      </c>
      <c r="N532" s="9">
        <f t="shared" si="67"/>
        <v>6</v>
      </c>
      <c r="O532" s="9">
        <v>7.9</v>
      </c>
      <c r="P532" s="9">
        <v>3</v>
      </c>
      <c r="Q532" s="9" t="s">
        <v>6</v>
      </c>
      <c r="R532" s="1">
        <v>0</v>
      </c>
      <c r="S532" s="26"/>
    </row>
    <row r="533" spans="1:19" ht="16.5" customHeight="1" x14ac:dyDescent="0.25">
      <c r="A533" s="9"/>
      <c r="B533" s="51" t="s">
        <v>111</v>
      </c>
      <c r="C533" s="52"/>
      <c r="D533" s="52"/>
      <c r="E533" s="52"/>
      <c r="F533" s="52"/>
      <c r="G533" s="53"/>
      <c r="H533" s="20"/>
      <c r="I533" s="9">
        <v>4</v>
      </c>
      <c r="J533" s="9"/>
      <c r="K533" s="9"/>
      <c r="L533" s="9"/>
      <c r="M533" s="9">
        <f t="shared" si="66"/>
        <v>26</v>
      </c>
      <c r="N533" s="9">
        <f t="shared" si="67"/>
        <v>10</v>
      </c>
      <c r="O533" s="9">
        <v>6.5</v>
      </c>
      <c r="P533" s="9">
        <v>2.5</v>
      </c>
      <c r="Q533" s="9" t="s">
        <v>5</v>
      </c>
      <c r="R533" s="1">
        <v>0</v>
      </c>
      <c r="S533" s="26"/>
    </row>
    <row r="534" spans="1:19" ht="16.5" customHeight="1" x14ac:dyDescent="0.25">
      <c r="A534" s="9"/>
      <c r="B534" s="51" t="s">
        <v>112</v>
      </c>
      <c r="C534" s="52"/>
      <c r="D534" s="52"/>
      <c r="E534" s="52"/>
      <c r="F534" s="52"/>
      <c r="G534" s="53"/>
      <c r="H534" s="20"/>
      <c r="I534" s="9">
        <v>2</v>
      </c>
      <c r="J534" s="9"/>
      <c r="K534" s="9"/>
      <c r="L534" s="9"/>
      <c r="M534" s="9">
        <f t="shared" si="66"/>
        <v>13.4</v>
      </c>
      <c r="N534" s="9">
        <f t="shared" si="67"/>
        <v>5</v>
      </c>
      <c r="O534" s="9">
        <v>6.7</v>
      </c>
      <c r="P534" s="9">
        <v>2.5</v>
      </c>
      <c r="Q534" s="9" t="s">
        <v>5</v>
      </c>
      <c r="R534" s="1">
        <v>0</v>
      </c>
      <c r="S534" s="26"/>
    </row>
    <row r="535" spans="1:19" ht="16.5" customHeight="1" x14ac:dyDescent="0.25">
      <c r="A535" s="9"/>
      <c r="B535" s="51" t="s">
        <v>103</v>
      </c>
      <c r="C535" s="52"/>
      <c r="D535" s="52"/>
      <c r="E535" s="52"/>
      <c r="F535" s="52"/>
      <c r="G535" s="53"/>
      <c r="H535" s="20"/>
      <c r="I535" s="9">
        <v>2</v>
      </c>
      <c r="J535" s="9"/>
      <c r="K535" s="9"/>
      <c r="L535" s="9"/>
      <c r="M535" s="9">
        <f t="shared" si="66"/>
        <v>15.8</v>
      </c>
      <c r="N535" s="9">
        <f t="shared" si="67"/>
        <v>6</v>
      </c>
      <c r="O535" s="9">
        <v>7.9</v>
      </c>
      <c r="P535" s="9">
        <v>3</v>
      </c>
      <c r="Q535" s="9" t="s">
        <v>6</v>
      </c>
      <c r="R535" s="1">
        <v>0</v>
      </c>
      <c r="S535" s="26"/>
    </row>
    <row r="536" spans="1:19" ht="16.5" hidden="1" customHeight="1" x14ac:dyDescent="0.25">
      <c r="A536" s="21"/>
      <c r="H536" s="21"/>
      <c r="I536" s="21"/>
      <c r="J536" s="21"/>
      <c r="K536" s="21"/>
      <c r="L536" s="21"/>
      <c r="M536" s="9">
        <f t="shared" si="66"/>
        <v>0</v>
      </c>
      <c r="N536" s="9">
        <f t="shared" si="67"/>
        <v>0</v>
      </c>
      <c r="O536" s="21"/>
      <c r="P536" s="21"/>
      <c r="Q536" s="21"/>
      <c r="S536" s="25"/>
    </row>
    <row r="537" spans="1:19" ht="16.5" customHeight="1" x14ac:dyDescent="0.25">
      <c r="A537" s="9"/>
      <c r="B537" s="39" t="s">
        <v>42</v>
      </c>
      <c r="C537" s="40"/>
      <c r="D537" s="40"/>
      <c r="E537" s="40"/>
      <c r="F537" s="40"/>
      <c r="G537" s="41"/>
      <c r="H537" s="23"/>
      <c r="I537" s="24">
        <f>SUM(I524:I536)</f>
        <v>29</v>
      </c>
      <c r="J537" s="9"/>
      <c r="K537" s="9"/>
      <c r="L537" s="9"/>
      <c r="M537" s="9">
        <f t="shared" si="66"/>
        <v>206.19</v>
      </c>
      <c r="N537" s="9">
        <f t="shared" si="67"/>
        <v>80.61999999999999</v>
      </c>
      <c r="O537" s="24">
        <f>ROUND(SUM(M524:M536)/I537,2)</f>
        <v>7.11</v>
      </c>
      <c r="P537" s="24">
        <f>ROUND(SUM(N524:N536)/I537,2)</f>
        <v>2.78</v>
      </c>
      <c r="Q537" s="9"/>
      <c r="S537" s="25"/>
    </row>
    <row r="538" spans="1:19" ht="20.25" customHeight="1" x14ac:dyDescent="0.25">
      <c r="A538" s="27" t="s">
        <v>114</v>
      </c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</row>
    <row r="539" spans="1:19" ht="16.5" customHeight="1" x14ac:dyDescent="0.25">
      <c r="A539" s="9"/>
      <c r="B539" s="51" t="s">
        <v>115</v>
      </c>
      <c r="C539" s="52"/>
      <c r="D539" s="52"/>
      <c r="E539" s="52"/>
      <c r="F539" s="52"/>
      <c r="G539" s="53"/>
      <c r="H539" s="20"/>
      <c r="I539" s="9">
        <v>2</v>
      </c>
      <c r="J539" s="9"/>
      <c r="K539" s="9"/>
      <c r="L539" s="9"/>
      <c r="M539" s="9">
        <f t="shared" ref="M539:M550" si="68">I539*O539</f>
        <v>0</v>
      </c>
      <c r="N539" s="9">
        <f t="shared" ref="N539:N550" si="69">I539*P539</f>
        <v>0</v>
      </c>
      <c r="O539" s="9"/>
      <c r="P539" s="9"/>
      <c r="Q539" s="9"/>
      <c r="R539" s="1">
        <v>0</v>
      </c>
      <c r="S539" s="26"/>
    </row>
    <row r="540" spans="1:19" ht="16.5" customHeight="1" x14ac:dyDescent="0.25">
      <c r="A540" s="9"/>
      <c r="B540" s="51" t="s">
        <v>122</v>
      </c>
      <c r="C540" s="52"/>
      <c r="D540" s="52"/>
      <c r="E540" s="52"/>
      <c r="F540" s="52"/>
      <c r="G540" s="53"/>
      <c r="H540" s="20"/>
      <c r="I540" s="9">
        <v>2</v>
      </c>
      <c r="J540" s="9"/>
      <c r="K540" s="9"/>
      <c r="L540" s="9"/>
      <c r="M540" s="9">
        <f t="shared" si="68"/>
        <v>0</v>
      </c>
      <c r="N540" s="9">
        <f t="shared" si="69"/>
        <v>0</v>
      </c>
      <c r="O540" s="9"/>
      <c r="P540" s="9"/>
      <c r="Q540" s="9"/>
      <c r="R540" s="1">
        <v>0</v>
      </c>
      <c r="S540" s="26"/>
    </row>
    <row r="541" spans="1:19" ht="16.5" customHeight="1" x14ac:dyDescent="0.25">
      <c r="A541" s="9"/>
      <c r="B541" s="51" t="s">
        <v>117</v>
      </c>
      <c r="C541" s="52"/>
      <c r="D541" s="52"/>
      <c r="E541" s="52"/>
      <c r="F541" s="52"/>
      <c r="G541" s="53"/>
      <c r="H541" s="20"/>
      <c r="I541" s="9">
        <v>3</v>
      </c>
      <c r="J541" s="9"/>
      <c r="K541" s="9"/>
      <c r="L541" s="9"/>
      <c r="M541" s="9">
        <f t="shared" si="68"/>
        <v>0</v>
      </c>
      <c r="N541" s="9">
        <f t="shared" si="69"/>
        <v>0</v>
      </c>
      <c r="O541" s="9"/>
      <c r="P541" s="9"/>
      <c r="Q541" s="9"/>
      <c r="R541" s="1">
        <v>0</v>
      </c>
      <c r="S541" s="26"/>
    </row>
    <row r="542" spans="1:19" ht="16.5" customHeight="1" x14ac:dyDescent="0.25">
      <c r="A542" s="9"/>
      <c r="B542" s="51" t="s">
        <v>123</v>
      </c>
      <c r="C542" s="52"/>
      <c r="D542" s="52"/>
      <c r="E542" s="52"/>
      <c r="F542" s="52"/>
      <c r="G542" s="53"/>
      <c r="H542" s="20"/>
      <c r="I542" s="9">
        <v>2</v>
      </c>
      <c r="J542" s="9"/>
      <c r="K542" s="9"/>
      <c r="L542" s="9"/>
      <c r="M542" s="9">
        <f t="shared" si="68"/>
        <v>0</v>
      </c>
      <c r="N542" s="9">
        <f t="shared" si="69"/>
        <v>0</v>
      </c>
      <c r="O542" s="9"/>
      <c r="P542" s="9"/>
      <c r="Q542" s="9"/>
      <c r="R542" s="1">
        <v>0</v>
      </c>
      <c r="S542" s="26"/>
    </row>
    <row r="543" spans="1:19" ht="16.5" customHeight="1" x14ac:dyDescent="0.25">
      <c r="A543" s="9"/>
      <c r="B543" s="51" t="s">
        <v>142</v>
      </c>
      <c r="C543" s="52"/>
      <c r="D543" s="52"/>
      <c r="E543" s="52"/>
      <c r="F543" s="52"/>
      <c r="G543" s="53"/>
      <c r="H543" s="20"/>
      <c r="I543" s="9">
        <v>3</v>
      </c>
      <c r="J543" s="9"/>
      <c r="K543" s="9"/>
      <c r="L543" s="9"/>
      <c r="M543" s="9">
        <f t="shared" si="68"/>
        <v>20.399999999999999</v>
      </c>
      <c r="N543" s="9">
        <f t="shared" si="69"/>
        <v>7.5</v>
      </c>
      <c r="O543" s="9">
        <v>6.8</v>
      </c>
      <c r="P543" s="9">
        <v>2.5</v>
      </c>
      <c r="Q543" s="9" t="s">
        <v>5</v>
      </c>
      <c r="R543" s="1">
        <v>0</v>
      </c>
      <c r="S543" s="26"/>
    </row>
    <row r="544" spans="1:19" ht="16.5" customHeight="1" x14ac:dyDescent="0.25">
      <c r="A544" s="9"/>
      <c r="B544" s="51" t="s">
        <v>120</v>
      </c>
      <c r="C544" s="52"/>
      <c r="D544" s="52"/>
      <c r="E544" s="52"/>
      <c r="F544" s="52"/>
      <c r="G544" s="53"/>
      <c r="H544" s="20"/>
      <c r="I544" s="9">
        <v>3</v>
      </c>
      <c r="J544" s="9"/>
      <c r="K544" s="9"/>
      <c r="L544" s="9"/>
      <c r="M544" s="9">
        <f t="shared" si="68"/>
        <v>21</v>
      </c>
      <c r="N544" s="9">
        <f t="shared" si="69"/>
        <v>9</v>
      </c>
      <c r="O544" s="9">
        <v>7</v>
      </c>
      <c r="P544" s="9">
        <v>3</v>
      </c>
      <c r="Q544" s="9" t="s">
        <v>6</v>
      </c>
      <c r="R544" s="1">
        <v>0</v>
      </c>
      <c r="S544" s="26"/>
    </row>
    <row r="545" spans="1:19" ht="16.5" customHeight="1" x14ac:dyDescent="0.25">
      <c r="A545" s="9"/>
      <c r="B545" s="51" t="s">
        <v>119</v>
      </c>
      <c r="C545" s="52"/>
      <c r="D545" s="52"/>
      <c r="E545" s="52"/>
      <c r="F545" s="52"/>
      <c r="G545" s="53"/>
      <c r="H545" s="20"/>
      <c r="I545" s="9">
        <v>4</v>
      </c>
      <c r="J545" s="9"/>
      <c r="K545" s="9"/>
      <c r="L545" s="9"/>
      <c r="M545" s="9">
        <f t="shared" si="68"/>
        <v>0</v>
      </c>
      <c r="N545" s="9">
        <f t="shared" si="69"/>
        <v>0</v>
      </c>
      <c r="O545" s="9"/>
      <c r="P545" s="9"/>
      <c r="Q545" s="9"/>
      <c r="R545" s="1">
        <v>0</v>
      </c>
      <c r="S545" s="26"/>
    </row>
    <row r="546" spans="1:19" ht="16.5" customHeight="1" x14ac:dyDescent="0.25">
      <c r="A546" s="9"/>
      <c r="B546" s="51" t="s">
        <v>121</v>
      </c>
      <c r="C546" s="52"/>
      <c r="D546" s="52"/>
      <c r="E546" s="52"/>
      <c r="F546" s="52"/>
      <c r="G546" s="53"/>
      <c r="H546" s="20"/>
      <c r="I546" s="9">
        <v>2</v>
      </c>
      <c r="J546" s="9"/>
      <c r="K546" s="9"/>
      <c r="L546" s="9"/>
      <c r="M546" s="9">
        <f t="shared" si="68"/>
        <v>14.2</v>
      </c>
      <c r="N546" s="9">
        <f t="shared" si="69"/>
        <v>6</v>
      </c>
      <c r="O546" s="9">
        <v>7.1</v>
      </c>
      <c r="P546" s="9">
        <v>3</v>
      </c>
      <c r="Q546" s="9" t="s">
        <v>6</v>
      </c>
      <c r="R546" s="1">
        <v>0</v>
      </c>
      <c r="S546" s="26"/>
    </row>
    <row r="547" spans="1:19" ht="16.5" customHeight="1" x14ac:dyDescent="0.25">
      <c r="A547" s="9"/>
      <c r="B547" s="51" t="s">
        <v>116</v>
      </c>
      <c r="C547" s="52"/>
      <c r="D547" s="52"/>
      <c r="E547" s="52"/>
      <c r="F547" s="52"/>
      <c r="G547" s="53"/>
      <c r="H547" s="20"/>
      <c r="I547" s="9">
        <v>3</v>
      </c>
      <c r="J547" s="9"/>
      <c r="K547" s="9"/>
      <c r="L547" s="9"/>
      <c r="M547" s="9">
        <f t="shared" si="68"/>
        <v>21</v>
      </c>
      <c r="N547" s="9">
        <f t="shared" si="69"/>
        <v>9</v>
      </c>
      <c r="O547" s="9">
        <v>7</v>
      </c>
      <c r="P547" s="9">
        <v>3</v>
      </c>
      <c r="Q547" s="9" t="s">
        <v>6</v>
      </c>
      <c r="R547" s="1">
        <v>0</v>
      </c>
      <c r="S547" s="26"/>
    </row>
    <row r="548" spans="1:19" ht="16.5" customHeight="1" x14ac:dyDescent="0.25">
      <c r="A548" s="9"/>
      <c r="B548" s="51" t="s">
        <v>118</v>
      </c>
      <c r="C548" s="52"/>
      <c r="D548" s="52"/>
      <c r="E548" s="52"/>
      <c r="F548" s="52"/>
      <c r="G548" s="53"/>
      <c r="H548" s="20"/>
      <c r="I548" s="9">
        <v>1</v>
      </c>
      <c r="J548" s="9"/>
      <c r="K548" s="9"/>
      <c r="L548" s="9"/>
      <c r="M548" s="9">
        <f t="shared" si="68"/>
        <v>7.4</v>
      </c>
      <c r="N548" s="9">
        <f t="shared" si="69"/>
        <v>3</v>
      </c>
      <c r="O548" s="9">
        <v>7.4</v>
      </c>
      <c r="P548" s="9">
        <v>3</v>
      </c>
      <c r="Q548" s="9" t="s">
        <v>6</v>
      </c>
      <c r="R548" s="1">
        <v>0</v>
      </c>
      <c r="S548" s="26"/>
    </row>
    <row r="549" spans="1:19" ht="16.5" hidden="1" customHeight="1" x14ac:dyDescent="0.25">
      <c r="A549" s="21"/>
      <c r="H549" s="21"/>
      <c r="I549" s="21"/>
      <c r="J549" s="21"/>
      <c r="K549" s="21"/>
      <c r="L549" s="21"/>
      <c r="M549" s="9">
        <f t="shared" si="68"/>
        <v>0</v>
      </c>
      <c r="N549" s="9">
        <f t="shared" si="69"/>
        <v>0</v>
      </c>
      <c r="O549" s="21"/>
      <c r="P549" s="21"/>
      <c r="Q549" s="21"/>
      <c r="S549" s="25"/>
    </row>
    <row r="550" spans="1:19" ht="16.5" customHeight="1" x14ac:dyDescent="0.25">
      <c r="A550" s="9"/>
      <c r="B550" s="39" t="s">
        <v>42</v>
      </c>
      <c r="C550" s="40"/>
      <c r="D550" s="40"/>
      <c r="E550" s="40"/>
      <c r="F550" s="40"/>
      <c r="G550" s="41"/>
      <c r="H550" s="23"/>
      <c r="I550" s="24">
        <f>SUM(I539:I549)</f>
        <v>25</v>
      </c>
      <c r="J550" s="9"/>
      <c r="K550" s="9"/>
      <c r="L550" s="9"/>
      <c r="M550" s="9">
        <f t="shared" si="68"/>
        <v>84</v>
      </c>
      <c r="N550" s="9">
        <f t="shared" si="69"/>
        <v>34.5</v>
      </c>
      <c r="O550" s="24">
        <f>ROUND(SUM(M539:M549)/I550,2)</f>
        <v>3.36</v>
      </c>
      <c r="P550" s="24">
        <f>ROUND(SUM(N539:N549)/I550,2)</f>
        <v>1.38</v>
      </c>
      <c r="Q550" s="9"/>
      <c r="S550" s="25"/>
    </row>
    <row r="551" spans="1:19" ht="16.5" customHeight="1" x14ac:dyDescent="0.25">
      <c r="A551" s="21"/>
      <c r="B551" s="22"/>
      <c r="C551" s="22"/>
      <c r="D551" s="22"/>
      <c r="E551" s="22"/>
      <c r="F551" s="22"/>
      <c r="G551" s="22"/>
      <c r="H551" s="21"/>
      <c r="I551" s="21"/>
      <c r="J551" s="21"/>
      <c r="K551" s="21"/>
      <c r="L551" s="21"/>
      <c r="M551" s="21"/>
      <c r="N551" s="21"/>
      <c r="O551" s="21"/>
      <c r="P551" s="21"/>
      <c r="Q551" s="21"/>
    </row>
    <row r="553" spans="1:19" ht="18" x14ac:dyDescent="0.25">
      <c r="A553" s="35" t="s">
        <v>146</v>
      </c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</row>
    <row r="554" spans="1:19" ht="18" x14ac:dyDescent="0.25">
      <c r="A554" s="35" t="s">
        <v>147</v>
      </c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</row>
    <row r="555" spans="1:19" ht="18" x14ac:dyDescent="0.25">
      <c r="A555" s="35" t="s">
        <v>148</v>
      </c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</row>
    <row r="556" spans="1:19" ht="18" x14ac:dyDescent="0.25">
      <c r="A556" s="45" t="s">
        <v>149</v>
      </c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</row>
    <row r="557" spans="1:19" ht="19.5" customHeight="1" x14ac:dyDescent="0.25">
      <c r="A557" s="17"/>
      <c r="B557" s="17"/>
      <c r="C557" s="8"/>
      <c r="D557" s="18"/>
      <c r="E557" s="10"/>
      <c r="F557" s="11"/>
      <c r="G557" s="46" t="s">
        <v>49</v>
      </c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</row>
    <row r="558" spans="1:19" ht="31.5" customHeight="1" x14ac:dyDescent="0.3">
      <c r="A558" s="8"/>
      <c r="B558" s="8"/>
      <c r="C558" s="8"/>
      <c r="D558" s="8"/>
      <c r="E558" s="8"/>
      <c r="F558" s="8"/>
      <c r="G558" s="8"/>
      <c r="H558" s="12"/>
      <c r="I558" s="42" t="s">
        <v>40</v>
      </c>
      <c r="J558" s="43"/>
      <c r="K558" s="43"/>
      <c r="L558" s="43"/>
      <c r="M558" s="43"/>
      <c r="N558" s="43"/>
      <c r="O558" s="43"/>
      <c r="P558" s="43"/>
      <c r="Q558" s="43"/>
      <c r="R558" s="43"/>
      <c r="S558" s="43"/>
    </row>
    <row r="559" spans="1:19" ht="16.8" x14ac:dyDescent="0.3">
      <c r="A559" s="8"/>
      <c r="B559" s="8"/>
      <c r="C559" s="8"/>
      <c r="D559" s="8"/>
      <c r="E559" s="8"/>
      <c r="F559" s="8"/>
      <c r="G559" s="8"/>
      <c r="H559" s="12"/>
      <c r="I559" s="12"/>
      <c r="J559" s="12"/>
      <c r="K559" s="12"/>
      <c r="L559" s="8"/>
      <c r="M559" s="8"/>
      <c r="N559" s="8"/>
      <c r="O559" s="8"/>
      <c r="P559" s="8"/>
      <c r="Q559" s="8"/>
    </row>
    <row r="560" spans="1:19" ht="33" customHeight="1" x14ac:dyDescent="0.3">
      <c r="A560" s="8"/>
      <c r="B560" s="8"/>
      <c r="C560" s="8"/>
      <c r="D560" s="8"/>
      <c r="E560" s="8"/>
      <c r="F560" s="8"/>
      <c r="G560" s="8"/>
      <c r="H560" s="12"/>
      <c r="I560" s="12"/>
      <c r="J560" s="12"/>
      <c r="K560" s="12"/>
      <c r="L560" s="8"/>
      <c r="M560" s="8"/>
      <c r="N560" s="8"/>
      <c r="O560" s="8"/>
      <c r="P560" s="8"/>
      <c r="Q560" s="8"/>
    </row>
    <row r="561" spans="1:20" ht="11.25" customHeight="1" x14ac:dyDescent="0.3">
      <c r="A561" s="8"/>
      <c r="B561" s="8"/>
      <c r="C561" s="8"/>
      <c r="D561" s="8"/>
      <c r="E561" s="8"/>
      <c r="F561" s="8"/>
      <c r="G561" s="8"/>
      <c r="H561" s="12"/>
      <c r="I561" s="12"/>
      <c r="J561" s="12"/>
      <c r="K561" s="12"/>
      <c r="L561" s="8"/>
      <c r="M561" s="8"/>
      <c r="N561" s="8"/>
      <c r="O561" s="8"/>
      <c r="P561" s="8"/>
      <c r="Q561" s="8"/>
    </row>
    <row r="562" spans="1:20" ht="17.399999999999999" x14ac:dyDescent="0.3">
      <c r="A562" s="8"/>
      <c r="B562" s="8"/>
      <c r="C562" s="8"/>
      <c r="D562" s="8"/>
      <c r="E562" s="8"/>
      <c r="F562" s="8"/>
      <c r="G562" s="47" t="s">
        <v>41</v>
      </c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</row>
    <row r="563" spans="1:20" ht="54" customHeight="1" x14ac:dyDescent="0.25">
      <c r="A563" s="48" t="s">
        <v>33</v>
      </c>
      <c r="B563" s="48"/>
      <c r="C563" s="48"/>
      <c r="D563" s="48"/>
      <c r="E563" s="48"/>
      <c r="F563" s="42" t="s">
        <v>24</v>
      </c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</row>
    <row r="564" spans="1:20" ht="17.399999999999999" x14ac:dyDescent="0.25">
      <c r="A564" s="49" t="s">
        <v>34</v>
      </c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</row>
    <row r="565" spans="1:20" ht="4.5" customHeight="1" x14ac:dyDescent="0.25">
      <c r="A565" s="50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</row>
    <row r="566" spans="1:20" ht="5.25" customHeight="1" x14ac:dyDescent="0.25">
      <c r="A566" s="50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</row>
    <row r="567" spans="1:20" ht="16.5" customHeight="1" x14ac:dyDescent="0.25">
      <c r="A567" s="54" t="s">
        <v>152</v>
      </c>
      <c r="B567" s="54"/>
      <c r="C567" s="54"/>
      <c r="D567" s="54"/>
      <c r="E567" s="54"/>
      <c r="F567" s="54"/>
      <c r="G567" s="58" t="s">
        <v>153</v>
      </c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</row>
    <row r="568" spans="1:20" ht="16.5" customHeight="1" x14ac:dyDescent="0.25">
      <c r="A568" s="54" t="s">
        <v>154</v>
      </c>
      <c r="B568" s="54"/>
      <c r="C568" s="54"/>
      <c r="D568" s="54"/>
      <c r="E568" s="54"/>
      <c r="F568" s="54"/>
      <c r="G568" s="8" t="s">
        <v>46</v>
      </c>
      <c r="H568" s="8"/>
      <c r="I568" s="8"/>
      <c r="J568" s="8"/>
      <c r="K568" s="8"/>
      <c r="L568" s="8"/>
      <c r="M568" s="8"/>
      <c r="N568" s="8"/>
      <c r="O568" s="8"/>
      <c r="P568" s="8"/>
      <c r="Q568" s="8"/>
      <c r="T568" s="2"/>
    </row>
    <row r="569" spans="1:20" ht="16.5" customHeight="1" x14ac:dyDescent="0.25">
      <c r="A569" s="54" t="s">
        <v>47</v>
      </c>
      <c r="B569" s="54"/>
      <c r="C569" s="54"/>
      <c r="D569" s="54"/>
      <c r="E569" s="54"/>
      <c r="F569" s="54"/>
      <c r="G569" s="58" t="s">
        <v>48</v>
      </c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</row>
    <row r="570" spans="1:20" ht="5.25" customHeight="1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19"/>
      <c r="K570" s="19"/>
      <c r="L570" s="19"/>
      <c r="M570" s="19"/>
      <c r="N570" s="19"/>
      <c r="O570" s="19"/>
      <c r="P570" s="19"/>
      <c r="Q570" s="19"/>
    </row>
    <row r="571" spans="1:20" ht="15" customHeight="1" x14ac:dyDescent="0.25">
      <c r="A571" s="36" t="s">
        <v>0</v>
      </c>
      <c r="B571" s="29" t="s">
        <v>1</v>
      </c>
      <c r="C571" s="30"/>
      <c r="D571" s="30"/>
      <c r="E571" s="30"/>
      <c r="F571" s="30"/>
      <c r="G571" s="31"/>
      <c r="H571" s="36" t="s">
        <v>32</v>
      </c>
      <c r="I571" s="36" t="s">
        <v>39</v>
      </c>
      <c r="J571" s="55" t="s">
        <v>2</v>
      </c>
      <c r="K571" s="56"/>
      <c r="L571" s="56"/>
      <c r="M571" s="56"/>
      <c r="N571" s="56"/>
      <c r="O571" s="56"/>
      <c r="P571" s="56"/>
      <c r="Q571" s="57"/>
      <c r="S571" s="36" t="s">
        <v>38</v>
      </c>
    </row>
    <row r="572" spans="1:20" ht="24" customHeight="1" x14ac:dyDescent="0.25">
      <c r="A572" s="37"/>
      <c r="B572" s="32"/>
      <c r="C572" s="33"/>
      <c r="D572" s="33"/>
      <c r="E572" s="33"/>
      <c r="F572" s="33"/>
      <c r="G572" s="34"/>
      <c r="H572" s="37"/>
      <c r="I572" s="37"/>
      <c r="J572" s="7" t="s">
        <v>28</v>
      </c>
      <c r="K572" s="7" t="s">
        <v>29</v>
      </c>
      <c r="L572" s="7" t="s">
        <v>30</v>
      </c>
      <c r="M572" s="7"/>
      <c r="N572" s="7"/>
      <c r="O572" s="6" t="s">
        <v>35</v>
      </c>
      <c r="P572" s="6" t="s">
        <v>36</v>
      </c>
      <c r="Q572" s="6" t="s">
        <v>37</v>
      </c>
      <c r="S572" s="37"/>
    </row>
    <row r="573" spans="1:20" ht="20.25" customHeight="1" x14ac:dyDescent="0.25">
      <c r="A573" s="27" t="s">
        <v>54</v>
      </c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</row>
    <row r="574" spans="1:20" ht="16.5" customHeight="1" x14ac:dyDescent="0.25">
      <c r="A574" s="9"/>
      <c r="B574" s="51" t="s">
        <v>55</v>
      </c>
      <c r="C574" s="52"/>
      <c r="D574" s="52"/>
      <c r="E574" s="52"/>
      <c r="F574" s="52"/>
      <c r="G574" s="53"/>
      <c r="H574" s="20"/>
      <c r="I574" s="9">
        <v>2</v>
      </c>
      <c r="J574" s="9"/>
      <c r="K574" s="9"/>
      <c r="L574" s="9"/>
      <c r="M574" s="9">
        <f t="shared" ref="M574:M582" si="70">I574*O574</f>
        <v>14.8</v>
      </c>
      <c r="N574" s="9">
        <f t="shared" ref="N574:N582" si="71">I574*P574</f>
        <v>6</v>
      </c>
      <c r="O574" s="9">
        <v>7.4</v>
      </c>
      <c r="P574" s="9">
        <v>3</v>
      </c>
      <c r="Q574" s="9" t="s">
        <v>6</v>
      </c>
      <c r="R574" s="1">
        <v>0</v>
      </c>
      <c r="S574" s="26"/>
    </row>
    <row r="575" spans="1:20" ht="16.5" customHeight="1" x14ac:dyDescent="0.25">
      <c r="A575" s="9"/>
      <c r="B575" s="51" t="s">
        <v>56</v>
      </c>
      <c r="C575" s="52"/>
      <c r="D575" s="52"/>
      <c r="E575" s="52"/>
      <c r="F575" s="52"/>
      <c r="G575" s="53"/>
      <c r="H575" s="20"/>
      <c r="I575" s="9">
        <v>3</v>
      </c>
      <c r="J575" s="9"/>
      <c r="K575" s="9"/>
      <c r="L575" s="9"/>
      <c r="M575" s="9">
        <f t="shared" si="70"/>
        <v>17.399999999999999</v>
      </c>
      <c r="N575" s="9">
        <f t="shared" si="71"/>
        <v>6</v>
      </c>
      <c r="O575" s="9">
        <v>5.8</v>
      </c>
      <c r="P575" s="9">
        <v>2</v>
      </c>
      <c r="Q575" s="9" t="s">
        <v>3</v>
      </c>
      <c r="R575" s="1">
        <v>0</v>
      </c>
      <c r="S575" s="26"/>
    </row>
    <row r="576" spans="1:20" ht="31.2" customHeight="1" x14ac:dyDescent="0.25">
      <c r="A576" s="9"/>
      <c r="B576" s="51" t="s">
        <v>57</v>
      </c>
      <c r="C576" s="52"/>
      <c r="D576" s="52"/>
      <c r="E576" s="52"/>
      <c r="F576" s="52"/>
      <c r="G576" s="53"/>
      <c r="H576" s="20"/>
      <c r="I576" s="9">
        <v>3</v>
      </c>
      <c r="J576" s="9"/>
      <c r="K576" s="9"/>
      <c r="L576" s="9"/>
      <c r="M576" s="9">
        <f t="shared" si="70"/>
        <v>22.799999999999997</v>
      </c>
      <c r="N576" s="9">
        <f t="shared" si="71"/>
        <v>9</v>
      </c>
      <c r="O576" s="9">
        <v>7.6</v>
      </c>
      <c r="P576" s="9">
        <v>3</v>
      </c>
      <c r="Q576" s="9" t="s">
        <v>6</v>
      </c>
      <c r="R576" s="1">
        <v>0</v>
      </c>
      <c r="S576" s="26"/>
    </row>
    <row r="577" spans="1:19" ht="16.5" customHeight="1" x14ac:dyDescent="0.25">
      <c r="A577" s="9"/>
      <c r="B577" s="51" t="s">
        <v>58</v>
      </c>
      <c r="C577" s="52"/>
      <c r="D577" s="52"/>
      <c r="E577" s="52"/>
      <c r="F577" s="52"/>
      <c r="G577" s="53"/>
      <c r="H577" s="20"/>
      <c r="I577" s="9">
        <v>1</v>
      </c>
      <c r="J577" s="9"/>
      <c r="K577" s="9"/>
      <c r="L577" s="9"/>
      <c r="M577" s="9">
        <f t="shared" si="70"/>
        <v>7.6</v>
      </c>
      <c r="N577" s="9">
        <f t="shared" si="71"/>
        <v>3</v>
      </c>
      <c r="O577" s="9">
        <v>7.6</v>
      </c>
      <c r="P577" s="9">
        <v>3</v>
      </c>
      <c r="Q577" s="9" t="s">
        <v>6</v>
      </c>
      <c r="R577" s="1">
        <v>0</v>
      </c>
      <c r="S577" s="26"/>
    </row>
    <row r="578" spans="1:19" ht="16.5" customHeight="1" x14ac:dyDescent="0.25">
      <c r="A578" s="9"/>
      <c r="B578" s="51" t="s">
        <v>59</v>
      </c>
      <c r="C578" s="52"/>
      <c r="D578" s="52"/>
      <c r="E578" s="52"/>
      <c r="F578" s="52"/>
      <c r="G578" s="53"/>
      <c r="H578" s="20"/>
      <c r="I578" s="9">
        <v>1</v>
      </c>
      <c r="J578" s="9"/>
      <c r="K578" s="9"/>
      <c r="L578" s="9"/>
      <c r="M578" s="9">
        <f t="shared" si="70"/>
        <v>7.3</v>
      </c>
      <c r="N578" s="9">
        <f t="shared" si="71"/>
        <v>3</v>
      </c>
      <c r="O578" s="9">
        <v>7.3</v>
      </c>
      <c r="P578" s="9">
        <v>3</v>
      </c>
      <c r="Q578" s="9" t="s">
        <v>6</v>
      </c>
      <c r="R578" s="1">
        <v>0</v>
      </c>
      <c r="S578" s="26"/>
    </row>
    <row r="579" spans="1:19" ht="16.5" customHeight="1" x14ac:dyDescent="0.25">
      <c r="A579" s="9"/>
      <c r="B579" s="51" t="s">
        <v>60</v>
      </c>
      <c r="C579" s="52"/>
      <c r="D579" s="52"/>
      <c r="E579" s="52"/>
      <c r="F579" s="52"/>
      <c r="G579" s="53"/>
      <c r="H579" s="20"/>
      <c r="I579" s="9">
        <v>3</v>
      </c>
      <c r="J579" s="9"/>
      <c r="K579" s="9"/>
      <c r="L579" s="9"/>
      <c r="M579" s="9">
        <f t="shared" si="70"/>
        <v>23.700000000000003</v>
      </c>
      <c r="N579" s="9">
        <f t="shared" si="71"/>
        <v>9</v>
      </c>
      <c r="O579" s="9">
        <v>7.9</v>
      </c>
      <c r="P579" s="9">
        <v>3</v>
      </c>
      <c r="Q579" s="9" t="s">
        <v>6</v>
      </c>
      <c r="R579" s="1">
        <v>0</v>
      </c>
      <c r="S579" s="26"/>
    </row>
    <row r="580" spans="1:19" ht="16.5" customHeight="1" x14ac:dyDescent="0.25">
      <c r="A580" s="9"/>
      <c r="B580" s="51" t="s">
        <v>61</v>
      </c>
      <c r="C580" s="52"/>
      <c r="D580" s="52"/>
      <c r="E580" s="52"/>
      <c r="F580" s="52"/>
      <c r="G580" s="53"/>
      <c r="H580" s="20"/>
      <c r="I580" s="9">
        <v>1</v>
      </c>
      <c r="J580" s="9"/>
      <c r="K580" s="9"/>
      <c r="L580" s="9"/>
      <c r="M580" s="9">
        <f t="shared" si="70"/>
        <v>8.6999999999999993</v>
      </c>
      <c r="N580" s="9">
        <f t="shared" si="71"/>
        <v>3.7</v>
      </c>
      <c r="O580" s="9">
        <v>8.6999999999999993</v>
      </c>
      <c r="P580" s="9">
        <v>3.7</v>
      </c>
      <c r="Q580" s="9" t="s">
        <v>10</v>
      </c>
      <c r="R580" s="1">
        <v>0</v>
      </c>
      <c r="S580" s="26"/>
    </row>
    <row r="581" spans="1:19" ht="16.5" hidden="1" customHeight="1" x14ac:dyDescent="0.25">
      <c r="A581" s="21"/>
      <c r="H581" s="21"/>
      <c r="I581" s="21"/>
      <c r="J581" s="21"/>
      <c r="K581" s="21"/>
      <c r="L581" s="21"/>
      <c r="M581" s="9">
        <f t="shared" si="70"/>
        <v>0</v>
      </c>
      <c r="N581" s="9">
        <f t="shared" si="71"/>
        <v>0</v>
      </c>
      <c r="O581" s="21"/>
      <c r="P581" s="21"/>
      <c r="Q581" s="21"/>
      <c r="S581" s="25"/>
    </row>
    <row r="582" spans="1:19" ht="16.5" customHeight="1" x14ac:dyDescent="0.25">
      <c r="A582" s="9"/>
      <c r="B582" s="39" t="s">
        <v>42</v>
      </c>
      <c r="C582" s="40"/>
      <c r="D582" s="40"/>
      <c r="E582" s="40"/>
      <c r="F582" s="40"/>
      <c r="G582" s="41"/>
      <c r="H582" s="23"/>
      <c r="I582" s="24">
        <f>SUM(I574:I581)</f>
        <v>14</v>
      </c>
      <c r="J582" s="9"/>
      <c r="K582" s="9"/>
      <c r="L582" s="9"/>
      <c r="M582" s="9">
        <f t="shared" si="70"/>
        <v>102.33999999999999</v>
      </c>
      <c r="N582" s="9">
        <f t="shared" si="71"/>
        <v>39.76</v>
      </c>
      <c r="O582" s="24">
        <f>ROUND(SUM(M574:M581)/I582,2)</f>
        <v>7.31</v>
      </c>
      <c r="P582" s="24">
        <f>ROUND(SUM(N574:N581)/I582,2)</f>
        <v>2.84</v>
      </c>
      <c r="Q582" s="9"/>
      <c r="S582" s="25"/>
    </row>
    <row r="583" spans="1:19" ht="20.25" customHeight="1" x14ac:dyDescent="0.25">
      <c r="A583" s="27" t="s">
        <v>62</v>
      </c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</row>
    <row r="584" spans="1:19" ht="16.5" customHeight="1" x14ac:dyDescent="0.25">
      <c r="A584" s="9"/>
      <c r="B584" s="51" t="s">
        <v>63</v>
      </c>
      <c r="C584" s="52"/>
      <c r="D584" s="52"/>
      <c r="E584" s="52"/>
      <c r="F584" s="52"/>
      <c r="G584" s="53"/>
      <c r="H584" s="20"/>
      <c r="I584" s="9">
        <v>4</v>
      </c>
      <c r="J584" s="9"/>
      <c r="K584" s="9"/>
      <c r="L584" s="9"/>
      <c r="M584" s="9">
        <f t="shared" ref="M584:M592" si="72">I584*O584</f>
        <v>31.2</v>
      </c>
      <c r="N584" s="9">
        <f t="shared" ref="N584:N592" si="73">I584*P584</f>
        <v>12</v>
      </c>
      <c r="O584" s="9">
        <v>7.8</v>
      </c>
      <c r="P584" s="9">
        <v>3</v>
      </c>
      <c r="Q584" s="9" t="s">
        <v>6</v>
      </c>
      <c r="R584" s="1">
        <v>0</v>
      </c>
      <c r="S584" s="26"/>
    </row>
    <row r="585" spans="1:19" ht="16.5" customHeight="1" x14ac:dyDescent="0.25">
      <c r="A585" s="9"/>
      <c r="B585" s="51" t="s">
        <v>64</v>
      </c>
      <c r="C585" s="52"/>
      <c r="D585" s="52"/>
      <c r="E585" s="52"/>
      <c r="F585" s="52"/>
      <c r="G585" s="53"/>
      <c r="H585" s="20"/>
      <c r="I585" s="9">
        <v>4</v>
      </c>
      <c r="J585" s="9"/>
      <c r="K585" s="9"/>
      <c r="L585" s="9"/>
      <c r="M585" s="9">
        <f t="shared" si="72"/>
        <v>27.2</v>
      </c>
      <c r="N585" s="9">
        <f t="shared" si="73"/>
        <v>10</v>
      </c>
      <c r="O585" s="9">
        <v>6.8</v>
      </c>
      <c r="P585" s="9">
        <v>2.5</v>
      </c>
      <c r="Q585" s="9" t="s">
        <v>5</v>
      </c>
      <c r="R585" s="1">
        <v>0</v>
      </c>
      <c r="S585" s="26"/>
    </row>
    <row r="586" spans="1:19" ht="16.5" customHeight="1" x14ac:dyDescent="0.25">
      <c r="A586" s="9"/>
      <c r="B586" s="51" t="s">
        <v>65</v>
      </c>
      <c r="C586" s="52"/>
      <c r="D586" s="52"/>
      <c r="E586" s="52"/>
      <c r="F586" s="52"/>
      <c r="G586" s="53"/>
      <c r="H586" s="20"/>
      <c r="I586" s="9">
        <v>4</v>
      </c>
      <c r="J586" s="9"/>
      <c r="K586" s="9"/>
      <c r="L586" s="9"/>
      <c r="M586" s="9">
        <f t="shared" si="72"/>
        <v>32.4</v>
      </c>
      <c r="N586" s="9">
        <f t="shared" si="73"/>
        <v>14</v>
      </c>
      <c r="O586" s="9">
        <v>8.1</v>
      </c>
      <c r="P586" s="9">
        <v>3.5</v>
      </c>
      <c r="Q586" s="9" t="s">
        <v>9</v>
      </c>
      <c r="R586" s="1">
        <v>0</v>
      </c>
      <c r="S586" s="26"/>
    </row>
    <row r="587" spans="1:19" ht="16.5" customHeight="1" x14ac:dyDescent="0.25">
      <c r="A587" s="9"/>
      <c r="B587" s="51" t="s">
        <v>66</v>
      </c>
      <c r="C587" s="52"/>
      <c r="D587" s="52"/>
      <c r="E587" s="52"/>
      <c r="F587" s="52"/>
      <c r="G587" s="53"/>
      <c r="H587" s="20"/>
      <c r="I587" s="9">
        <v>1</v>
      </c>
      <c r="J587" s="9"/>
      <c r="K587" s="9"/>
      <c r="L587" s="9"/>
      <c r="M587" s="9">
        <f t="shared" si="72"/>
        <v>8.1999999999999993</v>
      </c>
      <c r="N587" s="9">
        <f t="shared" si="73"/>
        <v>3.5</v>
      </c>
      <c r="O587" s="9">
        <v>8.1999999999999993</v>
      </c>
      <c r="P587" s="9">
        <v>3.5</v>
      </c>
      <c r="Q587" s="9" t="s">
        <v>9</v>
      </c>
      <c r="R587" s="1">
        <v>0</v>
      </c>
      <c r="S587" s="26"/>
    </row>
    <row r="588" spans="1:19" ht="16.5" customHeight="1" x14ac:dyDescent="0.25">
      <c r="A588" s="9"/>
      <c r="B588" s="51" t="s">
        <v>67</v>
      </c>
      <c r="C588" s="52"/>
      <c r="D588" s="52"/>
      <c r="E588" s="52"/>
      <c r="F588" s="52"/>
      <c r="G588" s="53"/>
      <c r="H588" s="20"/>
      <c r="I588" s="9">
        <v>1</v>
      </c>
      <c r="J588" s="9"/>
      <c r="K588" s="9"/>
      <c r="L588" s="9"/>
      <c r="M588" s="9">
        <f t="shared" si="72"/>
        <v>8</v>
      </c>
      <c r="N588" s="9">
        <f t="shared" si="73"/>
        <v>3.5</v>
      </c>
      <c r="O588" s="9">
        <v>8</v>
      </c>
      <c r="P588" s="9">
        <v>3.5</v>
      </c>
      <c r="Q588" s="9" t="s">
        <v>9</v>
      </c>
      <c r="R588" s="1">
        <v>0</v>
      </c>
      <c r="S588" s="26"/>
    </row>
    <row r="589" spans="1:19" ht="16.5" customHeight="1" x14ac:dyDescent="0.25">
      <c r="A589" s="9"/>
      <c r="B589" s="51" t="s">
        <v>69</v>
      </c>
      <c r="C589" s="52"/>
      <c r="D589" s="52"/>
      <c r="E589" s="52"/>
      <c r="F589" s="52"/>
      <c r="G589" s="53"/>
      <c r="H589" s="20"/>
      <c r="I589" s="9">
        <v>1</v>
      </c>
      <c r="J589" s="9"/>
      <c r="K589" s="9"/>
      <c r="L589" s="9"/>
      <c r="M589" s="9">
        <f t="shared" si="72"/>
        <v>7.6</v>
      </c>
      <c r="N589" s="9">
        <f t="shared" si="73"/>
        <v>3</v>
      </c>
      <c r="O589" s="9">
        <v>7.6</v>
      </c>
      <c r="P589" s="9">
        <v>3</v>
      </c>
      <c r="Q589" s="9" t="s">
        <v>6</v>
      </c>
      <c r="R589" s="1">
        <v>0</v>
      </c>
      <c r="S589" s="26"/>
    </row>
    <row r="590" spans="1:19" ht="16.5" customHeight="1" x14ac:dyDescent="0.25">
      <c r="A590" s="9"/>
      <c r="B590" s="51" t="s">
        <v>68</v>
      </c>
      <c r="C590" s="52"/>
      <c r="D590" s="52"/>
      <c r="E590" s="52"/>
      <c r="F590" s="52"/>
      <c r="G590" s="53"/>
      <c r="H590" s="20"/>
      <c r="I590" s="9">
        <v>1</v>
      </c>
      <c r="J590" s="9"/>
      <c r="K590" s="9"/>
      <c r="L590" s="9"/>
      <c r="M590" s="9">
        <f t="shared" si="72"/>
        <v>7.3</v>
      </c>
      <c r="N590" s="9">
        <f t="shared" si="73"/>
        <v>3</v>
      </c>
      <c r="O590" s="9">
        <v>7.3</v>
      </c>
      <c r="P590" s="9">
        <v>3</v>
      </c>
      <c r="Q590" s="9" t="s">
        <v>6</v>
      </c>
      <c r="R590" s="1">
        <v>0</v>
      </c>
      <c r="S590" s="26"/>
    </row>
    <row r="591" spans="1:19" ht="16.5" hidden="1" customHeight="1" x14ac:dyDescent="0.25">
      <c r="A591" s="21"/>
      <c r="H591" s="21"/>
      <c r="I591" s="21"/>
      <c r="J591" s="21"/>
      <c r="K591" s="21"/>
      <c r="L591" s="21"/>
      <c r="M591" s="9">
        <f t="shared" si="72"/>
        <v>0</v>
      </c>
      <c r="N591" s="9">
        <f t="shared" si="73"/>
        <v>0</v>
      </c>
      <c r="O591" s="21"/>
      <c r="P591" s="21"/>
      <c r="Q591" s="21"/>
      <c r="S591" s="25"/>
    </row>
    <row r="592" spans="1:19" ht="16.5" customHeight="1" x14ac:dyDescent="0.25">
      <c r="A592" s="9"/>
      <c r="B592" s="39" t="s">
        <v>42</v>
      </c>
      <c r="C592" s="40"/>
      <c r="D592" s="40"/>
      <c r="E592" s="40"/>
      <c r="F592" s="40"/>
      <c r="G592" s="41"/>
      <c r="H592" s="23"/>
      <c r="I592" s="24">
        <f>SUM(I584:I591)</f>
        <v>16</v>
      </c>
      <c r="J592" s="9"/>
      <c r="K592" s="9"/>
      <c r="L592" s="9"/>
      <c r="M592" s="9">
        <f t="shared" si="72"/>
        <v>121.92</v>
      </c>
      <c r="N592" s="9">
        <f t="shared" si="73"/>
        <v>48.96</v>
      </c>
      <c r="O592" s="24">
        <f>ROUND(SUM(M584:M591)/I592,2)</f>
        <v>7.62</v>
      </c>
      <c r="P592" s="24">
        <f>ROUND(SUM(N584:N591)/I592,2)</f>
        <v>3.06</v>
      </c>
      <c r="Q592" s="9"/>
      <c r="S592" s="25"/>
    </row>
    <row r="593" spans="1:19" ht="20.25" customHeight="1" x14ac:dyDescent="0.25">
      <c r="A593" s="27" t="s">
        <v>70</v>
      </c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</row>
    <row r="594" spans="1:19" ht="16.5" customHeight="1" x14ac:dyDescent="0.25">
      <c r="A594" s="9"/>
      <c r="B594" s="51" t="s">
        <v>71</v>
      </c>
      <c r="C594" s="52"/>
      <c r="D594" s="52"/>
      <c r="E594" s="52"/>
      <c r="F594" s="52"/>
      <c r="G594" s="53"/>
      <c r="H594" s="20"/>
      <c r="I594" s="9">
        <v>4</v>
      </c>
      <c r="J594" s="9"/>
      <c r="K594" s="9"/>
      <c r="L594" s="9"/>
      <c r="M594" s="9">
        <f t="shared" ref="M594:M603" si="74">I594*O594</f>
        <v>30.4</v>
      </c>
      <c r="N594" s="9">
        <f t="shared" ref="N594:N603" si="75">I594*P594</f>
        <v>12</v>
      </c>
      <c r="O594" s="9">
        <v>7.6</v>
      </c>
      <c r="P594" s="9">
        <v>3</v>
      </c>
      <c r="Q594" s="9" t="s">
        <v>6</v>
      </c>
      <c r="R594" s="1">
        <v>0</v>
      </c>
      <c r="S594" s="26"/>
    </row>
    <row r="595" spans="1:19" ht="16.5" customHeight="1" x14ac:dyDescent="0.25">
      <c r="A595" s="9"/>
      <c r="B595" s="51" t="s">
        <v>72</v>
      </c>
      <c r="C595" s="52"/>
      <c r="D595" s="52"/>
      <c r="E595" s="52"/>
      <c r="F595" s="52"/>
      <c r="G595" s="53"/>
      <c r="H595" s="20"/>
      <c r="I595" s="9">
        <v>4</v>
      </c>
      <c r="J595" s="9"/>
      <c r="K595" s="9"/>
      <c r="L595" s="9"/>
      <c r="M595" s="9">
        <f t="shared" si="74"/>
        <v>32</v>
      </c>
      <c r="N595" s="9">
        <f t="shared" si="75"/>
        <v>14</v>
      </c>
      <c r="O595" s="9">
        <v>8</v>
      </c>
      <c r="P595" s="9">
        <v>3.5</v>
      </c>
      <c r="Q595" s="9" t="s">
        <v>9</v>
      </c>
      <c r="R595" s="1">
        <v>0</v>
      </c>
      <c r="S595" s="26"/>
    </row>
    <row r="596" spans="1:19" ht="16.5" customHeight="1" x14ac:dyDescent="0.25">
      <c r="A596" s="9"/>
      <c r="B596" s="51" t="s">
        <v>73</v>
      </c>
      <c r="C596" s="52"/>
      <c r="D596" s="52"/>
      <c r="E596" s="52"/>
      <c r="F596" s="52"/>
      <c r="G596" s="53"/>
      <c r="H596" s="20"/>
      <c r="I596" s="9">
        <v>2</v>
      </c>
      <c r="J596" s="9"/>
      <c r="K596" s="9"/>
      <c r="L596" s="9"/>
      <c r="M596" s="9">
        <f t="shared" si="74"/>
        <v>17.2</v>
      </c>
      <c r="N596" s="9">
        <f t="shared" si="75"/>
        <v>7.4</v>
      </c>
      <c r="O596" s="9">
        <v>8.6</v>
      </c>
      <c r="P596" s="9">
        <v>3.7</v>
      </c>
      <c r="Q596" s="9" t="s">
        <v>10</v>
      </c>
      <c r="R596" s="1">
        <v>0</v>
      </c>
      <c r="S596" s="26"/>
    </row>
    <row r="597" spans="1:19" ht="16.5" customHeight="1" x14ac:dyDescent="0.25">
      <c r="A597" s="9"/>
      <c r="B597" s="51" t="s">
        <v>74</v>
      </c>
      <c r="C597" s="52"/>
      <c r="D597" s="52"/>
      <c r="E597" s="52"/>
      <c r="F597" s="52"/>
      <c r="G597" s="53"/>
      <c r="H597" s="20"/>
      <c r="I597" s="9">
        <v>2</v>
      </c>
      <c r="J597" s="9"/>
      <c r="K597" s="9"/>
      <c r="L597" s="9"/>
      <c r="M597" s="9">
        <f t="shared" si="74"/>
        <v>15.4</v>
      </c>
      <c r="N597" s="9">
        <f t="shared" si="75"/>
        <v>6</v>
      </c>
      <c r="O597" s="9">
        <v>7.7</v>
      </c>
      <c r="P597" s="9">
        <v>3</v>
      </c>
      <c r="Q597" s="9" t="s">
        <v>6</v>
      </c>
      <c r="R597" s="1">
        <v>0</v>
      </c>
      <c r="S597" s="26"/>
    </row>
    <row r="598" spans="1:19" ht="16.5" customHeight="1" x14ac:dyDescent="0.25">
      <c r="A598" s="9"/>
      <c r="B598" s="51" t="s">
        <v>75</v>
      </c>
      <c r="C598" s="52"/>
      <c r="D598" s="52"/>
      <c r="E598" s="52"/>
      <c r="F598" s="52"/>
      <c r="G598" s="53"/>
      <c r="H598" s="20"/>
      <c r="I598" s="9">
        <v>1</v>
      </c>
      <c r="J598" s="9"/>
      <c r="K598" s="9"/>
      <c r="L598" s="9"/>
      <c r="M598" s="9">
        <f t="shared" si="74"/>
        <v>8.4</v>
      </c>
      <c r="N598" s="9">
        <f t="shared" si="75"/>
        <v>3.5</v>
      </c>
      <c r="O598" s="9">
        <v>8.4</v>
      </c>
      <c r="P598" s="9">
        <v>3.5</v>
      </c>
      <c r="Q598" s="9" t="s">
        <v>9</v>
      </c>
      <c r="R598" s="1">
        <v>0</v>
      </c>
      <c r="S598" s="26"/>
    </row>
    <row r="599" spans="1:19" ht="16.5" customHeight="1" x14ac:dyDescent="0.25">
      <c r="A599" s="9"/>
      <c r="B599" s="51" t="s">
        <v>76</v>
      </c>
      <c r="C599" s="52"/>
      <c r="D599" s="52"/>
      <c r="E599" s="52"/>
      <c r="F599" s="52"/>
      <c r="G599" s="53"/>
      <c r="H599" s="20"/>
      <c r="I599" s="9">
        <v>4</v>
      </c>
      <c r="J599" s="9"/>
      <c r="K599" s="9"/>
      <c r="L599" s="9"/>
      <c r="M599" s="9">
        <f t="shared" si="74"/>
        <v>32.4</v>
      </c>
      <c r="N599" s="9">
        <f t="shared" si="75"/>
        <v>14</v>
      </c>
      <c r="O599" s="9">
        <v>8.1</v>
      </c>
      <c r="P599" s="9">
        <v>3.5</v>
      </c>
      <c r="Q599" s="9" t="s">
        <v>9</v>
      </c>
      <c r="R599" s="1">
        <v>0</v>
      </c>
      <c r="S599" s="26"/>
    </row>
    <row r="600" spans="1:19" ht="16.5" customHeight="1" x14ac:dyDescent="0.25">
      <c r="A600" s="9"/>
      <c r="B600" s="51" t="s">
        <v>77</v>
      </c>
      <c r="C600" s="52"/>
      <c r="D600" s="52"/>
      <c r="E600" s="52"/>
      <c r="F600" s="52"/>
      <c r="G600" s="53"/>
      <c r="H600" s="20"/>
      <c r="I600" s="9">
        <v>1</v>
      </c>
      <c r="J600" s="9"/>
      <c r="K600" s="9"/>
      <c r="L600" s="9"/>
      <c r="M600" s="9">
        <f t="shared" si="74"/>
        <v>6.3</v>
      </c>
      <c r="N600" s="9">
        <f t="shared" si="75"/>
        <v>2</v>
      </c>
      <c r="O600" s="9">
        <v>6.3</v>
      </c>
      <c r="P600" s="9">
        <v>2</v>
      </c>
      <c r="Q600" s="9" t="s">
        <v>3</v>
      </c>
      <c r="R600" s="1">
        <v>0</v>
      </c>
      <c r="S600" s="26"/>
    </row>
    <row r="601" spans="1:19" ht="16.5" customHeight="1" x14ac:dyDescent="0.25">
      <c r="A601" s="9"/>
      <c r="B601" s="51" t="s">
        <v>78</v>
      </c>
      <c r="C601" s="52"/>
      <c r="D601" s="52"/>
      <c r="E601" s="52"/>
      <c r="F601" s="52"/>
      <c r="G601" s="53"/>
      <c r="H601" s="20"/>
      <c r="I601" s="9">
        <v>3</v>
      </c>
      <c r="J601" s="9"/>
      <c r="K601" s="9"/>
      <c r="L601" s="9"/>
      <c r="M601" s="9">
        <f t="shared" si="74"/>
        <v>20.100000000000001</v>
      </c>
      <c r="N601" s="9">
        <f t="shared" si="75"/>
        <v>7.5</v>
      </c>
      <c r="O601" s="9">
        <v>6.7</v>
      </c>
      <c r="P601" s="9">
        <v>2.5</v>
      </c>
      <c r="Q601" s="9" t="s">
        <v>5</v>
      </c>
      <c r="R601" s="1">
        <v>0</v>
      </c>
      <c r="S601" s="26"/>
    </row>
    <row r="602" spans="1:19" ht="16.5" hidden="1" customHeight="1" x14ac:dyDescent="0.25">
      <c r="A602" s="21"/>
      <c r="H602" s="21"/>
      <c r="I602" s="21"/>
      <c r="J602" s="21"/>
      <c r="K602" s="21"/>
      <c r="L602" s="21"/>
      <c r="M602" s="9">
        <f t="shared" si="74"/>
        <v>0</v>
      </c>
      <c r="N602" s="9">
        <f t="shared" si="75"/>
        <v>0</v>
      </c>
      <c r="O602" s="21"/>
      <c r="P602" s="21"/>
      <c r="Q602" s="21"/>
      <c r="S602" s="25"/>
    </row>
    <row r="603" spans="1:19" ht="16.5" customHeight="1" x14ac:dyDescent="0.25">
      <c r="A603" s="9"/>
      <c r="B603" s="39" t="s">
        <v>42</v>
      </c>
      <c r="C603" s="40"/>
      <c r="D603" s="40"/>
      <c r="E603" s="40"/>
      <c r="F603" s="40"/>
      <c r="G603" s="41"/>
      <c r="H603" s="23"/>
      <c r="I603" s="24">
        <f>SUM(I594:I602)</f>
        <v>21</v>
      </c>
      <c r="J603" s="9"/>
      <c r="K603" s="9"/>
      <c r="L603" s="9"/>
      <c r="M603" s="9">
        <f t="shared" si="74"/>
        <v>162.12</v>
      </c>
      <c r="N603" s="9">
        <f t="shared" si="75"/>
        <v>66.36</v>
      </c>
      <c r="O603" s="24">
        <f>ROUND(SUM(M594:M602)/I603,2)</f>
        <v>7.72</v>
      </c>
      <c r="P603" s="24">
        <f>ROUND(SUM(N594:N602)/I603,2)</f>
        <v>3.16</v>
      </c>
      <c r="Q603" s="9"/>
      <c r="S603" s="25"/>
    </row>
    <row r="604" spans="1:19" ht="20.25" customHeight="1" x14ac:dyDescent="0.25">
      <c r="A604" s="27" t="s">
        <v>79</v>
      </c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</row>
    <row r="605" spans="1:19" ht="16.5" customHeight="1" x14ac:dyDescent="0.25">
      <c r="A605" s="9"/>
      <c r="B605" s="51" t="s">
        <v>80</v>
      </c>
      <c r="C605" s="52"/>
      <c r="D605" s="52"/>
      <c r="E605" s="52"/>
      <c r="F605" s="52"/>
      <c r="G605" s="53"/>
      <c r="H605" s="20"/>
      <c r="I605" s="9">
        <v>3</v>
      </c>
      <c r="J605" s="9"/>
      <c r="K605" s="9"/>
      <c r="L605" s="9"/>
      <c r="M605" s="9">
        <f t="shared" ref="M605:M610" si="76">I605*O605</f>
        <v>22.200000000000003</v>
      </c>
      <c r="N605" s="9">
        <f t="shared" ref="N605:N610" si="77">I605*P605</f>
        <v>9</v>
      </c>
      <c r="O605" s="9">
        <v>7.4</v>
      </c>
      <c r="P605" s="9">
        <v>3</v>
      </c>
      <c r="Q605" s="9" t="s">
        <v>6</v>
      </c>
      <c r="R605" s="1">
        <v>0</v>
      </c>
      <c r="S605" s="26"/>
    </row>
    <row r="606" spans="1:19" ht="16.5" customHeight="1" x14ac:dyDescent="0.25">
      <c r="A606" s="9"/>
      <c r="B606" s="51" t="s">
        <v>81</v>
      </c>
      <c r="C606" s="52"/>
      <c r="D606" s="52"/>
      <c r="E606" s="52"/>
      <c r="F606" s="52"/>
      <c r="G606" s="53"/>
      <c r="H606" s="20"/>
      <c r="I606" s="9">
        <v>4</v>
      </c>
      <c r="J606" s="9"/>
      <c r="K606" s="9"/>
      <c r="L606" s="9"/>
      <c r="M606" s="9">
        <f t="shared" si="76"/>
        <v>32</v>
      </c>
      <c r="N606" s="9">
        <f t="shared" si="77"/>
        <v>14</v>
      </c>
      <c r="O606" s="9">
        <v>8</v>
      </c>
      <c r="P606" s="9">
        <v>3.5</v>
      </c>
      <c r="Q606" s="9" t="s">
        <v>9</v>
      </c>
      <c r="R606" s="1">
        <v>0</v>
      </c>
      <c r="S606" s="26"/>
    </row>
    <row r="607" spans="1:19" ht="16.5" customHeight="1" x14ac:dyDescent="0.25">
      <c r="A607" s="9"/>
      <c r="B607" s="51" t="s">
        <v>82</v>
      </c>
      <c r="C607" s="52"/>
      <c r="D607" s="52"/>
      <c r="E607" s="52"/>
      <c r="F607" s="52"/>
      <c r="G607" s="53"/>
      <c r="H607" s="20"/>
      <c r="I607" s="9">
        <v>3</v>
      </c>
      <c r="J607" s="9"/>
      <c r="K607" s="9"/>
      <c r="L607" s="9"/>
      <c r="M607" s="9">
        <f t="shared" si="76"/>
        <v>23.1</v>
      </c>
      <c r="N607" s="9">
        <f t="shared" si="77"/>
        <v>9</v>
      </c>
      <c r="O607" s="9">
        <v>7.7</v>
      </c>
      <c r="P607" s="9">
        <v>3</v>
      </c>
      <c r="Q607" s="9" t="s">
        <v>6</v>
      </c>
      <c r="R607" s="1">
        <v>0</v>
      </c>
      <c r="S607" s="26"/>
    </row>
    <row r="608" spans="1:19" ht="16.5" customHeight="1" x14ac:dyDescent="0.25">
      <c r="A608" s="9"/>
      <c r="B608" s="51" t="s">
        <v>83</v>
      </c>
      <c r="C608" s="52"/>
      <c r="D608" s="52"/>
      <c r="E608" s="52"/>
      <c r="F608" s="52"/>
      <c r="G608" s="53"/>
      <c r="H608" s="20"/>
      <c r="I608" s="9">
        <v>1</v>
      </c>
      <c r="J608" s="9"/>
      <c r="K608" s="9"/>
      <c r="L608" s="9"/>
      <c r="M608" s="9">
        <f t="shared" si="76"/>
        <v>8</v>
      </c>
      <c r="N608" s="9">
        <f t="shared" si="77"/>
        <v>3.5</v>
      </c>
      <c r="O608" s="9">
        <v>8</v>
      </c>
      <c r="P608" s="9">
        <v>3.5</v>
      </c>
      <c r="Q608" s="9" t="s">
        <v>9</v>
      </c>
      <c r="R608" s="1">
        <v>0</v>
      </c>
      <c r="S608" s="26"/>
    </row>
    <row r="609" spans="1:19" ht="16.5" customHeight="1" x14ac:dyDescent="0.25">
      <c r="A609" s="9"/>
      <c r="B609" s="51" t="s">
        <v>84</v>
      </c>
      <c r="C609" s="52"/>
      <c r="D609" s="52"/>
      <c r="E609" s="52"/>
      <c r="F609" s="52"/>
      <c r="G609" s="53"/>
      <c r="H609" s="20"/>
      <c r="I609" s="9">
        <v>2</v>
      </c>
      <c r="J609" s="9"/>
      <c r="K609" s="9"/>
      <c r="L609" s="9"/>
      <c r="M609" s="9">
        <f t="shared" si="76"/>
        <v>16.600000000000001</v>
      </c>
      <c r="N609" s="9">
        <f t="shared" si="77"/>
        <v>7</v>
      </c>
      <c r="O609" s="9">
        <v>8.3000000000000007</v>
      </c>
      <c r="P609" s="9">
        <v>3.5</v>
      </c>
      <c r="Q609" s="9" t="s">
        <v>9</v>
      </c>
      <c r="R609" s="1">
        <v>0</v>
      </c>
      <c r="S609" s="26"/>
    </row>
    <row r="610" spans="1:19" ht="16.5" customHeight="1" x14ac:dyDescent="0.25">
      <c r="A610" s="9"/>
      <c r="B610" s="51" t="s">
        <v>85</v>
      </c>
      <c r="C610" s="52"/>
      <c r="D610" s="52"/>
      <c r="E610" s="52"/>
      <c r="F610" s="52"/>
      <c r="G610" s="53"/>
      <c r="H610" s="20"/>
      <c r="I610" s="9">
        <v>2</v>
      </c>
      <c r="J610" s="9"/>
      <c r="K610" s="9"/>
      <c r="L610" s="9"/>
      <c r="M610" s="9">
        <f t="shared" si="76"/>
        <v>16.399999999999999</v>
      </c>
      <c r="N610" s="9">
        <f t="shared" si="77"/>
        <v>7</v>
      </c>
      <c r="O610" s="9">
        <v>8.1999999999999993</v>
      </c>
      <c r="P610" s="9">
        <v>3.5</v>
      </c>
      <c r="Q610" s="9" t="s">
        <v>9</v>
      </c>
      <c r="R610" s="1">
        <v>0</v>
      </c>
      <c r="S610" s="26"/>
    </row>
    <row r="611" spans="1:19" ht="15" customHeight="1" x14ac:dyDescent="0.25">
      <c r="A611" s="36" t="s">
        <v>0</v>
      </c>
      <c r="B611" s="29" t="s">
        <v>1</v>
      </c>
      <c r="C611" s="30"/>
      <c r="D611" s="30"/>
      <c r="E611" s="30"/>
      <c r="F611" s="30"/>
      <c r="G611" s="31"/>
      <c r="H611" s="36" t="s">
        <v>32</v>
      </c>
      <c r="I611" s="36" t="s">
        <v>39</v>
      </c>
      <c r="J611" s="55" t="s">
        <v>2</v>
      </c>
      <c r="K611" s="56"/>
      <c r="L611" s="56"/>
      <c r="M611" s="56"/>
      <c r="N611" s="56"/>
      <c r="O611" s="56"/>
      <c r="P611" s="56"/>
      <c r="Q611" s="57"/>
      <c r="S611" s="36" t="s">
        <v>38</v>
      </c>
    </row>
    <row r="612" spans="1:19" ht="24" customHeight="1" x14ac:dyDescent="0.25">
      <c r="A612" s="37"/>
      <c r="B612" s="32"/>
      <c r="C612" s="33"/>
      <c r="D612" s="33"/>
      <c r="E612" s="33"/>
      <c r="F612" s="33"/>
      <c r="G612" s="34"/>
      <c r="H612" s="37"/>
      <c r="I612" s="37"/>
      <c r="J612" s="7" t="s">
        <v>28</v>
      </c>
      <c r="K612" s="7" t="s">
        <v>29</v>
      </c>
      <c r="L612" s="7" t="s">
        <v>30</v>
      </c>
      <c r="M612" s="7"/>
      <c r="N612" s="7"/>
      <c r="O612" s="6" t="s">
        <v>35</v>
      </c>
      <c r="P612" s="6" t="s">
        <v>36</v>
      </c>
      <c r="Q612" s="6" t="s">
        <v>37</v>
      </c>
      <c r="S612" s="37"/>
    </row>
    <row r="613" spans="1:19" ht="16.5" customHeight="1" x14ac:dyDescent="0.25">
      <c r="A613" s="9"/>
      <c r="B613" s="51" t="s">
        <v>86</v>
      </c>
      <c r="C613" s="52"/>
      <c r="D613" s="52"/>
      <c r="E613" s="52"/>
      <c r="F613" s="52"/>
      <c r="G613" s="53"/>
      <c r="H613" s="20"/>
      <c r="I613" s="9">
        <v>2</v>
      </c>
      <c r="J613" s="9"/>
      <c r="K613" s="9"/>
      <c r="L613" s="9"/>
      <c r="M613" s="9">
        <f>I613*O613</f>
        <v>17</v>
      </c>
      <c r="N613" s="9">
        <f>I613*P613</f>
        <v>7.4</v>
      </c>
      <c r="O613" s="9">
        <v>8.5</v>
      </c>
      <c r="P613" s="9">
        <v>3.7</v>
      </c>
      <c r="Q613" s="9" t="s">
        <v>10</v>
      </c>
      <c r="R613" s="1">
        <v>0</v>
      </c>
      <c r="S613" s="26"/>
    </row>
    <row r="614" spans="1:19" ht="16.5" customHeight="1" x14ac:dyDescent="0.25">
      <c r="A614" s="9"/>
      <c r="B614" s="51" t="s">
        <v>87</v>
      </c>
      <c r="C614" s="52"/>
      <c r="D614" s="52"/>
      <c r="E614" s="52"/>
      <c r="F614" s="52"/>
      <c r="G614" s="53"/>
      <c r="H614" s="20"/>
      <c r="I614" s="9">
        <v>3</v>
      </c>
      <c r="J614" s="9"/>
      <c r="K614" s="9"/>
      <c r="L614" s="9"/>
      <c r="M614" s="9">
        <f>I614*O614</f>
        <v>24.599999999999998</v>
      </c>
      <c r="N614" s="9">
        <f>I614*P614</f>
        <v>10.5</v>
      </c>
      <c r="O614" s="9">
        <v>8.1999999999999993</v>
      </c>
      <c r="P614" s="9">
        <v>3.5</v>
      </c>
      <c r="Q614" s="9" t="s">
        <v>9</v>
      </c>
      <c r="R614" s="1">
        <v>0</v>
      </c>
      <c r="S614" s="26"/>
    </row>
    <row r="615" spans="1:19" ht="16.5" customHeight="1" x14ac:dyDescent="0.25">
      <c r="A615" s="9"/>
      <c r="B615" s="51" t="s">
        <v>88</v>
      </c>
      <c r="C615" s="52"/>
      <c r="D615" s="52"/>
      <c r="E615" s="52"/>
      <c r="F615" s="52"/>
      <c r="G615" s="53"/>
      <c r="H615" s="20"/>
      <c r="I615" s="9">
        <v>3</v>
      </c>
      <c r="J615" s="9"/>
      <c r="K615" s="9"/>
      <c r="L615" s="9"/>
      <c r="M615" s="9">
        <f>I615*O615</f>
        <v>24</v>
      </c>
      <c r="N615" s="9">
        <f>I615*P615</f>
        <v>10.5</v>
      </c>
      <c r="O615" s="9">
        <v>8</v>
      </c>
      <c r="P615" s="9">
        <v>3.5</v>
      </c>
      <c r="Q615" s="9" t="s">
        <v>9</v>
      </c>
      <c r="R615" s="1">
        <v>0</v>
      </c>
      <c r="S615" s="26"/>
    </row>
    <row r="616" spans="1:19" ht="16.5" hidden="1" customHeight="1" x14ac:dyDescent="0.25">
      <c r="A616" s="21"/>
      <c r="H616" s="21"/>
      <c r="I616" s="21"/>
      <c r="J616" s="21"/>
      <c r="K616" s="21"/>
      <c r="L616" s="21"/>
      <c r="M616" s="9">
        <f>I616*O616</f>
        <v>0</v>
      </c>
      <c r="N616" s="9">
        <f>I616*P616</f>
        <v>0</v>
      </c>
      <c r="O616" s="21"/>
      <c r="P616" s="21"/>
      <c r="Q616" s="21"/>
      <c r="S616" s="25"/>
    </row>
    <row r="617" spans="1:19" ht="16.5" customHeight="1" x14ac:dyDescent="0.25">
      <c r="A617" s="9"/>
      <c r="B617" s="39" t="s">
        <v>42</v>
      </c>
      <c r="C617" s="40"/>
      <c r="D617" s="40"/>
      <c r="E617" s="40"/>
      <c r="F617" s="40"/>
      <c r="G617" s="41"/>
      <c r="H617" s="23"/>
      <c r="I617" s="24">
        <f>SUM(I605:I616)</f>
        <v>23</v>
      </c>
      <c r="J617" s="9"/>
      <c r="K617" s="9"/>
      <c r="L617" s="9"/>
      <c r="M617" s="9">
        <f>I617*O617</f>
        <v>184</v>
      </c>
      <c r="N617" s="9">
        <f>I617*P617</f>
        <v>77.97</v>
      </c>
      <c r="O617" s="24">
        <f>ROUND(SUM(M605:M616)/I617,2)</f>
        <v>8</v>
      </c>
      <c r="P617" s="24">
        <f>ROUND(SUM(N605:N616)/I617,2)</f>
        <v>3.39</v>
      </c>
      <c r="Q617" s="9"/>
      <c r="S617" s="25"/>
    </row>
    <row r="618" spans="1:19" ht="20.25" customHeight="1" x14ac:dyDescent="0.25">
      <c r="A618" s="27" t="s">
        <v>89</v>
      </c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</row>
    <row r="619" spans="1:19" ht="16.5" customHeight="1" x14ac:dyDescent="0.25">
      <c r="A619" s="9"/>
      <c r="B619" s="51" t="s">
        <v>90</v>
      </c>
      <c r="C619" s="52"/>
      <c r="D619" s="52"/>
      <c r="E619" s="52"/>
      <c r="F619" s="52"/>
      <c r="G619" s="53"/>
      <c r="H619" s="20"/>
      <c r="I619" s="9">
        <v>1</v>
      </c>
      <c r="J619" s="9"/>
      <c r="K619" s="9"/>
      <c r="L619" s="9"/>
      <c r="M619" s="9">
        <f t="shared" ref="M619:M631" si="78">I619*O619</f>
        <v>8.5</v>
      </c>
      <c r="N619" s="9">
        <f t="shared" ref="N619:N631" si="79">I619*P619</f>
        <v>3.7</v>
      </c>
      <c r="O619" s="9">
        <v>8.5</v>
      </c>
      <c r="P619" s="9">
        <v>3.7</v>
      </c>
      <c r="Q619" s="9" t="s">
        <v>10</v>
      </c>
      <c r="R619" s="1">
        <v>0</v>
      </c>
      <c r="S619" s="26"/>
    </row>
    <row r="620" spans="1:19" ht="16.5" customHeight="1" x14ac:dyDescent="0.25">
      <c r="A620" s="9"/>
      <c r="B620" s="51" t="s">
        <v>91</v>
      </c>
      <c r="C620" s="52"/>
      <c r="D620" s="52"/>
      <c r="E620" s="52"/>
      <c r="F620" s="52"/>
      <c r="G620" s="53"/>
      <c r="H620" s="20"/>
      <c r="I620" s="9">
        <v>3</v>
      </c>
      <c r="J620" s="9"/>
      <c r="K620" s="9"/>
      <c r="L620" s="9"/>
      <c r="M620" s="9">
        <f t="shared" si="78"/>
        <v>22.200000000000003</v>
      </c>
      <c r="N620" s="9">
        <f t="shared" si="79"/>
        <v>9</v>
      </c>
      <c r="O620" s="9">
        <v>7.4</v>
      </c>
      <c r="P620" s="9">
        <v>3</v>
      </c>
      <c r="Q620" s="9" t="s">
        <v>6</v>
      </c>
      <c r="R620" s="1">
        <v>0</v>
      </c>
      <c r="S620" s="26"/>
    </row>
    <row r="621" spans="1:19" ht="16.5" customHeight="1" x14ac:dyDescent="0.25">
      <c r="A621" s="9"/>
      <c r="B621" s="51" t="s">
        <v>92</v>
      </c>
      <c r="C621" s="52"/>
      <c r="D621" s="52"/>
      <c r="E621" s="52"/>
      <c r="F621" s="52"/>
      <c r="G621" s="53"/>
      <c r="H621" s="20"/>
      <c r="I621" s="9">
        <v>1</v>
      </c>
      <c r="J621" s="9"/>
      <c r="K621" s="9"/>
      <c r="L621" s="9"/>
      <c r="M621" s="9">
        <f t="shared" si="78"/>
        <v>8.5</v>
      </c>
      <c r="N621" s="9">
        <f t="shared" si="79"/>
        <v>3.7</v>
      </c>
      <c r="O621" s="9">
        <v>8.5</v>
      </c>
      <c r="P621" s="9">
        <v>3.7</v>
      </c>
      <c r="Q621" s="9" t="s">
        <v>10</v>
      </c>
      <c r="R621" s="1">
        <v>0</v>
      </c>
      <c r="S621" s="26"/>
    </row>
    <row r="622" spans="1:19" ht="16.5" customHeight="1" x14ac:dyDescent="0.25">
      <c r="A622" s="9"/>
      <c r="B622" s="51" t="s">
        <v>93</v>
      </c>
      <c r="C622" s="52"/>
      <c r="D622" s="52"/>
      <c r="E622" s="52"/>
      <c r="F622" s="52"/>
      <c r="G622" s="53"/>
      <c r="H622" s="20"/>
      <c r="I622" s="9">
        <v>2</v>
      </c>
      <c r="J622" s="9"/>
      <c r="K622" s="9"/>
      <c r="L622" s="9"/>
      <c r="M622" s="9">
        <f t="shared" si="78"/>
        <v>11.6</v>
      </c>
      <c r="N622" s="9">
        <f t="shared" si="79"/>
        <v>4</v>
      </c>
      <c r="O622" s="9">
        <v>5.8</v>
      </c>
      <c r="P622" s="9">
        <v>2</v>
      </c>
      <c r="Q622" s="9" t="s">
        <v>3</v>
      </c>
      <c r="R622" s="1">
        <v>0</v>
      </c>
      <c r="S622" s="26"/>
    </row>
    <row r="623" spans="1:19" ht="16.5" customHeight="1" x14ac:dyDescent="0.25">
      <c r="A623" s="9"/>
      <c r="B623" s="51" t="s">
        <v>94</v>
      </c>
      <c r="C623" s="52"/>
      <c r="D623" s="52"/>
      <c r="E623" s="52"/>
      <c r="F623" s="52"/>
      <c r="G623" s="53"/>
      <c r="H623" s="20"/>
      <c r="I623" s="9">
        <v>1</v>
      </c>
      <c r="J623" s="9"/>
      <c r="K623" s="9"/>
      <c r="L623" s="9"/>
      <c r="M623" s="9">
        <f t="shared" si="78"/>
        <v>8.1999999999999993</v>
      </c>
      <c r="N623" s="9">
        <f t="shared" si="79"/>
        <v>3.5</v>
      </c>
      <c r="O623" s="9">
        <v>8.1999999999999993</v>
      </c>
      <c r="P623" s="9">
        <v>3.5</v>
      </c>
      <c r="Q623" s="9" t="s">
        <v>9</v>
      </c>
      <c r="R623" s="1">
        <v>0</v>
      </c>
      <c r="S623" s="26"/>
    </row>
    <row r="624" spans="1:19" ht="16.5" customHeight="1" x14ac:dyDescent="0.25">
      <c r="A624" s="9"/>
      <c r="B624" s="51" t="s">
        <v>95</v>
      </c>
      <c r="C624" s="52"/>
      <c r="D624" s="52"/>
      <c r="E624" s="52"/>
      <c r="F624" s="52"/>
      <c r="G624" s="53"/>
      <c r="H624" s="20"/>
      <c r="I624" s="9">
        <v>2</v>
      </c>
      <c r="J624" s="9"/>
      <c r="K624" s="9"/>
      <c r="L624" s="9"/>
      <c r="M624" s="9">
        <f t="shared" si="78"/>
        <v>16</v>
      </c>
      <c r="N624" s="9">
        <f t="shared" si="79"/>
        <v>7</v>
      </c>
      <c r="O624" s="9">
        <v>8</v>
      </c>
      <c r="P624" s="9">
        <v>3.5</v>
      </c>
      <c r="Q624" s="9" t="s">
        <v>9</v>
      </c>
      <c r="R624" s="1">
        <v>0</v>
      </c>
      <c r="S624" s="26"/>
    </row>
    <row r="625" spans="1:19" ht="16.5" customHeight="1" x14ac:dyDescent="0.25">
      <c r="A625" s="9"/>
      <c r="B625" s="51" t="s">
        <v>100</v>
      </c>
      <c r="C625" s="52"/>
      <c r="D625" s="52"/>
      <c r="E625" s="52"/>
      <c r="F625" s="52"/>
      <c r="G625" s="53"/>
      <c r="H625" s="20"/>
      <c r="I625" s="9">
        <v>2</v>
      </c>
      <c r="J625" s="9"/>
      <c r="K625" s="9"/>
      <c r="L625" s="9"/>
      <c r="M625" s="9">
        <f t="shared" si="78"/>
        <v>15</v>
      </c>
      <c r="N625" s="9">
        <f t="shared" si="79"/>
        <v>6</v>
      </c>
      <c r="O625" s="9">
        <v>7.5</v>
      </c>
      <c r="P625" s="9">
        <v>3</v>
      </c>
      <c r="Q625" s="9" t="s">
        <v>6</v>
      </c>
      <c r="R625" s="1">
        <v>0</v>
      </c>
      <c r="S625" s="26"/>
    </row>
    <row r="626" spans="1:19" ht="16.5" customHeight="1" x14ac:dyDescent="0.25">
      <c r="A626" s="9"/>
      <c r="B626" s="51" t="s">
        <v>99</v>
      </c>
      <c r="C626" s="52"/>
      <c r="D626" s="52"/>
      <c r="E626" s="52"/>
      <c r="F626" s="52"/>
      <c r="G626" s="53"/>
      <c r="H626" s="20"/>
      <c r="I626" s="9">
        <v>1</v>
      </c>
      <c r="J626" s="9"/>
      <c r="K626" s="9"/>
      <c r="L626" s="9"/>
      <c r="M626" s="9">
        <f t="shared" si="78"/>
        <v>8.3000000000000007</v>
      </c>
      <c r="N626" s="9">
        <f t="shared" si="79"/>
        <v>3.5</v>
      </c>
      <c r="O626" s="9">
        <v>8.3000000000000007</v>
      </c>
      <c r="P626" s="9">
        <v>3.5</v>
      </c>
      <c r="Q626" s="9" t="s">
        <v>9</v>
      </c>
      <c r="R626" s="1">
        <v>0</v>
      </c>
      <c r="S626" s="26"/>
    </row>
    <row r="627" spans="1:19" ht="16.5" customHeight="1" x14ac:dyDescent="0.25">
      <c r="A627" s="9"/>
      <c r="B627" s="51" t="s">
        <v>98</v>
      </c>
      <c r="C627" s="52"/>
      <c r="D627" s="52"/>
      <c r="E627" s="52"/>
      <c r="F627" s="52"/>
      <c r="G627" s="53"/>
      <c r="H627" s="20"/>
      <c r="I627" s="9">
        <v>4</v>
      </c>
      <c r="J627" s="9"/>
      <c r="K627" s="9"/>
      <c r="L627" s="9"/>
      <c r="M627" s="9">
        <f t="shared" si="78"/>
        <v>28.8</v>
      </c>
      <c r="N627" s="9">
        <f t="shared" si="79"/>
        <v>12</v>
      </c>
      <c r="O627" s="9">
        <v>7.2</v>
      </c>
      <c r="P627" s="9">
        <v>3</v>
      </c>
      <c r="Q627" s="9" t="s">
        <v>6</v>
      </c>
      <c r="R627" s="1">
        <v>0</v>
      </c>
      <c r="S627" s="26"/>
    </row>
    <row r="628" spans="1:19" ht="16.5" customHeight="1" x14ac:dyDescent="0.25">
      <c r="A628" s="9"/>
      <c r="B628" s="51" t="s">
        <v>97</v>
      </c>
      <c r="C628" s="52"/>
      <c r="D628" s="52"/>
      <c r="E628" s="52"/>
      <c r="F628" s="52"/>
      <c r="G628" s="53"/>
      <c r="H628" s="20"/>
      <c r="I628" s="9">
        <v>3</v>
      </c>
      <c r="J628" s="9"/>
      <c r="K628" s="9"/>
      <c r="L628" s="9"/>
      <c r="M628" s="9">
        <f t="shared" si="78"/>
        <v>19.799999999999997</v>
      </c>
      <c r="N628" s="9">
        <f t="shared" si="79"/>
        <v>7.5</v>
      </c>
      <c r="O628" s="9">
        <v>6.6</v>
      </c>
      <c r="P628" s="9">
        <v>2.5</v>
      </c>
      <c r="Q628" s="9" t="s">
        <v>5</v>
      </c>
      <c r="R628" s="1">
        <v>0</v>
      </c>
      <c r="S628" s="26"/>
    </row>
    <row r="629" spans="1:19" ht="16.5" customHeight="1" x14ac:dyDescent="0.25">
      <c r="A629" s="9"/>
      <c r="B629" s="51" t="s">
        <v>96</v>
      </c>
      <c r="C629" s="52"/>
      <c r="D629" s="52"/>
      <c r="E629" s="52"/>
      <c r="F629" s="52"/>
      <c r="G629" s="53"/>
      <c r="H629" s="20"/>
      <c r="I629" s="9">
        <v>2</v>
      </c>
      <c r="J629" s="9"/>
      <c r="K629" s="9"/>
      <c r="L629" s="9"/>
      <c r="M629" s="9">
        <f t="shared" si="78"/>
        <v>15.6</v>
      </c>
      <c r="N629" s="9">
        <f t="shared" si="79"/>
        <v>6</v>
      </c>
      <c r="O629" s="9">
        <v>7.8</v>
      </c>
      <c r="P629" s="9">
        <v>3</v>
      </c>
      <c r="Q629" s="9" t="s">
        <v>6</v>
      </c>
      <c r="R629" s="1">
        <v>0</v>
      </c>
      <c r="S629" s="26"/>
    </row>
    <row r="630" spans="1:19" ht="16.5" hidden="1" customHeight="1" x14ac:dyDescent="0.25">
      <c r="A630" s="21"/>
      <c r="H630" s="21"/>
      <c r="I630" s="21"/>
      <c r="J630" s="21"/>
      <c r="K630" s="21"/>
      <c r="L630" s="21"/>
      <c r="M630" s="9">
        <f t="shared" si="78"/>
        <v>0</v>
      </c>
      <c r="N630" s="9">
        <f t="shared" si="79"/>
        <v>0</v>
      </c>
      <c r="O630" s="21"/>
      <c r="P630" s="21"/>
      <c r="Q630" s="21"/>
      <c r="S630" s="25"/>
    </row>
    <row r="631" spans="1:19" ht="16.5" customHeight="1" x14ac:dyDescent="0.25">
      <c r="A631" s="9"/>
      <c r="B631" s="39" t="s">
        <v>42</v>
      </c>
      <c r="C631" s="40"/>
      <c r="D631" s="40"/>
      <c r="E631" s="40"/>
      <c r="F631" s="40"/>
      <c r="G631" s="41"/>
      <c r="H631" s="23"/>
      <c r="I631" s="24">
        <f>SUM(I619:I630)</f>
        <v>22</v>
      </c>
      <c r="J631" s="9"/>
      <c r="K631" s="9"/>
      <c r="L631" s="9"/>
      <c r="M631" s="9">
        <f t="shared" si="78"/>
        <v>162.57999999999998</v>
      </c>
      <c r="N631" s="9">
        <f t="shared" si="79"/>
        <v>66</v>
      </c>
      <c r="O631" s="24">
        <f>ROUND(SUM(M619:M630)/I631,2)</f>
        <v>7.39</v>
      </c>
      <c r="P631" s="24">
        <f>ROUND(SUM(N619:N630)/I631,2)</f>
        <v>3</v>
      </c>
      <c r="Q631" s="9"/>
      <c r="S631" s="25"/>
    </row>
    <row r="632" spans="1:19" ht="20.25" customHeight="1" x14ac:dyDescent="0.25">
      <c r="A632" s="27" t="s">
        <v>101</v>
      </c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</row>
    <row r="633" spans="1:19" ht="16.5" customHeight="1" x14ac:dyDescent="0.25">
      <c r="A633" s="9"/>
      <c r="B633" s="51" t="s">
        <v>102</v>
      </c>
      <c r="C633" s="52"/>
      <c r="D633" s="52"/>
      <c r="E633" s="52"/>
      <c r="F633" s="52"/>
      <c r="G633" s="53"/>
      <c r="H633" s="20"/>
      <c r="I633" s="9">
        <v>1</v>
      </c>
      <c r="J633" s="9"/>
      <c r="K633" s="9"/>
      <c r="L633" s="9"/>
      <c r="M633" s="9">
        <f t="shared" ref="M633:M646" si="80">I633*O633</f>
        <v>7.6</v>
      </c>
      <c r="N633" s="9">
        <f t="shared" ref="N633:N646" si="81">I633*P633</f>
        <v>3</v>
      </c>
      <c r="O633" s="9">
        <v>7.6</v>
      </c>
      <c r="P633" s="9">
        <v>3</v>
      </c>
      <c r="Q633" s="9" t="s">
        <v>6</v>
      </c>
      <c r="R633" s="1">
        <v>0</v>
      </c>
      <c r="S633" s="26"/>
    </row>
    <row r="634" spans="1:19" ht="16.5" customHeight="1" x14ac:dyDescent="0.25">
      <c r="A634" s="9"/>
      <c r="B634" s="51" t="s">
        <v>103</v>
      </c>
      <c r="C634" s="52"/>
      <c r="D634" s="52"/>
      <c r="E634" s="52"/>
      <c r="F634" s="52"/>
      <c r="G634" s="53"/>
      <c r="H634" s="20"/>
      <c r="I634" s="9">
        <v>2</v>
      </c>
      <c r="J634" s="9"/>
      <c r="K634" s="9"/>
      <c r="L634" s="9"/>
      <c r="M634" s="9">
        <f t="shared" si="80"/>
        <v>17</v>
      </c>
      <c r="N634" s="9">
        <f t="shared" si="81"/>
        <v>7.4</v>
      </c>
      <c r="O634" s="9">
        <v>8.5</v>
      </c>
      <c r="P634" s="9">
        <v>3.7</v>
      </c>
      <c r="Q634" s="9" t="s">
        <v>10</v>
      </c>
      <c r="R634" s="1">
        <v>0</v>
      </c>
      <c r="S634" s="26"/>
    </row>
    <row r="635" spans="1:19" ht="16.5" customHeight="1" x14ac:dyDescent="0.25">
      <c r="A635" s="9"/>
      <c r="B635" s="51" t="s">
        <v>104</v>
      </c>
      <c r="C635" s="52"/>
      <c r="D635" s="52"/>
      <c r="E635" s="52"/>
      <c r="F635" s="52"/>
      <c r="G635" s="53"/>
      <c r="H635" s="20"/>
      <c r="I635" s="9">
        <v>4</v>
      </c>
      <c r="J635" s="9"/>
      <c r="K635" s="9"/>
      <c r="L635" s="9"/>
      <c r="M635" s="9">
        <f t="shared" si="80"/>
        <v>31.6</v>
      </c>
      <c r="N635" s="9">
        <f t="shared" si="81"/>
        <v>12</v>
      </c>
      <c r="O635" s="9">
        <v>7.9</v>
      </c>
      <c r="P635" s="9">
        <v>3</v>
      </c>
      <c r="Q635" s="9" t="s">
        <v>6</v>
      </c>
      <c r="R635" s="1">
        <v>0</v>
      </c>
      <c r="S635" s="26"/>
    </row>
    <row r="636" spans="1:19" ht="16.5" customHeight="1" x14ac:dyDescent="0.25">
      <c r="A636" s="9"/>
      <c r="B636" s="51" t="s">
        <v>112</v>
      </c>
      <c r="C636" s="52"/>
      <c r="D636" s="52"/>
      <c r="E636" s="52"/>
      <c r="F636" s="52"/>
      <c r="G636" s="53"/>
      <c r="H636" s="20"/>
      <c r="I636" s="9">
        <v>2</v>
      </c>
      <c r="J636" s="9"/>
      <c r="K636" s="9"/>
      <c r="L636" s="9"/>
      <c r="M636" s="9">
        <f t="shared" si="80"/>
        <v>13.4</v>
      </c>
      <c r="N636" s="9">
        <f t="shared" si="81"/>
        <v>5</v>
      </c>
      <c r="O636" s="9">
        <v>6.7</v>
      </c>
      <c r="P636" s="9">
        <v>2.5</v>
      </c>
      <c r="Q636" s="9" t="s">
        <v>5</v>
      </c>
      <c r="R636" s="1">
        <v>0</v>
      </c>
      <c r="S636" s="26"/>
    </row>
    <row r="637" spans="1:19" ht="16.5" customHeight="1" x14ac:dyDescent="0.25">
      <c r="A637" s="9"/>
      <c r="B637" s="51" t="s">
        <v>106</v>
      </c>
      <c r="C637" s="52"/>
      <c r="D637" s="52"/>
      <c r="E637" s="52"/>
      <c r="F637" s="52"/>
      <c r="G637" s="53"/>
      <c r="H637" s="20"/>
      <c r="I637" s="9">
        <v>2</v>
      </c>
      <c r="J637" s="9"/>
      <c r="K637" s="9"/>
      <c r="L637" s="9"/>
      <c r="M637" s="9">
        <f t="shared" si="80"/>
        <v>14.8</v>
      </c>
      <c r="N637" s="9">
        <f t="shared" si="81"/>
        <v>6</v>
      </c>
      <c r="O637" s="9">
        <v>7.4</v>
      </c>
      <c r="P637" s="9">
        <v>3</v>
      </c>
      <c r="Q637" s="9" t="s">
        <v>6</v>
      </c>
      <c r="R637" s="1">
        <v>0</v>
      </c>
      <c r="S637" s="26"/>
    </row>
    <row r="638" spans="1:19" ht="16.5" customHeight="1" x14ac:dyDescent="0.25">
      <c r="A638" s="9"/>
      <c r="B638" s="51" t="s">
        <v>107</v>
      </c>
      <c r="C638" s="52"/>
      <c r="D638" s="52"/>
      <c r="E638" s="52"/>
      <c r="F638" s="52"/>
      <c r="G638" s="53"/>
      <c r="H638" s="20"/>
      <c r="I638" s="9">
        <v>2</v>
      </c>
      <c r="J638" s="9"/>
      <c r="K638" s="9"/>
      <c r="L638" s="9"/>
      <c r="M638" s="9">
        <f t="shared" si="80"/>
        <v>15</v>
      </c>
      <c r="N638" s="9">
        <f t="shared" si="81"/>
        <v>6</v>
      </c>
      <c r="O638" s="9">
        <v>7.5</v>
      </c>
      <c r="P638" s="9">
        <v>3</v>
      </c>
      <c r="Q638" s="9" t="s">
        <v>6</v>
      </c>
      <c r="R638" s="1">
        <v>0</v>
      </c>
      <c r="S638" s="26"/>
    </row>
    <row r="639" spans="1:19" ht="16.5" customHeight="1" x14ac:dyDescent="0.25">
      <c r="A639" s="9"/>
      <c r="B639" s="51" t="s">
        <v>108</v>
      </c>
      <c r="C639" s="52"/>
      <c r="D639" s="52"/>
      <c r="E639" s="52"/>
      <c r="F639" s="52"/>
      <c r="G639" s="53"/>
      <c r="H639" s="20"/>
      <c r="I639" s="9">
        <v>4</v>
      </c>
      <c r="J639" s="9"/>
      <c r="K639" s="9"/>
      <c r="L639" s="9"/>
      <c r="M639" s="9">
        <f t="shared" si="80"/>
        <v>32</v>
      </c>
      <c r="N639" s="9">
        <f t="shared" si="81"/>
        <v>14</v>
      </c>
      <c r="O639" s="9">
        <v>8</v>
      </c>
      <c r="P639" s="9">
        <v>3.5</v>
      </c>
      <c r="Q639" s="9" t="s">
        <v>9</v>
      </c>
      <c r="R639" s="1">
        <v>0</v>
      </c>
      <c r="S639" s="26"/>
    </row>
    <row r="640" spans="1:19" ht="16.5" customHeight="1" x14ac:dyDescent="0.25">
      <c r="A640" s="9"/>
      <c r="B640" s="51" t="s">
        <v>109</v>
      </c>
      <c r="C640" s="52"/>
      <c r="D640" s="52"/>
      <c r="E640" s="52"/>
      <c r="F640" s="52"/>
      <c r="G640" s="53"/>
      <c r="H640" s="20"/>
      <c r="I640" s="9">
        <v>2</v>
      </c>
      <c r="J640" s="9"/>
      <c r="K640" s="9"/>
      <c r="L640" s="9"/>
      <c r="M640" s="9">
        <f t="shared" si="80"/>
        <v>17</v>
      </c>
      <c r="N640" s="9">
        <f t="shared" si="81"/>
        <v>7.4</v>
      </c>
      <c r="O640" s="9">
        <v>8.5</v>
      </c>
      <c r="P640" s="9">
        <v>3.7</v>
      </c>
      <c r="Q640" s="9" t="s">
        <v>10</v>
      </c>
      <c r="R640" s="1">
        <v>0</v>
      </c>
      <c r="S640" s="26"/>
    </row>
    <row r="641" spans="1:19" ht="16.5" customHeight="1" x14ac:dyDescent="0.25">
      <c r="A641" s="9"/>
      <c r="B641" s="51" t="s">
        <v>110</v>
      </c>
      <c r="C641" s="52"/>
      <c r="D641" s="52"/>
      <c r="E641" s="52"/>
      <c r="F641" s="52"/>
      <c r="G641" s="53"/>
      <c r="H641" s="20"/>
      <c r="I641" s="9">
        <v>2</v>
      </c>
      <c r="J641" s="9"/>
      <c r="K641" s="9"/>
      <c r="L641" s="9"/>
      <c r="M641" s="9">
        <f t="shared" si="80"/>
        <v>16.2</v>
      </c>
      <c r="N641" s="9">
        <f t="shared" si="81"/>
        <v>7</v>
      </c>
      <c r="O641" s="9">
        <v>8.1</v>
      </c>
      <c r="P641" s="9">
        <v>3.5</v>
      </c>
      <c r="Q641" s="9" t="s">
        <v>9</v>
      </c>
      <c r="R641" s="1">
        <v>0</v>
      </c>
      <c r="S641" s="26"/>
    </row>
    <row r="642" spans="1:19" ht="16.5" customHeight="1" x14ac:dyDescent="0.25">
      <c r="A642" s="9"/>
      <c r="B642" s="51" t="s">
        <v>111</v>
      </c>
      <c r="C642" s="52"/>
      <c r="D642" s="52"/>
      <c r="E642" s="52"/>
      <c r="F642" s="52"/>
      <c r="G642" s="53"/>
      <c r="H642" s="20"/>
      <c r="I642" s="9">
        <v>4</v>
      </c>
      <c r="J642" s="9"/>
      <c r="K642" s="9"/>
      <c r="L642" s="9"/>
      <c r="M642" s="9">
        <f t="shared" si="80"/>
        <v>32.4</v>
      </c>
      <c r="N642" s="9">
        <f t="shared" si="81"/>
        <v>14</v>
      </c>
      <c r="O642" s="9">
        <v>8.1</v>
      </c>
      <c r="P642" s="9">
        <v>3.5</v>
      </c>
      <c r="Q642" s="9" t="s">
        <v>9</v>
      </c>
      <c r="R642" s="1">
        <v>0</v>
      </c>
      <c r="S642" s="26"/>
    </row>
    <row r="643" spans="1:19" ht="16.5" customHeight="1" x14ac:dyDescent="0.25">
      <c r="A643" s="9"/>
      <c r="B643" s="51" t="s">
        <v>105</v>
      </c>
      <c r="C643" s="52"/>
      <c r="D643" s="52"/>
      <c r="E643" s="52"/>
      <c r="F643" s="52"/>
      <c r="G643" s="53"/>
      <c r="H643" s="20"/>
      <c r="I643" s="9">
        <v>3</v>
      </c>
      <c r="J643" s="9"/>
      <c r="K643" s="9"/>
      <c r="L643" s="9"/>
      <c r="M643" s="9">
        <f t="shared" si="80"/>
        <v>23.4</v>
      </c>
      <c r="N643" s="9">
        <f t="shared" si="81"/>
        <v>9</v>
      </c>
      <c r="O643" s="9">
        <v>7.8</v>
      </c>
      <c r="P643" s="9">
        <v>3</v>
      </c>
      <c r="Q643" s="9" t="s">
        <v>6</v>
      </c>
      <c r="R643" s="1">
        <v>0</v>
      </c>
      <c r="S643" s="26"/>
    </row>
    <row r="644" spans="1:19" ht="16.5" customHeight="1" x14ac:dyDescent="0.25">
      <c r="A644" s="9"/>
      <c r="B644" s="51" t="s">
        <v>113</v>
      </c>
      <c r="C644" s="52"/>
      <c r="D644" s="52"/>
      <c r="E644" s="52"/>
      <c r="F644" s="52"/>
      <c r="G644" s="53"/>
      <c r="H644" s="20"/>
      <c r="I644" s="9">
        <v>1</v>
      </c>
      <c r="J644" s="9"/>
      <c r="K644" s="9"/>
      <c r="L644" s="9"/>
      <c r="M644" s="9">
        <f t="shared" si="80"/>
        <v>7.4</v>
      </c>
      <c r="N644" s="9">
        <f t="shared" si="81"/>
        <v>3</v>
      </c>
      <c r="O644" s="9">
        <v>7.4</v>
      </c>
      <c r="P644" s="9">
        <v>3</v>
      </c>
      <c r="Q644" s="9" t="s">
        <v>6</v>
      </c>
      <c r="R644" s="1">
        <v>0</v>
      </c>
      <c r="S644" s="26"/>
    </row>
    <row r="645" spans="1:19" ht="16.5" hidden="1" customHeight="1" x14ac:dyDescent="0.25">
      <c r="A645" s="21"/>
      <c r="H645" s="21"/>
      <c r="I645" s="21"/>
      <c r="J645" s="21"/>
      <c r="K645" s="21"/>
      <c r="L645" s="21"/>
      <c r="M645" s="9">
        <f t="shared" si="80"/>
        <v>0</v>
      </c>
      <c r="N645" s="9">
        <f t="shared" si="81"/>
        <v>0</v>
      </c>
      <c r="O645" s="21"/>
      <c r="P645" s="21"/>
      <c r="Q645" s="21"/>
      <c r="S645" s="25"/>
    </row>
    <row r="646" spans="1:19" ht="16.5" customHeight="1" x14ac:dyDescent="0.25">
      <c r="A646" s="9"/>
      <c r="B646" s="39" t="s">
        <v>42</v>
      </c>
      <c r="C646" s="40"/>
      <c r="D646" s="40"/>
      <c r="E646" s="40"/>
      <c r="F646" s="40"/>
      <c r="G646" s="41"/>
      <c r="H646" s="23"/>
      <c r="I646" s="24">
        <f>SUM(I633:I645)</f>
        <v>29</v>
      </c>
      <c r="J646" s="9"/>
      <c r="K646" s="9"/>
      <c r="L646" s="9"/>
      <c r="M646" s="9">
        <f t="shared" si="80"/>
        <v>227.94</v>
      </c>
      <c r="N646" s="9">
        <f t="shared" si="81"/>
        <v>93.67</v>
      </c>
      <c r="O646" s="24">
        <f>ROUND(SUM(M633:M645)/I646,2)</f>
        <v>7.86</v>
      </c>
      <c r="P646" s="24">
        <f>ROUND(SUM(N633:N645)/I646,2)</f>
        <v>3.23</v>
      </c>
      <c r="Q646" s="9"/>
      <c r="S646" s="25"/>
    </row>
    <row r="647" spans="1:19" ht="20.25" customHeight="1" x14ac:dyDescent="0.25">
      <c r="A647" s="27" t="s">
        <v>114</v>
      </c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</row>
    <row r="648" spans="1:19" ht="16.5" customHeight="1" x14ac:dyDescent="0.25">
      <c r="A648" s="9"/>
      <c r="B648" s="51" t="s">
        <v>115</v>
      </c>
      <c r="C648" s="52"/>
      <c r="D648" s="52"/>
      <c r="E648" s="52"/>
      <c r="F648" s="52"/>
      <c r="G648" s="53"/>
      <c r="H648" s="20"/>
      <c r="I648" s="9">
        <v>2</v>
      </c>
      <c r="J648" s="9"/>
      <c r="K648" s="9"/>
      <c r="L648" s="9"/>
      <c r="M648" s="9">
        <f t="shared" ref="M648:M659" si="82">I648*O648</f>
        <v>0</v>
      </c>
      <c r="N648" s="9">
        <f t="shared" ref="N648:N659" si="83">I648*P648</f>
        <v>0</v>
      </c>
      <c r="O648" s="9"/>
      <c r="P648" s="9"/>
      <c r="Q648" s="9"/>
      <c r="R648" s="1">
        <v>0</v>
      </c>
      <c r="S648" s="26"/>
    </row>
    <row r="649" spans="1:19" ht="16.5" customHeight="1" x14ac:dyDescent="0.25">
      <c r="A649" s="9"/>
      <c r="B649" s="51" t="s">
        <v>116</v>
      </c>
      <c r="C649" s="52"/>
      <c r="D649" s="52"/>
      <c r="E649" s="52"/>
      <c r="F649" s="52"/>
      <c r="G649" s="53"/>
      <c r="H649" s="20"/>
      <c r="I649" s="9">
        <v>3</v>
      </c>
      <c r="J649" s="9"/>
      <c r="K649" s="9"/>
      <c r="L649" s="9"/>
      <c r="M649" s="9">
        <f t="shared" si="82"/>
        <v>23.700000000000003</v>
      </c>
      <c r="N649" s="9">
        <f t="shared" si="83"/>
        <v>9</v>
      </c>
      <c r="O649" s="9">
        <v>7.9</v>
      </c>
      <c r="P649" s="9">
        <v>3</v>
      </c>
      <c r="Q649" s="9" t="s">
        <v>6</v>
      </c>
      <c r="R649" s="1">
        <v>0</v>
      </c>
      <c r="S649" s="26"/>
    </row>
    <row r="650" spans="1:19" ht="16.5" customHeight="1" x14ac:dyDescent="0.25">
      <c r="A650" s="9"/>
      <c r="B650" s="51" t="s">
        <v>117</v>
      </c>
      <c r="C650" s="52"/>
      <c r="D650" s="52"/>
      <c r="E650" s="52"/>
      <c r="F650" s="52"/>
      <c r="G650" s="53"/>
      <c r="H650" s="20"/>
      <c r="I650" s="9">
        <v>3</v>
      </c>
      <c r="J650" s="9"/>
      <c r="K650" s="9"/>
      <c r="L650" s="9"/>
      <c r="M650" s="9">
        <f t="shared" si="82"/>
        <v>0</v>
      </c>
      <c r="N650" s="9">
        <f t="shared" si="83"/>
        <v>0</v>
      </c>
      <c r="O650" s="9"/>
      <c r="P650" s="9"/>
      <c r="Q650" s="9"/>
      <c r="R650" s="1">
        <v>0</v>
      </c>
      <c r="S650" s="26"/>
    </row>
    <row r="651" spans="1:19" ht="16.5" customHeight="1" x14ac:dyDescent="0.25">
      <c r="A651" s="9"/>
      <c r="B651" s="51" t="s">
        <v>118</v>
      </c>
      <c r="C651" s="52"/>
      <c r="D651" s="52"/>
      <c r="E651" s="52"/>
      <c r="F651" s="52"/>
      <c r="G651" s="53"/>
      <c r="H651" s="20"/>
      <c r="I651" s="9">
        <v>1</v>
      </c>
      <c r="J651" s="9"/>
      <c r="K651" s="9"/>
      <c r="L651" s="9"/>
      <c r="M651" s="9">
        <f t="shared" si="82"/>
        <v>7.4</v>
      </c>
      <c r="N651" s="9">
        <f t="shared" si="83"/>
        <v>3</v>
      </c>
      <c r="O651" s="9">
        <v>7.4</v>
      </c>
      <c r="P651" s="9">
        <v>3</v>
      </c>
      <c r="Q651" s="9" t="s">
        <v>6</v>
      </c>
      <c r="R651" s="1">
        <v>0</v>
      </c>
      <c r="S651" s="26"/>
    </row>
    <row r="652" spans="1:19" ht="16.5" customHeight="1" x14ac:dyDescent="0.25">
      <c r="A652" s="9"/>
      <c r="B652" s="51" t="s">
        <v>119</v>
      </c>
      <c r="C652" s="52"/>
      <c r="D652" s="52"/>
      <c r="E652" s="52"/>
      <c r="F652" s="52"/>
      <c r="G652" s="53"/>
      <c r="H652" s="20"/>
      <c r="I652" s="9">
        <v>4</v>
      </c>
      <c r="J652" s="9"/>
      <c r="K652" s="9"/>
      <c r="L652" s="9"/>
      <c r="M652" s="9">
        <f t="shared" si="82"/>
        <v>0</v>
      </c>
      <c r="N652" s="9">
        <f t="shared" si="83"/>
        <v>0</v>
      </c>
      <c r="O652" s="9"/>
      <c r="P652" s="9"/>
      <c r="Q652" s="9"/>
      <c r="R652" s="1">
        <v>0</v>
      </c>
      <c r="S652" s="26"/>
    </row>
    <row r="653" spans="1:19" ht="16.5" customHeight="1" x14ac:dyDescent="0.25">
      <c r="A653" s="9"/>
      <c r="B653" s="51" t="s">
        <v>120</v>
      </c>
      <c r="C653" s="52"/>
      <c r="D653" s="52"/>
      <c r="E653" s="52"/>
      <c r="F653" s="52"/>
      <c r="G653" s="53"/>
      <c r="H653" s="20"/>
      <c r="I653" s="9">
        <v>3</v>
      </c>
      <c r="J653" s="9"/>
      <c r="K653" s="9"/>
      <c r="L653" s="9"/>
      <c r="M653" s="9">
        <f t="shared" si="82"/>
        <v>24</v>
      </c>
      <c r="N653" s="9">
        <f t="shared" si="83"/>
        <v>10.5</v>
      </c>
      <c r="O653" s="9">
        <v>8</v>
      </c>
      <c r="P653" s="9">
        <v>3.5</v>
      </c>
      <c r="Q653" s="9" t="s">
        <v>9</v>
      </c>
      <c r="R653" s="1">
        <v>0</v>
      </c>
      <c r="S653" s="26"/>
    </row>
    <row r="654" spans="1:19" ht="16.5" customHeight="1" x14ac:dyDescent="0.25">
      <c r="A654" s="9"/>
      <c r="B654" s="51" t="s">
        <v>142</v>
      </c>
      <c r="C654" s="52"/>
      <c r="D654" s="52"/>
      <c r="E654" s="52"/>
      <c r="F654" s="52"/>
      <c r="G654" s="53"/>
      <c r="H654" s="20"/>
      <c r="I654" s="9">
        <v>3</v>
      </c>
      <c r="J654" s="9"/>
      <c r="K654" s="9"/>
      <c r="L654" s="9"/>
      <c r="M654" s="9">
        <f t="shared" si="82"/>
        <v>21.6</v>
      </c>
      <c r="N654" s="9">
        <f t="shared" si="83"/>
        <v>9</v>
      </c>
      <c r="O654" s="9">
        <v>7.2</v>
      </c>
      <c r="P654" s="9">
        <v>3</v>
      </c>
      <c r="Q654" s="9" t="s">
        <v>6</v>
      </c>
      <c r="R654" s="1">
        <v>0</v>
      </c>
      <c r="S654" s="26"/>
    </row>
    <row r="655" spans="1:19" ht="16.5" customHeight="1" x14ac:dyDescent="0.25">
      <c r="A655" s="9"/>
      <c r="B655" s="51" t="s">
        <v>121</v>
      </c>
      <c r="C655" s="52"/>
      <c r="D655" s="52"/>
      <c r="E655" s="52"/>
      <c r="F655" s="52"/>
      <c r="G655" s="53"/>
      <c r="H655" s="20"/>
      <c r="I655" s="9">
        <v>2</v>
      </c>
      <c r="J655" s="9"/>
      <c r="K655" s="9"/>
      <c r="L655" s="9"/>
      <c r="M655" s="9">
        <f t="shared" si="82"/>
        <v>18</v>
      </c>
      <c r="N655" s="9">
        <f t="shared" si="83"/>
        <v>8</v>
      </c>
      <c r="O655" s="9">
        <v>9</v>
      </c>
      <c r="P655" s="9">
        <v>4</v>
      </c>
      <c r="Q655" s="9" t="s">
        <v>12</v>
      </c>
      <c r="R655" s="1">
        <v>0</v>
      </c>
      <c r="S655" s="26"/>
    </row>
    <row r="656" spans="1:19" ht="16.5" customHeight="1" x14ac:dyDescent="0.25">
      <c r="A656" s="9"/>
      <c r="B656" s="51" t="s">
        <v>122</v>
      </c>
      <c r="C656" s="52"/>
      <c r="D656" s="52"/>
      <c r="E656" s="52"/>
      <c r="F656" s="52"/>
      <c r="G656" s="53"/>
      <c r="H656" s="20"/>
      <c r="I656" s="9">
        <v>2</v>
      </c>
      <c r="J656" s="9"/>
      <c r="K656" s="9"/>
      <c r="L656" s="9"/>
      <c r="M656" s="9">
        <f t="shared" si="82"/>
        <v>0</v>
      </c>
      <c r="N656" s="9">
        <f t="shared" si="83"/>
        <v>0</v>
      </c>
      <c r="O656" s="9"/>
      <c r="P656" s="9"/>
      <c r="Q656" s="9"/>
      <c r="R656" s="1">
        <v>0</v>
      </c>
      <c r="S656" s="26"/>
    </row>
    <row r="657" spans="1:19" ht="16.5" customHeight="1" x14ac:dyDescent="0.25">
      <c r="A657" s="9"/>
      <c r="B657" s="51" t="s">
        <v>123</v>
      </c>
      <c r="C657" s="52"/>
      <c r="D657" s="52"/>
      <c r="E657" s="52"/>
      <c r="F657" s="52"/>
      <c r="G657" s="53"/>
      <c r="H657" s="20"/>
      <c r="I657" s="9">
        <v>2</v>
      </c>
      <c r="J657" s="9"/>
      <c r="K657" s="9"/>
      <c r="L657" s="9"/>
      <c r="M657" s="9">
        <f t="shared" si="82"/>
        <v>0</v>
      </c>
      <c r="N657" s="9">
        <f t="shared" si="83"/>
        <v>0</v>
      </c>
      <c r="O657" s="9"/>
      <c r="P657" s="9"/>
      <c r="Q657" s="9"/>
      <c r="R657" s="1">
        <v>0</v>
      </c>
      <c r="S657" s="26"/>
    </row>
    <row r="658" spans="1:19" ht="16.5" hidden="1" customHeight="1" x14ac:dyDescent="0.25">
      <c r="A658" s="21"/>
      <c r="H658" s="21"/>
      <c r="I658" s="21"/>
      <c r="J658" s="21"/>
      <c r="K658" s="21"/>
      <c r="L658" s="21"/>
      <c r="M658" s="9">
        <f t="shared" si="82"/>
        <v>0</v>
      </c>
      <c r="N658" s="9">
        <f t="shared" si="83"/>
        <v>0</v>
      </c>
      <c r="O658" s="21"/>
      <c r="P658" s="21"/>
      <c r="Q658" s="21"/>
      <c r="S658" s="25"/>
    </row>
    <row r="659" spans="1:19" ht="16.5" customHeight="1" x14ac:dyDescent="0.25">
      <c r="A659" s="9"/>
      <c r="B659" s="39" t="s">
        <v>42</v>
      </c>
      <c r="C659" s="40"/>
      <c r="D659" s="40"/>
      <c r="E659" s="40"/>
      <c r="F659" s="40"/>
      <c r="G659" s="41"/>
      <c r="H659" s="23"/>
      <c r="I659" s="24">
        <f>SUM(I648:I658)</f>
        <v>25</v>
      </c>
      <c r="J659" s="9"/>
      <c r="K659" s="9"/>
      <c r="L659" s="9"/>
      <c r="M659" s="9">
        <f t="shared" si="82"/>
        <v>94.75</v>
      </c>
      <c r="N659" s="9">
        <f t="shared" si="83"/>
        <v>39.5</v>
      </c>
      <c r="O659" s="24">
        <f>ROUND(SUM(M648:M658)/I659,2)</f>
        <v>3.79</v>
      </c>
      <c r="P659" s="24">
        <f>ROUND(SUM(N648:N658)/I659,2)</f>
        <v>1.58</v>
      </c>
      <c r="Q659" s="9"/>
      <c r="S659" s="25"/>
    </row>
    <row r="660" spans="1:19" ht="16.5" customHeight="1" x14ac:dyDescent="0.25">
      <c r="A660" s="21"/>
      <c r="B660" s="22"/>
      <c r="C660" s="22"/>
      <c r="D660" s="22"/>
      <c r="E660" s="22"/>
      <c r="F660" s="22"/>
      <c r="G660" s="22"/>
      <c r="H660" s="21"/>
      <c r="I660" s="21"/>
      <c r="J660" s="21"/>
      <c r="K660" s="21"/>
      <c r="L660" s="21"/>
      <c r="M660" s="21"/>
      <c r="N660" s="21"/>
      <c r="O660" s="21"/>
      <c r="P660" s="21"/>
      <c r="Q660" s="21"/>
    </row>
    <row r="662" spans="1:19" ht="18" x14ac:dyDescent="0.25">
      <c r="A662" s="35" t="s">
        <v>139</v>
      </c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</row>
    <row r="663" spans="1:19" ht="18" x14ac:dyDescent="0.25">
      <c r="A663" s="35" t="s">
        <v>155</v>
      </c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</row>
    <row r="664" spans="1:19" ht="18" x14ac:dyDescent="0.25">
      <c r="A664" s="35" t="s">
        <v>156</v>
      </c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</row>
    <row r="665" spans="1:19" ht="18" x14ac:dyDescent="0.25">
      <c r="A665" s="45" t="s">
        <v>157</v>
      </c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</row>
    <row r="666" spans="1:19" ht="19.5" customHeight="1" x14ac:dyDescent="0.25">
      <c r="A666" s="17"/>
      <c r="B666" s="17"/>
      <c r="C666" s="8"/>
      <c r="D666" s="18"/>
      <c r="E666" s="10"/>
      <c r="F666" s="11"/>
      <c r="G666" s="46" t="s">
        <v>49</v>
      </c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</row>
    <row r="667" spans="1:19" ht="31.5" customHeight="1" x14ac:dyDescent="0.3">
      <c r="A667" s="8"/>
      <c r="B667" s="8"/>
      <c r="C667" s="8"/>
      <c r="D667" s="8"/>
      <c r="E667" s="8"/>
      <c r="F667" s="8"/>
      <c r="G667" s="8"/>
      <c r="H667" s="12"/>
      <c r="I667" s="42" t="s">
        <v>40</v>
      </c>
      <c r="J667" s="43"/>
      <c r="K667" s="43"/>
      <c r="L667" s="43"/>
      <c r="M667" s="43"/>
      <c r="N667" s="43"/>
      <c r="O667" s="43"/>
      <c r="P667" s="43"/>
      <c r="Q667" s="43"/>
      <c r="R667" s="43"/>
      <c r="S667" s="43"/>
    </row>
    <row r="668" spans="1:19" ht="16.8" x14ac:dyDescent="0.3">
      <c r="A668" s="8"/>
      <c r="B668" s="8"/>
      <c r="C668" s="8"/>
      <c r="D668" s="8"/>
      <c r="E668" s="8"/>
      <c r="F668" s="8"/>
      <c r="G668" s="8"/>
      <c r="H668" s="12"/>
      <c r="I668" s="12"/>
      <c r="J668" s="12"/>
      <c r="K668" s="12"/>
      <c r="L668" s="8"/>
      <c r="M668" s="8"/>
      <c r="N668" s="8"/>
      <c r="O668" s="8"/>
      <c r="P668" s="8"/>
      <c r="Q668" s="8"/>
    </row>
    <row r="669" spans="1:19" ht="33" customHeight="1" x14ac:dyDescent="0.3">
      <c r="A669" s="8"/>
      <c r="B669" s="8"/>
      <c r="C669" s="8"/>
      <c r="D669" s="8"/>
      <c r="E669" s="8"/>
      <c r="F669" s="8"/>
      <c r="G669" s="8"/>
      <c r="H669" s="12"/>
      <c r="I669" s="12"/>
      <c r="J669" s="12"/>
      <c r="K669" s="12"/>
      <c r="L669" s="8"/>
      <c r="M669" s="8"/>
      <c r="N669" s="8"/>
      <c r="O669" s="8"/>
      <c r="P669" s="8"/>
      <c r="Q669" s="8"/>
    </row>
    <row r="670" spans="1:19" ht="11.25" customHeight="1" x14ac:dyDescent="0.3">
      <c r="A670" s="8"/>
      <c r="B670" s="8"/>
      <c r="C670" s="8"/>
      <c r="D670" s="8"/>
      <c r="E670" s="8"/>
      <c r="F670" s="8"/>
      <c r="G670" s="8"/>
      <c r="H670" s="12"/>
      <c r="I670" s="12"/>
      <c r="J670" s="12"/>
      <c r="K670" s="12"/>
      <c r="L670" s="8"/>
      <c r="M670" s="8"/>
      <c r="N670" s="8"/>
      <c r="O670" s="8"/>
      <c r="P670" s="8"/>
      <c r="Q670" s="8"/>
    </row>
    <row r="671" spans="1:19" ht="17.399999999999999" x14ac:dyDescent="0.3">
      <c r="A671" s="8"/>
      <c r="B671" s="8"/>
      <c r="C671" s="8"/>
      <c r="D671" s="8"/>
      <c r="E671" s="8"/>
      <c r="F671" s="8"/>
      <c r="G671" s="47" t="s">
        <v>41</v>
      </c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</row>
    <row r="672" spans="1:19" ht="54" customHeight="1" x14ac:dyDescent="0.25">
      <c r="A672" s="48" t="s">
        <v>33</v>
      </c>
      <c r="B672" s="48"/>
      <c r="C672" s="48"/>
      <c r="D672" s="48"/>
      <c r="E672" s="48"/>
      <c r="F672" s="42" t="s">
        <v>24</v>
      </c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</row>
    <row r="673" spans="1:20" ht="17.399999999999999" x14ac:dyDescent="0.25">
      <c r="A673" s="49" t="s">
        <v>34</v>
      </c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</row>
    <row r="674" spans="1:20" ht="4.5" customHeight="1" x14ac:dyDescent="0.25">
      <c r="A674" s="50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</row>
    <row r="675" spans="1:20" ht="5.25" customHeight="1" x14ac:dyDescent="0.25">
      <c r="A675" s="50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</row>
    <row r="676" spans="1:20" ht="16.5" customHeight="1" x14ac:dyDescent="0.25">
      <c r="A676" s="54" t="s">
        <v>158</v>
      </c>
      <c r="B676" s="54"/>
      <c r="C676" s="54"/>
      <c r="D676" s="54"/>
      <c r="E676" s="54"/>
      <c r="F676" s="54"/>
      <c r="G676" s="58" t="s">
        <v>159</v>
      </c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</row>
    <row r="677" spans="1:20" ht="16.5" customHeight="1" x14ac:dyDescent="0.25">
      <c r="A677" s="54" t="s">
        <v>160</v>
      </c>
      <c r="B677" s="54"/>
      <c r="C677" s="54"/>
      <c r="D677" s="54"/>
      <c r="E677" s="54"/>
      <c r="F677" s="54"/>
      <c r="G677" s="8" t="s">
        <v>46</v>
      </c>
      <c r="H677" s="8"/>
      <c r="I677" s="8"/>
      <c r="J677" s="8"/>
      <c r="K677" s="8"/>
      <c r="L677" s="8"/>
      <c r="M677" s="8"/>
      <c r="N677" s="8"/>
      <c r="O677" s="8"/>
      <c r="P677" s="8"/>
      <c r="Q677" s="8"/>
      <c r="T677" s="2"/>
    </row>
    <row r="678" spans="1:20" ht="16.5" customHeight="1" x14ac:dyDescent="0.25">
      <c r="A678" s="54" t="s">
        <v>47</v>
      </c>
      <c r="B678" s="54"/>
      <c r="C678" s="54"/>
      <c r="D678" s="54"/>
      <c r="E678" s="54"/>
      <c r="F678" s="54"/>
      <c r="G678" s="58" t="s">
        <v>48</v>
      </c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</row>
    <row r="679" spans="1:20" ht="5.25" customHeight="1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19"/>
      <c r="K679" s="19"/>
      <c r="L679" s="19"/>
      <c r="M679" s="19"/>
      <c r="N679" s="19"/>
      <c r="O679" s="19"/>
      <c r="P679" s="19"/>
      <c r="Q679" s="19"/>
    </row>
    <row r="680" spans="1:20" ht="15" customHeight="1" x14ac:dyDescent="0.25">
      <c r="A680" s="36" t="s">
        <v>0</v>
      </c>
      <c r="B680" s="29" t="s">
        <v>1</v>
      </c>
      <c r="C680" s="30"/>
      <c r="D680" s="30"/>
      <c r="E680" s="30"/>
      <c r="F680" s="30"/>
      <c r="G680" s="31"/>
      <c r="H680" s="36" t="s">
        <v>32</v>
      </c>
      <c r="I680" s="36" t="s">
        <v>39</v>
      </c>
      <c r="J680" s="55" t="s">
        <v>2</v>
      </c>
      <c r="K680" s="56"/>
      <c r="L680" s="56"/>
      <c r="M680" s="56"/>
      <c r="N680" s="56"/>
      <c r="O680" s="56"/>
      <c r="P680" s="56"/>
      <c r="Q680" s="57"/>
      <c r="S680" s="36" t="s">
        <v>38</v>
      </c>
    </row>
    <row r="681" spans="1:20" ht="24" customHeight="1" x14ac:dyDescent="0.25">
      <c r="A681" s="37"/>
      <c r="B681" s="32"/>
      <c r="C681" s="33"/>
      <c r="D681" s="33"/>
      <c r="E681" s="33"/>
      <c r="F681" s="33"/>
      <c r="G681" s="34"/>
      <c r="H681" s="37"/>
      <c r="I681" s="37"/>
      <c r="J681" s="7" t="s">
        <v>28</v>
      </c>
      <c r="K681" s="7" t="s">
        <v>29</v>
      </c>
      <c r="L681" s="7" t="s">
        <v>30</v>
      </c>
      <c r="M681" s="7"/>
      <c r="N681" s="7"/>
      <c r="O681" s="6" t="s">
        <v>35</v>
      </c>
      <c r="P681" s="6" t="s">
        <v>36</v>
      </c>
      <c r="Q681" s="6" t="s">
        <v>37</v>
      </c>
      <c r="S681" s="37"/>
    </row>
    <row r="682" spans="1:20" ht="20.25" customHeight="1" x14ac:dyDescent="0.25">
      <c r="A682" s="27" t="s">
        <v>54</v>
      </c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</row>
    <row r="683" spans="1:20" ht="16.5" customHeight="1" x14ac:dyDescent="0.25">
      <c r="A683" s="9"/>
      <c r="B683" s="51" t="s">
        <v>61</v>
      </c>
      <c r="C683" s="52"/>
      <c r="D683" s="52"/>
      <c r="E683" s="52"/>
      <c r="F683" s="52"/>
      <c r="G683" s="53"/>
      <c r="H683" s="20"/>
      <c r="I683" s="9">
        <v>1</v>
      </c>
      <c r="J683" s="9"/>
      <c r="K683" s="9"/>
      <c r="L683" s="9"/>
      <c r="M683" s="9">
        <f t="shared" ref="M683:M691" si="84">I683*O683</f>
        <v>8.1999999999999993</v>
      </c>
      <c r="N683" s="9">
        <f t="shared" ref="N683:N691" si="85">I683*P683</f>
        <v>3.5</v>
      </c>
      <c r="O683" s="9">
        <v>8.1999999999999993</v>
      </c>
      <c r="P683" s="9">
        <v>3.5</v>
      </c>
      <c r="Q683" s="9" t="s">
        <v>9</v>
      </c>
      <c r="R683" s="1">
        <v>0</v>
      </c>
      <c r="S683" s="26"/>
    </row>
    <row r="684" spans="1:20" ht="16.5" customHeight="1" x14ac:dyDescent="0.25">
      <c r="A684" s="9"/>
      <c r="B684" s="51" t="s">
        <v>56</v>
      </c>
      <c r="C684" s="52"/>
      <c r="D684" s="52"/>
      <c r="E684" s="52"/>
      <c r="F684" s="52"/>
      <c r="G684" s="53"/>
      <c r="H684" s="20"/>
      <c r="I684" s="9">
        <v>3</v>
      </c>
      <c r="J684" s="9"/>
      <c r="K684" s="9"/>
      <c r="L684" s="9"/>
      <c r="M684" s="9">
        <f t="shared" si="84"/>
        <v>19.200000000000003</v>
      </c>
      <c r="N684" s="9">
        <f t="shared" si="85"/>
        <v>6</v>
      </c>
      <c r="O684" s="9">
        <v>6.4</v>
      </c>
      <c r="P684" s="9">
        <v>2</v>
      </c>
      <c r="Q684" s="9" t="s">
        <v>3</v>
      </c>
      <c r="R684" s="1">
        <v>0</v>
      </c>
      <c r="S684" s="26"/>
    </row>
    <row r="685" spans="1:20" ht="31.2" customHeight="1" x14ac:dyDescent="0.25">
      <c r="A685" s="9"/>
      <c r="B685" s="51" t="s">
        <v>57</v>
      </c>
      <c r="C685" s="52"/>
      <c r="D685" s="52"/>
      <c r="E685" s="52"/>
      <c r="F685" s="52"/>
      <c r="G685" s="53"/>
      <c r="H685" s="20"/>
      <c r="I685" s="9">
        <v>3</v>
      </c>
      <c r="J685" s="9"/>
      <c r="K685" s="9"/>
      <c r="L685" s="9"/>
      <c r="M685" s="9">
        <f t="shared" si="84"/>
        <v>22.799999999999997</v>
      </c>
      <c r="N685" s="9">
        <f t="shared" si="85"/>
        <v>9</v>
      </c>
      <c r="O685" s="9">
        <v>7.6</v>
      </c>
      <c r="P685" s="9">
        <v>3</v>
      </c>
      <c r="Q685" s="9" t="s">
        <v>6</v>
      </c>
      <c r="R685" s="1">
        <v>0</v>
      </c>
      <c r="S685" s="26"/>
    </row>
    <row r="686" spans="1:20" ht="16.5" customHeight="1" x14ac:dyDescent="0.25">
      <c r="A686" s="9"/>
      <c r="B686" s="51" t="s">
        <v>58</v>
      </c>
      <c r="C686" s="52"/>
      <c r="D686" s="52"/>
      <c r="E686" s="52"/>
      <c r="F686" s="52"/>
      <c r="G686" s="53"/>
      <c r="H686" s="20"/>
      <c r="I686" s="9">
        <v>1</v>
      </c>
      <c r="J686" s="9"/>
      <c r="K686" s="9"/>
      <c r="L686" s="9"/>
      <c r="M686" s="9">
        <f t="shared" si="84"/>
        <v>7.3</v>
      </c>
      <c r="N686" s="9">
        <f t="shared" si="85"/>
        <v>3</v>
      </c>
      <c r="O686" s="9">
        <v>7.3</v>
      </c>
      <c r="P686" s="9">
        <v>3</v>
      </c>
      <c r="Q686" s="9" t="s">
        <v>6</v>
      </c>
      <c r="R686" s="1">
        <v>0</v>
      </c>
      <c r="S686" s="26"/>
    </row>
    <row r="687" spans="1:20" ht="16.5" customHeight="1" x14ac:dyDescent="0.25">
      <c r="A687" s="9"/>
      <c r="B687" s="51" t="s">
        <v>59</v>
      </c>
      <c r="C687" s="52"/>
      <c r="D687" s="52"/>
      <c r="E687" s="52"/>
      <c r="F687" s="52"/>
      <c r="G687" s="53"/>
      <c r="H687" s="20"/>
      <c r="I687" s="9">
        <v>1</v>
      </c>
      <c r="J687" s="9"/>
      <c r="K687" s="9"/>
      <c r="L687" s="9"/>
      <c r="M687" s="9">
        <f t="shared" si="84"/>
        <v>7.9</v>
      </c>
      <c r="N687" s="9">
        <f t="shared" si="85"/>
        <v>3</v>
      </c>
      <c r="O687" s="9">
        <v>7.9</v>
      </c>
      <c r="P687" s="9">
        <v>3</v>
      </c>
      <c r="Q687" s="9" t="s">
        <v>6</v>
      </c>
      <c r="R687" s="1">
        <v>0</v>
      </c>
      <c r="S687" s="26"/>
    </row>
    <row r="688" spans="1:20" ht="16.5" customHeight="1" x14ac:dyDescent="0.25">
      <c r="A688" s="9"/>
      <c r="B688" s="51" t="s">
        <v>60</v>
      </c>
      <c r="C688" s="52"/>
      <c r="D688" s="52"/>
      <c r="E688" s="52"/>
      <c r="F688" s="52"/>
      <c r="G688" s="53"/>
      <c r="H688" s="20"/>
      <c r="I688" s="9">
        <v>3</v>
      </c>
      <c r="J688" s="9"/>
      <c r="K688" s="9"/>
      <c r="L688" s="9"/>
      <c r="M688" s="9">
        <f t="shared" si="84"/>
        <v>23.700000000000003</v>
      </c>
      <c r="N688" s="9">
        <f t="shared" si="85"/>
        <v>9</v>
      </c>
      <c r="O688" s="9">
        <v>7.9</v>
      </c>
      <c r="P688" s="9">
        <v>3</v>
      </c>
      <c r="Q688" s="9" t="s">
        <v>6</v>
      </c>
      <c r="R688" s="1">
        <v>0</v>
      </c>
      <c r="S688" s="26"/>
    </row>
    <row r="689" spans="1:19" ht="16.5" customHeight="1" x14ac:dyDescent="0.25">
      <c r="A689" s="9"/>
      <c r="B689" s="51" t="s">
        <v>55</v>
      </c>
      <c r="C689" s="52"/>
      <c r="D689" s="52"/>
      <c r="E689" s="52"/>
      <c r="F689" s="52"/>
      <c r="G689" s="53"/>
      <c r="H689" s="20"/>
      <c r="I689" s="9">
        <v>2</v>
      </c>
      <c r="J689" s="9"/>
      <c r="K689" s="9"/>
      <c r="L689" s="9"/>
      <c r="M689" s="9">
        <f t="shared" si="84"/>
        <v>14.8</v>
      </c>
      <c r="N689" s="9">
        <f t="shared" si="85"/>
        <v>6</v>
      </c>
      <c r="O689" s="9">
        <v>7.4</v>
      </c>
      <c r="P689" s="9">
        <v>3</v>
      </c>
      <c r="Q689" s="9" t="s">
        <v>6</v>
      </c>
      <c r="R689" s="1">
        <v>0</v>
      </c>
      <c r="S689" s="26"/>
    </row>
    <row r="690" spans="1:19" ht="16.5" hidden="1" customHeight="1" x14ac:dyDescent="0.25">
      <c r="A690" s="21"/>
      <c r="H690" s="21"/>
      <c r="I690" s="21"/>
      <c r="J690" s="21"/>
      <c r="K690" s="21"/>
      <c r="L690" s="21"/>
      <c r="M690" s="9">
        <f t="shared" si="84"/>
        <v>0</v>
      </c>
      <c r="N690" s="9">
        <f t="shared" si="85"/>
        <v>0</v>
      </c>
      <c r="O690" s="21"/>
      <c r="P690" s="21"/>
      <c r="Q690" s="21"/>
      <c r="S690" s="25"/>
    </row>
    <row r="691" spans="1:19" ht="16.5" customHeight="1" x14ac:dyDescent="0.25">
      <c r="A691" s="9"/>
      <c r="B691" s="39" t="s">
        <v>42</v>
      </c>
      <c r="C691" s="40"/>
      <c r="D691" s="40"/>
      <c r="E691" s="40"/>
      <c r="F691" s="40"/>
      <c r="G691" s="41"/>
      <c r="H691" s="23"/>
      <c r="I691" s="24">
        <f>SUM(I683:I690)</f>
        <v>14</v>
      </c>
      <c r="J691" s="9"/>
      <c r="K691" s="9"/>
      <c r="L691" s="9"/>
      <c r="M691" s="9">
        <f t="shared" si="84"/>
        <v>103.88</v>
      </c>
      <c r="N691" s="9">
        <f t="shared" si="85"/>
        <v>39.479999999999997</v>
      </c>
      <c r="O691" s="24">
        <f>ROUND(SUM(M683:M690)/I691,2)</f>
        <v>7.42</v>
      </c>
      <c r="P691" s="24">
        <f>ROUND(SUM(N683:N690)/I691,2)</f>
        <v>2.82</v>
      </c>
      <c r="Q691" s="9"/>
      <c r="S691" s="25"/>
    </row>
    <row r="692" spans="1:19" ht="20.25" customHeight="1" x14ac:dyDescent="0.25">
      <c r="A692" s="27" t="s">
        <v>62</v>
      </c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</row>
    <row r="693" spans="1:19" ht="16.5" customHeight="1" x14ac:dyDescent="0.25">
      <c r="A693" s="9"/>
      <c r="B693" s="51" t="s">
        <v>63</v>
      </c>
      <c r="C693" s="52"/>
      <c r="D693" s="52"/>
      <c r="E693" s="52"/>
      <c r="F693" s="52"/>
      <c r="G693" s="53"/>
      <c r="H693" s="20"/>
      <c r="I693" s="9">
        <v>4</v>
      </c>
      <c r="J693" s="9"/>
      <c r="K693" s="9"/>
      <c r="L693" s="9"/>
      <c r="M693" s="9">
        <f t="shared" ref="M693:M701" si="86">I693*O693</f>
        <v>23.2</v>
      </c>
      <c r="N693" s="9">
        <f t="shared" ref="N693:N701" si="87">I693*P693</f>
        <v>8</v>
      </c>
      <c r="O693" s="9">
        <v>5.8</v>
      </c>
      <c r="P693" s="9">
        <v>2</v>
      </c>
      <c r="Q693" s="9" t="s">
        <v>3</v>
      </c>
      <c r="R693" s="1">
        <v>0</v>
      </c>
      <c r="S693" s="26"/>
    </row>
    <row r="694" spans="1:19" ht="16.5" customHeight="1" x14ac:dyDescent="0.25">
      <c r="A694" s="9"/>
      <c r="B694" s="51" t="s">
        <v>64</v>
      </c>
      <c r="C694" s="52"/>
      <c r="D694" s="52"/>
      <c r="E694" s="52"/>
      <c r="F694" s="52"/>
      <c r="G694" s="53"/>
      <c r="H694" s="20"/>
      <c r="I694" s="9">
        <v>4</v>
      </c>
      <c r="J694" s="9"/>
      <c r="K694" s="9"/>
      <c r="L694" s="9"/>
      <c r="M694" s="9">
        <f t="shared" si="86"/>
        <v>26.4</v>
      </c>
      <c r="N694" s="9">
        <f t="shared" si="87"/>
        <v>10</v>
      </c>
      <c r="O694" s="9">
        <v>6.6</v>
      </c>
      <c r="P694" s="9">
        <v>2.5</v>
      </c>
      <c r="Q694" s="9" t="s">
        <v>5</v>
      </c>
      <c r="R694" s="1">
        <v>0</v>
      </c>
      <c r="S694" s="26"/>
    </row>
    <row r="695" spans="1:19" ht="16.5" customHeight="1" x14ac:dyDescent="0.25">
      <c r="A695" s="9"/>
      <c r="B695" s="51" t="s">
        <v>65</v>
      </c>
      <c r="C695" s="52"/>
      <c r="D695" s="52"/>
      <c r="E695" s="52"/>
      <c r="F695" s="52"/>
      <c r="G695" s="53"/>
      <c r="H695" s="20"/>
      <c r="I695" s="9">
        <v>4</v>
      </c>
      <c r="J695" s="9"/>
      <c r="K695" s="9"/>
      <c r="L695" s="9"/>
      <c r="M695" s="9">
        <f t="shared" si="86"/>
        <v>32</v>
      </c>
      <c r="N695" s="9">
        <f t="shared" si="87"/>
        <v>14</v>
      </c>
      <c r="O695" s="9">
        <v>8</v>
      </c>
      <c r="P695" s="9">
        <v>3.5</v>
      </c>
      <c r="Q695" s="9" t="s">
        <v>9</v>
      </c>
      <c r="R695" s="1">
        <v>0</v>
      </c>
      <c r="S695" s="26"/>
    </row>
    <row r="696" spans="1:19" ht="16.5" customHeight="1" x14ac:dyDescent="0.25">
      <c r="A696" s="9"/>
      <c r="B696" s="51" t="s">
        <v>66</v>
      </c>
      <c r="C696" s="52"/>
      <c r="D696" s="52"/>
      <c r="E696" s="52"/>
      <c r="F696" s="52"/>
      <c r="G696" s="53"/>
      <c r="H696" s="20"/>
      <c r="I696" s="9">
        <v>1</v>
      </c>
      <c r="J696" s="9"/>
      <c r="K696" s="9"/>
      <c r="L696" s="9"/>
      <c r="M696" s="9">
        <f t="shared" si="86"/>
        <v>7.9</v>
      </c>
      <c r="N696" s="9">
        <f t="shared" si="87"/>
        <v>3</v>
      </c>
      <c r="O696" s="9">
        <v>7.9</v>
      </c>
      <c r="P696" s="9">
        <v>3</v>
      </c>
      <c r="Q696" s="9" t="s">
        <v>6</v>
      </c>
      <c r="R696" s="1">
        <v>0</v>
      </c>
      <c r="S696" s="26"/>
    </row>
    <row r="697" spans="1:19" ht="16.5" customHeight="1" x14ac:dyDescent="0.25">
      <c r="A697" s="9"/>
      <c r="B697" s="51" t="s">
        <v>67</v>
      </c>
      <c r="C697" s="52"/>
      <c r="D697" s="52"/>
      <c r="E697" s="52"/>
      <c r="F697" s="52"/>
      <c r="G697" s="53"/>
      <c r="H697" s="20"/>
      <c r="I697" s="9">
        <v>1</v>
      </c>
      <c r="J697" s="9"/>
      <c r="K697" s="9"/>
      <c r="L697" s="9"/>
      <c r="M697" s="9">
        <f t="shared" si="86"/>
        <v>8</v>
      </c>
      <c r="N697" s="9">
        <f t="shared" si="87"/>
        <v>3.5</v>
      </c>
      <c r="O697" s="9">
        <v>8</v>
      </c>
      <c r="P697" s="9">
        <v>3.5</v>
      </c>
      <c r="Q697" s="9" t="s">
        <v>9</v>
      </c>
      <c r="R697" s="1">
        <v>0</v>
      </c>
      <c r="S697" s="26"/>
    </row>
    <row r="698" spans="1:19" ht="16.5" customHeight="1" x14ac:dyDescent="0.25">
      <c r="A698" s="9"/>
      <c r="B698" s="51" t="s">
        <v>69</v>
      </c>
      <c r="C698" s="52"/>
      <c r="D698" s="52"/>
      <c r="E698" s="52"/>
      <c r="F698" s="52"/>
      <c r="G698" s="53"/>
      <c r="H698" s="20"/>
      <c r="I698" s="9">
        <v>1</v>
      </c>
      <c r="J698" s="9"/>
      <c r="K698" s="9"/>
      <c r="L698" s="9"/>
      <c r="M698" s="9">
        <f t="shared" si="86"/>
        <v>7.3</v>
      </c>
      <c r="N698" s="9">
        <f t="shared" si="87"/>
        <v>3</v>
      </c>
      <c r="O698" s="9">
        <v>7.3</v>
      </c>
      <c r="P698" s="9">
        <v>3</v>
      </c>
      <c r="Q698" s="9" t="s">
        <v>6</v>
      </c>
      <c r="R698" s="1">
        <v>0</v>
      </c>
      <c r="S698" s="26"/>
    </row>
    <row r="699" spans="1:19" ht="16.5" customHeight="1" x14ac:dyDescent="0.25">
      <c r="A699" s="9"/>
      <c r="B699" s="51" t="s">
        <v>68</v>
      </c>
      <c r="C699" s="52"/>
      <c r="D699" s="52"/>
      <c r="E699" s="52"/>
      <c r="F699" s="52"/>
      <c r="G699" s="53"/>
      <c r="H699" s="20"/>
      <c r="I699" s="9">
        <v>1</v>
      </c>
      <c r="J699" s="9"/>
      <c r="K699" s="9"/>
      <c r="L699" s="9"/>
      <c r="M699" s="9">
        <f t="shared" si="86"/>
        <v>7.3</v>
      </c>
      <c r="N699" s="9">
        <f t="shared" si="87"/>
        <v>3</v>
      </c>
      <c r="O699" s="9">
        <v>7.3</v>
      </c>
      <c r="P699" s="9">
        <v>3</v>
      </c>
      <c r="Q699" s="9" t="s">
        <v>6</v>
      </c>
      <c r="R699" s="1">
        <v>0</v>
      </c>
      <c r="S699" s="26"/>
    </row>
    <row r="700" spans="1:19" ht="16.5" hidden="1" customHeight="1" x14ac:dyDescent="0.25">
      <c r="A700" s="21"/>
      <c r="H700" s="21"/>
      <c r="I700" s="21"/>
      <c r="J700" s="21"/>
      <c r="K700" s="21"/>
      <c r="L700" s="21"/>
      <c r="M700" s="9">
        <f t="shared" si="86"/>
        <v>0</v>
      </c>
      <c r="N700" s="9">
        <f t="shared" si="87"/>
        <v>0</v>
      </c>
      <c r="O700" s="21"/>
      <c r="P700" s="21"/>
      <c r="Q700" s="21"/>
      <c r="S700" s="25"/>
    </row>
    <row r="701" spans="1:19" ht="16.5" customHeight="1" x14ac:dyDescent="0.25">
      <c r="A701" s="9"/>
      <c r="B701" s="39" t="s">
        <v>42</v>
      </c>
      <c r="C701" s="40"/>
      <c r="D701" s="40"/>
      <c r="E701" s="40"/>
      <c r="F701" s="40"/>
      <c r="G701" s="41"/>
      <c r="H701" s="23"/>
      <c r="I701" s="24">
        <f>SUM(I693:I700)</f>
        <v>16</v>
      </c>
      <c r="J701" s="9"/>
      <c r="K701" s="9"/>
      <c r="L701" s="9"/>
      <c r="M701" s="9">
        <f t="shared" si="86"/>
        <v>112.16</v>
      </c>
      <c r="N701" s="9">
        <f t="shared" si="87"/>
        <v>44.48</v>
      </c>
      <c r="O701" s="24">
        <f>ROUND(SUM(M693:M700)/I701,2)</f>
        <v>7.01</v>
      </c>
      <c r="P701" s="24">
        <f>ROUND(SUM(N693:N700)/I701,2)</f>
        <v>2.78</v>
      </c>
      <c r="Q701" s="9"/>
      <c r="S701" s="25"/>
    </row>
    <row r="702" spans="1:19" ht="20.25" customHeight="1" x14ac:dyDescent="0.25">
      <c r="A702" s="27" t="s">
        <v>70</v>
      </c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</row>
    <row r="703" spans="1:19" ht="16.5" customHeight="1" x14ac:dyDescent="0.25">
      <c r="A703" s="9"/>
      <c r="B703" s="51" t="s">
        <v>71</v>
      </c>
      <c r="C703" s="52"/>
      <c r="D703" s="52"/>
      <c r="E703" s="52"/>
      <c r="F703" s="52"/>
      <c r="G703" s="53"/>
      <c r="H703" s="20"/>
      <c r="I703" s="9">
        <v>4</v>
      </c>
      <c r="J703" s="9"/>
      <c r="K703" s="9"/>
      <c r="L703" s="9"/>
      <c r="M703" s="9">
        <f t="shared" ref="M703:M712" si="88">I703*O703</f>
        <v>19.2</v>
      </c>
      <c r="N703" s="9">
        <f t="shared" ref="N703:N712" si="89">I703*P703</f>
        <v>4</v>
      </c>
      <c r="O703" s="9">
        <v>4.8</v>
      </c>
      <c r="P703" s="9">
        <v>1</v>
      </c>
      <c r="Q703" s="9" t="s">
        <v>8</v>
      </c>
      <c r="R703" s="1">
        <v>0</v>
      </c>
      <c r="S703" s="26"/>
    </row>
    <row r="704" spans="1:19" ht="16.5" customHeight="1" x14ac:dyDescent="0.25">
      <c r="A704" s="9"/>
      <c r="B704" s="51" t="s">
        <v>72</v>
      </c>
      <c r="C704" s="52"/>
      <c r="D704" s="52"/>
      <c r="E704" s="52"/>
      <c r="F704" s="52"/>
      <c r="G704" s="53"/>
      <c r="H704" s="20"/>
      <c r="I704" s="9">
        <v>4</v>
      </c>
      <c r="J704" s="9"/>
      <c r="K704" s="9"/>
      <c r="L704" s="9"/>
      <c r="M704" s="9">
        <f t="shared" si="88"/>
        <v>29.2</v>
      </c>
      <c r="N704" s="9">
        <f t="shared" si="89"/>
        <v>12</v>
      </c>
      <c r="O704" s="9">
        <v>7.3</v>
      </c>
      <c r="P704" s="9">
        <v>3</v>
      </c>
      <c r="Q704" s="9" t="s">
        <v>6</v>
      </c>
      <c r="R704" s="1">
        <v>0</v>
      </c>
      <c r="S704" s="26"/>
    </row>
    <row r="705" spans="1:19" ht="16.5" customHeight="1" x14ac:dyDescent="0.25">
      <c r="A705" s="9"/>
      <c r="B705" s="51" t="s">
        <v>73</v>
      </c>
      <c r="C705" s="52"/>
      <c r="D705" s="52"/>
      <c r="E705" s="52"/>
      <c r="F705" s="52"/>
      <c r="G705" s="53"/>
      <c r="H705" s="20"/>
      <c r="I705" s="9">
        <v>2</v>
      </c>
      <c r="J705" s="9"/>
      <c r="K705" s="9"/>
      <c r="L705" s="9"/>
      <c r="M705" s="9">
        <f t="shared" si="88"/>
        <v>15.8</v>
      </c>
      <c r="N705" s="9">
        <f t="shared" si="89"/>
        <v>6</v>
      </c>
      <c r="O705" s="9">
        <v>7.9</v>
      </c>
      <c r="P705" s="9">
        <v>3</v>
      </c>
      <c r="Q705" s="9" t="s">
        <v>6</v>
      </c>
      <c r="R705" s="1">
        <v>0</v>
      </c>
      <c r="S705" s="26"/>
    </row>
    <row r="706" spans="1:19" ht="16.5" customHeight="1" x14ac:dyDescent="0.25">
      <c r="A706" s="9"/>
      <c r="B706" s="51" t="s">
        <v>74</v>
      </c>
      <c r="C706" s="52"/>
      <c r="D706" s="52"/>
      <c r="E706" s="52"/>
      <c r="F706" s="52"/>
      <c r="G706" s="53"/>
      <c r="H706" s="20"/>
      <c r="I706" s="9">
        <v>2</v>
      </c>
      <c r="J706" s="9"/>
      <c r="K706" s="9"/>
      <c r="L706" s="9"/>
      <c r="M706" s="9">
        <f t="shared" si="88"/>
        <v>12.4</v>
      </c>
      <c r="N706" s="9">
        <f t="shared" si="89"/>
        <v>4</v>
      </c>
      <c r="O706" s="9">
        <v>6.2</v>
      </c>
      <c r="P706" s="9">
        <v>2</v>
      </c>
      <c r="Q706" s="9" t="s">
        <v>3</v>
      </c>
      <c r="R706" s="1">
        <v>0</v>
      </c>
      <c r="S706" s="26"/>
    </row>
    <row r="707" spans="1:19" ht="16.5" customHeight="1" x14ac:dyDescent="0.25">
      <c r="A707" s="9"/>
      <c r="B707" s="51" t="s">
        <v>75</v>
      </c>
      <c r="C707" s="52"/>
      <c r="D707" s="52"/>
      <c r="E707" s="52"/>
      <c r="F707" s="52"/>
      <c r="G707" s="53"/>
      <c r="H707" s="20"/>
      <c r="I707" s="9">
        <v>1</v>
      </c>
      <c r="J707" s="9"/>
      <c r="K707" s="9"/>
      <c r="L707" s="9"/>
      <c r="M707" s="9">
        <f t="shared" si="88"/>
        <v>6.9</v>
      </c>
      <c r="N707" s="9">
        <f t="shared" si="89"/>
        <v>2.5</v>
      </c>
      <c r="O707" s="9">
        <v>6.9</v>
      </c>
      <c r="P707" s="9">
        <v>2.5</v>
      </c>
      <c r="Q707" s="9" t="s">
        <v>5</v>
      </c>
      <c r="R707" s="1">
        <v>0</v>
      </c>
      <c r="S707" s="26"/>
    </row>
    <row r="708" spans="1:19" ht="16.5" customHeight="1" x14ac:dyDescent="0.25">
      <c r="A708" s="9"/>
      <c r="B708" s="51" t="s">
        <v>76</v>
      </c>
      <c r="C708" s="52"/>
      <c r="D708" s="52"/>
      <c r="E708" s="52"/>
      <c r="F708" s="52"/>
      <c r="G708" s="53"/>
      <c r="H708" s="20"/>
      <c r="I708" s="9">
        <v>4</v>
      </c>
      <c r="J708" s="9"/>
      <c r="K708" s="9"/>
      <c r="L708" s="9"/>
      <c r="M708" s="9">
        <f t="shared" si="88"/>
        <v>31.6</v>
      </c>
      <c r="N708" s="9">
        <f t="shared" si="89"/>
        <v>12</v>
      </c>
      <c r="O708" s="9">
        <v>7.9</v>
      </c>
      <c r="P708" s="9">
        <v>3</v>
      </c>
      <c r="Q708" s="9" t="s">
        <v>6</v>
      </c>
      <c r="R708" s="1">
        <v>0</v>
      </c>
      <c r="S708" s="26"/>
    </row>
    <row r="709" spans="1:19" ht="16.5" customHeight="1" x14ac:dyDescent="0.25">
      <c r="A709" s="9"/>
      <c r="B709" s="51" t="s">
        <v>77</v>
      </c>
      <c r="C709" s="52"/>
      <c r="D709" s="52"/>
      <c r="E709" s="52"/>
      <c r="F709" s="52"/>
      <c r="G709" s="53"/>
      <c r="H709" s="20"/>
      <c r="I709" s="9">
        <v>1</v>
      </c>
      <c r="J709" s="9"/>
      <c r="K709" s="9"/>
      <c r="L709" s="9"/>
      <c r="M709" s="9">
        <f t="shared" si="88"/>
        <v>7.2</v>
      </c>
      <c r="N709" s="9">
        <f t="shared" si="89"/>
        <v>3</v>
      </c>
      <c r="O709" s="9">
        <v>7.2</v>
      </c>
      <c r="P709" s="9">
        <v>3</v>
      </c>
      <c r="Q709" s="9" t="s">
        <v>6</v>
      </c>
      <c r="R709" s="1">
        <v>0</v>
      </c>
      <c r="S709" s="26"/>
    </row>
    <row r="710" spans="1:19" ht="16.5" customHeight="1" x14ac:dyDescent="0.25">
      <c r="A710" s="9"/>
      <c r="B710" s="51" t="s">
        <v>78</v>
      </c>
      <c r="C710" s="52"/>
      <c r="D710" s="52"/>
      <c r="E710" s="52"/>
      <c r="F710" s="52"/>
      <c r="G710" s="53"/>
      <c r="H710" s="20"/>
      <c r="I710" s="9">
        <v>3</v>
      </c>
      <c r="J710" s="9"/>
      <c r="K710" s="9"/>
      <c r="L710" s="9"/>
      <c r="M710" s="9">
        <f t="shared" si="88"/>
        <v>17.100000000000001</v>
      </c>
      <c r="N710" s="9">
        <f t="shared" si="89"/>
        <v>6</v>
      </c>
      <c r="O710" s="9">
        <v>5.7</v>
      </c>
      <c r="P710" s="9">
        <v>2</v>
      </c>
      <c r="Q710" s="9" t="s">
        <v>3</v>
      </c>
      <c r="R710" s="1">
        <v>0</v>
      </c>
      <c r="S710" s="26"/>
    </row>
    <row r="711" spans="1:19" ht="16.5" hidden="1" customHeight="1" x14ac:dyDescent="0.25">
      <c r="A711" s="21"/>
      <c r="H711" s="21"/>
      <c r="I711" s="21"/>
      <c r="J711" s="21"/>
      <c r="K711" s="21"/>
      <c r="L711" s="21"/>
      <c r="M711" s="9">
        <f t="shared" si="88"/>
        <v>0</v>
      </c>
      <c r="N711" s="9">
        <f t="shared" si="89"/>
        <v>0</v>
      </c>
      <c r="O711" s="21"/>
      <c r="P711" s="21"/>
      <c r="Q711" s="21"/>
      <c r="S711" s="25"/>
    </row>
    <row r="712" spans="1:19" ht="16.5" customHeight="1" x14ac:dyDescent="0.25">
      <c r="A712" s="9"/>
      <c r="B712" s="39" t="s">
        <v>42</v>
      </c>
      <c r="C712" s="40"/>
      <c r="D712" s="40"/>
      <c r="E712" s="40"/>
      <c r="F712" s="40"/>
      <c r="G712" s="41"/>
      <c r="H712" s="23"/>
      <c r="I712" s="24">
        <f>SUM(I703:I711)</f>
        <v>21</v>
      </c>
      <c r="J712" s="9"/>
      <c r="K712" s="9"/>
      <c r="L712" s="9"/>
      <c r="M712" s="9">
        <f t="shared" si="88"/>
        <v>139.44</v>
      </c>
      <c r="N712" s="9">
        <f t="shared" si="89"/>
        <v>49.559999999999995</v>
      </c>
      <c r="O712" s="24">
        <f>ROUND(SUM(M703:M711)/I712,2)</f>
        <v>6.64</v>
      </c>
      <c r="P712" s="24">
        <f>ROUND(SUM(N703:N711)/I712,2)</f>
        <v>2.36</v>
      </c>
      <c r="Q712" s="9"/>
      <c r="S712" s="25"/>
    </row>
    <row r="713" spans="1:19" ht="20.25" customHeight="1" x14ac:dyDescent="0.25">
      <c r="A713" s="27" t="s">
        <v>79</v>
      </c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</row>
    <row r="714" spans="1:19" ht="16.5" customHeight="1" x14ac:dyDescent="0.25">
      <c r="A714" s="9"/>
      <c r="B714" s="51" t="s">
        <v>80</v>
      </c>
      <c r="C714" s="52"/>
      <c r="D714" s="52"/>
      <c r="E714" s="52"/>
      <c r="F714" s="52"/>
      <c r="G714" s="53"/>
      <c r="H714" s="20"/>
      <c r="I714" s="9">
        <v>3</v>
      </c>
      <c r="J714" s="9"/>
      <c r="K714" s="9"/>
      <c r="L714" s="9"/>
      <c r="M714" s="9">
        <f t="shared" ref="M714:M719" si="90">I714*O714</f>
        <v>18.600000000000001</v>
      </c>
      <c r="N714" s="9">
        <f t="shared" ref="N714:N719" si="91">I714*P714</f>
        <v>6</v>
      </c>
      <c r="O714" s="9">
        <v>6.2</v>
      </c>
      <c r="P714" s="9">
        <v>2</v>
      </c>
      <c r="Q714" s="9" t="s">
        <v>3</v>
      </c>
      <c r="R714" s="1">
        <v>0</v>
      </c>
      <c r="S714" s="26"/>
    </row>
    <row r="715" spans="1:19" ht="16.5" customHeight="1" x14ac:dyDescent="0.25">
      <c r="A715" s="9"/>
      <c r="B715" s="51" t="s">
        <v>81</v>
      </c>
      <c r="C715" s="52"/>
      <c r="D715" s="52"/>
      <c r="E715" s="52"/>
      <c r="F715" s="52"/>
      <c r="G715" s="53"/>
      <c r="H715" s="20"/>
      <c r="I715" s="9">
        <v>4</v>
      </c>
      <c r="J715" s="9"/>
      <c r="K715" s="9"/>
      <c r="L715" s="9"/>
      <c r="M715" s="9">
        <f t="shared" si="90"/>
        <v>26</v>
      </c>
      <c r="N715" s="9">
        <f t="shared" si="91"/>
        <v>10</v>
      </c>
      <c r="O715" s="9">
        <v>6.5</v>
      </c>
      <c r="P715" s="9">
        <v>2.5</v>
      </c>
      <c r="Q715" s="9" t="s">
        <v>5</v>
      </c>
      <c r="R715" s="1">
        <v>0</v>
      </c>
      <c r="S715" s="26"/>
    </row>
    <row r="716" spans="1:19" ht="16.5" customHeight="1" x14ac:dyDescent="0.25">
      <c r="A716" s="9"/>
      <c r="B716" s="51" t="s">
        <v>82</v>
      </c>
      <c r="C716" s="52"/>
      <c r="D716" s="52"/>
      <c r="E716" s="52"/>
      <c r="F716" s="52"/>
      <c r="G716" s="53"/>
      <c r="H716" s="20"/>
      <c r="I716" s="9">
        <v>3</v>
      </c>
      <c r="J716" s="9"/>
      <c r="K716" s="9"/>
      <c r="L716" s="9"/>
      <c r="M716" s="9">
        <f t="shared" si="90"/>
        <v>22.200000000000003</v>
      </c>
      <c r="N716" s="9">
        <f t="shared" si="91"/>
        <v>9</v>
      </c>
      <c r="O716" s="9">
        <v>7.4</v>
      </c>
      <c r="P716" s="9">
        <v>3</v>
      </c>
      <c r="Q716" s="9" t="s">
        <v>6</v>
      </c>
      <c r="R716" s="1">
        <v>0</v>
      </c>
      <c r="S716" s="26"/>
    </row>
    <row r="717" spans="1:19" ht="16.5" customHeight="1" x14ac:dyDescent="0.25">
      <c r="A717" s="9"/>
      <c r="B717" s="51" t="s">
        <v>83</v>
      </c>
      <c r="C717" s="52"/>
      <c r="D717" s="52"/>
      <c r="E717" s="52"/>
      <c r="F717" s="52"/>
      <c r="G717" s="53"/>
      <c r="H717" s="20"/>
      <c r="I717" s="9">
        <v>1</v>
      </c>
      <c r="J717" s="9"/>
      <c r="K717" s="9"/>
      <c r="L717" s="9"/>
      <c r="M717" s="9">
        <f t="shared" si="90"/>
        <v>8</v>
      </c>
      <c r="N717" s="9">
        <f t="shared" si="91"/>
        <v>3.5</v>
      </c>
      <c r="O717" s="9">
        <v>8</v>
      </c>
      <c r="P717" s="9">
        <v>3.5</v>
      </c>
      <c r="Q717" s="9" t="s">
        <v>9</v>
      </c>
      <c r="R717" s="1">
        <v>0</v>
      </c>
      <c r="S717" s="26"/>
    </row>
    <row r="718" spans="1:19" ht="16.5" customHeight="1" x14ac:dyDescent="0.25">
      <c r="A718" s="9"/>
      <c r="B718" s="51" t="s">
        <v>84</v>
      </c>
      <c r="C718" s="52"/>
      <c r="D718" s="52"/>
      <c r="E718" s="52"/>
      <c r="F718" s="52"/>
      <c r="G718" s="53"/>
      <c r="H718" s="20"/>
      <c r="I718" s="9">
        <v>2</v>
      </c>
      <c r="J718" s="9"/>
      <c r="K718" s="9"/>
      <c r="L718" s="9"/>
      <c r="M718" s="9">
        <f t="shared" si="90"/>
        <v>14.2</v>
      </c>
      <c r="N718" s="9">
        <f t="shared" si="91"/>
        <v>6</v>
      </c>
      <c r="O718" s="9">
        <v>7.1</v>
      </c>
      <c r="P718" s="9">
        <v>3</v>
      </c>
      <c r="Q718" s="9" t="s">
        <v>6</v>
      </c>
      <c r="R718" s="1">
        <v>0</v>
      </c>
      <c r="S718" s="26"/>
    </row>
    <row r="719" spans="1:19" ht="16.5" customHeight="1" x14ac:dyDescent="0.25">
      <c r="A719" s="9"/>
      <c r="B719" s="51" t="s">
        <v>85</v>
      </c>
      <c r="C719" s="52"/>
      <c r="D719" s="52"/>
      <c r="E719" s="52"/>
      <c r="F719" s="52"/>
      <c r="G719" s="53"/>
      <c r="H719" s="20"/>
      <c r="I719" s="9">
        <v>2</v>
      </c>
      <c r="J719" s="9"/>
      <c r="K719" s="9"/>
      <c r="L719" s="9"/>
      <c r="M719" s="9">
        <f t="shared" si="90"/>
        <v>14</v>
      </c>
      <c r="N719" s="9">
        <f t="shared" si="91"/>
        <v>6</v>
      </c>
      <c r="O719" s="9">
        <v>7</v>
      </c>
      <c r="P719" s="9">
        <v>3</v>
      </c>
      <c r="Q719" s="9" t="s">
        <v>6</v>
      </c>
      <c r="R719" s="1">
        <v>0</v>
      </c>
      <c r="S719" s="26"/>
    </row>
    <row r="720" spans="1:19" ht="15" customHeight="1" x14ac:dyDescent="0.25">
      <c r="A720" s="36" t="s">
        <v>0</v>
      </c>
      <c r="B720" s="29" t="s">
        <v>1</v>
      </c>
      <c r="C720" s="30"/>
      <c r="D720" s="30"/>
      <c r="E720" s="30"/>
      <c r="F720" s="30"/>
      <c r="G720" s="31"/>
      <c r="H720" s="36" t="s">
        <v>32</v>
      </c>
      <c r="I720" s="36" t="s">
        <v>39</v>
      </c>
      <c r="J720" s="55" t="s">
        <v>2</v>
      </c>
      <c r="K720" s="56"/>
      <c r="L720" s="56"/>
      <c r="M720" s="56"/>
      <c r="N720" s="56"/>
      <c r="O720" s="56"/>
      <c r="P720" s="56"/>
      <c r="Q720" s="57"/>
      <c r="S720" s="36" t="s">
        <v>38</v>
      </c>
    </row>
    <row r="721" spans="1:19" ht="24" customHeight="1" x14ac:dyDescent="0.25">
      <c r="A721" s="37"/>
      <c r="B721" s="32"/>
      <c r="C721" s="33"/>
      <c r="D721" s="33"/>
      <c r="E721" s="33"/>
      <c r="F721" s="33"/>
      <c r="G721" s="34"/>
      <c r="H721" s="37"/>
      <c r="I721" s="37"/>
      <c r="J721" s="7" t="s">
        <v>28</v>
      </c>
      <c r="K721" s="7" t="s">
        <v>29</v>
      </c>
      <c r="L721" s="7" t="s">
        <v>30</v>
      </c>
      <c r="M721" s="7"/>
      <c r="N721" s="7"/>
      <c r="O721" s="6" t="s">
        <v>35</v>
      </c>
      <c r="P721" s="6" t="s">
        <v>36</v>
      </c>
      <c r="Q721" s="6" t="s">
        <v>37</v>
      </c>
      <c r="S721" s="37"/>
    </row>
    <row r="722" spans="1:19" ht="16.5" customHeight="1" x14ac:dyDescent="0.25">
      <c r="A722" s="9"/>
      <c r="B722" s="51" t="s">
        <v>86</v>
      </c>
      <c r="C722" s="52"/>
      <c r="D722" s="52"/>
      <c r="E722" s="52"/>
      <c r="F722" s="52"/>
      <c r="G722" s="53"/>
      <c r="H722" s="20"/>
      <c r="I722" s="9">
        <v>2</v>
      </c>
      <c r="J722" s="9"/>
      <c r="K722" s="9"/>
      <c r="L722" s="9"/>
      <c r="M722" s="9">
        <f>I722*O722</f>
        <v>15</v>
      </c>
      <c r="N722" s="9">
        <f>I722*P722</f>
        <v>6</v>
      </c>
      <c r="O722" s="9">
        <v>7.5</v>
      </c>
      <c r="P722" s="9">
        <v>3</v>
      </c>
      <c r="Q722" s="9" t="s">
        <v>6</v>
      </c>
      <c r="R722" s="1">
        <v>0</v>
      </c>
      <c r="S722" s="26"/>
    </row>
    <row r="723" spans="1:19" ht="16.5" customHeight="1" x14ac:dyDescent="0.25">
      <c r="A723" s="9"/>
      <c r="B723" s="51" t="s">
        <v>87</v>
      </c>
      <c r="C723" s="52"/>
      <c r="D723" s="52"/>
      <c r="E723" s="52"/>
      <c r="F723" s="52"/>
      <c r="G723" s="53"/>
      <c r="H723" s="20"/>
      <c r="I723" s="9">
        <v>3</v>
      </c>
      <c r="J723" s="9"/>
      <c r="K723" s="9"/>
      <c r="L723" s="9"/>
      <c r="M723" s="9">
        <f>I723*O723</f>
        <v>21.299999999999997</v>
      </c>
      <c r="N723" s="9">
        <f>I723*P723</f>
        <v>9</v>
      </c>
      <c r="O723" s="9">
        <v>7.1</v>
      </c>
      <c r="P723" s="9">
        <v>3</v>
      </c>
      <c r="Q723" s="9" t="s">
        <v>6</v>
      </c>
      <c r="R723" s="1">
        <v>0</v>
      </c>
      <c r="S723" s="26"/>
    </row>
    <row r="724" spans="1:19" ht="16.5" customHeight="1" x14ac:dyDescent="0.25">
      <c r="A724" s="9"/>
      <c r="B724" s="51" t="s">
        <v>88</v>
      </c>
      <c r="C724" s="52"/>
      <c r="D724" s="52"/>
      <c r="E724" s="52"/>
      <c r="F724" s="52"/>
      <c r="G724" s="53"/>
      <c r="H724" s="20"/>
      <c r="I724" s="9">
        <v>3</v>
      </c>
      <c r="J724" s="9"/>
      <c r="K724" s="9"/>
      <c r="L724" s="9"/>
      <c r="M724" s="9">
        <f>I724*O724</f>
        <v>24</v>
      </c>
      <c r="N724" s="9">
        <f>I724*P724</f>
        <v>10.5</v>
      </c>
      <c r="O724" s="9">
        <v>8</v>
      </c>
      <c r="P724" s="9">
        <v>3.5</v>
      </c>
      <c r="Q724" s="9" t="s">
        <v>9</v>
      </c>
      <c r="R724" s="1">
        <v>0</v>
      </c>
      <c r="S724" s="26"/>
    </row>
    <row r="725" spans="1:19" ht="16.5" hidden="1" customHeight="1" x14ac:dyDescent="0.25">
      <c r="A725" s="21"/>
      <c r="H725" s="21"/>
      <c r="I725" s="21"/>
      <c r="J725" s="21"/>
      <c r="K725" s="21"/>
      <c r="L725" s="21"/>
      <c r="M725" s="9">
        <f>I725*O725</f>
        <v>0</v>
      </c>
      <c r="N725" s="9">
        <f>I725*P725</f>
        <v>0</v>
      </c>
      <c r="O725" s="21"/>
      <c r="P725" s="21"/>
      <c r="Q725" s="21"/>
      <c r="S725" s="25"/>
    </row>
    <row r="726" spans="1:19" ht="16.5" customHeight="1" x14ac:dyDescent="0.25">
      <c r="A726" s="9"/>
      <c r="B726" s="39" t="s">
        <v>42</v>
      </c>
      <c r="C726" s="40"/>
      <c r="D726" s="40"/>
      <c r="E726" s="40"/>
      <c r="F726" s="40"/>
      <c r="G726" s="41"/>
      <c r="H726" s="23"/>
      <c r="I726" s="24">
        <f>SUM(I714:I725)</f>
        <v>23</v>
      </c>
      <c r="J726" s="9"/>
      <c r="K726" s="9"/>
      <c r="L726" s="9"/>
      <c r="M726" s="9">
        <f>I726*O726</f>
        <v>163.29999999999998</v>
      </c>
      <c r="N726" s="9">
        <f>I726*P726</f>
        <v>66.010000000000005</v>
      </c>
      <c r="O726" s="24">
        <f>ROUND(SUM(M714:M725)/I726,2)</f>
        <v>7.1</v>
      </c>
      <c r="P726" s="24">
        <f>ROUND(SUM(N714:N725)/I726,2)</f>
        <v>2.87</v>
      </c>
      <c r="Q726" s="9"/>
      <c r="S726" s="25"/>
    </row>
    <row r="727" spans="1:19" ht="20.25" customHeight="1" x14ac:dyDescent="0.25">
      <c r="A727" s="27" t="s">
        <v>89</v>
      </c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</row>
    <row r="728" spans="1:19" ht="16.5" customHeight="1" x14ac:dyDescent="0.25">
      <c r="A728" s="9"/>
      <c r="B728" s="51" t="s">
        <v>90</v>
      </c>
      <c r="C728" s="52"/>
      <c r="D728" s="52"/>
      <c r="E728" s="52"/>
      <c r="F728" s="52"/>
      <c r="G728" s="53"/>
      <c r="H728" s="20"/>
      <c r="I728" s="9">
        <v>1</v>
      </c>
      <c r="J728" s="9"/>
      <c r="K728" s="9"/>
      <c r="L728" s="9"/>
      <c r="M728" s="9">
        <f t="shared" ref="M728:M740" si="92">I728*O728</f>
        <v>7.1</v>
      </c>
      <c r="N728" s="9">
        <f t="shared" ref="N728:N740" si="93">I728*P728</f>
        <v>3</v>
      </c>
      <c r="O728" s="9">
        <v>7.1</v>
      </c>
      <c r="P728" s="9">
        <v>3</v>
      </c>
      <c r="Q728" s="9" t="s">
        <v>6</v>
      </c>
      <c r="R728" s="1">
        <v>0</v>
      </c>
      <c r="S728" s="26"/>
    </row>
    <row r="729" spans="1:19" ht="16.5" customHeight="1" x14ac:dyDescent="0.25">
      <c r="A729" s="9"/>
      <c r="B729" s="51" t="s">
        <v>91</v>
      </c>
      <c r="C729" s="52"/>
      <c r="D729" s="52"/>
      <c r="E729" s="52"/>
      <c r="F729" s="52"/>
      <c r="G729" s="53"/>
      <c r="H729" s="20"/>
      <c r="I729" s="9">
        <v>3</v>
      </c>
      <c r="J729" s="9"/>
      <c r="K729" s="9"/>
      <c r="L729" s="9"/>
      <c r="M729" s="9">
        <f t="shared" si="92"/>
        <v>9</v>
      </c>
      <c r="N729" s="9">
        <f t="shared" si="93"/>
        <v>0</v>
      </c>
      <c r="O729" s="9">
        <v>3</v>
      </c>
      <c r="P729" s="9">
        <v>0</v>
      </c>
      <c r="Q729" s="9" t="s">
        <v>7</v>
      </c>
      <c r="R729" s="1">
        <v>0</v>
      </c>
      <c r="S729" s="26"/>
    </row>
    <row r="730" spans="1:19" ht="16.5" customHeight="1" x14ac:dyDescent="0.25">
      <c r="A730" s="9"/>
      <c r="B730" s="51" t="s">
        <v>92</v>
      </c>
      <c r="C730" s="52"/>
      <c r="D730" s="52"/>
      <c r="E730" s="52"/>
      <c r="F730" s="52"/>
      <c r="G730" s="53"/>
      <c r="H730" s="20"/>
      <c r="I730" s="9">
        <v>1</v>
      </c>
      <c r="J730" s="9"/>
      <c r="K730" s="9"/>
      <c r="L730" s="9"/>
      <c r="M730" s="9">
        <f t="shared" si="92"/>
        <v>8</v>
      </c>
      <c r="N730" s="9">
        <f t="shared" si="93"/>
        <v>3.5</v>
      </c>
      <c r="O730" s="9">
        <v>8</v>
      </c>
      <c r="P730" s="9">
        <v>3.5</v>
      </c>
      <c r="Q730" s="9" t="s">
        <v>9</v>
      </c>
      <c r="R730" s="1">
        <v>0</v>
      </c>
      <c r="S730" s="26"/>
    </row>
    <row r="731" spans="1:19" ht="16.5" customHeight="1" x14ac:dyDescent="0.25">
      <c r="A731" s="9"/>
      <c r="B731" s="51" t="s">
        <v>93</v>
      </c>
      <c r="C731" s="52"/>
      <c r="D731" s="52"/>
      <c r="E731" s="52"/>
      <c r="F731" s="52"/>
      <c r="G731" s="53"/>
      <c r="H731" s="20"/>
      <c r="I731" s="9">
        <v>2</v>
      </c>
      <c r="J731" s="9"/>
      <c r="K731" s="9"/>
      <c r="L731" s="9"/>
      <c r="M731" s="9">
        <f t="shared" si="92"/>
        <v>11.8</v>
      </c>
      <c r="N731" s="9">
        <f t="shared" si="93"/>
        <v>4</v>
      </c>
      <c r="O731" s="9">
        <v>5.9</v>
      </c>
      <c r="P731" s="9">
        <v>2</v>
      </c>
      <c r="Q731" s="9" t="s">
        <v>3</v>
      </c>
      <c r="R731" s="1">
        <v>0</v>
      </c>
      <c r="S731" s="26"/>
    </row>
    <row r="732" spans="1:19" ht="16.5" customHeight="1" x14ac:dyDescent="0.25">
      <c r="A732" s="9"/>
      <c r="B732" s="51" t="s">
        <v>98</v>
      </c>
      <c r="C732" s="52"/>
      <c r="D732" s="52"/>
      <c r="E732" s="52"/>
      <c r="F732" s="52"/>
      <c r="G732" s="53"/>
      <c r="H732" s="20"/>
      <c r="I732" s="9">
        <v>4</v>
      </c>
      <c r="J732" s="9"/>
      <c r="K732" s="9"/>
      <c r="L732" s="9"/>
      <c r="M732" s="9">
        <f t="shared" si="92"/>
        <v>23.2</v>
      </c>
      <c r="N732" s="9">
        <f t="shared" si="93"/>
        <v>8</v>
      </c>
      <c r="O732" s="9">
        <v>5.8</v>
      </c>
      <c r="P732" s="9">
        <v>2</v>
      </c>
      <c r="Q732" s="9" t="s">
        <v>3</v>
      </c>
      <c r="R732" s="1">
        <v>0</v>
      </c>
      <c r="S732" s="26"/>
    </row>
    <row r="733" spans="1:19" ht="16.5" customHeight="1" x14ac:dyDescent="0.25">
      <c r="A733" s="9"/>
      <c r="B733" s="51" t="s">
        <v>95</v>
      </c>
      <c r="C733" s="52"/>
      <c r="D733" s="52"/>
      <c r="E733" s="52"/>
      <c r="F733" s="52"/>
      <c r="G733" s="53"/>
      <c r="H733" s="20"/>
      <c r="I733" s="9">
        <v>2</v>
      </c>
      <c r="J733" s="9"/>
      <c r="K733" s="9"/>
      <c r="L733" s="9"/>
      <c r="M733" s="9">
        <f t="shared" si="92"/>
        <v>15.6</v>
      </c>
      <c r="N733" s="9">
        <f t="shared" si="93"/>
        <v>6</v>
      </c>
      <c r="O733" s="9">
        <v>7.8</v>
      </c>
      <c r="P733" s="9">
        <v>3</v>
      </c>
      <c r="Q733" s="9" t="s">
        <v>6</v>
      </c>
      <c r="R733" s="1">
        <v>0</v>
      </c>
      <c r="S733" s="26"/>
    </row>
    <row r="734" spans="1:19" ht="16.5" customHeight="1" x14ac:dyDescent="0.25">
      <c r="A734" s="9"/>
      <c r="B734" s="51" t="s">
        <v>96</v>
      </c>
      <c r="C734" s="52"/>
      <c r="D734" s="52"/>
      <c r="E734" s="52"/>
      <c r="F734" s="52"/>
      <c r="G734" s="53"/>
      <c r="H734" s="20"/>
      <c r="I734" s="9">
        <v>2</v>
      </c>
      <c r="J734" s="9"/>
      <c r="K734" s="9"/>
      <c r="L734" s="9"/>
      <c r="M734" s="9">
        <f t="shared" si="92"/>
        <v>11.8</v>
      </c>
      <c r="N734" s="9">
        <f t="shared" si="93"/>
        <v>4</v>
      </c>
      <c r="O734" s="9">
        <v>5.9</v>
      </c>
      <c r="P734" s="9">
        <v>2</v>
      </c>
      <c r="Q734" s="9" t="s">
        <v>3</v>
      </c>
      <c r="R734" s="1">
        <v>0</v>
      </c>
      <c r="S734" s="26"/>
    </row>
    <row r="735" spans="1:19" ht="16.5" customHeight="1" x14ac:dyDescent="0.25">
      <c r="A735" s="9"/>
      <c r="B735" s="51" t="s">
        <v>97</v>
      </c>
      <c r="C735" s="52"/>
      <c r="D735" s="52"/>
      <c r="E735" s="52"/>
      <c r="F735" s="52"/>
      <c r="G735" s="53"/>
      <c r="H735" s="20"/>
      <c r="I735" s="9">
        <v>3</v>
      </c>
      <c r="J735" s="9"/>
      <c r="K735" s="9"/>
      <c r="L735" s="9"/>
      <c r="M735" s="9">
        <f t="shared" si="92"/>
        <v>16.5</v>
      </c>
      <c r="N735" s="9">
        <f t="shared" si="93"/>
        <v>6</v>
      </c>
      <c r="O735" s="9">
        <v>5.5</v>
      </c>
      <c r="P735" s="9">
        <v>2</v>
      </c>
      <c r="Q735" s="9" t="s">
        <v>3</v>
      </c>
      <c r="R735" s="1">
        <v>0</v>
      </c>
      <c r="S735" s="26"/>
    </row>
    <row r="736" spans="1:19" ht="16.5" customHeight="1" x14ac:dyDescent="0.25">
      <c r="A736" s="9"/>
      <c r="B736" s="51" t="s">
        <v>94</v>
      </c>
      <c r="C736" s="52"/>
      <c r="D736" s="52"/>
      <c r="E736" s="52"/>
      <c r="F736" s="52"/>
      <c r="G736" s="53"/>
      <c r="H736" s="20"/>
      <c r="I736" s="9">
        <v>1</v>
      </c>
      <c r="J736" s="9"/>
      <c r="K736" s="9"/>
      <c r="L736" s="9"/>
      <c r="M736" s="9">
        <f t="shared" si="92"/>
        <v>7.3</v>
      </c>
      <c r="N736" s="9">
        <f t="shared" si="93"/>
        <v>3</v>
      </c>
      <c r="O736" s="9">
        <v>7.3</v>
      </c>
      <c r="P736" s="9">
        <v>3</v>
      </c>
      <c r="Q736" s="9" t="s">
        <v>6</v>
      </c>
      <c r="R736" s="1">
        <v>0</v>
      </c>
      <c r="S736" s="26"/>
    </row>
    <row r="737" spans="1:19" ht="16.5" customHeight="1" x14ac:dyDescent="0.25">
      <c r="A737" s="9"/>
      <c r="B737" s="51" t="s">
        <v>99</v>
      </c>
      <c r="C737" s="52"/>
      <c r="D737" s="52"/>
      <c r="E737" s="52"/>
      <c r="F737" s="52"/>
      <c r="G737" s="53"/>
      <c r="H737" s="20"/>
      <c r="I737" s="9">
        <v>1</v>
      </c>
      <c r="J737" s="9"/>
      <c r="K737" s="9"/>
      <c r="L737" s="9"/>
      <c r="M737" s="9">
        <f t="shared" si="92"/>
        <v>8.3000000000000007</v>
      </c>
      <c r="N737" s="9">
        <f t="shared" si="93"/>
        <v>3.5</v>
      </c>
      <c r="O737" s="9">
        <v>8.3000000000000007</v>
      </c>
      <c r="P737" s="9">
        <v>3.5</v>
      </c>
      <c r="Q737" s="9" t="s">
        <v>9</v>
      </c>
      <c r="R737" s="1">
        <v>0</v>
      </c>
      <c r="S737" s="26"/>
    </row>
    <row r="738" spans="1:19" ht="16.5" customHeight="1" x14ac:dyDescent="0.25">
      <c r="A738" s="9"/>
      <c r="B738" s="51" t="s">
        <v>100</v>
      </c>
      <c r="C738" s="52"/>
      <c r="D738" s="52"/>
      <c r="E738" s="52"/>
      <c r="F738" s="52"/>
      <c r="G738" s="53"/>
      <c r="H738" s="20"/>
      <c r="I738" s="9">
        <v>2</v>
      </c>
      <c r="J738" s="9"/>
      <c r="K738" s="9"/>
      <c r="L738" s="9"/>
      <c r="M738" s="9">
        <f t="shared" si="92"/>
        <v>12.4</v>
      </c>
      <c r="N738" s="9">
        <f t="shared" si="93"/>
        <v>4</v>
      </c>
      <c r="O738" s="9">
        <v>6.2</v>
      </c>
      <c r="P738" s="9">
        <v>2</v>
      </c>
      <c r="Q738" s="9" t="s">
        <v>3</v>
      </c>
      <c r="R738" s="1">
        <v>0</v>
      </c>
      <c r="S738" s="26"/>
    </row>
    <row r="739" spans="1:19" ht="16.5" hidden="1" customHeight="1" x14ac:dyDescent="0.25">
      <c r="A739" s="21"/>
      <c r="H739" s="21"/>
      <c r="I739" s="21"/>
      <c r="J739" s="21"/>
      <c r="K739" s="21"/>
      <c r="L739" s="21"/>
      <c r="M739" s="9">
        <f t="shared" si="92"/>
        <v>0</v>
      </c>
      <c r="N739" s="9">
        <f t="shared" si="93"/>
        <v>0</v>
      </c>
      <c r="O739" s="21"/>
      <c r="P739" s="21"/>
      <c r="Q739" s="21"/>
      <c r="S739" s="25"/>
    </row>
    <row r="740" spans="1:19" ht="16.5" customHeight="1" x14ac:dyDescent="0.25">
      <c r="A740" s="9"/>
      <c r="B740" s="39" t="s">
        <v>42</v>
      </c>
      <c r="C740" s="40"/>
      <c r="D740" s="40"/>
      <c r="E740" s="40"/>
      <c r="F740" s="40"/>
      <c r="G740" s="41"/>
      <c r="H740" s="23"/>
      <c r="I740" s="24">
        <f>SUM(I728:I739)</f>
        <v>22</v>
      </c>
      <c r="J740" s="9"/>
      <c r="K740" s="9"/>
      <c r="L740" s="9"/>
      <c r="M740" s="9">
        <f t="shared" si="92"/>
        <v>130.9</v>
      </c>
      <c r="N740" s="9">
        <f t="shared" si="93"/>
        <v>45.099999999999994</v>
      </c>
      <c r="O740" s="24">
        <f>ROUND(SUM(M728:M739)/I740,2)</f>
        <v>5.95</v>
      </c>
      <c r="P740" s="24">
        <f>ROUND(SUM(N728:N739)/I740,2)</f>
        <v>2.0499999999999998</v>
      </c>
      <c r="Q740" s="9"/>
      <c r="S740" s="25"/>
    </row>
    <row r="741" spans="1:19" ht="20.25" customHeight="1" x14ac:dyDescent="0.25">
      <c r="A741" s="27" t="s">
        <v>135</v>
      </c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</row>
    <row r="742" spans="1:19" ht="16.5" customHeight="1" x14ac:dyDescent="0.25">
      <c r="A742" s="9"/>
      <c r="B742" s="51" t="s">
        <v>91</v>
      </c>
      <c r="C742" s="52"/>
      <c r="D742" s="52"/>
      <c r="E742" s="52"/>
      <c r="F742" s="52"/>
      <c r="G742" s="53"/>
      <c r="H742" s="20"/>
      <c r="I742" s="9">
        <v>3</v>
      </c>
      <c r="J742" s="9"/>
      <c r="K742" s="9"/>
      <c r="L742" s="9"/>
      <c r="M742" s="9">
        <f>I742*O742</f>
        <v>17.399999999999999</v>
      </c>
      <c r="N742" s="9">
        <f>I742*P742</f>
        <v>6</v>
      </c>
      <c r="O742" s="9">
        <v>5.8</v>
      </c>
      <c r="P742" s="9">
        <v>2</v>
      </c>
      <c r="Q742" s="9" t="s">
        <v>3</v>
      </c>
      <c r="R742" s="1">
        <v>6</v>
      </c>
      <c r="S742" s="26" t="s">
        <v>132</v>
      </c>
    </row>
    <row r="743" spans="1:19" ht="16.5" hidden="1" customHeight="1" x14ac:dyDescent="0.25">
      <c r="A743" s="21"/>
      <c r="H743" s="21"/>
      <c r="I743" s="21"/>
      <c r="J743" s="21"/>
      <c r="K743" s="21"/>
      <c r="L743" s="21"/>
      <c r="M743" s="9">
        <f>I743*O743</f>
        <v>0</v>
      </c>
      <c r="N743" s="9">
        <f>I743*P743</f>
        <v>0</v>
      </c>
      <c r="O743" s="21"/>
      <c r="P743" s="21"/>
      <c r="Q743" s="21"/>
      <c r="S743" s="25"/>
    </row>
    <row r="744" spans="1:19" ht="16.5" customHeight="1" x14ac:dyDescent="0.25">
      <c r="A744" s="9"/>
      <c r="B744" s="39" t="s">
        <v>42</v>
      </c>
      <c r="C744" s="40"/>
      <c r="D744" s="40"/>
      <c r="E744" s="40"/>
      <c r="F744" s="40"/>
      <c r="G744" s="41"/>
      <c r="H744" s="23"/>
      <c r="I744" s="24">
        <f>SUM(I742:I743)</f>
        <v>3</v>
      </c>
      <c r="J744" s="9"/>
      <c r="K744" s="9"/>
      <c r="L744" s="9"/>
      <c r="M744" s="9">
        <f>I744*O744</f>
        <v>17.399999999999999</v>
      </c>
      <c r="N744" s="9">
        <f>I744*P744</f>
        <v>6</v>
      </c>
      <c r="O744" s="24">
        <f>ROUND(SUM(M742:M743)/I744,2)</f>
        <v>5.8</v>
      </c>
      <c r="P744" s="24">
        <f>ROUND(SUM(N742:N743)/I744,2)</f>
        <v>2</v>
      </c>
      <c r="Q744" s="9"/>
      <c r="S744" s="25"/>
    </row>
    <row r="745" spans="1:19" ht="20.25" customHeight="1" x14ac:dyDescent="0.25">
      <c r="A745" s="27" t="s">
        <v>101</v>
      </c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</row>
    <row r="746" spans="1:19" ht="16.5" customHeight="1" x14ac:dyDescent="0.25">
      <c r="A746" s="9"/>
      <c r="B746" s="51" t="s">
        <v>102</v>
      </c>
      <c r="C746" s="52"/>
      <c r="D746" s="52"/>
      <c r="E746" s="52"/>
      <c r="F746" s="52"/>
      <c r="G746" s="53"/>
      <c r="H746" s="20"/>
      <c r="I746" s="9">
        <v>1</v>
      </c>
      <c r="J746" s="9"/>
      <c r="K746" s="9"/>
      <c r="L746" s="9"/>
      <c r="M746" s="9">
        <f t="shared" ref="M746:M759" si="94">I746*O746</f>
        <v>7.2</v>
      </c>
      <c r="N746" s="9">
        <f t="shared" ref="N746:N759" si="95">I746*P746</f>
        <v>3</v>
      </c>
      <c r="O746" s="9">
        <v>7.2</v>
      </c>
      <c r="P746" s="9">
        <v>3</v>
      </c>
      <c r="Q746" s="9" t="s">
        <v>6</v>
      </c>
      <c r="R746" s="1">
        <v>0</v>
      </c>
      <c r="S746" s="26"/>
    </row>
    <row r="747" spans="1:19" ht="16.5" customHeight="1" x14ac:dyDescent="0.25">
      <c r="A747" s="9"/>
      <c r="B747" s="51" t="s">
        <v>103</v>
      </c>
      <c r="C747" s="52"/>
      <c r="D747" s="52"/>
      <c r="E747" s="52"/>
      <c r="F747" s="52"/>
      <c r="G747" s="53"/>
      <c r="H747" s="20"/>
      <c r="I747" s="9">
        <v>2</v>
      </c>
      <c r="J747" s="9"/>
      <c r="K747" s="9"/>
      <c r="L747" s="9"/>
      <c r="M747" s="9">
        <f t="shared" si="94"/>
        <v>13.8</v>
      </c>
      <c r="N747" s="9">
        <f t="shared" si="95"/>
        <v>5</v>
      </c>
      <c r="O747" s="9">
        <v>6.9</v>
      </c>
      <c r="P747" s="9">
        <v>2.5</v>
      </c>
      <c r="Q747" s="9" t="s">
        <v>5</v>
      </c>
      <c r="R747" s="1">
        <v>0</v>
      </c>
      <c r="S747" s="26"/>
    </row>
    <row r="748" spans="1:19" ht="16.5" customHeight="1" x14ac:dyDescent="0.25">
      <c r="A748" s="9"/>
      <c r="B748" s="51" t="s">
        <v>104</v>
      </c>
      <c r="C748" s="52"/>
      <c r="D748" s="52"/>
      <c r="E748" s="52"/>
      <c r="F748" s="52"/>
      <c r="G748" s="53"/>
      <c r="H748" s="20"/>
      <c r="I748" s="9">
        <v>4</v>
      </c>
      <c r="J748" s="9"/>
      <c r="K748" s="9"/>
      <c r="L748" s="9"/>
      <c r="M748" s="9">
        <f t="shared" si="94"/>
        <v>29.2</v>
      </c>
      <c r="N748" s="9">
        <f t="shared" si="95"/>
        <v>12</v>
      </c>
      <c r="O748" s="9">
        <v>7.3</v>
      </c>
      <c r="P748" s="9">
        <v>3</v>
      </c>
      <c r="Q748" s="9" t="s">
        <v>6</v>
      </c>
      <c r="R748" s="1">
        <v>0</v>
      </c>
      <c r="S748" s="26"/>
    </row>
    <row r="749" spans="1:19" ht="16.5" customHeight="1" x14ac:dyDescent="0.25">
      <c r="A749" s="9"/>
      <c r="B749" s="51" t="s">
        <v>112</v>
      </c>
      <c r="C749" s="52"/>
      <c r="D749" s="52"/>
      <c r="E749" s="52"/>
      <c r="F749" s="52"/>
      <c r="G749" s="53"/>
      <c r="H749" s="20"/>
      <c r="I749" s="9">
        <v>2</v>
      </c>
      <c r="J749" s="9"/>
      <c r="K749" s="9"/>
      <c r="L749" s="9"/>
      <c r="M749" s="9">
        <f t="shared" si="94"/>
        <v>13</v>
      </c>
      <c r="N749" s="9">
        <f t="shared" si="95"/>
        <v>5</v>
      </c>
      <c r="O749" s="9">
        <v>6.5</v>
      </c>
      <c r="P749" s="9">
        <v>2.5</v>
      </c>
      <c r="Q749" s="9" t="s">
        <v>5</v>
      </c>
      <c r="R749" s="1">
        <v>0</v>
      </c>
      <c r="S749" s="26"/>
    </row>
    <row r="750" spans="1:19" ht="16.5" customHeight="1" x14ac:dyDescent="0.25">
      <c r="A750" s="9"/>
      <c r="B750" s="51" t="s">
        <v>106</v>
      </c>
      <c r="C750" s="52"/>
      <c r="D750" s="52"/>
      <c r="E750" s="52"/>
      <c r="F750" s="52"/>
      <c r="G750" s="53"/>
      <c r="H750" s="20"/>
      <c r="I750" s="9">
        <v>2</v>
      </c>
      <c r="J750" s="9"/>
      <c r="K750" s="9"/>
      <c r="L750" s="9"/>
      <c r="M750" s="9">
        <f t="shared" si="94"/>
        <v>13.6</v>
      </c>
      <c r="N750" s="9">
        <f t="shared" si="95"/>
        <v>5</v>
      </c>
      <c r="O750" s="9">
        <v>6.8</v>
      </c>
      <c r="P750" s="9">
        <v>2.5</v>
      </c>
      <c r="Q750" s="9" t="s">
        <v>5</v>
      </c>
      <c r="R750" s="1">
        <v>0</v>
      </c>
      <c r="S750" s="26"/>
    </row>
    <row r="751" spans="1:19" ht="16.5" customHeight="1" x14ac:dyDescent="0.25">
      <c r="A751" s="9"/>
      <c r="B751" s="51" t="s">
        <v>107</v>
      </c>
      <c r="C751" s="52"/>
      <c r="D751" s="52"/>
      <c r="E751" s="52"/>
      <c r="F751" s="52"/>
      <c r="G751" s="53"/>
      <c r="H751" s="20"/>
      <c r="I751" s="9">
        <v>2</v>
      </c>
      <c r="J751" s="9"/>
      <c r="K751" s="9"/>
      <c r="L751" s="9"/>
      <c r="M751" s="9">
        <f t="shared" si="94"/>
        <v>15.4</v>
      </c>
      <c r="N751" s="9">
        <f t="shared" si="95"/>
        <v>6</v>
      </c>
      <c r="O751" s="9">
        <v>7.7</v>
      </c>
      <c r="P751" s="9">
        <v>3</v>
      </c>
      <c r="Q751" s="9" t="s">
        <v>6</v>
      </c>
      <c r="R751" s="1">
        <v>0</v>
      </c>
      <c r="S751" s="26"/>
    </row>
    <row r="752" spans="1:19" ht="16.5" customHeight="1" x14ac:dyDescent="0.25">
      <c r="A752" s="9"/>
      <c r="B752" s="51" t="s">
        <v>108</v>
      </c>
      <c r="C752" s="52"/>
      <c r="D752" s="52"/>
      <c r="E752" s="52"/>
      <c r="F752" s="52"/>
      <c r="G752" s="53"/>
      <c r="H752" s="20"/>
      <c r="I752" s="9">
        <v>4</v>
      </c>
      <c r="J752" s="9"/>
      <c r="K752" s="9"/>
      <c r="L752" s="9"/>
      <c r="M752" s="9">
        <f t="shared" si="94"/>
        <v>29.6</v>
      </c>
      <c r="N752" s="9">
        <f t="shared" si="95"/>
        <v>12</v>
      </c>
      <c r="O752" s="9">
        <v>7.4</v>
      </c>
      <c r="P752" s="9">
        <v>3</v>
      </c>
      <c r="Q752" s="9" t="s">
        <v>6</v>
      </c>
      <c r="R752" s="1">
        <v>0</v>
      </c>
      <c r="S752" s="26"/>
    </row>
    <row r="753" spans="1:19" ht="16.5" customHeight="1" x14ac:dyDescent="0.25">
      <c r="A753" s="9"/>
      <c r="B753" s="51" t="s">
        <v>109</v>
      </c>
      <c r="C753" s="52"/>
      <c r="D753" s="52"/>
      <c r="E753" s="52"/>
      <c r="F753" s="52"/>
      <c r="G753" s="53"/>
      <c r="H753" s="20"/>
      <c r="I753" s="9">
        <v>2</v>
      </c>
      <c r="J753" s="9"/>
      <c r="K753" s="9"/>
      <c r="L753" s="9"/>
      <c r="M753" s="9">
        <f t="shared" si="94"/>
        <v>16</v>
      </c>
      <c r="N753" s="9">
        <f t="shared" si="95"/>
        <v>7</v>
      </c>
      <c r="O753" s="9">
        <v>8</v>
      </c>
      <c r="P753" s="9">
        <v>3.5</v>
      </c>
      <c r="Q753" s="9" t="s">
        <v>9</v>
      </c>
      <c r="R753" s="1">
        <v>0</v>
      </c>
      <c r="S753" s="26"/>
    </row>
    <row r="754" spans="1:19" ht="16.5" customHeight="1" x14ac:dyDescent="0.25">
      <c r="A754" s="9"/>
      <c r="B754" s="51" t="s">
        <v>110</v>
      </c>
      <c r="C754" s="52"/>
      <c r="D754" s="52"/>
      <c r="E754" s="52"/>
      <c r="F754" s="52"/>
      <c r="G754" s="53"/>
      <c r="H754" s="20"/>
      <c r="I754" s="9">
        <v>2</v>
      </c>
      <c r="J754" s="9"/>
      <c r="K754" s="9"/>
      <c r="L754" s="9"/>
      <c r="M754" s="9">
        <f t="shared" si="94"/>
        <v>15.6</v>
      </c>
      <c r="N754" s="9">
        <f t="shared" si="95"/>
        <v>6</v>
      </c>
      <c r="O754" s="9">
        <v>7.8</v>
      </c>
      <c r="P754" s="9">
        <v>3</v>
      </c>
      <c r="Q754" s="9" t="s">
        <v>6</v>
      </c>
      <c r="R754" s="1">
        <v>0</v>
      </c>
      <c r="S754" s="26"/>
    </row>
    <row r="755" spans="1:19" ht="16.5" customHeight="1" x14ac:dyDescent="0.25">
      <c r="A755" s="9"/>
      <c r="B755" s="51" t="s">
        <v>111</v>
      </c>
      <c r="C755" s="52"/>
      <c r="D755" s="52"/>
      <c r="E755" s="52"/>
      <c r="F755" s="52"/>
      <c r="G755" s="53"/>
      <c r="H755" s="20"/>
      <c r="I755" s="9">
        <v>4</v>
      </c>
      <c r="J755" s="9"/>
      <c r="K755" s="9"/>
      <c r="L755" s="9"/>
      <c r="M755" s="9">
        <f t="shared" si="94"/>
        <v>32</v>
      </c>
      <c r="N755" s="9">
        <f t="shared" si="95"/>
        <v>14</v>
      </c>
      <c r="O755" s="9">
        <v>8</v>
      </c>
      <c r="P755" s="9">
        <v>3.5</v>
      </c>
      <c r="Q755" s="9" t="s">
        <v>9</v>
      </c>
      <c r="R755" s="1">
        <v>0</v>
      </c>
      <c r="S755" s="26"/>
    </row>
    <row r="756" spans="1:19" ht="16.5" customHeight="1" x14ac:dyDescent="0.25">
      <c r="A756" s="9"/>
      <c r="B756" s="51" t="s">
        <v>105</v>
      </c>
      <c r="C756" s="52"/>
      <c r="D756" s="52"/>
      <c r="E756" s="52"/>
      <c r="F756" s="52"/>
      <c r="G756" s="53"/>
      <c r="H756" s="20"/>
      <c r="I756" s="9">
        <v>3</v>
      </c>
      <c r="J756" s="9"/>
      <c r="K756" s="9"/>
      <c r="L756" s="9"/>
      <c r="M756" s="9">
        <f t="shared" si="94"/>
        <v>24.599999999999998</v>
      </c>
      <c r="N756" s="9">
        <f t="shared" si="95"/>
        <v>10.5</v>
      </c>
      <c r="O756" s="9">
        <v>8.1999999999999993</v>
      </c>
      <c r="P756" s="9">
        <v>3.5</v>
      </c>
      <c r="Q756" s="9" t="s">
        <v>9</v>
      </c>
      <c r="R756" s="1">
        <v>0</v>
      </c>
      <c r="S756" s="26"/>
    </row>
    <row r="757" spans="1:19" ht="16.5" customHeight="1" x14ac:dyDescent="0.25">
      <c r="A757" s="9"/>
      <c r="B757" s="51" t="s">
        <v>113</v>
      </c>
      <c r="C757" s="52"/>
      <c r="D757" s="52"/>
      <c r="E757" s="52"/>
      <c r="F757" s="52"/>
      <c r="G757" s="53"/>
      <c r="H757" s="20"/>
      <c r="I757" s="9">
        <v>1</v>
      </c>
      <c r="J757" s="9"/>
      <c r="K757" s="9"/>
      <c r="L757" s="9"/>
      <c r="M757" s="9">
        <f t="shared" si="94"/>
        <v>7.4</v>
      </c>
      <c r="N757" s="9">
        <f t="shared" si="95"/>
        <v>3</v>
      </c>
      <c r="O757" s="9">
        <v>7.4</v>
      </c>
      <c r="P757" s="9">
        <v>3</v>
      </c>
      <c r="Q757" s="9" t="s">
        <v>6</v>
      </c>
      <c r="R757" s="1">
        <v>0</v>
      </c>
      <c r="S757" s="26"/>
    </row>
    <row r="758" spans="1:19" ht="16.5" hidden="1" customHeight="1" x14ac:dyDescent="0.25">
      <c r="A758" s="21"/>
      <c r="H758" s="21"/>
      <c r="I758" s="21"/>
      <c r="J758" s="21"/>
      <c r="K758" s="21"/>
      <c r="L758" s="21"/>
      <c r="M758" s="9">
        <f t="shared" si="94"/>
        <v>0</v>
      </c>
      <c r="N758" s="9">
        <f t="shared" si="95"/>
        <v>0</v>
      </c>
      <c r="O758" s="21"/>
      <c r="P758" s="21"/>
      <c r="Q758" s="21"/>
      <c r="S758" s="25"/>
    </row>
    <row r="759" spans="1:19" ht="16.5" customHeight="1" x14ac:dyDescent="0.25">
      <c r="A759" s="9"/>
      <c r="B759" s="39" t="s">
        <v>42</v>
      </c>
      <c r="C759" s="40"/>
      <c r="D759" s="40"/>
      <c r="E759" s="40"/>
      <c r="F759" s="40"/>
      <c r="G759" s="41"/>
      <c r="H759" s="23"/>
      <c r="I759" s="24">
        <f>SUM(I746:I758)</f>
        <v>29</v>
      </c>
      <c r="J759" s="9"/>
      <c r="K759" s="9"/>
      <c r="L759" s="9"/>
      <c r="M759" s="9">
        <f t="shared" si="94"/>
        <v>217.5</v>
      </c>
      <c r="N759" s="9">
        <f t="shared" si="95"/>
        <v>88.449999999999989</v>
      </c>
      <c r="O759" s="24">
        <f>ROUND(SUM(M746:M758)/I759,2)</f>
        <v>7.5</v>
      </c>
      <c r="P759" s="24">
        <f>ROUND(SUM(N746:N758)/I759,2)</f>
        <v>3.05</v>
      </c>
      <c r="Q759" s="9"/>
      <c r="S759" s="25"/>
    </row>
    <row r="760" spans="1:19" ht="20.25" customHeight="1" x14ac:dyDescent="0.25">
      <c r="A760" s="27" t="s">
        <v>114</v>
      </c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</row>
    <row r="761" spans="1:19" ht="16.5" customHeight="1" x14ac:dyDescent="0.25">
      <c r="A761" s="9"/>
      <c r="B761" s="51" t="s">
        <v>115</v>
      </c>
      <c r="C761" s="52"/>
      <c r="D761" s="52"/>
      <c r="E761" s="52"/>
      <c r="F761" s="52"/>
      <c r="G761" s="53"/>
      <c r="H761" s="20"/>
      <c r="I761" s="9">
        <v>2</v>
      </c>
      <c r="J761" s="9"/>
      <c r="K761" s="9"/>
      <c r="L761" s="9"/>
      <c r="M761" s="9">
        <f t="shared" ref="M761:M772" si="96">I761*O761</f>
        <v>0</v>
      </c>
      <c r="N761" s="9">
        <f t="shared" ref="N761:N772" si="97">I761*P761</f>
        <v>0</v>
      </c>
      <c r="O761" s="9"/>
      <c r="P761" s="9"/>
      <c r="Q761" s="9"/>
      <c r="R761" s="1">
        <v>0</v>
      </c>
      <c r="S761" s="26"/>
    </row>
    <row r="762" spans="1:19" ht="16.5" customHeight="1" x14ac:dyDescent="0.25">
      <c r="A762" s="9"/>
      <c r="B762" s="51" t="s">
        <v>116</v>
      </c>
      <c r="C762" s="52"/>
      <c r="D762" s="52"/>
      <c r="E762" s="52"/>
      <c r="F762" s="52"/>
      <c r="G762" s="53"/>
      <c r="H762" s="20"/>
      <c r="I762" s="9">
        <v>3</v>
      </c>
      <c r="J762" s="9"/>
      <c r="K762" s="9"/>
      <c r="L762" s="9"/>
      <c r="M762" s="9">
        <f t="shared" si="96"/>
        <v>20.100000000000001</v>
      </c>
      <c r="N762" s="9">
        <f t="shared" si="97"/>
        <v>7.5</v>
      </c>
      <c r="O762" s="9">
        <v>6.7</v>
      </c>
      <c r="P762" s="9">
        <v>2.5</v>
      </c>
      <c r="Q762" s="9" t="s">
        <v>5</v>
      </c>
      <c r="R762" s="1">
        <v>0</v>
      </c>
      <c r="S762" s="26"/>
    </row>
    <row r="763" spans="1:19" ht="16.5" customHeight="1" x14ac:dyDescent="0.25">
      <c r="A763" s="9"/>
      <c r="B763" s="51" t="s">
        <v>117</v>
      </c>
      <c r="C763" s="52"/>
      <c r="D763" s="52"/>
      <c r="E763" s="52"/>
      <c r="F763" s="52"/>
      <c r="G763" s="53"/>
      <c r="H763" s="20"/>
      <c r="I763" s="9">
        <v>3</v>
      </c>
      <c r="J763" s="9"/>
      <c r="K763" s="9"/>
      <c r="L763" s="9"/>
      <c r="M763" s="9">
        <f t="shared" si="96"/>
        <v>0</v>
      </c>
      <c r="N763" s="9">
        <f t="shared" si="97"/>
        <v>0</v>
      </c>
      <c r="O763" s="9"/>
      <c r="P763" s="9"/>
      <c r="Q763" s="9"/>
      <c r="R763" s="1">
        <v>0</v>
      </c>
      <c r="S763" s="26"/>
    </row>
    <row r="764" spans="1:19" ht="16.5" customHeight="1" x14ac:dyDescent="0.25">
      <c r="A764" s="9"/>
      <c r="B764" s="51" t="s">
        <v>123</v>
      </c>
      <c r="C764" s="52"/>
      <c r="D764" s="52"/>
      <c r="E764" s="52"/>
      <c r="F764" s="52"/>
      <c r="G764" s="53"/>
      <c r="H764" s="20"/>
      <c r="I764" s="9">
        <v>2</v>
      </c>
      <c r="J764" s="9"/>
      <c r="K764" s="9"/>
      <c r="L764" s="9"/>
      <c r="M764" s="9">
        <f t="shared" si="96"/>
        <v>0</v>
      </c>
      <c r="N764" s="9">
        <f t="shared" si="97"/>
        <v>0</v>
      </c>
      <c r="O764" s="9"/>
      <c r="P764" s="9"/>
      <c r="Q764" s="9"/>
      <c r="R764" s="1">
        <v>0</v>
      </c>
      <c r="S764" s="26"/>
    </row>
    <row r="765" spans="1:19" ht="16.5" customHeight="1" x14ac:dyDescent="0.25">
      <c r="A765" s="9"/>
      <c r="B765" s="51" t="s">
        <v>119</v>
      </c>
      <c r="C765" s="52"/>
      <c r="D765" s="52"/>
      <c r="E765" s="52"/>
      <c r="F765" s="52"/>
      <c r="G765" s="53"/>
      <c r="H765" s="20"/>
      <c r="I765" s="9">
        <v>4</v>
      </c>
      <c r="J765" s="9"/>
      <c r="K765" s="9"/>
      <c r="L765" s="9"/>
      <c r="M765" s="9">
        <f t="shared" si="96"/>
        <v>0</v>
      </c>
      <c r="N765" s="9">
        <f t="shared" si="97"/>
        <v>0</v>
      </c>
      <c r="O765" s="9"/>
      <c r="P765" s="9"/>
      <c r="Q765" s="9"/>
      <c r="R765" s="1">
        <v>0</v>
      </c>
      <c r="S765" s="26"/>
    </row>
    <row r="766" spans="1:19" ht="16.5" customHeight="1" x14ac:dyDescent="0.25">
      <c r="A766" s="9"/>
      <c r="B766" s="51" t="s">
        <v>120</v>
      </c>
      <c r="C766" s="52"/>
      <c r="D766" s="52"/>
      <c r="E766" s="52"/>
      <c r="F766" s="52"/>
      <c r="G766" s="53"/>
      <c r="H766" s="20"/>
      <c r="I766" s="9">
        <v>3</v>
      </c>
      <c r="J766" s="9"/>
      <c r="K766" s="9"/>
      <c r="L766" s="9"/>
      <c r="M766" s="9">
        <f t="shared" si="96"/>
        <v>20.399999999999999</v>
      </c>
      <c r="N766" s="9">
        <f t="shared" si="97"/>
        <v>7.5</v>
      </c>
      <c r="O766" s="9">
        <v>6.8</v>
      </c>
      <c r="P766" s="9">
        <v>2.5</v>
      </c>
      <c r="Q766" s="9" t="s">
        <v>5</v>
      </c>
      <c r="R766" s="1">
        <v>0</v>
      </c>
      <c r="S766" s="26"/>
    </row>
    <row r="767" spans="1:19" ht="16.5" customHeight="1" x14ac:dyDescent="0.25">
      <c r="A767" s="9"/>
      <c r="B767" s="51" t="s">
        <v>142</v>
      </c>
      <c r="C767" s="52"/>
      <c r="D767" s="52"/>
      <c r="E767" s="52"/>
      <c r="F767" s="52"/>
      <c r="G767" s="53"/>
      <c r="H767" s="20"/>
      <c r="I767" s="9">
        <v>3</v>
      </c>
      <c r="J767" s="9"/>
      <c r="K767" s="9"/>
      <c r="L767" s="9"/>
      <c r="M767" s="9">
        <f t="shared" si="96"/>
        <v>23.1</v>
      </c>
      <c r="N767" s="9">
        <f t="shared" si="97"/>
        <v>9</v>
      </c>
      <c r="O767" s="9">
        <v>7.7</v>
      </c>
      <c r="P767" s="9">
        <v>3</v>
      </c>
      <c r="Q767" s="9" t="s">
        <v>6</v>
      </c>
      <c r="R767" s="1">
        <v>0</v>
      </c>
      <c r="S767" s="26"/>
    </row>
    <row r="768" spans="1:19" ht="16.5" customHeight="1" x14ac:dyDescent="0.25">
      <c r="A768" s="9"/>
      <c r="B768" s="51" t="s">
        <v>121</v>
      </c>
      <c r="C768" s="52"/>
      <c r="D768" s="52"/>
      <c r="E768" s="52"/>
      <c r="F768" s="52"/>
      <c r="G768" s="53"/>
      <c r="H768" s="20"/>
      <c r="I768" s="9">
        <v>2</v>
      </c>
      <c r="J768" s="9"/>
      <c r="K768" s="9"/>
      <c r="L768" s="9"/>
      <c r="M768" s="9">
        <f t="shared" si="96"/>
        <v>15.4</v>
      </c>
      <c r="N768" s="9">
        <f t="shared" si="97"/>
        <v>6</v>
      </c>
      <c r="O768" s="9">
        <v>7.7</v>
      </c>
      <c r="P768" s="9">
        <v>3</v>
      </c>
      <c r="Q768" s="9" t="s">
        <v>6</v>
      </c>
      <c r="R768" s="1">
        <v>0</v>
      </c>
      <c r="S768" s="26"/>
    </row>
    <row r="769" spans="1:19" ht="16.5" customHeight="1" x14ac:dyDescent="0.25">
      <c r="A769" s="9"/>
      <c r="B769" s="51" t="s">
        <v>122</v>
      </c>
      <c r="C769" s="52"/>
      <c r="D769" s="52"/>
      <c r="E769" s="52"/>
      <c r="F769" s="52"/>
      <c r="G769" s="53"/>
      <c r="H769" s="20"/>
      <c r="I769" s="9">
        <v>2</v>
      </c>
      <c r="J769" s="9"/>
      <c r="K769" s="9"/>
      <c r="L769" s="9"/>
      <c r="M769" s="9">
        <f t="shared" si="96"/>
        <v>0</v>
      </c>
      <c r="N769" s="9">
        <f t="shared" si="97"/>
        <v>0</v>
      </c>
      <c r="O769" s="9"/>
      <c r="P769" s="9"/>
      <c r="Q769" s="9"/>
      <c r="R769" s="1">
        <v>0</v>
      </c>
      <c r="S769" s="26"/>
    </row>
    <row r="770" spans="1:19" ht="16.5" customHeight="1" x14ac:dyDescent="0.25">
      <c r="A770" s="9"/>
      <c r="B770" s="51" t="s">
        <v>118</v>
      </c>
      <c r="C770" s="52"/>
      <c r="D770" s="52"/>
      <c r="E770" s="52"/>
      <c r="F770" s="52"/>
      <c r="G770" s="53"/>
      <c r="H770" s="20"/>
      <c r="I770" s="9">
        <v>1</v>
      </c>
      <c r="J770" s="9"/>
      <c r="K770" s="9"/>
      <c r="L770" s="9"/>
      <c r="M770" s="9">
        <f t="shared" si="96"/>
        <v>6.8</v>
      </c>
      <c r="N770" s="9">
        <f t="shared" si="97"/>
        <v>2.5</v>
      </c>
      <c r="O770" s="9">
        <v>6.8</v>
      </c>
      <c r="P770" s="9">
        <v>2.5</v>
      </c>
      <c r="Q770" s="9" t="s">
        <v>5</v>
      </c>
      <c r="R770" s="1">
        <v>0</v>
      </c>
      <c r="S770" s="26"/>
    </row>
    <row r="771" spans="1:19" ht="16.5" hidden="1" customHeight="1" x14ac:dyDescent="0.25">
      <c r="A771" s="21"/>
      <c r="H771" s="21"/>
      <c r="I771" s="21"/>
      <c r="J771" s="21"/>
      <c r="K771" s="21"/>
      <c r="L771" s="21"/>
      <c r="M771" s="9">
        <f t="shared" si="96"/>
        <v>0</v>
      </c>
      <c r="N771" s="9">
        <f t="shared" si="97"/>
        <v>0</v>
      </c>
      <c r="O771" s="21"/>
      <c r="P771" s="21"/>
      <c r="Q771" s="21"/>
      <c r="S771" s="25"/>
    </row>
    <row r="772" spans="1:19" ht="16.5" customHeight="1" x14ac:dyDescent="0.25">
      <c r="A772" s="9"/>
      <c r="B772" s="39" t="s">
        <v>42</v>
      </c>
      <c r="C772" s="40"/>
      <c r="D772" s="40"/>
      <c r="E772" s="40"/>
      <c r="F772" s="40"/>
      <c r="G772" s="41"/>
      <c r="H772" s="23"/>
      <c r="I772" s="24">
        <f>SUM(I761:I771)</f>
        <v>25</v>
      </c>
      <c r="J772" s="9"/>
      <c r="K772" s="9"/>
      <c r="L772" s="9"/>
      <c r="M772" s="9">
        <f t="shared" si="96"/>
        <v>85.75</v>
      </c>
      <c r="N772" s="9">
        <f t="shared" si="97"/>
        <v>32.5</v>
      </c>
      <c r="O772" s="24">
        <f>ROUND(SUM(M761:M771)/I772,2)</f>
        <v>3.43</v>
      </c>
      <c r="P772" s="24">
        <f>ROUND(SUM(N761:N771)/I772,2)</f>
        <v>1.3</v>
      </c>
      <c r="Q772" s="9"/>
      <c r="S772" s="25"/>
    </row>
    <row r="773" spans="1:19" ht="16.5" customHeight="1" x14ac:dyDescent="0.25">
      <c r="A773" s="21"/>
      <c r="B773" s="22"/>
      <c r="C773" s="22"/>
      <c r="D773" s="22"/>
      <c r="E773" s="22"/>
      <c r="F773" s="22"/>
      <c r="G773" s="22"/>
      <c r="H773" s="21"/>
      <c r="I773" s="21"/>
      <c r="J773" s="21"/>
      <c r="K773" s="21"/>
      <c r="L773" s="21"/>
      <c r="M773" s="21"/>
      <c r="N773" s="21"/>
      <c r="O773" s="21"/>
      <c r="P773" s="21"/>
      <c r="Q773" s="21"/>
    </row>
    <row r="775" spans="1:19" ht="18" x14ac:dyDescent="0.25">
      <c r="A775" s="35" t="s">
        <v>161</v>
      </c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</row>
    <row r="776" spans="1:19" ht="18" x14ac:dyDescent="0.25">
      <c r="A776" s="35" t="s">
        <v>162</v>
      </c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</row>
    <row r="777" spans="1:19" ht="18" x14ac:dyDescent="0.25">
      <c r="A777" s="35" t="s">
        <v>163</v>
      </c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</row>
    <row r="778" spans="1:19" ht="18" x14ac:dyDescent="0.25">
      <c r="A778" s="45" t="s">
        <v>149</v>
      </c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</row>
    <row r="779" spans="1:19" ht="19.5" customHeight="1" x14ac:dyDescent="0.25">
      <c r="A779" s="17"/>
      <c r="B779" s="17"/>
      <c r="C779" s="8"/>
      <c r="D779" s="18"/>
      <c r="E779" s="10"/>
      <c r="F779" s="11"/>
      <c r="G779" s="46" t="s">
        <v>49</v>
      </c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</row>
    <row r="780" spans="1:19" ht="31.5" customHeight="1" x14ac:dyDescent="0.3">
      <c r="A780" s="8"/>
      <c r="B780" s="8"/>
      <c r="C780" s="8"/>
      <c r="D780" s="8"/>
      <c r="E780" s="8"/>
      <c r="F780" s="8"/>
      <c r="G780" s="8"/>
      <c r="H780" s="12"/>
      <c r="I780" s="42" t="s">
        <v>40</v>
      </c>
      <c r="J780" s="43"/>
      <c r="K780" s="43"/>
      <c r="L780" s="43"/>
      <c r="M780" s="43"/>
      <c r="N780" s="43"/>
      <c r="O780" s="43"/>
      <c r="P780" s="43"/>
      <c r="Q780" s="43"/>
      <c r="R780" s="43"/>
      <c r="S780" s="43"/>
    </row>
    <row r="781" spans="1:19" ht="16.8" x14ac:dyDescent="0.3">
      <c r="A781" s="8"/>
      <c r="B781" s="8"/>
      <c r="C781" s="8"/>
      <c r="D781" s="8"/>
      <c r="E781" s="8"/>
      <c r="F781" s="8"/>
      <c r="G781" s="8"/>
      <c r="H781" s="12"/>
      <c r="I781" s="12"/>
      <c r="J781" s="12"/>
      <c r="K781" s="12"/>
      <c r="L781" s="8"/>
      <c r="M781" s="8"/>
      <c r="N781" s="8"/>
      <c r="O781" s="8"/>
      <c r="P781" s="8"/>
      <c r="Q781" s="8"/>
    </row>
    <row r="782" spans="1:19" ht="33" customHeight="1" x14ac:dyDescent="0.3">
      <c r="A782" s="8"/>
      <c r="B782" s="8"/>
      <c r="C782" s="8"/>
      <c r="D782" s="8"/>
      <c r="E782" s="8"/>
      <c r="F782" s="8"/>
      <c r="G782" s="8"/>
      <c r="H782" s="12"/>
      <c r="I782" s="12"/>
      <c r="J782" s="12"/>
      <c r="K782" s="12"/>
      <c r="L782" s="8"/>
      <c r="M782" s="8"/>
      <c r="N782" s="8"/>
      <c r="O782" s="8"/>
      <c r="P782" s="8"/>
      <c r="Q782" s="8"/>
    </row>
    <row r="783" spans="1:19" ht="11.25" customHeight="1" x14ac:dyDescent="0.3">
      <c r="A783" s="8"/>
      <c r="B783" s="8"/>
      <c r="C783" s="8"/>
      <c r="D783" s="8"/>
      <c r="E783" s="8"/>
      <c r="F783" s="8"/>
      <c r="G783" s="8"/>
      <c r="H783" s="12"/>
      <c r="I783" s="12"/>
      <c r="J783" s="12"/>
      <c r="K783" s="12"/>
      <c r="L783" s="8"/>
      <c r="M783" s="8"/>
      <c r="N783" s="8"/>
      <c r="O783" s="8"/>
      <c r="P783" s="8"/>
      <c r="Q783" s="8"/>
    </row>
    <row r="784" spans="1:19" ht="17.399999999999999" x14ac:dyDescent="0.3">
      <c r="A784" s="8"/>
      <c r="B784" s="8"/>
      <c r="C784" s="8"/>
      <c r="D784" s="8"/>
      <c r="E784" s="8"/>
      <c r="F784" s="8"/>
      <c r="G784" s="47" t="s">
        <v>41</v>
      </c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</row>
    <row r="785" spans="1:20" ht="54" customHeight="1" x14ac:dyDescent="0.25">
      <c r="A785" s="48" t="s">
        <v>33</v>
      </c>
      <c r="B785" s="48"/>
      <c r="C785" s="48"/>
      <c r="D785" s="48"/>
      <c r="E785" s="48"/>
      <c r="F785" s="42" t="s">
        <v>24</v>
      </c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</row>
    <row r="786" spans="1:20" ht="17.399999999999999" x14ac:dyDescent="0.25">
      <c r="A786" s="49" t="s">
        <v>34</v>
      </c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</row>
    <row r="787" spans="1:20" ht="4.5" customHeight="1" x14ac:dyDescent="0.25">
      <c r="A787" s="50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</row>
    <row r="788" spans="1:20" ht="5.25" customHeight="1" x14ac:dyDescent="0.25">
      <c r="A788" s="50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</row>
    <row r="789" spans="1:20" ht="16.5" customHeight="1" x14ac:dyDescent="0.25">
      <c r="A789" s="54" t="s">
        <v>164</v>
      </c>
      <c r="B789" s="54"/>
      <c r="C789" s="54"/>
      <c r="D789" s="54"/>
      <c r="E789" s="54"/>
      <c r="F789" s="54"/>
      <c r="G789" s="58" t="s">
        <v>165</v>
      </c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</row>
    <row r="790" spans="1:20" ht="16.5" customHeight="1" x14ac:dyDescent="0.25">
      <c r="A790" s="54" t="s">
        <v>166</v>
      </c>
      <c r="B790" s="54"/>
      <c r="C790" s="54"/>
      <c r="D790" s="54"/>
      <c r="E790" s="54"/>
      <c r="F790" s="54"/>
      <c r="G790" s="8" t="s">
        <v>46</v>
      </c>
      <c r="H790" s="8"/>
      <c r="I790" s="8"/>
      <c r="J790" s="8"/>
      <c r="K790" s="8"/>
      <c r="L790" s="8"/>
      <c r="M790" s="8"/>
      <c r="N790" s="8"/>
      <c r="O790" s="8"/>
      <c r="P790" s="8"/>
      <c r="Q790" s="8"/>
      <c r="T790" s="2"/>
    </row>
    <row r="791" spans="1:20" ht="16.5" customHeight="1" x14ac:dyDescent="0.25">
      <c r="A791" s="54" t="s">
        <v>47</v>
      </c>
      <c r="B791" s="54"/>
      <c r="C791" s="54"/>
      <c r="D791" s="54"/>
      <c r="E791" s="54"/>
      <c r="F791" s="54"/>
      <c r="G791" s="58" t="s">
        <v>48</v>
      </c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</row>
    <row r="792" spans="1:20" ht="5.25" customHeight="1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19"/>
      <c r="K792" s="19"/>
      <c r="L792" s="19"/>
      <c r="M792" s="19"/>
      <c r="N792" s="19"/>
      <c r="O792" s="19"/>
      <c r="P792" s="19"/>
      <c r="Q792" s="19"/>
    </row>
    <row r="793" spans="1:20" ht="15" customHeight="1" x14ac:dyDescent="0.25">
      <c r="A793" s="36" t="s">
        <v>0</v>
      </c>
      <c r="B793" s="29" t="s">
        <v>1</v>
      </c>
      <c r="C793" s="30"/>
      <c r="D793" s="30"/>
      <c r="E793" s="30"/>
      <c r="F793" s="30"/>
      <c r="G793" s="31"/>
      <c r="H793" s="36" t="s">
        <v>32</v>
      </c>
      <c r="I793" s="36" t="s">
        <v>39</v>
      </c>
      <c r="J793" s="55" t="s">
        <v>2</v>
      </c>
      <c r="K793" s="56"/>
      <c r="L793" s="56"/>
      <c r="M793" s="56"/>
      <c r="N793" s="56"/>
      <c r="O793" s="56"/>
      <c r="P793" s="56"/>
      <c r="Q793" s="57"/>
      <c r="S793" s="36" t="s">
        <v>38</v>
      </c>
    </row>
    <row r="794" spans="1:20" ht="24" customHeight="1" x14ac:dyDescent="0.25">
      <c r="A794" s="37"/>
      <c r="B794" s="32"/>
      <c r="C794" s="33"/>
      <c r="D794" s="33"/>
      <c r="E794" s="33"/>
      <c r="F794" s="33"/>
      <c r="G794" s="34"/>
      <c r="H794" s="37"/>
      <c r="I794" s="37"/>
      <c r="J794" s="7" t="s">
        <v>28</v>
      </c>
      <c r="K794" s="7" t="s">
        <v>29</v>
      </c>
      <c r="L794" s="7" t="s">
        <v>30</v>
      </c>
      <c r="M794" s="7"/>
      <c r="N794" s="7"/>
      <c r="O794" s="6" t="s">
        <v>35</v>
      </c>
      <c r="P794" s="6" t="s">
        <v>36</v>
      </c>
      <c r="Q794" s="6" t="s">
        <v>37</v>
      </c>
      <c r="S794" s="37"/>
    </row>
    <row r="795" spans="1:20" ht="20.25" customHeight="1" x14ac:dyDescent="0.25">
      <c r="A795" s="27" t="s">
        <v>54</v>
      </c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</row>
    <row r="796" spans="1:20" ht="16.5" customHeight="1" x14ac:dyDescent="0.25">
      <c r="A796" s="9"/>
      <c r="B796" s="51" t="s">
        <v>61</v>
      </c>
      <c r="C796" s="52"/>
      <c r="D796" s="52"/>
      <c r="E796" s="52"/>
      <c r="F796" s="52"/>
      <c r="G796" s="53"/>
      <c r="H796" s="20"/>
      <c r="I796" s="9">
        <v>1</v>
      </c>
      <c r="J796" s="9"/>
      <c r="K796" s="9"/>
      <c r="L796" s="9"/>
      <c r="M796" s="9">
        <f t="shared" ref="M796:M804" si="98">I796*O796</f>
        <v>7.3</v>
      </c>
      <c r="N796" s="9">
        <f t="shared" ref="N796:N804" si="99">I796*P796</f>
        <v>3</v>
      </c>
      <c r="O796" s="9">
        <v>7.3</v>
      </c>
      <c r="P796" s="9">
        <v>3</v>
      </c>
      <c r="Q796" s="9" t="s">
        <v>6</v>
      </c>
      <c r="R796" s="1">
        <v>0</v>
      </c>
      <c r="S796" s="26"/>
    </row>
    <row r="797" spans="1:20" ht="16.5" customHeight="1" x14ac:dyDescent="0.25">
      <c r="A797" s="9"/>
      <c r="B797" s="51" t="s">
        <v>56</v>
      </c>
      <c r="C797" s="52"/>
      <c r="D797" s="52"/>
      <c r="E797" s="52"/>
      <c r="F797" s="52"/>
      <c r="G797" s="53"/>
      <c r="H797" s="20"/>
      <c r="I797" s="9">
        <v>3</v>
      </c>
      <c r="J797" s="9"/>
      <c r="K797" s="9"/>
      <c r="L797" s="9"/>
      <c r="M797" s="9">
        <f t="shared" si="98"/>
        <v>19.200000000000003</v>
      </c>
      <c r="N797" s="9">
        <f t="shared" si="99"/>
        <v>6</v>
      </c>
      <c r="O797" s="9">
        <v>6.4</v>
      </c>
      <c r="P797" s="9">
        <v>2</v>
      </c>
      <c r="Q797" s="9" t="s">
        <v>3</v>
      </c>
      <c r="R797" s="1">
        <v>0</v>
      </c>
      <c r="S797" s="26"/>
    </row>
    <row r="798" spans="1:20" ht="31.2" customHeight="1" x14ac:dyDescent="0.25">
      <c r="A798" s="9"/>
      <c r="B798" s="51" t="s">
        <v>57</v>
      </c>
      <c r="C798" s="52"/>
      <c r="D798" s="52"/>
      <c r="E798" s="52"/>
      <c r="F798" s="52"/>
      <c r="G798" s="53"/>
      <c r="H798" s="20"/>
      <c r="I798" s="9">
        <v>3</v>
      </c>
      <c r="J798" s="9"/>
      <c r="K798" s="9"/>
      <c r="L798" s="9"/>
      <c r="M798" s="9">
        <f t="shared" si="98"/>
        <v>22.799999999999997</v>
      </c>
      <c r="N798" s="9">
        <f t="shared" si="99"/>
        <v>9</v>
      </c>
      <c r="O798" s="9">
        <v>7.6</v>
      </c>
      <c r="P798" s="9">
        <v>3</v>
      </c>
      <c r="Q798" s="9" t="s">
        <v>6</v>
      </c>
      <c r="R798" s="1">
        <v>0</v>
      </c>
      <c r="S798" s="26"/>
    </row>
    <row r="799" spans="1:20" ht="16.5" customHeight="1" x14ac:dyDescent="0.25">
      <c r="A799" s="9"/>
      <c r="B799" s="51" t="s">
        <v>58</v>
      </c>
      <c r="C799" s="52"/>
      <c r="D799" s="52"/>
      <c r="E799" s="52"/>
      <c r="F799" s="52"/>
      <c r="G799" s="53"/>
      <c r="H799" s="20"/>
      <c r="I799" s="9">
        <v>1</v>
      </c>
      <c r="J799" s="9"/>
      <c r="K799" s="9"/>
      <c r="L799" s="9"/>
      <c r="M799" s="9">
        <f t="shared" si="98"/>
        <v>7.4</v>
      </c>
      <c r="N799" s="9">
        <f t="shared" si="99"/>
        <v>3</v>
      </c>
      <c r="O799" s="9">
        <v>7.4</v>
      </c>
      <c r="P799" s="9">
        <v>3</v>
      </c>
      <c r="Q799" s="9" t="s">
        <v>6</v>
      </c>
      <c r="R799" s="1">
        <v>0</v>
      </c>
      <c r="S799" s="26"/>
    </row>
    <row r="800" spans="1:20" ht="16.5" customHeight="1" x14ac:dyDescent="0.25">
      <c r="A800" s="9"/>
      <c r="B800" s="51" t="s">
        <v>59</v>
      </c>
      <c r="C800" s="52"/>
      <c r="D800" s="52"/>
      <c r="E800" s="52"/>
      <c r="F800" s="52"/>
      <c r="G800" s="53"/>
      <c r="H800" s="20"/>
      <c r="I800" s="9">
        <v>1</v>
      </c>
      <c r="J800" s="9"/>
      <c r="K800" s="9"/>
      <c r="L800" s="9"/>
      <c r="M800" s="9">
        <f t="shared" si="98"/>
        <v>7.1</v>
      </c>
      <c r="N800" s="9">
        <f t="shared" si="99"/>
        <v>3</v>
      </c>
      <c r="O800" s="9">
        <v>7.1</v>
      </c>
      <c r="P800" s="9">
        <v>3</v>
      </c>
      <c r="Q800" s="9" t="s">
        <v>6</v>
      </c>
      <c r="R800" s="1">
        <v>0</v>
      </c>
      <c r="S800" s="26"/>
    </row>
    <row r="801" spans="1:19" ht="16.5" customHeight="1" x14ac:dyDescent="0.25">
      <c r="A801" s="9"/>
      <c r="B801" s="51" t="s">
        <v>60</v>
      </c>
      <c r="C801" s="52"/>
      <c r="D801" s="52"/>
      <c r="E801" s="52"/>
      <c r="F801" s="52"/>
      <c r="G801" s="53"/>
      <c r="H801" s="20"/>
      <c r="I801" s="9">
        <v>3</v>
      </c>
      <c r="J801" s="9"/>
      <c r="K801" s="9"/>
      <c r="L801" s="9"/>
      <c r="M801" s="9">
        <f t="shared" si="98"/>
        <v>24.599999999999998</v>
      </c>
      <c r="N801" s="9">
        <f t="shared" si="99"/>
        <v>10.5</v>
      </c>
      <c r="O801" s="9">
        <v>8.1999999999999993</v>
      </c>
      <c r="P801" s="9">
        <v>3.5</v>
      </c>
      <c r="Q801" s="9" t="s">
        <v>9</v>
      </c>
      <c r="R801" s="1">
        <v>0</v>
      </c>
      <c r="S801" s="26"/>
    </row>
    <row r="802" spans="1:19" ht="16.5" customHeight="1" x14ac:dyDescent="0.25">
      <c r="A802" s="9"/>
      <c r="B802" s="51" t="s">
        <v>55</v>
      </c>
      <c r="C802" s="52"/>
      <c r="D802" s="52"/>
      <c r="E802" s="52"/>
      <c r="F802" s="52"/>
      <c r="G802" s="53"/>
      <c r="H802" s="20"/>
      <c r="I802" s="9">
        <v>2</v>
      </c>
      <c r="J802" s="9"/>
      <c r="K802" s="9"/>
      <c r="L802" s="9"/>
      <c r="M802" s="9">
        <f t="shared" si="98"/>
        <v>14.6</v>
      </c>
      <c r="N802" s="9">
        <f t="shared" si="99"/>
        <v>6</v>
      </c>
      <c r="O802" s="9">
        <v>7.3</v>
      </c>
      <c r="P802" s="9">
        <v>3</v>
      </c>
      <c r="Q802" s="9" t="s">
        <v>6</v>
      </c>
      <c r="R802" s="1">
        <v>0</v>
      </c>
      <c r="S802" s="26"/>
    </row>
    <row r="803" spans="1:19" ht="16.5" hidden="1" customHeight="1" x14ac:dyDescent="0.25">
      <c r="A803" s="21"/>
      <c r="H803" s="21"/>
      <c r="I803" s="21"/>
      <c r="J803" s="21"/>
      <c r="K803" s="21"/>
      <c r="L803" s="21"/>
      <c r="M803" s="9">
        <f t="shared" si="98"/>
        <v>0</v>
      </c>
      <c r="N803" s="9">
        <f t="shared" si="99"/>
        <v>0</v>
      </c>
      <c r="O803" s="21"/>
      <c r="P803" s="21"/>
      <c r="Q803" s="21"/>
      <c r="S803" s="25"/>
    </row>
    <row r="804" spans="1:19" ht="16.5" customHeight="1" x14ac:dyDescent="0.25">
      <c r="A804" s="9"/>
      <c r="B804" s="39" t="s">
        <v>42</v>
      </c>
      <c r="C804" s="40"/>
      <c r="D804" s="40"/>
      <c r="E804" s="40"/>
      <c r="F804" s="40"/>
      <c r="G804" s="41"/>
      <c r="H804" s="23"/>
      <c r="I804" s="24">
        <f>SUM(I796:I803)</f>
        <v>14</v>
      </c>
      <c r="J804" s="9"/>
      <c r="K804" s="9"/>
      <c r="L804" s="9"/>
      <c r="M804" s="9">
        <f t="shared" si="98"/>
        <v>103.04</v>
      </c>
      <c r="N804" s="9">
        <f t="shared" si="99"/>
        <v>40.46</v>
      </c>
      <c r="O804" s="24">
        <f>ROUND(SUM(M796:M803)/I804,2)</f>
        <v>7.36</v>
      </c>
      <c r="P804" s="24">
        <f>ROUND(SUM(N796:N803)/I804,2)</f>
        <v>2.89</v>
      </c>
      <c r="Q804" s="9"/>
      <c r="S804" s="25"/>
    </row>
    <row r="805" spans="1:19" ht="20.25" customHeight="1" x14ac:dyDescent="0.25">
      <c r="A805" s="27" t="s">
        <v>62</v>
      </c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</row>
    <row r="806" spans="1:19" ht="16.5" customHeight="1" x14ac:dyDescent="0.25">
      <c r="A806" s="9"/>
      <c r="B806" s="51" t="s">
        <v>63</v>
      </c>
      <c r="C806" s="52"/>
      <c r="D806" s="52"/>
      <c r="E806" s="52"/>
      <c r="F806" s="52"/>
      <c r="G806" s="53"/>
      <c r="H806" s="20"/>
      <c r="I806" s="9">
        <v>4</v>
      </c>
      <c r="J806" s="9"/>
      <c r="K806" s="9"/>
      <c r="L806" s="9"/>
      <c r="M806" s="9">
        <f t="shared" ref="M806:M814" si="100">I806*O806</f>
        <v>28.4</v>
      </c>
      <c r="N806" s="9">
        <f t="shared" ref="N806:N814" si="101">I806*P806</f>
        <v>12</v>
      </c>
      <c r="O806" s="9">
        <v>7.1</v>
      </c>
      <c r="P806" s="9">
        <v>3</v>
      </c>
      <c r="Q806" s="9" t="s">
        <v>6</v>
      </c>
      <c r="R806" s="1">
        <v>0</v>
      </c>
      <c r="S806" s="26"/>
    </row>
    <row r="807" spans="1:19" ht="16.5" customHeight="1" x14ac:dyDescent="0.25">
      <c r="A807" s="9"/>
      <c r="B807" s="51" t="s">
        <v>64</v>
      </c>
      <c r="C807" s="52"/>
      <c r="D807" s="52"/>
      <c r="E807" s="52"/>
      <c r="F807" s="52"/>
      <c r="G807" s="53"/>
      <c r="H807" s="20"/>
      <c r="I807" s="9">
        <v>4</v>
      </c>
      <c r="J807" s="9"/>
      <c r="K807" s="9"/>
      <c r="L807" s="9"/>
      <c r="M807" s="9">
        <f t="shared" si="100"/>
        <v>29.6</v>
      </c>
      <c r="N807" s="9">
        <f t="shared" si="101"/>
        <v>12</v>
      </c>
      <c r="O807" s="9">
        <v>7.4</v>
      </c>
      <c r="P807" s="9">
        <v>3</v>
      </c>
      <c r="Q807" s="9" t="s">
        <v>6</v>
      </c>
      <c r="R807" s="1">
        <v>0</v>
      </c>
      <c r="S807" s="26"/>
    </row>
    <row r="808" spans="1:19" ht="16.5" customHeight="1" x14ac:dyDescent="0.25">
      <c r="A808" s="9"/>
      <c r="B808" s="51" t="s">
        <v>65</v>
      </c>
      <c r="C808" s="52"/>
      <c r="D808" s="52"/>
      <c r="E808" s="52"/>
      <c r="F808" s="52"/>
      <c r="G808" s="53"/>
      <c r="H808" s="20"/>
      <c r="I808" s="9">
        <v>4</v>
      </c>
      <c r="J808" s="9"/>
      <c r="K808" s="9"/>
      <c r="L808" s="9"/>
      <c r="M808" s="9">
        <f t="shared" si="100"/>
        <v>23.6</v>
      </c>
      <c r="N808" s="9">
        <f t="shared" si="101"/>
        <v>8</v>
      </c>
      <c r="O808" s="9">
        <v>5.9</v>
      </c>
      <c r="P808" s="9">
        <v>2</v>
      </c>
      <c r="Q808" s="9" t="s">
        <v>3</v>
      </c>
      <c r="R808" s="1">
        <v>0</v>
      </c>
      <c r="S808" s="26"/>
    </row>
    <row r="809" spans="1:19" ht="16.5" customHeight="1" x14ac:dyDescent="0.25">
      <c r="A809" s="9"/>
      <c r="B809" s="51" t="s">
        <v>66</v>
      </c>
      <c r="C809" s="52"/>
      <c r="D809" s="52"/>
      <c r="E809" s="52"/>
      <c r="F809" s="52"/>
      <c r="G809" s="53"/>
      <c r="H809" s="20"/>
      <c r="I809" s="9">
        <v>1</v>
      </c>
      <c r="J809" s="9"/>
      <c r="K809" s="9"/>
      <c r="L809" s="9"/>
      <c r="M809" s="9">
        <f t="shared" si="100"/>
        <v>7.4</v>
      </c>
      <c r="N809" s="9">
        <f t="shared" si="101"/>
        <v>3</v>
      </c>
      <c r="O809" s="9">
        <v>7.4</v>
      </c>
      <c r="P809" s="9">
        <v>3</v>
      </c>
      <c r="Q809" s="9" t="s">
        <v>6</v>
      </c>
      <c r="R809" s="1">
        <v>0</v>
      </c>
      <c r="S809" s="26"/>
    </row>
    <row r="810" spans="1:19" ht="16.5" customHeight="1" x14ac:dyDescent="0.25">
      <c r="A810" s="9"/>
      <c r="B810" s="51" t="s">
        <v>67</v>
      </c>
      <c r="C810" s="52"/>
      <c r="D810" s="52"/>
      <c r="E810" s="52"/>
      <c r="F810" s="52"/>
      <c r="G810" s="53"/>
      <c r="H810" s="20"/>
      <c r="I810" s="9">
        <v>1</v>
      </c>
      <c r="J810" s="9"/>
      <c r="K810" s="9"/>
      <c r="L810" s="9"/>
      <c r="M810" s="9">
        <f t="shared" si="100"/>
        <v>7.4</v>
      </c>
      <c r="N810" s="9">
        <f t="shared" si="101"/>
        <v>3</v>
      </c>
      <c r="O810" s="9">
        <v>7.4</v>
      </c>
      <c r="P810" s="9">
        <v>3</v>
      </c>
      <c r="Q810" s="9" t="s">
        <v>6</v>
      </c>
      <c r="R810" s="1">
        <v>0</v>
      </c>
      <c r="S810" s="26"/>
    </row>
    <row r="811" spans="1:19" ht="16.5" customHeight="1" x14ac:dyDescent="0.25">
      <c r="A811" s="9"/>
      <c r="B811" s="51" t="s">
        <v>69</v>
      </c>
      <c r="C811" s="52"/>
      <c r="D811" s="52"/>
      <c r="E811" s="52"/>
      <c r="F811" s="52"/>
      <c r="G811" s="53"/>
      <c r="H811" s="20"/>
      <c r="I811" s="9">
        <v>1</v>
      </c>
      <c r="J811" s="9"/>
      <c r="K811" s="9"/>
      <c r="L811" s="9"/>
      <c r="M811" s="9">
        <f t="shared" si="100"/>
        <v>7.3</v>
      </c>
      <c r="N811" s="9">
        <f t="shared" si="101"/>
        <v>3</v>
      </c>
      <c r="O811" s="9">
        <v>7.3</v>
      </c>
      <c r="P811" s="9">
        <v>3</v>
      </c>
      <c r="Q811" s="9" t="s">
        <v>6</v>
      </c>
      <c r="R811" s="1">
        <v>0</v>
      </c>
      <c r="S811" s="26"/>
    </row>
    <row r="812" spans="1:19" ht="16.5" customHeight="1" x14ac:dyDescent="0.25">
      <c r="A812" s="9"/>
      <c r="B812" s="51" t="s">
        <v>68</v>
      </c>
      <c r="C812" s="52"/>
      <c r="D812" s="52"/>
      <c r="E812" s="52"/>
      <c r="F812" s="52"/>
      <c r="G812" s="53"/>
      <c r="H812" s="20"/>
      <c r="I812" s="9">
        <v>1</v>
      </c>
      <c r="J812" s="9"/>
      <c r="K812" s="9"/>
      <c r="L812" s="9"/>
      <c r="M812" s="9">
        <f t="shared" si="100"/>
        <v>8.1</v>
      </c>
      <c r="N812" s="9">
        <f t="shared" si="101"/>
        <v>3.5</v>
      </c>
      <c r="O812" s="9">
        <v>8.1</v>
      </c>
      <c r="P812" s="9">
        <v>3.5</v>
      </c>
      <c r="Q812" s="9" t="s">
        <v>9</v>
      </c>
      <c r="R812" s="1">
        <v>0</v>
      </c>
      <c r="S812" s="26"/>
    </row>
    <row r="813" spans="1:19" ht="16.5" hidden="1" customHeight="1" x14ac:dyDescent="0.25">
      <c r="A813" s="21"/>
      <c r="H813" s="21"/>
      <c r="I813" s="21"/>
      <c r="J813" s="21"/>
      <c r="K813" s="21"/>
      <c r="L813" s="21"/>
      <c r="M813" s="9">
        <f t="shared" si="100"/>
        <v>0</v>
      </c>
      <c r="N813" s="9">
        <f t="shared" si="101"/>
        <v>0</v>
      </c>
      <c r="O813" s="21"/>
      <c r="P813" s="21"/>
      <c r="Q813" s="21"/>
      <c r="S813" s="25"/>
    </row>
    <row r="814" spans="1:19" ht="16.5" customHeight="1" x14ac:dyDescent="0.25">
      <c r="A814" s="9"/>
      <c r="B814" s="39" t="s">
        <v>42</v>
      </c>
      <c r="C814" s="40"/>
      <c r="D814" s="40"/>
      <c r="E814" s="40"/>
      <c r="F814" s="40"/>
      <c r="G814" s="41"/>
      <c r="H814" s="23"/>
      <c r="I814" s="24">
        <f>SUM(I806:I813)</f>
        <v>16</v>
      </c>
      <c r="J814" s="9"/>
      <c r="K814" s="9"/>
      <c r="L814" s="9"/>
      <c r="M814" s="9">
        <f t="shared" si="100"/>
        <v>111.84</v>
      </c>
      <c r="N814" s="9">
        <f t="shared" si="101"/>
        <v>44.48</v>
      </c>
      <c r="O814" s="24">
        <f>ROUND(SUM(M806:M813)/I814,2)</f>
        <v>6.99</v>
      </c>
      <c r="P814" s="24">
        <f>ROUND(SUM(N806:N813)/I814,2)</f>
        <v>2.78</v>
      </c>
      <c r="Q814" s="9"/>
      <c r="S814" s="25"/>
    </row>
    <row r="815" spans="1:19" ht="20.25" customHeight="1" x14ac:dyDescent="0.25">
      <c r="A815" s="27" t="s">
        <v>70</v>
      </c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</row>
    <row r="816" spans="1:19" ht="16.5" customHeight="1" x14ac:dyDescent="0.25">
      <c r="A816" s="9"/>
      <c r="B816" s="51" t="s">
        <v>71</v>
      </c>
      <c r="C816" s="52"/>
      <c r="D816" s="52"/>
      <c r="E816" s="52"/>
      <c r="F816" s="52"/>
      <c r="G816" s="53"/>
      <c r="H816" s="20"/>
      <c r="I816" s="9">
        <v>4</v>
      </c>
      <c r="J816" s="9"/>
      <c r="K816" s="9"/>
      <c r="L816" s="9"/>
      <c r="M816" s="9">
        <f t="shared" ref="M816:M825" si="102">I816*O816</f>
        <v>21.6</v>
      </c>
      <c r="N816" s="9">
        <f t="shared" ref="N816:N825" si="103">I816*P816</f>
        <v>6</v>
      </c>
      <c r="O816" s="9">
        <v>5.4</v>
      </c>
      <c r="P816" s="9">
        <v>1.5</v>
      </c>
      <c r="Q816" s="9" t="s">
        <v>4</v>
      </c>
      <c r="R816" s="1">
        <v>0</v>
      </c>
      <c r="S816" s="26"/>
    </row>
    <row r="817" spans="1:19" ht="16.5" customHeight="1" x14ac:dyDescent="0.25">
      <c r="A817" s="9"/>
      <c r="B817" s="51" t="s">
        <v>72</v>
      </c>
      <c r="C817" s="52"/>
      <c r="D817" s="52"/>
      <c r="E817" s="52"/>
      <c r="F817" s="52"/>
      <c r="G817" s="53"/>
      <c r="H817" s="20"/>
      <c r="I817" s="9">
        <v>4</v>
      </c>
      <c r="J817" s="9"/>
      <c r="K817" s="9"/>
      <c r="L817" s="9"/>
      <c r="M817" s="9">
        <f t="shared" si="102"/>
        <v>27.6</v>
      </c>
      <c r="N817" s="9">
        <f t="shared" si="103"/>
        <v>10</v>
      </c>
      <c r="O817" s="9">
        <v>6.9</v>
      </c>
      <c r="P817" s="9">
        <v>2.5</v>
      </c>
      <c r="Q817" s="9" t="s">
        <v>5</v>
      </c>
      <c r="R817" s="1">
        <v>0</v>
      </c>
      <c r="S817" s="26"/>
    </row>
    <row r="818" spans="1:19" ht="16.5" customHeight="1" x14ac:dyDescent="0.25">
      <c r="A818" s="9"/>
      <c r="B818" s="51" t="s">
        <v>73</v>
      </c>
      <c r="C818" s="52"/>
      <c r="D818" s="52"/>
      <c r="E818" s="52"/>
      <c r="F818" s="52"/>
      <c r="G818" s="53"/>
      <c r="H818" s="20"/>
      <c r="I818" s="9">
        <v>2</v>
      </c>
      <c r="J818" s="9"/>
      <c r="K818" s="9"/>
      <c r="L818" s="9"/>
      <c r="M818" s="9">
        <f t="shared" si="102"/>
        <v>16</v>
      </c>
      <c r="N818" s="9">
        <f t="shared" si="103"/>
        <v>7</v>
      </c>
      <c r="O818" s="9">
        <v>8</v>
      </c>
      <c r="P818" s="9">
        <v>3.5</v>
      </c>
      <c r="Q818" s="9" t="s">
        <v>9</v>
      </c>
      <c r="R818" s="1">
        <v>0</v>
      </c>
      <c r="S818" s="26"/>
    </row>
    <row r="819" spans="1:19" ht="16.5" customHeight="1" x14ac:dyDescent="0.25">
      <c r="A819" s="9"/>
      <c r="B819" s="51" t="s">
        <v>74</v>
      </c>
      <c r="C819" s="52"/>
      <c r="D819" s="52"/>
      <c r="E819" s="52"/>
      <c r="F819" s="52"/>
      <c r="G819" s="53"/>
      <c r="H819" s="20"/>
      <c r="I819" s="9">
        <v>2</v>
      </c>
      <c r="J819" s="9"/>
      <c r="K819" s="9"/>
      <c r="L819" s="9"/>
      <c r="M819" s="9">
        <f t="shared" si="102"/>
        <v>15.4</v>
      </c>
      <c r="N819" s="9">
        <f t="shared" si="103"/>
        <v>6</v>
      </c>
      <c r="O819" s="9">
        <v>7.7</v>
      </c>
      <c r="P819" s="9">
        <v>3</v>
      </c>
      <c r="Q819" s="9" t="s">
        <v>6</v>
      </c>
      <c r="R819" s="1">
        <v>0</v>
      </c>
      <c r="S819" s="26"/>
    </row>
    <row r="820" spans="1:19" ht="16.5" customHeight="1" x14ac:dyDescent="0.25">
      <c r="A820" s="9"/>
      <c r="B820" s="51" t="s">
        <v>75</v>
      </c>
      <c r="C820" s="52"/>
      <c r="D820" s="52"/>
      <c r="E820" s="52"/>
      <c r="F820" s="52"/>
      <c r="G820" s="53"/>
      <c r="H820" s="20"/>
      <c r="I820" s="9">
        <v>1</v>
      </c>
      <c r="J820" s="9"/>
      <c r="K820" s="9"/>
      <c r="L820" s="9"/>
      <c r="M820" s="9">
        <f t="shared" si="102"/>
        <v>7</v>
      </c>
      <c r="N820" s="9">
        <f t="shared" si="103"/>
        <v>3</v>
      </c>
      <c r="O820" s="9">
        <v>7</v>
      </c>
      <c r="P820" s="9">
        <v>3</v>
      </c>
      <c r="Q820" s="9" t="s">
        <v>6</v>
      </c>
      <c r="R820" s="1">
        <v>0</v>
      </c>
      <c r="S820" s="26"/>
    </row>
    <row r="821" spans="1:19" ht="16.5" customHeight="1" x14ac:dyDescent="0.25">
      <c r="A821" s="9"/>
      <c r="B821" s="51" t="s">
        <v>76</v>
      </c>
      <c r="C821" s="52"/>
      <c r="D821" s="52"/>
      <c r="E821" s="52"/>
      <c r="F821" s="52"/>
      <c r="G821" s="53"/>
      <c r="H821" s="20"/>
      <c r="I821" s="9">
        <v>4</v>
      </c>
      <c r="J821" s="9"/>
      <c r="K821" s="9"/>
      <c r="L821" s="9"/>
      <c r="M821" s="9">
        <f t="shared" si="102"/>
        <v>34</v>
      </c>
      <c r="N821" s="9">
        <f t="shared" si="103"/>
        <v>14.8</v>
      </c>
      <c r="O821" s="9">
        <v>8.5</v>
      </c>
      <c r="P821" s="9">
        <v>3.7</v>
      </c>
      <c r="Q821" s="9" t="s">
        <v>10</v>
      </c>
      <c r="R821" s="1">
        <v>0</v>
      </c>
      <c r="S821" s="26"/>
    </row>
    <row r="822" spans="1:19" ht="16.5" customHeight="1" x14ac:dyDescent="0.25">
      <c r="A822" s="9"/>
      <c r="B822" s="51" t="s">
        <v>77</v>
      </c>
      <c r="C822" s="52"/>
      <c r="D822" s="52"/>
      <c r="E822" s="52"/>
      <c r="F822" s="52"/>
      <c r="G822" s="53"/>
      <c r="H822" s="20"/>
      <c r="I822" s="9">
        <v>1</v>
      </c>
      <c r="J822" s="9"/>
      <c r="K822" s="9"/>
      <c r="L822" s="9"/>
      <c r="M822" s="9">
        <f t="shared" si="102"/>
        <v>9</v>
      </c>
      <c r="N822" s="9">
        <f t="shared" si="103"/>
        <v>4</v>
      </c>
      <c r="O822" s="9">
        <v>9</v>
      </c>
      <c r="P822" s="9">
        <v>4</v>
      </c>
      <c r="Q822" s="9" t="s">
        <v>12</v>
      </c>
      <c r="R822" s="1">
        <v>0</v>
      </c>
      <c r="S822" s="26"/>
    </row>
    <row r="823" spans="1:19" ht="16.5" customHeight="1" x14ac:dyDescent="0.25">
      <c r="A823" s="9"/>
      <c r="B823" s="51" t="s">
        <v>78</v>
      </c>
      <c r="C823" s="52"/>
      <c r="D823" s="52"/>
      <c r="E823" s="52"/>
      <c r="F823" s="52"/>
      <c r="G823" s="53"/>
      <c r="H823" s="20"/>
      <c r="I823" s="9">
        <v>3</v>
      </c>
      <c r="J823" s="9"/>
      <c r="K823" s="9"/>
      <c r="L823" s="9"/>
      <c r="M823" s="9">
        <f t="shared" si="102"/>
        <v>17.399999999999999</v>
      </c>
      <c r="N823" s="9">
        <f t="shared" si="103"/>
        <v>6</v>
      </c>
      <c r="O823" s="9">
        <v>5.8</v>
      </c>
      <c r="P823" s="9">
        <v>2</v>
      </c>
      <c r="Q823" s="9" t="s">
        <v>3</v>
      </c>
      <c r="R823" s="1">
        <v>0</v>
      </c>
      <c r="S823" s="26"/>
    </row>
    <row r="824" spans="1:19" ht="16.5" hidden="1" customHeight="1" x14ac:dyDescent="0.25">
      <c r="A824" s="21"/>
      <c r="H824" s="21"/>
      <c r="I824" s="21"/>
      <c r="J824" s="21"/>
      <c r="K824" s="21"/>
      <c r="L824" s="21"/>
      <c r="M824" s="9">
        <f t="shared" si="102"/>
        <v>0</v>
      </c>
      <c r="N824" s="9">
        <f t="shared" si="103"/>
        <v>0</v>
      </c>
      <c r="O824" s="21"/>
      <c r="P824" s="21"/>
      <c r="Q824" s="21"/>
      <c r="S824" s="25"/>
    </row>
    <row r="825" spans="1:19" ht="16.5" customHeight="1" x14ac:dyDescent="0.25">
      <c r="A825" s="9"/>
      <c r="B825" s="39" t="s">
        <v>42</v>
      </c>
      <c r="C825" s="40"/>
      <c r="D825" s="40"/>
      <c r="E825" s="40"/>
      <c r="F825" s="40"/>
      <c r="G825" s="41"/>
      <c r="H825" s="23"/>
      <c r="I825" s="24">
        <f>SUM(I816:I824)</f>
        <v>21</v>
      </c>
      <c r="J825" s="9"/>
      <c r="K825" s="9"/>
      <c r="L825" s="9"/>
      <c r="M825" s="9">
        <f t="shared" si="102"/>
        <v>148.04999999999998</v>
      </c>
      <c r="N825" s="9">
        <f t="shared" si="103"/>
        <v>56.7</v>
      </c>
      <c r="O825" s="24">
        <f>ROUND(SUM(M816:M824)/I825,2)</f>
        <v>7.05</v>
      </c>
      <c r="P825" s="24">
        <f>ROUND(SUM(N816:N824)/I825,2)</f>
        <v>2.7</v>
      </c>
      <c r="Q825" s="9"/>
      <c r="S825" s="25"/>
    </row>
    <row r="826" spans="1:19" ht="20.25" customHeight="1" x14ac:dyDescent="0.25">
      <c r="A826" s="27" t="s">
        <v>79</v>
      </c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</row>
    <row r="827" spans="1:19" ht="16.5" customHeight="1" x14ac:dyDescent="0.25">
      <c r="A827" s="9"/>
      <c r="B827" s="51" t="s">
        <v>80</v>
      </c>
      <c r="C827" s="52"/>
      <c r="D827" s="52"/>
      <c r="E827" s="52"/>
      <c r="F827" s="52"/>
      <c r="G827" s="53"/>
      <c r="H827" s="20"/>
      <c r="I827" s="9">
        <v>3</v>
      </c>
      <c r="J827" s="9"/>
      <c r="K827" s="9"/>
      <c r="L827" s="9"/>
      <c r="M827" s="9">
        <f t="shared" ref="M827:M832" si="104">I827*O827</f>
        <v>19.799999999999997</v>
      </c>
      <c r="N827" s="9">
        <f t="shared" ref="N827:N832" si="105">I827*P827</f>
        <v>7.5</v>
      </c>
      <c r="O827" s="9">
        <v>6.6</v>
      </c>
      <c r="P827" s="9">
        <v>2.5</v>
      </c>
      <c r="Q827" s="9" t="s">
        <v>5</v>
      </c>
      <c r="R827" s="1">
        <v>0</v>
      </c>
      <c r="S827" s="26"/>
    </row>
    <row r="828" spans="1:19" ht="16.5" customHeight="1" x14ac:dyDescent="0.25">
      <c r="A828" s="9"/>
      <c r="B828" s="51" t="s">
        <v>81</v>
      </c>
      <c r="C828" s="52"/>
      <c r="D828" s="52"/>
      <c r="E828" s="52"/>
      <c r="F828" s="52"/>
      <c r="G828" s="53"/>
      <c r="H828" s="20"/>
      <c r="I828" s="9">
        <v>4</v>
      </c>
      <c r="J828" s="9"/>
      <c r="K828" s="9"/>
      <c r="L828" s="9"/>
      <c r="M828" s="9">
        <f t="shared" si="104"/>
        <v>32</v>
      </c>
      <c r="N828" s="9">
        <f t="shared" si="105"/>
        <v>14</v>
      </c>
      <c r="O828" s="9">
        <v>8</v>
      </c>
      <c r="P828" s="9">
        <v>3.5</v>
      </c>
      <c r="Q828" s="9" t="s">
        <v>9</v>
      </c>
      <c r="R828" s="1">
        <v>0</v>
      </c>
      <c r="S828" s="26"/>
    </row>
    <row r="829" spans="1:19" ht="16.5" customHeight="1" x14ac:dyDescent="0.25">
      <c r="A829" s="9"/>
      <c r="B829" s="51" t="s">
        <v>82</v>
      </c>
      <c r="C829" s="52"/>
      <c r="D829" s="52"/>
      <c r="E829" s="52"/>
      <c r="F829" s="52"/>
      <c r="G829" s="53"/>
      <c r="H829" s="20"/>
      <c r="I829" s="9">
        <v>3</v>
      </c>
      <c r="J829" s="9"/>
      <c r="K829" s="9"/>
      <c r="L829" s="9"/>
      <c r="M829" s="9">
        <f t="shared" si="104"/>
        <v>20.100000000000001</v>
      </c>
      <c r="N829" s="9">
        <f t="shared" si="105"/>
        <v>7.5</v>
      </c>
      <c r="O829" s="9">
        <v>6.7</v>
      </c>
      <c r="P829" s="9">
        <v>2.5</v>
      </c>
      <c r="Q829" s="9" t="s">
        <v>5</v>
      </c>
      <c r="R829" s="1">
        <v>0</v>
      </c>
      <c r="S829" s="26"/>
    </row>
    <row r="830" spans="1:19" ht="16.5" customHeight="1" x14ac:dyDescent="0.25">
      <c r="A830" s="9"/>
      <c r="B830" s="51" t="s">
        <v>83</v>
      </c>
      <c r="C830" s="52"/>
      <c r="D830" s="52"/>
      <c r="E830" s="52"/>
      <c r="F830" s="52"/>
      <c r="G830" s="53"/>
      <c r="H830" s="20"/>
      <c r="I830" s="9">
        <v>1</v>
      </c>
      <c r="J830" s="9"/>
      <c r="K830" s="9"/>
      <c r="L830" s="9"/>
      <c r="M830" s="9">
        <f t="shared" si="104"/>
        <v>7.5</v>
      </c>
      <c r="N830" s="9">
        <f t="shared" si="105"/>
        <v>3</v>
      </c>
      <c r="O830" s="9">
        <v>7.5</v>
      </c>
      <c r="P830" s="9">
        <v>3</v>
      </c>
      <c r="Q830" s="9" t="s">
        <v>6</v>
      </c>
      <c r="R830" s="1">
        <v>0</v>
      </c>
      <c r="S830" s="26"/>
    </row>
    <row r="831" spans="1:19" ht="16.5" customHeight="1" x14ac:dyDescent="0.25">
      <c r="A831" s="9"/>
      <c r="B831" s="51" t="s">
        <v>84</v>
      </c>
      <c r="C831" s="52"/>
      <c r="D831" s="52"/>
      <c r="E831" s="52"/>
      <c r="F831" s="52"/>
      <c r="G831" s="53"/>
      <c r="H831" s="20"/>
      <c r="I831" s="9">
        <v>2</v>
      </c>
      <c r="J831" s="9"/>
      <c r="K831" s="9"/>
      <c r="L831" s="9"/>
      <c r="M831" s="9">
        <f t="shared" si="104"/>
        <v>14.2</v>
      </c>
      <c r="N831" s="9">
        <f t="shared" si="105"/>
        <v>6</v>
      </c>
      <c r="O831" s="9">
        <v>7.1</v>
      </c>
      <c r="P831" s="9">
        <v>3</v>
      </c>
      <c r="Q831" s="9" t="s">
        <v>6</v>
      </c>
      <c r="R831" s="1">
        <v>0</v>
      </c>
      <c r="S831" s="26"/>
    </row>
    <row r="832" spans="1:19" ht="16.5" customHeight="1" x14ac:dyDescent="0.25">
      <c r="A832" s="9"/>
      <c r="B832" s="51" t="s">
        <v>85</v>
      </c>
      <c r="C832" s="52"/>
      <c r="D832" s="52"/>
      <c r="E832" s="52"/>
      <c r="F832" s="52"/>
      <c r="G832" s="53"/>
      <c r="H832" s="20"/>
      <c r="I832" s="9">
        <v>2</v>
      </c>
      <c r="J832" s="9"/>
      <c r="K832" s="9"/>
      <c r="L832" s="9"/>
      <c r="M832" s="9">
        <f t="shared" si="104"/>
        <v>14.4</v>
      </c>
      <c r="N832" s="9">
        <f t="shared" si="105"/>
        <v>6</v>
      </c>
      <c r="O832" s="9">
        <v>7.2</v>
      </c>
      <c r="P832" s="9">
        <v>3</v>
      </c>
      <c r="Q832" s="9" t="s">
        <v>6</v>
      </c>
      <c r="R832" s="1">
        <v>0</v>
      </c>
      <c r="S832" s="26"/>
    </row>
    <row r="833" spans="1:19" ht="15" customHeight="1" x14ac:dyDescent="0.25">
      <c r="A833" s="36" t="s">
        <v>0</v>
      </c>
      <c r="B833" s="29" t="s">
        <v>1</v>
      </c>
      <c r="C833" s="30"/>
      <c r="D833" s="30"/>
      <c r="E833" s="30"/>
      <c r="F833" s="30"/>
      <c r="G833" s="31"/>
      <c r="H833" s="36" t="s">
        <v>32</v>
      </c>
      <c r="I833" s="36" t="s">
        <v>39</v>
      </c>
      <c r="J833" s="55" t="s">
        <v>2</v>
      </c>
      <c r="K833" s="56"/>
      <c r="L833" s="56"/>
      <c r="M833" s="56"/>
      <c r="N833" s="56"/>
      <c r="O833" s="56"/>
      <c r="P833" s="56"/>
      <c r="Q833" s="57"/>
      <c r="S833" s="36" t="s">
        <v>38</v>
      </c>
    </row>
    <row r="834" spans="1:19" ht="24" customHeight="1" x14ac:dyDescent="0.25">
      <c r="A834" s="37"/>
      <c r="B834" s="32"/>
      <c r="C834" s="33"/>
      <c r="D834" s="33"/>
      <c r="E834" s="33"/>
      <c r="F834" s="33"/>
      <c r="G834" s="34"/>
      <c r="H834" s="37"/>
      <c r="I834" s="37"/>
      <c r="J834" s="7" t="s">
        <v>28</v>
      </c>
      <c r="K834" s="7" t="s">
        <v>29</v>
      </c>
      <c r="L834" s="7" t="s">
        <v>30</v>
      </c>
      <c r="M834" s="7"/>
      <c r="N834" s="7"/>
      <c r="O834" s="6" t="s">
        <v>35</v>
      </c>
      <c r="P834" s="6" t="s">
        <v>36</v>
      </c>
      <c r="Q834" s="6" t="s">
        <v>37</v>
      </c>
      <c r="S834" s="37"/>
    </row>
    <row r="835" spans="1:19" ht="16.5" customHeight="1" x14ac:dyDescent="0.25">
      <c r="A835" s="9"/>
      <c r="B835" s="51" t="s">
        <v>86</v>
      </c>
      <c r="C835" s="52"/>
      <c r="D835" s="52"/>
      <c r="E835" s="52"/>
      <c r="F835" s="52"/>
      <c r="G835" s="53"/>
      <c r="H835" s="20"/>
      <c r="I835" s="9">
        <v>2</v>
      </c>
      <c r="J835" s="9"/>
      <c r="K835" s="9"/>
      <c r="L835" s="9"/>
      <c r="M835" s="9">
        <f>I835*O835</f>
        <v>13</v>
      </c>
      <c r="N835" s="9">
        <f>I835*P835</f>
        <v>5</v>
      </c>
      <c r="O835" s="9">
        <v>6.5</v>
      </c>
      <c r="P835" s="9">
        <v>2.5</v>
      </c>
      <c r="Q835" s="9" t="s">
        <v>5</v>
      </c>
      <c r="R835" s="1">
        <v>0</v>
      </c>
      <c r="S835" s="26"/>
    </row>
    <row r="836" spans="1:19" ht="16.5" customHeight="1" x14ac:dyDescent="0.25">
      <c r="A836" s="9"/>
      <c r="B836" s="51" t="s">
        <v>87</v>
      </c>
      <c r="C836" s="52"/>
      <c r="D836" s="52"/>
      <c r="E836" s="52"/>
      <c r="F836" s="52"/>
      <c r="G836" s="53"/>
      <c r="H836" s="20"/>
      <c r="I836" s="9">
        <v>3</v>
      </c>
      <c r="J836" s="9"/>
      <c r="K836" s="9"/>
      <c r="L836" s="9"/>
      <c r="M836" s="9">
        <f>I836*O836</f>
        <v>22.200000000000003</v>
      </c>
      <c r="N836" s="9">
        <f>I836*P836</f>
        <v>9</v>
      </c>
      <c r="O836" s="9">
        <v>7.4</v>
      </c>
      <c r="P836" s="9">
        <v>3</v>
      </c>
      <c r="Q836" s="9" t="s">
        <v>6</v>
      </c>
      <c r="R836" s="1">
        <v>0</v>
      </c>
      <c r="S836" s="26"/>
    </row>
    <row r="837" spans="1:19" ht="16.5" customHeight="1" x14ac:dyDescent="0.25">
      <c r="A837" s="9"/>
      <c r="B837" s="51" t="s">
        <v>88</v>
      </c>
      <c r="C837" s="52"/>
      <c r="D837" s="52"/>
      <c r="E837" s="52"/>
      <c r="F837" s="52"/>
      <c r="G837" s="53"/>
      <c r="H837" s="20"/>
      <c r="I837" s="9">
        <v>3</v>
      </c>
      <c r="J837" s="9"/>
      <c r="K837" s="9"/>
      <c r="L837" s="9"/>
      <c r="M837" s="9">
        <f>I837*O837</f>
        <v>18.600000000000001</v>
      </c>
      <c r="N837" s="9">
        <f>I837*P837</f>
        <v>6</v>
      </c>
      <c r="O837" s="9">
        <v>6.2</v>
      </c>
      <c r="P837" s="9">
        <v>2</v>
      </c>
      <c r="Q837" s="9" t="s">
        <v>3</v>
      </c>
      <c r="R837" s="1">
        <v>0</v>
      </c>
      <c r="S837" s="26"/>
    </row>
    <row r="838" spans="1:19" ht="16.5" hidden="1" customHeight="1" x14ac:dyDescent="0.25">
      <c r="A838" s="21"/>
      <c r="H838" s="21"/>
      <c r="I838" s="21"/>
      <c r="J838" s="21"/>
      <c r="K838" s="21"/>
      <c r="L838" s="21"/>
      <c r="M838" s="9">
        <f>I838*O838</f>
        <v>0</v>
      </c>
      <c r="N838" s="9">
        <f>I838*P838</f>
        <v>0</v>
      </c>
      <c r="O838" s="21"/>
      <c r="P838" s="21"/>
      <c r="Q838" s="21"/>
      <c r="S838" s="25"/>
    </row>
    <row r="839" spans="1:19" ht="16.5" customHeight="1" x14ac:dyDescent="0.25">
      <c r="A839" s="9"/>
      <c r="B839" s="39" t="s">
        <v>42</v>
      </c>
      <c r="C839" s="40"/>
      <c r="D839" s="40"/>
      <c r="E839" s="40"/>
      <c r="F839" s="40"/>
      <c r="G839" s="41"/>
      <c r="H839" s="23"/>
      <c r="I839" s="24">
        <f>SUM(I827:I838)</f>
        <v>23</v>
      </c>
      <c r="J839" s="9"/>
      <c r="K839" s="9"/>
      <c r="L839" s="9"/>
      <c r="M839" s="9">
        <f>I839*O839</f>
        <v>161.69</v>
      </c>
      <c r="N839" s="9">
        <f>I839*P839</f>
        <v>63.94</v>
      </c>
      <c r="O839" s="24">
        <f>ROUND(SUM(M827:M838)/I839,2)</f>
        <v>7.03</v>
      </c>
      <c r="P839" s="24">
        <f>ROUND(SUM(N827:N838)/I839,2)</f>
        <v>2.78</v>
      </c>
      <c r="Q839" s="9"/>
      <c r="S839" s="25"/>
    </row>
    <row r="840" spans="1:19" ht="20.25" customHeight="1" x14ac:dyDescent="0.25">
      <c r="A840" s="27" t="s">
        <v>89</v>
      </c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</row>
    <row r="841" spans="1:19" ht="16.5" customHeight="1" x14ac:dyDescent="0.25">
      <c r="A841" s="9"/>
      <c r="B841" s="51" t="s">
        <v>90</v>
      </c>
      <c r="C841" s="52"/>
      <c r="D841" s="52"/>
      <c r="E841" s="52"/>
      <c r="F841" s="52"/>
      <c r="G841" s="53"/>
      <c r="H841" s="20"/>
      <c r="I841" s="9">
        <v>1</v>
      </c>
      <c r="J841" s="9"/>
      <c r="K841" s="9"/>
      <c r="L841" s="9"/>
      <c r="M841" s="9">
        <f t="shared" ref="M841:M853" si="106">I841*O841</f>
        <v>7.4</v>
      </c>
      <c r="N841" s="9">
        <f t="shared" ref="N841:N853" si="107">I841*P841</f>
        <v>3</v>
      </c>
      <c r="O841" s="9">
        <v>7.4</v>
      </c>
      <c r="P841" s="9">
        <v>3</v>
      </c>
      <c r="Q841" s="9" t="s">
        <v>6</v>
      </c>
      <c r="R841" s="1">
        <v>0</v>
      </c>
      <c r="S841" s="26"/>
    </row>
    <row r="842" spans="1:19" ht="16.5" customHeight="1" x14ac:dyDescent="0.25">
      <c r="A842" s="9"/>
      <c r="B842" s="51" t="s">
        <v>91</v>
      </c>
      <c r="C842" s="52"/>
      <c r="D842" s="52"/>
      <c r="E842" s="52"/>
      <c r="F842" s="52"/>
      <c r="G842" s="53"/>
      <c r="H842" s="20"/>
      <c r="I842" s="9">
        <v>3</v>
      </c>
      <c r="J842" s="9"/>
      <c r="K842" s="9"/>
      <c r="L842" s="9"/>
      <c r="M842" s="9">
        <f t="shared" si="106"/>
        <v>9</v>
      </c>
      <c r="N842" s="9">
        <f t="shared" si="107"/>
        <v>0</v>
      </c>
      <c r="O842" s="9">
        <v>3</v>
      </c>
      <c r="P842" s="9">
        <v>0</v>
      </c>
      <c r="Q842" s="9" t="s">
        <v>7</v>
      </c>
      <c r="R842" s="1">
        <v>0</v>
      </c>
      <c r="S842" s="26"/>
    </row>
    <row r="843" spans="1:19" ht="16.5" customHeight="1" x14ac:dyDescent="0.25">
      <c r="A843" s="9"/>
      <c r="B843" s="51" t="s">
        <v>92</v>
      </c>
      <c r="C843" s="52"/>
      <c r="D843" s="52"/>
      <c r="E843" s="52"/>
      <c r="F843" s="52"/>
      <c r="G843" s="53"/>
      <c r="H843" s="20"/>
      <c r="I843" s="9">
        <v>1</v>
      </c>
      <c r="J843" s="9"/>
      <c r="K843" s="9"/>
      <c r="L843" s="9"/>
      <c r="M843" s="9">
        <f t="shared" si="106"/>
        <v>9</v>
      </c>
      <c r="N843" s="9">
        <f t="shared" si="107"/>
        <v>4</v>
      </c>
      <c r="O843" s="9">
        <v>9</v>
      </c>
      <c r="P843" s="9">
        <v>4</v>
      </c>
      <c r="Q843" s="9" t="s">
        <v>12</v>
      </c>
      <c r="R843" s="1">
        <v>0</v>
      </c>
      <c r="S843" s="26"/>
    </row>
    <row r="844" spans="1:19" ht="16.5" customHeight="1" x14ac:dyDescent="0.25">
      <c r="A844" s="9"/>
      <c r="B844" s="51" t="s">
        <v>93</v>
      </c>
      <c r="C844" s="52"/>
      <c r="D844" s="52"/>
      <c r="E844" s="52"/>
      <c r="F844" s="52"/>
      <c r="G844" s="53"/>
      <c r="H844" s="20"/>
      <c r="I844" s="9">
        <v>2</v>
      </c>
      <c r="J844" s="9"/>
      <c r="K844" s="9"/>
      <c r="L844" s="9"/>
      <c r="M844" s="9">
        <f t="shared" si="106"/>
        <v>15</v>
      </c>
      <c r="N844" s="9">
        <f t="shared" si="107"/>
        <v>6</v>
      </c>
      <c r="O844" s="9">
        <v>7.5</v>
      </c>
      <c r="P844" s="9">
        <v>3</v>
      </c>
      <c r="Q844" s="9" t="s">
        <v>6</v>
      </c>
      <c r="R844" s="1">
        <v>0</v>
      </c>
      <c r="S844" s="26"/>
    </row>
    <row r="845" spans="1:19" ht="16.5" customHeight="1" x14ac:dyDescent="0.25">
      <c r="A845" s="9"/>
      <c r="B845" s="51" t="s">
        <v>94</v>
      </c>
      <c r="C845" s="52"/>
      <c r="D845" s="52"/>
      <c r="E845" s="52"/>
      <c r="F845" s="52"/>
      <c r="G845" s="53"/>
      <c r="H845" s="20"/>
      <c r="I845" s="9">
        <v>1</v>
      </c>
      <c r="J845" s="9"/>
      <c r="K845" s="9"/>
      <c r="L845" s="9"/>
      <c r="M845" s="9">
        <f t="shared" si="106"/>
        <v>6.4</v>
      </c>
      <c r="N845" s="9">
        <f t="shared" si="107"/>
        <v>2</v>
      </c>
      <c r="O845" s="9">
        <v>6.4</v>
      </c>
      <c r="P845" s="9">
        <v>2</v>
      </c>
      <c r="Q845" s="9" t="s">
        <v>3</v>
      </c>
      <c r="R845" s="1">
        <v>0</v>
      </c>
      <c r="S845" s="26"/>
    </row>
    <row r="846" spans="1:19" ht="16.5" customHeight="1" x14ac:dyDescent="0.25">
      <c r="A846" s="9"/>
      <c r="B846" s="51" t="s">
        <v>95</v>
      </c>
      <c r="C846" s="52"/>
      <c r="D846" s="52"/>
      <c r="E846" s="52"/>
      <c r="F846" s="52"/>
      <c r="G846" s="53"/>
      <c r="H846" s="20"/>
      <c r="I846" s="9">
        <v>2</v>
      </c>
      <c r="J846" s="9"/>
      <c r="K846" s="9"/>
      <c r="L846" s="9"/>
      <c r="M846" s="9">
        <f t="shared" si="106"/>
        <v>14.4</v>
      </c>
      <c r="N846" s="9">
        <f t="shared" si="107"/>
        <v>6</v>
      </c>
      <c r="O846" s="9">
        <v>7.2</v>
      </c>
      <c r="P846" s="9">
        <v>3</v>
      </c>
      <c r="Q846" s="9" t="s">
        <v>6</v>
      </c>
      <c r="R846" s="1">
        <v>0</v>
      </c>
      <c r="S846" s="26"/>
    </row>
    <row r="847" spans="1:19" ht="16.5" customHeight="1" x14ac:dyDescent="0.25">
      <c r="A847" s="9"/>
      <c r="B847" s="51" t="s">
        <v>96</v>
      </c>
      <c r="C847" s="52"/>
      <c r="D847" s="52"/>
      <c r="E847" s="52"/>
      <c r="F847" s="52"/>
      <c r="G847" s="53"/>
      <c r="H847" s="20"/>
      <c r="I847" s="9">
        <v>2</v>
      </c>
      <c r="J847" s="9"/>
      <c r="K847" s="9"/>
      <c r="L847" s="9"/>
      <c r="M847" s="9">
        <f t="shared" si="106"/>
        <v>14.6</v>
      </c>
      <c r="N847" s="9">
        <f t="shared" si="107"/>
        <v>6</v>
      </c>
      <c r="O847" s="9">
        <v>7.3</v>
      </c>
      <c r="P847" s="9">
        <v>3</v>
      </c>
      <c r="Q847" s="9" t="s">
        <v>6</v>
      </c>
      <c r="R847" s="1">
        <v>0</v>
      </c>
      <c r="S847" s="26"/>
    </row>
    <row r="848" spans="1:19" ht="16.5" customHeight="1" x14ac:dyDescent="0.25">
      <c r="A848" s="9"/>
      <c r="B848" s="51" t="s">
        <v>97</v>
      </c>
      <c r="C848" s="52"/>
      <c r="D848" s="52"/>
      <c r="E848" s="52"/>
      <c r="F848" s="52"/>
      <c r="G848" s="53"/>
      <c r="H848" s="20"/>
      <c r="I848" s="9">
        <v>3</v>
      </c>
      <c r="J848" s="9"/>
      <c r="K848" s="9"/>
      <c r="L848" s="9"/>
      <c r="M848" s="9">
        <f t="shared" si="106"/>
        <v>16.799999999999997</v>
      </c>
      <c r="N848" s="9">
        <f t="shared" si="107"/>
        <v>6</v>
      </c>
      <c r="O848" s="9">
        <v>5.6</v>
      </c>
      <c r="P848" s="9">
        <v>2</v>
      </c>
      <c r="Q848" s="9" t="s">
        <v>3</v>
      </c>
      <c r="R848" s="1">
        <v>0</v>
      </c>
      <c r="S848" s="26"/>
    </row>
    <row r="849" spans="1:19" ht="16.5" customHeight="1" x14ac:dyDescent="0.25">
      <c r="A849" s="9"/>
      <c r="B849" s="51" t="s">
        <v>98</v>
      </c>
      <c r="C849" s="52"/>
      <c r="D849" s="52"/>
      <c r="E849" s="52"/>
      <c r="F849" s="52"/>
      <c r="G849" s="53"/>
      <c r="H849" s="20"/>
      <c r="I849" s="9">
        <v>4</v>
      </c>
      <c r="J849" s="9"/>
      <c r="K849" s="9"/>
      <c r="L849" s="9"/>
      <c r="M849" s="9">
        <f t="shared" si="106"/>
        <v>21.2</v>
      </c>
      <c r="N849" s="9">
        <f t="shared" si="107"/>
        <v>6</v>
      </c>
      <c r="O849" s="9">
        <v>5.3</v>
      </c>
      <c r="P849" s="9">
        <v>1.5</v>
      </c>
      <c r="Q849" s="9" t="s">
        <v>4</v>
      </c>
      <c r="R849" s="1">
        <v>0</v>
      </c>
      <c r="S849" s="26"/>
    </row>
    <row r="850" spans="1:19" ht="16.5" customHeight="1" x14ac:dyDescent="0.25">
      <c r="A850" s="9"/>
      <c r="B850" s="51" t="s">
        <v>99</v>
      </c>
      <c r="C850" s="52"/>
      <c r="D850" s="52"/>
      <c r="E850" s="52"/>
      <c r="F850" s="52"/>
      <c r="G850" s="53"/>
      <c r="H850" s="20"/>
      <c r="I850" s="9">
        <v>1</v>
      </c>
      <c r="J850" s="9"/>
      <c r="K850" s="9"/>
      <c r="L850" s="9"/>
      <c r="M850" s="9">
        <f t="shared" si="106"/>
        <v>7.4</v>
      </c>
      <c r="N850" s="9">
        <f t="shared" si="107"/>
        <v>3</v>
      </c>
      <c r="O850" s="9">
        <v>7.4</v>
      </c>
      <c r="P850" s="9">
        <v>3</v>
      </c>
      <c r="Q850" s="9" t="s">
        <v>6</v>
      </c>
      <c r="R850" s="1">
        <v>0</v>
      </c>
      <c r="S850" s="26"/>
    </row>
    <row r="851" spans="1:19" ht="16.5" customHeight="1" x14ac:dyDescent="0.25">
      <c r="A851" s="9"/>
      <c r="B851" s="51" t="s">
        <v>100</v>
      </c>
      <c r="C851" s="52"/>
      <c r="D851" s="52"/>
      <c r="E851" s="52"/>
      <c r="F851" s="52"/>
      <c r="G851" s="53"/>
      <c r="H851" s="20"/>
      <c r="I851" s="9">
        <v>2</v>
      </c>
      <c r="J851" s="9"/>
      <c r="K851" s="9"/>
      <c r="L851" s="9"/>
      <c r="M851" s="9">
        <f t="shared" si="106"/>
        <v>14.2</v>
      </c>
      <c r="N851" s="9">
        <f t="shared" si="107"/>
        <v>6</v>
      </c>
      <c r="O851" s="9">
        <v>7.1</v>
      </c>
      <c r="P851" s="9">
        <v>3</v>
      </c>
      <c r="Q851" s="9" t="s">
        <v>6</v>
      </c>
      <c r="R851" s="1">
        <v>0</v>
      </c>
      <c r="S851" s="26"/>
    </row>
    <row r="852" spans="1:19" ht="16.5" hidden="1" customHeight="1" x14ac:dyDescent="0.25">
      <c r="A852" s="21"/>
      <c r="H852" s="21"/>
      <c r="I852" s="21"/>
      <c r="J852" s="21"/>
      <c r="K852" s="21"/>
      <c r="L852" s="21"/>
      <c r="M852" s="9">
        <f t="shared" si="106"/>
        <v>0</v>
      </c>
      <c r="N852" s="9">
        <f t="shared" si="107"/>
        <v>0</v>
      </c>
      <c r="O852" s="21"/>
      <c r="P852" s="21"/>
      <c r="Q852" s="21"/>
      <c r="S852" s="25"/>
    </row>
    <row r="853" spans="1:19" ht="16.5" customHeight="1" x14ac:dyDescent="0.25">
      <c r="A853" s="9"/>
      <c r="B853" s="39" t="s">
        <v>42</v>
      </c>
      <c r="C853" s="40"/>
      <c r="D853" s="40"/>
      <c r="E853" s="40"/>
      <c r="F853" s="40"/>
      <c r="G853" s="41"/>
      <c r="H853" s="23"/>
      <c r="I853" s="24">
        <f>SUM(I841:I852)</f>
        <v>22</v>
      </c>
      <c r="J853" s="9"/>
      <c r="K853" s="9"/>
      <c r="L853" s="9"/>
      <c r="M853" s="9">
        <f t="shared" si="106"/>
        <v>135.30000000000001</v>
      </c>
      <c r="N853" s="9">
        <f t="shared" si="107"/>
        <v>47.96</v>
      </c>
      <c r="O853" s="24">
        <f>ROUND(SUM(M841:M852)/I853,2)</f>
        <v>6.15</v>
      </c>
      <c r="P853" s="24">
        <f>ROUND(SUM(N841:N852)/I853,2)</f>
        <v>2.1800000000000002</v>
      </c>
      <c r="Q853" s="9"/>
      <c r="S853" s="25"/>
    </row>
    <row r="854" spans="1:19" ht="20.25" customHeight="1" x14ac:dyDescent="0.25">
      <c r="A854" s="27" t="s">
        <v>135</v>
      </c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</row>
    <row r="855" spans="1:19" ht="16.5" customHeight="1" x14ac:dyDescent="0.25">
      <c r="A855" s="9"/>
      <c r="B855" s="51" t="s">
        <v>91</v>
      </c>
      <c r="C855" s="52"/>
      <c r="D855" s="52"/>
      <c r="E855" s="52"/>
      <c r="F855" s="52"/>
      <c r="G855" s="53"/>
      <c r="H855" s="20"/>
      <c r="I855" s="9">
        <v>3</v>
      </c>
      <c r="J855" s="9"/>
      <c r="K855" s="9"/>
      <c r="L855" s="9"/>
      <c r="M855" s="9">
        <f>I855*O855</f>
        <v>18</v>
      </c>
      <c r="N855" s="9">
        <f>I855*P855</f>
        <v>6</v>
      </c>
      <c r="O855" s="9">
        <v>6</v>
      </c>
      <c r="P855" s="9">
        <v>2</v>
      </c>
      <c r="Q855" s="9" t="s">
        <v>3</v>
      </c>
      <c r="R855" s="1">
        <v>6</v>
      </c>
      <c r="S855" s="26" t="s">
        <v>132</v>
      </c>
    </row>
    <row r="856" spans="1:19" ht="16.5" hidden="1" customHeight="1" x14ac:dyDescent="0.25">
      <c r="A856" s="21"/>
      <c r="H856" s="21"/>
      <c r="I856" s="21"/>
      <c r="J856" s="21"/>
      <c r="K856" s="21"/>
      <c r="L856" s="21"/>
      <c r="M856" s="9">
        <f>I856*O856</f>
        <v>0</v>
      </c>
      <c r="N856" s="9">
        <f>I856*P856</f>
        <v>0</v>
      </c>
      <c r="O856" s="21"/>
      <c r="P856" s="21"/>
      <c r="Q856" s="21"/>
      <c r="S856" s="25"/>
    </row>
    <row r="857" spans="1:19" ht="16.5" customHeight="1" x14ac:dyDescent="0.25">
      <c r="A857" s="9"/>
      <c r="B857" s="39" t="s">
        <v>42</v>
      </c>
      <c r="C857" s="40"/>
      <c r="D857" s="40"/>
      <c r="E857" s="40"/>
      <c r="F857" s="40"/>
      <c r="G857" s="41"/>
      <c r="H857" s="23"/>
      <c r="I857" s="24">
        <f>SUM(I855:I856)</f>
        <v>3</v>
      </c>
      <c r="J857" s="9"/>
      <c r="K857" s="9"/>
      <c r="L857" s="9"/>
      <c r="M857" s="9">
        <f>I857*O857</f>
        <v>18</v>
      </c>
      <c r="N857" s="9">
        <f>I857*P857</f>
        <v>6</v>
      </c>
      <c r="O857" s="24">
        <f>ROUND(SUM(M855:M856)/I857,2)</f>
        <v>6</v>
      </c>
      <c r="P857" s="24">
        <f>ROUND(SUM(N855:N856)/I857,2)</f>
        <v>2</v>
      </c>
      <c r="Q857" s="9"/>
      <c r="S857" s="25"/>
    </row>
    <row r="858" spans="1:19" ht="20.25" customHeight="1" x14ac:dyDescent="0.25">
      <c r="A858" s="27" t="s">
        <v>101</v>
      </c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</row>
    <row r="859" spans="1:19" ht="16.5" customHeight="1" x14ac:dyDescent="0.25">
      <c r="A859" s="9"/>
      <c r="B859" s="51" t="s">
        <v>102</v>
      </c>
      <c r="C859" s="52"/>
      <c r="D859" s="52"/>
      <c r="E859" s="52"/>
      <c r="F859" s="52"/>
      <c r="G859" s="53"/>
      <c r="H859" s="20"/>
      <c r="I859" s="9">
        <v>1</v>
      </c>
      <c r="J859" s="9"/>
      <c r="K859" s="9"/>
      <c r="L859" s="9"/>
      <c r="M859" s="9">
        <f t="shared" ref="M859:M872" si="108">I859*O859</f>
        <v>7</v>
      </c>
      <c r="N859" s="9">
        <f t="shared" ref="N859:N872" si="109">I859*P859</f>
        <v>3</v>
      </c>
      <c r="O859" s="9">
        <v>7</v>
      </c>
      <c r="P859" s="9">
        <v>3</v>
      </c>
      <c r="Q859" s="9" t="s">
        <v>6</v>
      </c>
      <c r="R859" s="1">
        <v>0</v>
      </c>
      <c r="S859" s="26"/>
    </row>
    <row r="860" spans="1:19" ht="16.5" customHeight="1" x14ac:dyDescent="0.25">
      <c r="A860" s="9"/>
      <c r="B860" s="51" t="s">
        <v>113</v>
      </c>
      <c r="C860" s="52"/>
      <c r="D860" s="52"/>
      <c r="E860" s="52"/>
      <c r="F860" s="52"/>
      <c r="G860" s="53"/>
      <c r="H860" s="20"/>
      <c r="I860" s="9">
        <v>1</v>
      </c>
      <c r="J860" s="9"/>
      <c r="K860" s="9"/>
      <c r="L860" s="9"/>
      <c r="M860" s="9">
        <f t="shared" si="108"/>
        <v>7.7</v>
      </c>
      <c r="N860" s="9">
        <f t="shared" si="109"/>
        <v>3</v>
      </c>
      <c r="O860" s="9">
        <v>7.7</v>
      </c>
      <c r="P860" s="9">
        <v>3</v>
      </c>
      <c r="Q860" s="9" t="s">
        <v>6</v>
      </c>
      <c r="R860" s="1">
        <v>0</v>
      </c>
      <c r="S860" s="26"/>
    </row>
    <row r="861" spans="1:19" ht="16.5" customHeight="1" x14ac:dyDescent="0.25">
      <c r="A861" s="9"/>
      <c r="B861" s="51" t="s">
        <v>104</v>
      </c>
      <c r="C861" s="52"/>
      <c r="D861" s="52"/>
      <c r="E861" s="52"/>
      <c r="F861" s="52"/>
      <c r="G861" s="53"/>
      <c r="H861" s="20"/>
      <c r="I861" s="9">
        <v>4</v>
      </c>
      <c r="J861" s="9"/>
      <c r="K861" s="9"/>
      <c r="L861" s="9"/>
      <c r="M861" s="9">
        <f t="shared" si="108"/>
        <v>32.4</v>
      </c>
      <c r="N861" s="9">
        <f t="shared" si="109"/>
        <v>14</v>
      </c>
      <c r="O861" s="9">
        <v>8.1</v>
      </c>
      <c r="P861" s="9">
        <v>3.5</v>
      </c>
      <c r="Q861" s="9" t="s">
        <v>9</v>
      </c>
      <c r="R861" s="1">
        <v>0</v>
      </c>
      <c r="S861" s="26"/>
    </row>
    <row r="862" spans="1:19" ht="16.5" customHeight="1" x14ac:dyDescent="0.25">
      <c r="A862" s="9"/>
      <c r="B862" s="51" t="s">
        <v>105</v>
      </c>
      <c r="C862" s="52"/>
      <c r="D862" s="52"/>
      <c r="E862" s="52"/>
      <c r="F862" s="52"/>
      <c r="G862" s="53"/>
      <c r="H862" s="20"/>
      <c r="I862" s="9">
        <v>3</v>
      </c>
      <c r="J862" s="9"/>
      <c r="K862" s="9"/>
      <c r="L862" s="9"/>
      <c r="M862" s="9">
        <f t="shared" si="108"/>
        <v>24</v>
      </c>
      <c r="N862" s="9">
        <f t="shared" si="109"/>
        <v>10.5</v>
      </c>
      <c r="O862" s="9">
        <v>8</v>
      </c>
      <c r="P862" s="9">
        <v>3.5</v>
      </c>
      <c r="Q862" s="9" t="s">
        <v>9</v>
      </c>
      <c r="R862" s="1">
        <v>0</v>
      </c>
      <c r="S862" s="26"/>
    </row>
    <row r="863" spans="1:19" ht="16.5" customHeight="1" x14ac:dyDescent="0.25">
      <c r="A863" s="9"/>
      <c r="B863" s="51" t="s">
        <v>106</v>
      </c>
      <c r="C863" s="52"/>
      <c r="D863" s="52"/>
      <c r="E863" s="52"/>
      <c r="F863" s="52"/>
      <c r="G863" s="53"/>
      <c r="H863" s="20"/>
      <c r="I863" s="9">
        <v>2</v>
      </c>
      <c r="J863" s="9"/>
      <c r="K863" s="9"/>
      <c r="L863" s="9"/>
      <c r="M863" s="9">
        <f t="shared" si="108"/>
        <v>12.8</v>
      </c>
      <c r="N863" s="9">
        <f t="shared" si="109"/>
        <v>4</v>
      </c>
      <c r="O863" s="9">
        <v>6.4</v>
      </c>
      <c r="P863" s="9">
        <v>2</v>
      </c>
      <c r="Q863" s="9" t="s">
        <v>3</v>
      </c>
      <c r="R863" s="1">
        <v>0</v>
      </c>
      <c r="S863" s="26"/>
    </row>
    <row r="864" spans="1:19" ht="16.5" customHeight="1" x14ac:dyDescent="0.25">
      <c r="A864" s="9"/>
      <c r="B864" s="51" t="s">
        <v>107</v>
      </c>
      <c r="C864" s="52"/>
      <c r="D864" s="52"/>
      <c r="E864" s="52"/>
      <c r="F864" s="52"/>
      <c r="G864" s="53"/>
      <c r="H864" s="20"/>
      <c r="I864" s="9">
        <v>2</v>
      </c>
      <c r="J864" s="9"/>
      <c r="K864" s="9"/>
      <c r="L864" s="9"/>
      <c r="M864" s="9">
        <f t="shared" si="108"/>
        <v>13.8</v>
      </c>
      <c r="N864" s="9">
        <f t="shared" si="109"/>
        <v>5</v>
      </c>
      <c r="O864" s="9">
        <v>6.9</v>
      </c>
      <c r="P864" s="9">
        <v>2.5</v>
      </c>
      <c r="Q864" s="9" t="s">
        <v>5</v>
      </c>
      <c r="R864" s="1">
        <v>0</v>
      </c>
      <c r="S864" s="26"/>
    </row>
    <row r="865" spans="1:19" ht="16.5" customHeight="1" x14ac:dyDescent="0.25">
      <c r="A865" s="9"/>
      <c r="B865" s="51" t="s">
        <v>108</v>
      </c>
      <c r="C865" s="52"/>
      <c r="D865" s="52"/>
      <c r="E865" s="52"/>
      <c r="F865" s="52"/>
      <c r="G865" s="53"/>
      <c r="H865" s="20"/>
      <c r="I865" s="9">
        <v>4</v>
      </c>
      <c r="J865" s="9"/>
      <c r="K865" s="9"/>
      <c r="L865" s="9"/>
      <c r="M865" s="9">
        <f t="shared" si="108"/>
        <v>33.6</v>
      </c>
      <c r="N865" s="9">
        <f t="shared" si="109"/>
        <v>14</v>
      </c>
      <c r="O865" s="9">
        <v>8.4</v>
      </c>
      <c r="P865" s="9">
        <v>3.5</v>
      </c>
      <c r="Q865" s="9" t="s">
        <v>9</v>
      </c>
      <c r="R865" s="1">
        <v>0</v>
      </c>
      <c r="S865" s="26"/>
    </row>
    <row r="866" spans="1:19" ht="16.5" customHeight="1" x14ac:dyDescent="0.25">
      <c r="A866" s="9"/>
      <c r="B866" s="51" t="s">
        <v>109</v>
      </c>
      <c r="C866" s="52"/>
      <c r="D866" s="52"/>
      <c r="E866" s="52"/>
      <c r="F866" s="52"/>
      <c r="G866" s="53"/>
      <c r="H866" s="20"/>
      <c r="I866" s="9">
        <v>2</v>
      </c>
      <c r="J866" s="9"/>
      <c r="K866" s="9"/>
      <c r="L866" s="9"/>
      <c r="M866" s="9">
        <f t="shared" si="108"/>
        <v>15.4</v>
      </c>
      <c r="N866" s="9">
        <f t="shared" si="109"/>
        <v>6</v>
      </c>
      <c r="O866" s="9">
        <v>7.7</v>
      </c>
      <c r="P866" s="9">
        <v>3</v>
      </c>
      <c r="Q866" s="9" t="s">
        <v>6</v>
      </c>
      <c r="R866" s="1">
        <v>0</v>
      </c>
      <c r="S866" s="26"/>
    </row>
    <row r="867" spans="1:19" ht="16.5" customHeight="1" x14ac:dyDescent="0.25">
      <c r="A867" s="9"/>
      <c r="B867" s="51" t="s">
        <v>110</v>
      </c>
      <c r="C867" s="52"/>
      <c r="D867" s="52"/>
      <c r="E867" s="52"/>
      <c r="F867" s="52"/>
      <c r="G867" s="53"/>
      <c r="H867" s="20"/>
      <c r="I867" s="9">
        <v>2</v>
      </c>
      <c r="J867" s="9"/>
      <c r="K867" s="9"/>
      <c r="L867" s="9"/>
      <c r="M867" s="9">
        <f t="shared" si="108"/>
        <v>18</v>
      </c>
      <c r="N867" s="9">
        <f t="shared" si="109"/>
        <v>8</v>
      </c>
      <c r="O867" s="9">
        <v>9</v>
      </c>
      <c r="P867" s="9">
        <v>4</v>
      </c>
      <c r="Q867" s="9" t="s">
        <v>12</v>
      </c>
      <c r="R867" s="1">
        <v>0</v>
      </c>
      <c r="S867" s="26"/>
    </row>
    <row r="868" spans="1:19" ht="16.5" customHeight="1" x14ac:dyDescent="0.25">
      <c r="A868" s="9"/>
      <c r="B868" s="51" t="s">
        <v>111</v>
      </c>
      <c r="C868" s="52"/>
      <c r="D868" s="52"/>
      <c r="E868" s="52"/>
      <c r="F868" s="52"/>
      <c r="G868" s="53"/>
      <c r="H868" s="20"/>
      <c r="I868" s="9">
        <v>4</v>
      </c>
      <c r="J868" s="9"/>
      <c r="K868" s="9"/>
      <c r="L868" s="9"/>
      <c r="M868" s="9">
        <f t="shared" si="108"/>
        <v>33.6</v>
      </c>
      <c r="N868" s="9">
        <f t="shared" si="109"/>
        <v>14</v>
      </c>
      <c r="O868" s="9">
        <v>8.4</v>
      </c>
      <c r="P868" s="9">
        <v>3.5</v>
      </c>
      <c r="Q868" s="9" t="s">
        <v>9</v>
      </c>
      <c r="R868" s="1">
        <v>0</v>
      </c>
      <c r="S868" s="26"/>
    </row>
    <row r="869" spans="1:19" ht="16.5" customHeight="1" x14ac:dyDescent="0.25">
      <c r="A869" s="9"/>
      <c r="B869" s="51" t="s">
        <v>112</v>
      </c>
      <c r="C869" s="52"/>
      <c r="D869" s="52"/>
      <c r="E869" s="52"/>
      <c r="F869" s="52"/>
      <c r="G869" s="53"/>
      <c r="H869" s="20"/>
      <c r="I869" s="9">
        <v>2</v>
      </c>
      <c r="J869" s="9"/>
      <c r="K869" s="9"/>
      <c r="L869" s="9"/>
      <c r="M869" s="9">
        <f t="shared" si="108"/>
        <v>11.8</v>
      </c>
      <c r="N869" s="9">
        <f t="shared" si="109"/>
        <v>4</v>
      </c>
      <c r="O869" s="9">
        <v>5.9</v>
      </c>
      <c r="P869" s="9">
        <v>2</v>
      </c>
      <c r="Q869" s="9" t="s">
        <v>3</v>
      </c>
      <c r="R869" s="1">
        <v>0</v>
      </c>
      <c r="S869" s="26"/>
    </row>
    <row r="870" spans="1:19" ht="16.5" customHeight="1" x14ac:dyDescent="0.25">
      <c r="A870" s="9"/>
      <c r="B870" s="51" t="s">
        <v>103</v>
      </c>
      <c r="C870" s="52"/>
      <c r="D870" s="52"/>
      <c r="E870" s="52"/>
      <c r="F870" s="52"/>
      <c r="G870" s="53"/>
      <c r="H870" s="20"/>
      <c r="I870" s="9">
        <v>2</v>
      </c>
      <c r="J870" s="9"/>
      <c r="K870" s="9"/>
      <c r="L870" s="9"/>
      <c r="M870" s="9">
        <f t="shared" si="108"/>
        <v>14</v>
      </c>
      <c r="N870" s="9">
        <f t="shared" si="109"/>
        <v>6</v>
      </c>
      <c r="O870" s="9">
        <v>7</v>
      </c>
      <c r="P870" s="9">
        <v>3</v>
      </c>
      <c r="Q870" s="9" t="s">
        <v>6</v>
      </c>
      <c r="R870" s="1">
        <v>0</v>
      </c>
      <c r="S870" s="26"/>
    </row>
    <row r="871" spans="1:19" ht="16.5" hidden="1" customHeight="1" x14ac:dyDescent="0.25">
      <c r="A871" s="21"/>
      <c r="H871" s="21"/>
      <c r="I871" s="21"/>
      <c r="J871" s="21"/>
      <c r="K871" s="21"/>
      <c r="L871" s="21"/>
      <c r="M871" s="9">
        <f t="shared" si="108"/>
        <v>0</v>
      </c>
      <c r="N871" s="9">
        <f t="shared" si="109"/>
        <v>0</v>
      </c>
      <c r="O871" s="21"/>
      <c r="P871" s="21"/>
      <c r="Q871" s="21"/>
      <c r="S871" s="25"/>
    </row>
    <row r="872" spans="1:19" ht="16.5" customHeight="1" x14ac:dyDescent="0.25">
      <c r="A872" s="9"/>
      <c r="B872" s="39" t="s">
        <v>42</v>
      </c>
      <c r="C872" s="40"/>
      <c r="D872" s="40"/>
      <c r="E872" s="40"/>
      <c r="F872" s="40"/>
      <c r="G872" s="41"/>
      <c r="H872" s="23"/>
      <c r="I872" s="24">
        <f>SUM(I859:I871)</f>
        <v>29</v>
      </c>
      <c r="J872" s="9"/>
      <c r="K872" s="9"/>
      <c r="L872" s="9"/>
      <c r="M872" s="9">
        <f t="shared" si="108"/>
        <v>224.17000000000002</v>
      </c>
      <c r="N872" s="9">
        <f t="shared" si="109"/>
        <v>91.64</v>
      </c>
      <c r="O872" s="24">
        <f>ROUND(SUM(M859:M871)/I872,2)</f>
        <v>7.73</v>
      </c>
      <c r="P872" s="24">
        <f>ROUND(SUM(N859:N871)/I872,2)</f>
        <v>3.16</v>
      </c>
      <c r="Q872" s="9"/>
      <c r="S872" s="25"/>
    </row>
    <row r="873" spans="1:19" ht="20.25" customHeight="1" x14ac:dyDescent="0.25">
      <c r="A873" s="27" t="s">
        <v>114</v>
      </c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</row>
    <row r="874" spans="1:19" ht="16.5" customHeight="1" x14ac:dyDescent="0.25">
      <c r="A874" s="9"/>
      <c r="B874" s="51" t="s">
        <v>115</v>
      </c>
      <c r="C874" s="52"/>
      <c r="D874" s="52"/>
      <c r="E874" s="52"/>
      <c r="F874" s="52"/>
      <c r="G874" s="53"/>
      <c r="H874" s="20"/>
      <c r="I874" s="9">
        <v>2</v>
      </c>
      <c r="J874" s="9"/>
      <c r="K874" s="9"/>
      <c r="L874" s="9"/>
      <c r="M874" s="9">
        <f t="shared" ref="M874:M884" si="110">I874*O874</f>
        <v>0</v>
      </c>
      <c r="N874" s="9">
        <f t="shared" ref="N874:N884" si="111">I874*P874</f>
        <v>0</v>
      </c>
      <c r="O874" s="9"/>
      <c r="P874" s="9"/>
      <c r="Q874" s="9"/>
      <c r="R874" s="1">
        <v>0</v>
      </c>
      <c r="S874" s="26"/>
    </row>
    <row r="875" spans="1:19" ht="16.5" customHeight="1" x14ac:dyDescent="0.25">
      <c r="A875" s="9"/>
      <c r="B875" s="51" t="s">
        <v>122</v>
      </c>
      <c r="C875" s="52"/>
      <c r="D875" s="52"/>
      <c r="E875" s="52"/>
      <c r="F875" s="52"/>
      <c r="G875" s="53"/>
      <c r="H875" s="20"/>
      <c r="I875" s="9">
        <v>2</v>
      </c>
      <c r="J875" s="9"/>
      <c r="K875" s="9"/>
      <c r="L875" s="9"/>
      <c r="M875" s="9">
        <f t="shared" si="110"/>
        <v>0</v>
      </c>
      <c r="N875" s="9">
        <f t="shared" si="111"/>
        <v>0</v>
      </c>
      <c r="O875" s="9"/>
      <c r="P875" s="9"/>
      <c r="Q875" s="9"/>
      <c r="R875" s="1">
        <v>0</v>
      </c>
      <c r="S875" s="26"/>
    </row>
    <row r="876" spans="1:19" ht="16.5" customHeight="1" x14ac:dyDescent="0.25">
      <c r="A876" s="9"/>
      <c r="B876" s="51" t="s">
        <v>117</v>
      </c>
      <c r="C876" s="52"/>
      <c r="D876" s="52"/>
      <c r="E876" s="52"/>
      <c r="F876" s="52"/>
      <c r="G876" s="53"/>
      <c r="H876" s="20"/>
      <c r="I876" s="9">
        <v>3</v>
      </c>
      <c r="J876" s="9"/>
      <c r="K876" s="9"/>
      <c r="L876" s="9"/>
      <c r="M876" s="9">
        <f t="shared" si="110"/>
        <v>0</v>
      </c>
      <c r="N876" s="9">
        <f t="shared" si="111"/>
        <v>0</v>
      </c>
      <c r="O876" s="9"/>
      <c r="P876" s="9"/>
      <c r="Q876" s="9"/>
      <c r="R876" s="1">
        <v>0</v>
      </c>
      <c r="S876" s="26"/>
    </row>
    <row r="877" spans="1:19" ht="16.5" customHeight="1" x14ac:dyDescent="0.25">
      <c r="A877" s="9"/>
      <c r="B877" s="51" t="s">
        <v>123</v>
      </c>
      <c r="C877" s="52"/>
      <c r="D877" s="52"/>
      <c r="E877" s="52"/>
      <c r="F877" s="52"/>
      <c r="G877" s="53"/>
      <c r="H877" s="20"/>
      <c r="I877" s="9">
        <v>2</v>
      </c>
      <c r="J877" s="9"/>
      <c r="K877" s="9"/>
      <c r="L877" s="9"/>
      <c r="M877" s="9">
        <f t="shared" si="110"/>
        <v>0</v>
      </c>
      <c r="N877" s="9">
        <f t="shared" si="111"/>
        <v>0</v>
      </c>
      <c r="O877" s="9"/>
      <c r="P877" s="9"/>
      <c r="Q877" s="9"/>
      <c r="R877" s="1">
        <v>0</v>
      </c>
      <c r="S877" s="26"/>
    </row>
    <row r="878" spans="1:19" ht="16.5" customHeight="1" x14ac:dyDescent="0.25">
      <c r="A878" s="9"/>
      <c r="B878" s="51" t="s">
        <v>119</v>
      </c>
      <c r="C878" s="52"/>
      <c r="D878" s="52"/>
      <c r="E878" s="52"/>
      <c r="F878" s="52"/>
      <c r="G878" s="53"/>
      <c r="H878" s="20"/>
      <c r="I878" s="9">
        <v>4</v>
      </c>
      <c r="J878" s="9"/>
      <c r="K878" s="9"/>
      <c r="L878" s="9"/>
      <c r="M878" s="9">
        <f t="shared" si="110"/>
        <v>0</v>
      </c>
      <c r="N878" s="9">
        <f t="shared" si="111"/>
        <v>0</v>
      </c>
      <c r="O878" s="9"/>
      <c r="P878" s="9"/>
      <c r="Q878" s="9"/>
      <c r="R878" s="1">
        <v>0</v>
      </c>
      <c r="S878" s="26"/>
    </row>
    <row r="879" spans="1:19" ht="16.5" customHeight="1" x14ac:dyDescent="0.25">
      <c r="A879" s="9"/>
      <c r="B879" s="51" t="s">
        <v>120</v>
      </c>
      <c r="C879" s="52"/>
      <c r="D879" s="52"/>
      <c r="E879" s="52"/>
      <c r="F879" s="52"/>
      <c r="G879" s="53"/>
      <c r="H879" s="20"/>
      <c r="I879" s="9">
        <v>3</v>
      </c>
      <c r="J879" s="9"/>
      <c r="K879" s="9"/>
      <c r="L879" s="9"/>
      <c r="M879" s="9">
        <f t="shared" si="110"/>
        <v>20.399999999999999</v>
      </c>
      <c r="N879" s="9">
        <f t="shared" si="111"/>
        <v>7.5</v>
      </c>
      <c r="O879" s="9">
        <v>6.8</v>
      </c>
      <c r="P879" s="9">
        <v>2.5</v>
      </c>
      <c r="Q879" s="9" t="s">
        <v>5</v>
      </c>
      <c r="R879" s="1">
        <v>0</v>
      </c>
      <c r="S879" s="26"/>
    </row>
    <row r="880" spans="1:19" ht="16.5" customHeight="1" x14ac:dyDescent="0.25">
      <c r="A880" s="9"/>
      <c r="B880" s="51" t="s">
        <v>121</v>
      </c>
      <c r="C880" s="52"/>
      <c r="D880" s="52"/>
      <c r="E880" s="52"/>
      <c r="F880" s="52"/>
      <c r="G880" s="53"/>
      <c r="H880" s="20"/>
      <c r="I880" s="9">
        <v>2</v>
      </c>
      <c r="J880" s="9"/>
      <c r="K880" s="9"/>
      <c r="L880" s="9"/>
      <c r="M880" s="9">
        <f t="shared" si="110"/>
        <v>16.2</v>
      </c>
      <c r="N880" s="9">
        <f t="shared" si="111"/>
        <v>7</v>
      </c>
      <c r="O880" s="9">
        <v>8.1</v>
      </c>
      <c r="P880" s="9">
        <v>3.5</v>
      </c>
      <c r="Q880" s="9" t="s">
        <v>9</v>
      </c>
      <c r="R880" s="1">
        <v>0</v>
      </c>
      <c r="S880" s="26"/>
    </row>
    <row r="881" spans="1:19" ht="16.5" customHeight="1" x14ac:dyDescent="0.25">
      <c r="A881" s="9"/>
      <c r="B881" s="51" t="s">
        <v>116</v>
      </c>
      <c r="C881" s="52"/>
      <c r="D881" s="52"/>
      <c r="E881" s="52"/>
      <c r="F881" s="52"/>
      <c r="G881" s="53"/>
      <c r="H881" s="20"/>
      <c r="I881" s="9">
        <v>3</v>
      </c>
      <c r="J881" s="9"/>
      <c r="K881" s="9"/>
      <c r="L881" s="9"/>
      <c r="M881" s="9">
        <f t="shared" si="110"/>
        <v>21.6</v>
      </c>
      <c r="N881" s="9">
        <f t="shared" si="111"/>
        <v>9</v>
      </c>
      <c r="O881" s="9">
        <v>7.2</v>
      </c>
      <c r="P881" s="9">
        <v>3</v>
      </c>
      <c r="Q881" s="9" t="s">
        <v>6</v>
      </c>
      <c r="R881" s="1">
        <v>0</v>
      </c>
      <c r="S881" s="26"/>
    </row>
    <row r="882" spans="1:19" ht="16.5" customHeight="1" x14ac:dyDescent="0.25">
      <c r="A882" s="9"/>
      <c r="B882" s="51" t="s">
        <v>118</v>
      </c>
      <c r="C882" s="52"/>
      <c r="D882" s="52"/>
      <c r="E882" s="52"/>
      <c r="F882" s="52"/>
      <c r="G882" s="53"/>
      <c r="H882" s="20"/>
      <c r="I882" s="9">
        <v>1</v>
      </c>
      <c r="J882" s="9"/>
      <c r="K882" s="9"/>
      <c r="L882" s="9"/>
      <c r="M882" s="9">
        <f t="shared" si="110"/>
        <v>6.9</v>
      </c>
      <c r="N882" s="9">
        <f t="shared" si="111"/>
        <v>2.5</v>
      </c>
      <c r="O882" s="9">
        <v>6.9</v>
      </c>
      <c r="P882" s="9">
        <v>2.5</v>
      </c>
      <c r="Q882" s="9" t="s">
        <v>5</v>
      </c>
      <c r="R882" s="1">
        <v>0</v>
      </c>
      <c r="S882" s="26"/>
    </row>
    <row r="883" spans="1:19" ht="16.5" hidden="1" customHeight="1" x14ac:dyDescent="0.25">
      <c r="A883" s="21"/>
      <c r="H883" s="21"/>
      <c r="I883" s="21"/>
      <c r="J883" s="21"/>
      <c r="K883" s="21"/>
      <c r="L883" s="21"/>
      <c r="M883" s="9">
        <f t="shared" si="110"/>
        <v>0</v>
      </c>
      <c r="N883" s="9">
        <f t="shared" si="111"/>
        <v>0</v>
      </c>
      <c r="O883" s="21"/>
      <c r="P883" s="21"/>
      <c r="Q883" s="21"/>
      <c r="S883" s="25"/>
    </row>
    <row r="884" spans="1:19" ht="16.5" customHeight="1" x14ac:dyDescent="0.25">
      <c r="A884" s="9"/>
      <c r="B884" s="39" t="s">
        <v>42</v>
      </c>
      <c r="C884" s="40"/>
      <c r="D884" s="40"/>
      <c r="E884" s="40"/>
      <c r="F884" s="40"/>
      <c r="G884" s="41"/>
      <c r="H884" s="23"/>
      <c r="I884" s="24">
        <f>SUM(I874:I883)</f>
        <v>22</v>
      </c>
      <c r="J884" s="9"/>
      <c r="K884" s="9"/>
      <c r="L884" s="9"/>
      <c r="M884" s="9">
        <f t="shared" si="110"/>
        <v>65.12</v>
      </c>
      <c r="N884" s="9">
        <f t="shared" si="111"/>
        <v>25.959999999999997</v>
      </c>
      <c r="O884" s="24">
        <f>ROUND(SUM(M874:M883)/I884,2)</f>
        <v>2.96</v>
      </c>
      <c r="P884" s="24">
        <f>ROUND(SUM(N874:N883)/I884,2)</f>
        <v>1.18</v>
      </c>
      <c r="Q884" s="9"/>
      <c r="S884" s="25"/>
    </row>
    <row r="885" spans="1:19" ht="16.5" customHeight="1" x14ac:dyDescent="0.25">
      <c r="A885" s="21"/>
      <c r="B885" s="22"/>
      <c r="C885" s="22"/>
      <c r="D885" s="22"/>
      <c r="E885" s="22"/>
      <c r="F885" s="22"/>
      <c r="G885" s="22"/>
      <c r="H885" s="21"/>
      <c r="I885" s="21"/>
      <c r="J885" s="21"/>
      <c r="K885" s="21"/>
      <c r="L885" s="21"/>
      <c r="M885" s="21"/>
      <c r="N885" s="21"/>
      <c r="O885" s="21"/>
      <c r="P885" s="21"/>
      <c r="Q885" s="21"/>
    </row>
    <row r="887" spans="1:19" ht="18" x14ac:dyDescent="0.25">
      <c r="A887" s="35" t="s">
        <v>139</v>
      </c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</row>
    <row r="888" spans="1:19" ht="18" x14ac:dyDescent="0.25">
      <c r="A888" s="35" t="s">
        <v>167</v>
      </c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</row>
    <row r="889" spans="1:19" ht="18" x14ac:dyDescent="0.25">
      <c r="A889" s="35" t="s">
        <v>168</v>
      </c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</row>
    <row r="890" spans="1:19" ht="18" x14ac:dyDescent="0.25">
      <c r="A890" s="45" t="s">
        <v>149</v>
      </c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</row>
    <row r="891" spans="1:19" ht="19.5" customHeight="1" x14ac:dyDescent="0.25">
      <c r="A891" s="17"/>
      <c r="B891" s="17"/>
      <c r="C891" s="8"/>
      <c r="D891" s="18"/>
      <c r="E891" s="10"/>
      <c r="F891" s="11"/>
      <c r="G891" s="46" t="s">
        <v>49</v>
      </c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</row>
    <row r="892" spans="1:19" ht="31.5" customHeight="1" x14ac:dyDescent="0.3">
      <c r="A892" s="8"/>
      <c r="B892" s="8"/>
      <c r="C892" s="8"/>
      <c r="D892" s="8"/>
      <c r="E892" s="8"/>
      <c r="F892" s="8"/>
      <c r="G892" s="8"/>
      <c r="H892" s="12"/>
      <c r="I892" s="42" t="s">
        <v>40</v>
      </c>
      <c r="J892" s="43"/>
      <c r="K892" s="43"/>
      <c r="L892" s="43"/>
      <c r="M892" s="43"/>
      <c r="N892" s="43"/>
      <c r="O892" s="43"/>
      <c r="P892" s="43"/>
      <c r="Q892" s="43"/>
      <c r="R892" s="43"/>
      <c r="S892" s="43"/>
    </row>
    <row r="893" spans="1:19" ht="16.8" x14ac:dyDescent="0.3">
      <c r="A893" s="8"/>
      <c r="B893" s="8"/>
      <c r="C893" s="8"/>
      <c r="D893" s="8"/>
      <c r="E893" s="8"/>
      <c r="F893" s="8"/>
      <c r="G893" s="8"/>
      <c r="H893" s="12"/>
      <c r="I893" s="12"/>
      <c r="J893" s="12"/>
      <c r="K893" s="12"/>
      <c r="L893" s="8"/>
      <c r="M893" s="8"/>
      <c r="N893" s="8"/>
      <c r="O893" s="8"/>
      <c r="P893" s="8"/>
      <c r="Q893" s="8"/>
    </row>
    <row r="894" spans="1:19" ht="33" customHeight="1" x14ac:dyDescent="0.3">
      <c r="A894" s="8"/>
      <c r="B894" s="8"/>
      <c r="C894" s="8"/>
      <c r="D894" s="8"/>
      <c r="E894" s="8"/>
      <c r="F894" s="8"/>
      <c r="G894" s="8"/>
      <c r="H894" s="12"/>
      <c r="I894" s="12"/>
      <c r="J894" s="12"/>
      <c r="K894" s="12"/>
      <c r="L894" s="8"/>
      <c r="M894" s="8"/>
      <c r="N894" s="8"/>
      <c r="O894" s="8"/>
      <c r="P894" s="8"/>
      <c r="Q894" s="8"/>
    </row>
    <row r="895" spans="1:19" ht="11.25" customHeight="1" x14ac:dyDescent="0.3">
      <c r="A895" s="8"/>
      <c r="B895" s="8"/>
      <c r="C895" s="8"/>
      <c r="D895" s="8"/>
      <c r="E895" s="8"/>
      <c r="F895" s="8"/>
      <c r="G895" s="8"/>
      <c r="H895" s="12"/>
      <c r="I895" s="12"/>
      <c r="J895" s="12"/>
      <c r="K895" s="12"/>
      <c r="L895" s="8"/>
      <c r="M895" s="8"/>
      <c r="N895" s="8"/>
      <c r="O895" s="8"/>
      <c r="P895" s="8"/>
      <c r="Q895" s="8"/>
    </row>
    <row r="896" spans="1:19" ht="17.399999999999999" x14ac:dyDescent="0.3">
      <c r="A896" s="8"/>
      <c r="B896" s="8"/>
      <c r="C896" s="8"/>
      <c r="D896" s="8"/>
      <c r="E896" s="8"/>
      <c r="F896" s="8"/>
      <c r="G896" s="47" t="s">
        <v>41</v>
      </c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</row>
    <row r="897" spans="1:20" ht="54" customHeight="1" x14ac:dyDescent="0.25">
      <c r="A897" s="48" t="s">
        <v>33</v>
      </c>
      <c r="B897" s="48"/>
      <c r="C897" s="48"/>
      <c r="D897" s="48"/>
      <c r="E897" s="48"/>
      <c r="F897" s="42" t="s">
        <v>24</v>
      </c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</row>
    <row r="898" spans="1:20" ht="17.399999999999999" x14ac:dyDescent="0.25">
      <c r="A898" s="49" t="s">
        <v>34</v>
      </c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</row>
    <row r="899" spans="1:20" ht="4.5" customHeight="1" x14ac:dyDescent="0.25">
      <c r="A899" s="50"/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</row>
    <row r="900" spans="1:20" ht="5.25" customHeight="1" x14ac:dyDescent="0.25">
      <c r="A900" s="50"/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</row>
    <row r="901" spans="1:20" ht="16.5" customHeight="1" x14ac:dyDescent="0.25">
      <c r="A901" s="54" t="s">
        <v>169</v>
      </c>
      <c r="B901" s="54"/>
      <c r="C901" s="54"/>
      <c r="D901" s="54"/>
      <c r="E901" s="54"/>
      <c r="F901" s="54"/>
      <c r="G901" s="58" t="s">
        <v>170</v>
      </c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</row>
    <row r="902" spans="1:20" ht="16.5" customHeight="1" x14ac:dyDescent="0.25">
      <c r="A902" s="54" t="s">
        <v>171</v>
      </c>
      <c r="B902" s="54"/>
      <c r="C902" s="54"/>
      <c r="D902" s="54"/>
      <c r="E902" s="54"/>
      <c r="F902" s="54"/>
      <c r="G902" s="8" t="s">
        <v>46</v>
      </c>
      <c r="H902" s="8"/>
      <c r="I902" s="8"/>
      <c r="J902" s="8"/>
      <c r="K902" s="8"/>
      <c r="L902" s="8"/>
      <c r="M902" s="8"/>
      <c r="N902" s="8"/>
      <c r="O902" s="8"/>
      <c r="P902" s="8"/>
      <c r="Q902" s="8"/>
      <c r="T902" s="2"/>
    </row>
    <row r="903" spans="1:20" ht="16.5" customHeight="1" x14ac:dyDescent="0.25">
      <c r="A903" s="54" t="s">
        <v>47</v>
      </c>
      <c r="B903" s="54"/>
      <c r="C903" s="54"/>
      <c r="D903" s="54"/>
      <c r="E903" s="54"/>
      <c r="F903" s="54"/>
      <c r="G903" s="58" t="s">
        <v>48</v>
      </c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</row>
    <row r="904" spans="1:20" ht="5.25" customHeight="1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19"/>
      <c r="K904" s="19"/>
      <c r="L904" s="19"/>
      <c r="M904" s="19"/>
      <c r="N904" s="19"/>
      <c r="O904" s="19"/>
      <c r="P904" s="19"/>
      <c r="Q904" s="19"/>
    </row>
    <row r="905" spans="1:20" ht="15" customHeight="1" x14ac:dyDescent="0.25">
      <c r="A905" s="36" t="s">
        <v>0</v>
      </c>
      <c r="B905" s="29" t="s">
        <v>1</v>
      </c>
      <c r="C905" s="30"/>
      <c r="D905" s="30"/>
      <c r="E905" s="30"/>
      <c r="F905" s="30"/>
      <c r="G905" s="31"/>
      <c r="H905" s="36" t="s">
        <v>32</v>
      </c>
      <c r="I905" s="36" t="s">
        <v>39</v>
      </c>
      <c r="J905" s="55" t="s">
        <v>2</v>
      </c>
      <c r="K905" s="56"/>
      <c r="L905" s="56"/>
      <c r="M905" s="56"/>
      <c r="N905" s="56"/>
      <c r="O905" s="56"/>
      <c r="P905" s="56"/>
      <c r="Q905" s="57"/>
      <c r="S905" s="36" t="s">
        <v>38</v>
      </c>
    </row>
    <row r="906" spans="1:20" ht="24" customHeight="1" x14ac:dyDescent="0.25">
      <c r="A906" s="37"/>
      <c r="B906" s="32"/>
      <c r="C906" s="33"/>
      <c r="D906" s="33"/>
      <c r="E906" s="33"/>
      <c r="F906" s="33"/>
      <c r="G906" s="34"/>
      <c r="H906" s="37"/>
      <c r="I906" s="37"/>
      <c r="J906" s="7" t="s">
        <v>28</v>
      </c>
      <c r="K906" s="7" t="s">
        <v>29</v>
      </c>
      <c r="L906" s="7" t="s">
        <v>30</v>
      </c>
      <c r="M906" s="7"/>
      <c r="N906" s="7"/>
      <c r="O906" s="6" t="s">
        <v>35</v>
      </c>
      <c r="P906" s="6" t="s">
        <v>36</v>
      </c>
      <c r="Q906" s="6" t="s">
        <v>37</v>
      </c>
      <c r="S906" s="37"/>
    </row>
    <row r="907" spans="1:20" ht="20.25" customHeight="1" x14ac:dyDescent="0.25">
      <c r="A907" s="27" t="s">
        <v>54</v>
      </c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</row>
    <row r="908" spans="1:20" ht="16.5" customHeight="1" x14ac:dyDescent="0.25">
      <c r="A908" s="9"/>
      <c r="B908" s="51" t="s">
        <v>61</v>
      </c>
      <c r="C908" s="52"/>
      <c r="D908" s="52"/>
      <c r="E908" s="52"/>
      <c r="F908" s="52"/>
      <c r="G908" s="53"/>
      <c r="H908" s="20"/>
      <c r="I908" s="9">
        <v>1</v>
      </c>
      <c r="J908" s="9"/>
      <c r="K908" s="9"/>
      <c r="L908" s="9"/>
      <c r="M908" s="9">
        <f t="shared" ref="M908:M916" si="112">I908*O908</f>
        <v>5.5</v>
      </c>
      <c r="N908" s="9">
        <f t="shared" ref="N908:N916" si="113">I908*P908</f>
        <v>2</v>
      </c>
      <c r="O908" s="9">
        <v>5.5</v>
      </c>
      <c r="P908" s="9">
        <v>2</v>
      </c>
      <c r="Q908" s="9" t="s">
        <v>3</v>
      </c>
      <c r="R908" s="1">
        <v>0</v>
      </c>
      <c r="S908" s="26"/>
    </row>
    <row r="909" spans="1:20" ht="16.5" customHeight="1" x14ac:dyDescent="0.25">
      <c r="A909" s="9"/>
      <c r="B909" s="51" t="s">
        <v>56</v>
      </c>
      <c r="C909" s="52"/>
      <c r="D909" s="52"/>
      <c r="E909" s="52"/>
      <c r="F909" s="52"/>
      <c r="G909" s="53"/>
      <c r="H909" s="20"/>
      <c r="I909" s="9">
        <v>3</v>
      </c>
      <c r="J909" s="9"/>
      <c r="K909" s="9"/>
      <c r="L909" s="9"/>
      <c r="M909" s="9">
        <f t="shared" si="112"/>
        <v>25.5</v>
      </c>
      <c r="N909" s="9">
        <f t="shared" si="113"/>
        <v>11.100000000000001</v>
      </c>
      <c r="O909" s="9">
        <v>8.5</v>
      </c>
      <c r="P909" s="9">
        <v>3.7</v>
      </c>
      <c r="Q909" s="9" t="s">
        <v>10</v>
      </c>
      <c r="R909" s="1">
        <v>0</v>
      </c>
      <c r="S909" s="26"/>
    </row>
    <row r="910" spans="1:20" ht="31.2" customHeight="1" x14ac:dyDescent="0.25">
      <c r="A910" s="9"/>
      <c r="B910" s="51" t="s">
        <v>57</v>
      </c>
      <c r="C910" s="52"/>
      <c r="D910" s="52"/>
      <c r="E910" s="52"/>
      <c r="F910" s="52"/>
      <c r="G910" s="53"/>
      <c r="H910" s="20"/>
      <c r="I910" s="9">
        <v>3</v>
      </c>
      <c r="J910" s="9"/>
      <c r="K910" s="9"/>
      <c r="L910" s="9"/>
      <c r="M910" s="9">
        <f t="shared" si="112"/>
        <v>21.9</v>
      </c>
      <c r="N910" s="9">
        <f t="shared" si="113"/>
        <v>9</v>
      </c>
      <c r="O910" s="9">
        <v>7.3</v>
      </c>
      <c r="P910" s="9">
        <v>3</v>
      </c>
      <c r="Q910" s="9" t="s">
        <v>6</v>
      </c>
      <c r="R910" s="1">
        <v>0</v>
      </c>
      <c r="S910" s="26"/>
    </row>
    <row r="911" spans="1:20" ht="16.5" customHeight="1" x14ac:dyDescent="0.25">
      <c r="A911" s="9"/>
      <c r="B911" s="51" t="s">
        <v>58</v>
      </c>
      <c r="C911" s="52"/>
      <c r="D911" s="52"/>
      <c r="E911" s="52"/>
      <c r="F911" s="52"/>
      <c r="G911" s="53"/>
      <c r="H911" s="20"/>
      <c r="I911" s="9">
        <v>1</v>
      </c>
      <c r="J911" s="9"/>
      <c r="K911" s="9"/>
      <c r="L911" s="9"/>
      <c r="M911" s="9">
        <f t="shared" si="112"/>
        <v>7</v>
      </c>
      <c r="N911" s="9">
        <f t="shared" si="113"/>
        <v>3</v>
      </c>
      <c r="O911" s="9">
        <v>7</v>
      </c>
      <c r="P911" s="9">
        <v>3</v>
      </c>
      <c r="Q911" s="9" t="s">
        <v>6</v>
      </c>
      <c r="R911" s="1">
        <v>0</v>
      </c>
      <c r="S911" s="26"/>
    </row>
    <row r="912" spans="1:20" ht="16.5" customHeight="1" x14ac:dyDescent="0.25">
      <c r="A912" s="9"/>
      <c r="B912" s="51" t="s">
        <v>59</v>
      </c>
      <c r="C912" s="52"/>
      <c r="D912" s="52"/>
      <c r="E912" s="52"/>
      <c r="F912" s="52"/>
      <c r="G912" s="53"/>
      <c r="H912" s="20"/>
      <c r="I912" s="9">
        <v>1</v>
      </c>
      <c r="J912" s="9"/>
      <c r="K912" s="9"/>
      <c r="L912" s="9"/>
      <c r="M912" s="9">
        <f t="shared" si="112"/>
        <v>6.7</v>
      </c>
      <c r="N912" s="9">
        <f t="shared" si="113"/>
        <v>2.5</v>
      </c>
      <c r="O912" s="9">
        <v>6.7</v>
      </c>
      <c r="P912" s="9">
        <v>2.5</v>
      </c>
      <c r="Q912" s="9" t="s">
        <v>5</v>
      </c>
      <c r="R912" s="1">
        <v>0</v>
      </c>
      <c r="S912" s="26"/>
    </row>
    <row r="913" spans="1:19" ht="16.5" customHeight="1" x14ac:dyDescent="0.25">
      <c r="A913" s="9"/>
      <c r="B913" s="51" t="s">
        <v>60</v>
      </c>
      <c r="C913" s="52"/>
      <c r="D913" s="52"/>
      <c r="E913" s="52"/>
      <c r="F913" s="52"/>
      <c r="G913" s="53"/>
      <c r="H913" s="20"/>
      <c r="I913" s="9">
        <v>3</v>
      </c>
      <c r="J913" s="9"/>
      <c r="K913" s="9"/>
      <c r="L913" s="9"/>
      <c r="M913" s="9">
        <f t="shared" si="112"/>
        <v>22.799999999999997</v>
      </c>
      <c r="N913" s="9">
        <f t="shared" si="113"/>
        <v>9</v>
      </c>
      <c r="O913" s="9">
        <v>7.6</v>
      </c>
      <c r="P913" s="9">
        <v>3</v>
      </c>
      <c r="Q913" s="9" t="s">
        <v>6</v>
      </c>
      <c r="R913" s="1">
        <v>0</v>
      </c>
      <c r="S913" s="26"/>
    </row>
    <row r="914" spans="1:19" ht="16.5" customHeight="1" x14ac:dyDescent="0.25">
      <c r="A914" s="9"/>
      <c r="B914" s="51" t="s">
        <v>55</v>
      </c>
      <c r="C914" s="52"/>
      <c r="D914" s="52"/>
      <c r="E914" s="52"/>
      <c r="F914" s="52"/>
      <c r="G914" s="53"/>
      <c r="H914" s="20"/>
      <c r="I914" s="9">
        <v>2</v>
      </c>
      <c r="J914" s="9"/>
      <c r="K914" s="9"/>
      <c r="L914" s="9"/>
      <c r="M914" s="9">
        <f t="shared" si="112"/>
        <v>13.6</v>
      </c>
      <c r="N914" s="9">
        <f t="shared" si="113"/>
        <v>5</v>
      </c>
      <c r="O914" s="9">
        <v>6.8</v>
      </c>
      <c r="P914" s="9">
        <v>2.5</v>
      </c>
      <c r="Q914" s="9" t="s">
        <v>5</v>
      </c>
      <c r="R914" s="1">
        <v>0</v>
      </c>
      <c r="S914" s="26"/>
    </row>
    <row r="915" spans="1:19" ht="16.5" hidden="1" customHeight="1" x14ac:dyDescent="0.25">
      <c r="A915" s="21"/>
      <c r="H915" s="21"/>
      <c r="I915" s="21"/>
      <c r="J915" s="21"/>
      <c r="K915" s="21"/>
      <c r="L915" s="21"/>
      <c r="M915" s="9">
        <f t="shared" si="112"/>
        <v>0</v>
      </c>
      <c r="N915" s="9">
        <f t="shared" si="113"/>
        <v>0</v>
      </c>
      <c r="O915" s="21"/>
      <c r="P915" s="21"/>
      <c r="Q915" s="21"/>
      <c r="S915" s="25"/>
    </row>
    <row r="916" spans="1:19" ht="16.5" customHeight="1" x14ac:dyDescent="0.25">
      <c r="A916" s="9"/>
      <c r="B916" s="39" t="s">
        <v>42</v>
      </c>
      <c r="C916" s="40"/>
      <c r="D916" s="40"/>
      <c r="E916" s="40"/>
      <c r="F916" s="40"/>
      <c r="G916" s="41"/>
      <c r="H916" s="23"/>
      <c r="I916" s="24">
        <f>SUM(I908:I915)</f>
        <v>14</v>
      </c>
      <c r="J916" s="9"/>
      <c r="K916" s="9"/>
      <c r="L916" s="9"/>
      <c r="M916" s="9">
        <f t="shared" si="112"/>
        <v>103.04</v>
      </c>
      <c r="N916" s="9">
        <f t="shared" si="113"/>
        <v>41.580000000000005</v>
      </c>
      <c r="O916" s="24">
        <f>ROUND(SUM(M908:M915)/I916,2)</f>
        <v>7.36</v>
      </c>
      <c r="P916" s="24">
        <f>ROUND(SUM(N908:N915)/I916,2)</f>
        <v>2.97</v>
      </c>
      <c r="Q916" s="9"/>
      <c r="S916" s="25"/>
    </row>
    <row r="917" spans="1:19" ht="20.25" customHeight="1" x14ac:dyDescent="0.25">
      <c r="A917" s="27" t="s">
        <v>62</v>
      </c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</row>
    <row r="918" spans="1:19" ht="16.5" customHeight="1" x14ac:dyDescent="0.25">
      <c r="A918" s="9"/>
      <c r="B918" s="51" t="s">
        <v>63</v>
      </c>
      <c r="C918" s="52"/>
      <c r="D918" s="52"/>
      <c r="E918" s="52"/>
      <c r="F918" s="52"/>
      <c r="G918" s="53"/>
      <c r="H918" s="20"/>
      <c r="I918" s="9">
        <v>4</v>
      </c>
      <c r="J918" s="9"/>
      <c r="K918" s="9"/>
      <c r="L918" s="9"/>
      <c r="M918" s="9">
        <f t="shared" ref="M918:M926" si="114">I918*O918</f>
        <v>27.2</v>
      </c>
      <c r="N918" s="9">
        <f t="shared" ref="N918:N926" si="115">I918*P918</f>
        <v>10</v>
      </c>
      <c r="O918" s="9">
        <v>6.8</v>
      </c>
      <c r="P918" s="9">
        <v>2.5</v>
      </c>
      <c r="Q918" s="9" t="s">
        <v>5</v>
      </c>
      <c r="R918" s="1">
        <v>0</v>
      </c>
      <c r="S918" s="26"/>
    </row>
    <row r="919" spans="1:19" ht="16.5" customHeight="1" x14ac:dyDescent="0.25">
      <c r="A919" s="9"/>
      <c r="B919" s="51" t="s">
        <v>64</v>
      </c>
      <c r="C919" s="52"/>
      <c r="D919" s="52"/>
      <c r="E919" s="52"/>
      <c r="F919" s="52"/>
      <c r="G919" s="53"/>
      <c r="H919" s="20"/>
      <c r="I919" s="9">
        <v>4</v>
      </c>
      <c r="J919" s="9"/>
      <c r="K919" s="9"/>
      <c r="L919" s="9"/>
      <c r="M919" s="9">
        <f t="shared" si="114"/>
        <v>23.2</v>
      </c>
      <c r="N919" s="9">
        <f t="shared" si="115"/>
        <v>8</v>
      </c>
      <c r="O919" s="9">
        <v>5.8</v>
      </c>
      <c r="P919" s="9">
        <v>2</v>
      </c>
      <c r="Q919" s="9" t="s">
        <v>3</v>
      </c>
      <c r="R919" s="1">
        <v>0</v>
      </c>
      <c r="S919" s="26"/>
    </row>
    <row r="920" spans="1:19" ht="16.5" customHeight="1" x14ac:dyDescent="0.25">
      <c r="A920" s="9"/>
      <c r="B920" s="51" t="s">
        <v>65</v>
      </c>
      <c r="C920" s="52"/>
      <c r="D920" s="52"/>
      <c r="E920" s="52"/>
      <c r="F920" s="52"/>
      <c r="G920" s="53"/>
      <c r="H920" s="20"/>
      <c r="I920" s="9">
        <v>4</v>
      </c>
      <c r="J920" s="9"/>
      <c r="K920" s="9"/>
      <c r="L920" s="9"/>
      <c r="M920" s="9">
        <f t="shared" si="114"/>
        <v>28.4</v>
      </c>
      <c r="N920" s="9">
        <f t="shared" si="115"/>
        <v>12</v>
      </c>
      <c r="O920" s="9">
        <v>7.1</v>
      </c>
      <c r="P920" s="9">
        <v>3</v>
      </c>
      <c r="Q920" s="9" t="s">
        <v>6</v>
      </c>
      <c r="R920" s="1">
        <v>0</v>
      </c>
      <c r="S920" s="26"/>
    </row>
    <row r="921" spans="1:19" ht="16.5" customHeight="1" x14ac:dyDescent="0.25">
      <c r="A921" s="9"/>
      <c r="B921" s="51" t="s">
        <v>66</v>
      </c>
      <c r="C921" s="52"/>
      <c r="D921" s="52"/>
      <c r="E921" s="52"/>
      <c r="F921" s="52"/>
      <c r="G921" s="53"/>
      <c r="H921" s="20"/>
      <c r="I921" s="9">
        <v>1</v>
      </c>
      <c r="J921" s="9"/>
      <c r="K921" s="9"/>
      <c r="L921" s="9"/>
      <c r="M921" s="9">
        <f t="shared" si="114"/>
        <v>7.4</v>
      </c>
      <c r="N921" s="9">
        <f t="shared" si="115"/>
        <v>3</v>
      </c>
      <c r="O921" s="9">
        <v>7.4</v>
      </c>
      <c r="P921" s="9">
        <v>3</v>
      </c>
      <c r="Q921" s="9" t="s">
        <v>6</v>
      </c>
      <c r="R921" s="1">
        <v>0</v>
      </c>
      <c r="S921" s="26"/>
    </row>
    <row r="922" spans="1:19" ht="16.5" customHeight="1" x14ac:dyDescent="0.25">
      <c r="A922" s="9"/>
      <c r="B922" s="51" t="s">
        <v>67</v>
      </c>
      <c r="C922" s="52"/>
      <c r="D922" s="52"/>
      <c r="E922" s="52"/>
      <c r="F922" s="52"/>
      <c r="G922" s="53"/>
      <c r="H922" s="20"/>
      <c r="I922" s="9">
        <v>1</v>
      </c>
      <c r="J922" s="9"/>
      <c r="K922" s="9"/>
      <c r="L922" s="9"/>
      <c r="M922" s="9">
        <f t="shared" si="114"/>
        <v>7.4</v>
      </c>
      <c r="N922" s="9">
        <f t="shared" si="115"/>
        <v>3</v>
      </c>
      <c r="O922" s="9">
        <v>7.4</v>
      </c>
      <c r="P922" s="9">
        <v>3</v>
      </c>
      <c r="Q922" s="9" t="s">
        <v>6</v>
      </c>
      <c r="R922" s="1">
        <v>0</v>
      </c>
      <c r="S922" s="26"/>
    </row>
    <row r="923" spans="1:19" ht="16.5" customHeight="1" x14ac:dyDescent="0.25">
      <c r="A923" s="9"/>
      <c r="B923" s="51" t="s">
        <v>68</v>
      </c>
      <c r="C923" s="52"/>
      <c r="D923" s="52"/>
      <c r="E923" s="52"/>
      <c r="F923" s="52"/>
      <c r="G923" s="53"/>
      <c r="H923" s="20"/>
      <c r="I923" s="9">
        <v>1</v>
      </c>
      <c r="J923" s="9"/>
      <c r="K923" s="9"/>
      <c r="L923" s="9"/>
      <c r="M923" s="9">
        <f t="shared" si="114"/>
        <v>7</v>
      </c>
      <c r="N923" s="9">
        <f t="shared" si="115"/>
        <v>3</v>
      </c>
      <c r="O923" s="9">
        <v>7</v>
      </c>
      <c r="P923" s="9">
        <v>3</v>
      </c>
      <c r="Q923" s="9" t="s">
        <v>6</v>
      </c>
      <c r="R923" s="1">
        <v>0</v>
      </c>
      <c r="S923" s="26"/>
    </row>
    <row r="924" spans="1:19" ht="16.5" customHeight="1" x14ac:dyDescent="0.25">
      <c r="A924" s="9"/>
      <c r="B924" s="51" t="s">
        <v>69</v>
      </c>
      <c r="C924" s="52"/>
      <c r="D924" s="52"/>
      <c r="E924" s="52"/>
      <c r="F924" s="52"/>
      <c r="G924" s="53"/>
      <c r="H924" s="20"/>
      <c r="I924" s="9">
        <v>1</v>
      </c>
      <c r="J924" s="9"/>
      <c r="K924" s="9"/>
      <c r="L924" s="9"/>
      <c r="M924" s="9">
        <f t="shared" si="114"/>
        <v>6.7</v>
      </c>
      <c r="N924" s="9">
        <f t="shared" si="115"/>
        <v>2.5</v>
      </c>
      <c r="O924" s="9">
        <v>6.7</v>
      </c>
      <c r="P924" s="9">
        <v>2.5</v>
      </c>
      <c r="Q924" s="9" t="s">
        <v>5</v>
      </c>
      <c r="R924" s="1">
        <v>0</v>
      </c>
      <c r="S924" s="26"/>
    </row>
    <row r="925" spans="1:19" ht="16.5" hidden="1" customHeight="1" x14ac:dyDescent="0.25">
      <c r="A925" s="21"/>
      <c r="H925" s="21"/>
      <c r="I925" s="21"/>
      <c r="J925" s="21"/>
      <c r="K925" s="21"/>
      <c r="L925" s="21"/>
      <c r="M925" s="9">
        <f t="shared" si="114"/>
        <v>0</v>
      </c>
      <c r="N925" s="9">
        <f t="shared" si="115"/>
        <v>0</v>
      </c>
      <c r="O925" s="21"/>
      <c r="P925" s="21"/>
      <c r="Q925" s="21"/>
      <c r="S925" s="25"/>
    </row>
    <row r="926" spans="1:19" ht="16.5" customHeight="1" x14ac:dyDescent="0.25">
      <c r="A926" s="9"/>
      <c r="B926" s="39" t="s">
        <v>42</v>
      </c>
      <c r="C926" s="40"/>
      <c r="D926" s="40"/>
      <c r="E926" s="40"/>
      <c r="F926" s="40"/>
      <c r="G926" s="41"/>
      <c r="H926" s="23"/>
      <c r="I926" s="24">
        <f>SUM(I918:I925)</f>
        <v>16</v>
      </c>
      <c r="J926" s="9"/>
      <c r="K926" s="9"/>
      <c r="L926" s="9"/>
      <c r="M926" s="9">
        <f t="shared" si="114"/>
        <v>107.36</v>
      </c>
      <c r="N926" s="9">
        <f t="shared" si="115"/>
        <v>41.44</v>
      </c>
      <c r="O926" s="24">
        <f>ROUND(SUM(M918:M925)/I926,2)</f>
        <v>6.71</v>
      </c>
      <c r="P926" s="24">
        <f>ROUND(SUM(N918:N925)/I926,2)</f>
        <v>2.59</v>
      </c>
      <c r="Q926" s="9"/>
      <c r="S926" s="25"/>
    </row>
    <row r="927" spans="1:19" ht="20.25" customHeight="1" x14ac:dyDescent="0.25">
      <c r="A927" s="27" t="s">
        <v>70</v>
      </c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</row>
    <row r="928" spans="1:19" ht="16.5" customHeight="1" x14ac:dyDescent="0.25">
      <c r="A928" s="9"/>
      <c r="B928" s="51" t="s">
        <v>71</v>
      </c>
      <c r="C928" s="52"/>
      <c r="D928" s="52"/>
      <c r="E928" s="52"/>
      <c r="F928" s="52"/>
      <c r="G928" s="53"/>
      <c r="H928" s="20"/>
      <c r="I928" s="9">
        <v>4</v>
      </c>
      <c r="J928" s="9"/>
      <c r="K928" s="9"/>
      <c r="L928" s="9"/>
      <c r="M928" s="9">
        <f t="shared" ref="M928:M937" si="116">I928*O928</f>
        <v>20</v>
      </c>
      <c r="N928" s="9">
        <f t="shared" ref="N928:N937" si="117">I928*P928</f>
        <v>6</v>
      </c>
      <c r="O928" s="9">
        <v>5</v>
      </c>
      <c r="P928" s="9">
        <v>1.5</v>
      </c>
      <c r="Q928" s="9" t="s">
        <v>4</v>
      </c>
      <c r="R928" s="1">
        <v>0</v>
      </c>
      <c r="S928" s="26"/>
    </row>
    <row r="929" spans="1:19" ht="16.5" customHeight="1" x14ac:dyDescent="0.25">
      <c r="A929" s="9"/>
      <c r="B929" s="51" t="s">
        <v>72</v>
      </c>
      <c r="C929" s="52"/>
      <c r="D929" s="52"/>
      <c r="E929" s="52"/>
      <c r="F929" s="52"/>
      <c r="G929" s="53"/>
      <c r="H929" s="20"/>
      <c r="I929" s="9">
        <v>4</v>
      </c>
      <c r="J929" s="9"/>
      <c r="K929" s="9"/>
      <c r="L929" s="9"/>
      <c r="M929" s="9">
        <f t="shared" si="116"/>
        <v>30</v>
      </c>
      <c r="N929" s="9">
        <f t="shared" si="117"/>
        <v>12</v>
      </c>
      <c r="O929" s="9">
        <v>7.5</v>
      </c>
      <c r="P929" s="9">
        <v>3</v>
      </c>
      <c r="Q929" s="9" t="s">
        <v>6</v>
      </c>
      <c r="R929" s="1">
        <v>0</v>
      </c>
      <c r="S929" s="26"/>
    </row>
    <row r="930" spans="1:19" ht="16.5" customHeight="1" x14ac:dyDescent="0.25">
      <c r="A930" s="9"/>
      <c r="B930" s="51" t="s">
        <v>73</v>
      </c>
      <c r="C930" s="52"/>
      <c r="D930" s="52"/>
      <c r="E930" s="52"/>
      <c r="F930" s="52"/>
      <c r="G930" s="53"/>
      <c r="H930" s="20"/>
      <c r="I930" s="9">
        <v>2</v>
      </c>
      <c r="J930" s="9"/>
      <c r="K930" s="9"/>
      <c r="L930" s="9"/>
      <c r="M930" s="9">
        <f t="shared" si="116"/>
        <v>14.2</v>
      </c>
      <c r="N930" s="9">
        <f t="shared" si="117"/>
        <v>6</v>
      </c>
      <c r="O930" s="9">
        <v>7.1</v>
      </c>
      <c r="P930" s="9">
        <v>3</v>
      </c>
      <c r="Q930" s="9" t="s">
        <v>6</v>
      </c>
      <c r="R930" s="1">
        <v>0</v>
      </c>
      <c r="S930" s="26"/>
    </row>
    <row r="931" spans="1:19" ht="16.5" customHeight="1" x14ac:dyDescent="0.25">
      <c r="A931" s="9"/>
      <c r="B931" s="51" t="s">
        <v>74</v>
      </c>
      <c r="C931" s="52"/>
      <c r="D931" s="52"/>
      <c r="E931" s="52"/>
      <c r="F931" s="52"/>
      <c r="G931" s="53"/>
      <c r="H931" s="20"/>
      <c r="I931" s="9">
        <v>2</v>
      </c>
      <c r="J931" s="9"/>
      <c r="K931" s="9"/>
      <c r="L931" s="9"/>
      <c r="M931" s="9">
        <f t="shared" si="116"/>
        <v>13</v>
      </c>
      <c r="N931" s="9">
        <f t="shared" si="117"/>
        <v>5</v>
      </c>
      <c r="O931" s="9">
        <v>6.5</v>
      </c>
      <c r="P931" s="9">
        <v>2.5</v>
      </c>
      <c r="Q931" s="9" t="s">
        <v>5</v>
      </c>
      <c r="R931" s="1">
        <v>0</v>
      </c>
      <c r="S931" s="26"/>
    </row>
    <row r="932" spans="1:19" ht="16.5" customHeight="1" x14ac:dyDescent="0.25">
      <c r="A932" s="9"/>
      <c r="B932" s="51" t="s">
        <v>75</v>
      </c>
      <c r="C932" s="52"/>
      <c r="D932" s="52"/>
      <c r="E932" s="52"/>
      <c r="F932" s="52"/>
      <c r="G932" s="53"/>
      <c r="H932" s="20"/>
      <c r="I932" s="9">
        <v>1</v>
      </c>
      <c r="J932" s="9"/>
      <c r="K932" s="9"/>
      <c r="L932" s="9"/>
      <c r="M932" s="9">
        <f t="shared" si="116"/>
        <v>6.8</v>
      </c>
      <c r="N932" s="9">
        <f t="shared" si="117"/>
        <v>2.5</v>
      </c>
      <c r="O932" s="9">
        <v>6.8</v>
      </c>
      <c r="P932" s="9">
        <v>2.5</v>
      </c>
      <c r="Q932" s="9" t="s">
        <v>5</v>
      </c>
      <c r="R932" s="1">
        <v>0</v>
      </c>
      <c r="S932" s="26"/>
    </row>
    <row r="933" spans="1:19" ht="16.5" customHeight="1" x14ac:dyDescent="0.25">
      <c r="A933" s="9"/>
      <c r="B933" s="51" t="s">
        <v>76</v>
      </c>
      <c r="C933" s="52"/>
      <c r="D933" s="52"/>
      <c r="E933" s="52"/>
      <c r="F933" s="52"/>
      <c r="G933" s="53"/>
      <c r="H933" s="20"/>
      <c r="I933" s="9">
        <v>4</v>
      </c>
      <c r="J933" s="9"/>
      <c r="K933" s="9"/>
      <c r="L933" s="9"/>
      <c r="M933" s="9">
        <f t="shared" si="116"/>
        <v>24.4</v>
      </c>
      <c r="N933" s="9">
        <f t="shared" si="117"/>
        <v>8</v>
      </c>
      <c r="O933" s="9">
        <v>6.1</v>
      </c>
      <c r="P933" s="9">
        <v>2</v>
      </c>
      <c r="Q933" s="9" t="s">
        <v>3</v>
      </c>
      <c r="R933" s="1">
        <v>0</v>
      </c>
      <c r="S933" s="26"/>
    </row>
    <row r="934" spans="1:19" ht="16.5" customHeight="1" x14ac:dyDescent="0.25">
      <c r="A934" s="9"/>
      <c r="B934" s="51" t="s">
        <v>77</v>
      </c>
      <c r="C934" s="52"/>
      <c r="D934" s="52"/>
      <c r="E934" s="52"/>
      <c r="F934" s="52"/>
      <c r="G934" s="53"/>
      <c r="H934" s="20"/>
      <c r="I934" s="9">
        <v>1</v>
      </c>
      <c r="J934" s="9"/>
      <c r="K934" s="9"/>
      <c r="L934" s="9"/>
      <c r="M934" s="9">
        <f t="shared" si="116"/>
        <v>5.4</v>
      </c>
      <c r="N934" s="9">
        <f t="shared" si="117"/>
        <v>1.5</v>
      </c>
      <c r="O934" s="9">
        <v>5.4</v>
      </c>
      <c r="P934" s="9">
        <v>1.5</v>
      </c>
      <c r="Q934" s="9" t="s">
        <v>4</v>
      </c>
      <c r="R934" s="1">
        <v>0</v>
      </c>
      <c r="S934" s="26"/>
    </row>
    <row r="935" spans="1:19" ht="16.5" customHeight="1" x14ac:dyDescent="0.25">
      <c r="A935" s="9"/>
      <c r="B935" s="51" t="s">
        <v>78</v>
      </c>
      <c r="C935" s="52"/>
      <c r="D935" s="52"/>
      <c r="E935" s="52"/>
      <c r="F935" s="52"/>
      <c r="G935" s="53"/>
      <c r="H935" s="20"/>
      <c r="I935" s="9">
        <v>3</v>
      </c>
      <c r="J935" s="9"/>
      <c r="K935" s="9"/>
      <c r="L935" s="9"/>
      <c r="M935" s="9">
        <f t="shared" si="116"/>
        <v>16.5</v>
      </c>
      <c r="N935" s="9">
        <f t="shared" si="117"/>
        <v>6</v>
      </c>
      <c r="O935" s="9">
        <v>5.5</v>
      </c>
      <c r="P935" s="9">
        <v>2</v>
      </c>
      <c r="Q935" s="9" t="s">
        <v>3</v>
      </c>
      <c r="R935" s="1">
        <v>0</v>
      </c>
      <c r="S935" s="26"/>
    </row>
    <row r="936" spans="1:19" ht="16.5" hidden="1" customHeight="1" x14ac:dyDescent="0.25">
      <c r="A936" s="21"/>
      <c r="H936" s="21"/>
      <c r="I936" s="21"/>
      <c r="J936" s="21"/>
      <c r="K936" s="21"/>
      <c r="L936" s="21"/>
      <c r="M936" s="9">
        <f t="shared" si="116"/>
        <v>0</v>
      </c>
      <c r="N936" s="9">
        <f t="shared" si="117"/>
        <v>0</v>
      </c>
      <c r="O936" s="21"/>
      <c r="P936" s="21"/>
      <c r="Q936" s="21"/>
      <c r="S936" s="25"/>
    </row>
    <row r="937" spans="1:19" ht="16.5" customHeight="1" x14ac:dyDescent="0.25">
      <c r="A937" s="9"/>
      <c r="B937" s="39" t="s">
        <v>42</v>
      </c>
      <c r="C937" s="40"/>
      <c r="D937" s="40"/>
      <c r="E937" s="40"/>
      <c r="F937" s="40"/>
      <c r="G937" s="41"/>
      <c r="H937" s="23"/>
      <c r="I937" s="24">
        <f>SUM(I928:I936)</f>
        <v>21</v>
      </c>
      <c r="J937" s="9"/>
      <c r="K937" s="9"/>
      <c r="L937" s="9"/>
      <c r="M937" s="9">
        <f t="shared" si="116"/>
        <v>130.20000000000002</v>
      </c>
      <c r="N937" s="9">
        <f t="shared" si="117"/>
        <v>47.040000000000006</v>
      </c>
      <c r="O937" s="24">
        <f>ROUND(SUM(M928:M936)/I937,2)</f>
        <v>6.2</v>
      </c>
      <c r="P937" s="24">
        <f>ROUND(SUM(N928:N936)/I937,2)</f>
        <v>2.2400000000000002</v>
      </c>
      <c r="Q937" s="9"/>
      <c r="S937" s="25"/>
    </row>
    <row r="938" spans="1:19" ht="20.25" customHeight="1" x14ac:dyDescent="0.25">
      <c r="A938" s="27" t="s">
        <v>79</v>
      </c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</row>
    <row r="939" spans="1:19" ht="16.5" customHeight="1" x14ac:dyDescent="0.25">
      <c r="A939" s="9"/>
      <c r="B939" s="51" t="s">
        <v>80</v>
      </c>
      <c r="C939" s="52"/>
      <c r="D939" s="52"/>
      <c r="E939" s="52"/>
      <c r="F939" s="52"/>
      <c r="G939" s="53"/>
      <c r="H939" s="20"/>
      <c r="I939" s="9">
        <v>3</v>
      </c>
      <c r="J939" s="9"/>
      <c r="K939" s="9"/>
      <c r="L939" s="9"/>
      <c r="M939" s="9">
        <f t="shared" ref="M939:M944" si="118">I939*O939</f>
        <v>17.399999999999999</v>
      </c>
      <c r="N939" s="9">
        <f t="shared" ref="N939:N944" si="119">I939*P939</f>
        <v>6</v>
      </c>
      <c r="O939" s="9">
        <v>5.8</v>
      </c>
      <c r="P939" s="9">
        <v>2</v>
      </c>
      <c r="Q939" s="9" t="s">
        <v>3</v>
      </c>
      <c r="R939" s="1">
        <v>0</v>
      </c>
      <c r="S939" s="26"/>
    </row>
    <row r="940" spans="1:19" ht="16.5" customHeight="1" x14ac:dyDescent="0.25">
      <c r="A940" s="9"/>
      <c r="B940" s="51" t="s">
        <v>87</v>
      </c>
      <c r="C940" s="52"/>
      <c r="D940" s="52"/>
      <c r="E940" s="52"/>
      <c r="F940" s="52"/>
      <c r="G940" s="53"/>
      <c r="H940" s="20"/>
      <c r="I940" s="9">
        <v>3</v>
      </c>
      <c r="J940" s="9"/>
      <c r="K940" s="9"/>
      <c r="L940" s="9"/>
      <c r="M940" s="9">
        <f t="shared" si="118"/>
        <v>22.799999999999997</v>
      </c>
      <c r="N940" s="9">
        <f t="shared" si="119"/>
        <v>9</v>
      </c>
      <c r="O940" s="9">
        <v>7.6</v>
      </c>
      <c r="P940" s="9">
        <v>3</v>
      </c>
      <c r="Q940" s="9" t="s">
        <v>6</v>
      </c>
      <c r="R940" s="1">
        <v>0</v>
      </c>
      <c r="S940" s="26"/>
    </row>
    <row r="941" spans="1:19" ht="16.5" customHeight="1" x14ac:dyDescent="0.25">
      <c r="A941" s="9"/>
      <c r="B941" s="51" t="s">
        <v>82</v>
      </c>
      <c r="C941" s="52"/>
      <c r="D941" s="52"/>
      <c r="E941" s="52"/>
      <c r="F941" s="52"/>
      <c r="G941" s="53"/>
      <c r="H941" s="20"/>
      <c r="I941" s="9">
        <v>3</v>
      </c>
      <c r="J941" s="9"/>
      <c r="K941" s="9"/>
      <c r="L941" s="9"/>
      <c r="M941" s="9">
        <f t="shared" si="118"/>
        <v>22.799999999999997</v>
      </c>
      <c r="N941" s="9">
        <f t="shared" si="119"/>
        <v>9</v>
      </c>
      <c r="O941" s="9">
        <v>7.6</v>
      </c>
      <c r="P941" s="9">
        <v>3</v>
      </c>
      <c r="Q941" s="9" t="s">
        <v>6</v>
      </c>
      <c r="R941" s="1">
        <v>0</v>
      </c>
      <c r="S941" s="26"/>
    </row>
    <row r="942" spans="1:19" ht="16.5" customHeight="1" x14ac:dyDescent="0.25">
      <c r="A942" s="9"/>
      <c r="B942" s="51" t="s">
        <v>83</v>
      </c>
      <c r="C942" s="52"/>
      <c r="D942" s="52"/>
      <c r="E942" s="52"/>
      <c r="F942" s="52"/>
      <c r="G942" s="53"/>
      <c r="H942" s="20"/>
      <c r="I942" s="9">
        <v>1</v>
      </c>
      <c r="J942" s="9"/>
      <c r="K942" s="9"/>
      <c r="L942" s="9"/>
      <c r="M942" s="9">
        <f t="shared" si="118"/>
        <v>7.5</v>
      </c>
      <c r="N942" s="9">
        <f t="shared" si="119"/>
        <v>3</v>
      </c>
      <c r="O942" s="9">
        <v>7.5</v>
      </c>
      <c r="P942" s="9">
        <v>3</v>
      </c>
      <c r="Q942" s="9" t="s">
        <v>6</v>
      </c>
      <c r="R942" s="1">
        <v>0</v>
      </c>
      <c r="S942" s="26"/>
    </row>
    <row r="943" spans="1:19" ht="16.5" customHeight="1" x14ac:dyDescent="0.25">
      <c r="A943" s="9"/>
      <c r="B943" s="51" t="s">
        <v>84</v>
      </c>
      <c r="C943" s="52"/>
      <c r="D943" s="52"/>
      <c r="E943" s="52"/>
      <c r="F943" s="52"/>
      <c r="G943" s="53"/>
      <c r="H943" s="20"/>
      <c r="I943" s="9">
        <v>2</v>
      </c>
      <c r="J943" s="9"/>
      <c r="K943" s="9"/>
      <c r="L943" s="9"/>
      <c r="M943" s="9">
        <f t="shared" si="118"/>
        <v>14.8</v>
      </c>
      <c r="N943" s="9">
        <f t="shared" si="119"/>
        <v>6</v>
      </c>
      <c r="O943" s="9">
        <v>7.4</v>
      </c>
      <c r="P943" s="9">
        <v>3</v>
      </c>
      <c r="Q943" s="9" t="s">
        <v>6</v>
      </c>
      <c r="R943" s="1">
        <v>0</v>
      </c>
      <c r="S943" s="26"/>
    </row>
    <row r="944" spans="1:19" ht="16.5" customHeight="1" x14ac:dyDescent="0.25">
      <c r="A944" s="9"/>
      <c r="B944" s="51" t="s">
        <v>85</v>
      </c>
      <c r="C944" s="52"/>
      <c r="D944" s="52"/>
      <c r="E944" s="52"/>
      <c r="F944" s="52"/>
      <c r="G944" s="53"/>
      <c r="H944" s="20"/>
      <c r="I944" s="9">
        <v>2</v>
      </c>
      <c r="J944" s="9"/>
      <c r="K944" s="9"/>
      <c r="L944" s="9"/>
      <c r="M944" s="9">
        <f t="shared" si="118"/>
        <v>14.6</v>
      </c>
      <c r="N944" s="9">
        <f t="shared" si="119"/>
        <v>6</v>
      </c>
      <c r="O944" s="9">
        <v>7.3</v>
      </c>
      <c r="P944" s="9">
        <v>3</v>
      </c>
      <c r="Q944" s="9" t="s">
        <v>6</v>
      </c>
      <c r="R944" s="1">
        <v>0</v>
      </c>
      <c r="S944" s="26"/>
    </row>
    <row r="945" spans="1:19" ht="15" customHeight="1" x14ac:dyDescent="0.25">
      <c r="A945" s="36" t="s">
        <v>0</v>
      </c>
      <c r="B945" s="29" t="s">
        <v>1</v>
      </c>
      <c r="C945" s="30"/>
      <c r="D945" s="30"/>
      <c r="E945" s="30"/>
      <c r="F945" s="30"/>
      <c r="G945" s="31"/>
      <c r="H945" s="36" t="s">
        <v>32</v>
      </c>
      <c r="I945" s="36" t="s">
        <v>39</v>
      </c>
      <c r="J945" s="55" t="s">
        <v>2</v>
      </c>
      <c r="K945" s="56"/>
      <c r="L945" s="56"/>
      <c r="M945" s="56"/>
      <c r="N945" s="56"/>
      <c r="O945" s="56"/>
      <c r="P945" s="56"/>
      <c r="Q945" s="57"/>
      <c r="S945" s="36" t="s">
        <v>38</v>
      </c>
    </row>
    <row r="946" spans="1:19" ht="24" customHeight="1" x14ac:dyDescent="0.25">
      <c r="A946" s="37"/>
      <c r="B946" s="32"/>
      <c r="C946" s="33"/>
      <c r="D946" s="33"/>
      <c r="E946" s="33"/>
      <c r="F946" s="33"/>
      <c r="G946" s="34"/>
      <c r="H946" s="37"/>
      <c r="I946" s="37"/>
      <c r="J946" s="7" t="s">
        <v>28</v>
      </c>
      <c r="K946" s="7" t="s">
        <v>29</v>
      </c>
      <c r="L946" s="7" t="s">
        <v>30</v>
      </c>
      <c r="M946" s="7"/>
      <c r="N946" s="7"/>
      <c r="O946" s="6" t="s">
        <v>35</v>
      </c>
      <c r="P946" s="6" t="s">
        <v>36</v>
      </c>
      <c r="Q946" s="6" t="s">
        <v>37</v>
      </c>
      <c r="S946" s="37"/>
    </row>
    <row r="947" spans="1:19" ht="16.5" customHeight="1" x14ac:dyDescent="0.25">
      <c r="A947" s="9"/>
      <c r="B947" s="51" t="s">
        <v>86</v>
      </c>
      <c r="C947" s="52"/>
      <c r="D947" s="52"/>
      <c r="E947" s="52"/>
      <c r="F947" s="52"/>
      <c r="G947" s="53"/>
      <c r="H947" s="20"/>
      <c r="I947" s="9">
        <v>2</v>
      </c>
      <c r="J947" s="9"/>
      <c r="K947" s="9"/>
      <c r="L947" s="9"/>
      <c r="M947" s="9">
        <f>I947*O947</f>
        <v>14.8</v>
      </c>
      <c r="N947" s="9">
        <f>I947*P947</f>
        <v>6</v>
      </c>
      <c r="O947" s="9">
        <v>7.4</v>
      </c>
      <c r="P947" s="9">
        <v>3</v>
      </c>
      <c r="Q947" s="9" t="s">
        <v>6</v>
      </c>
      <c r="R947" s="1">
        <v>0</v>
      </c>
      <c r="S947" s="26"/>
    </row>
    <row r="948" spans="1:19" ht="16.5" customHeight="1" x14ac:dyDescent="0.25">
      <c r="A948" s="9"/>
      <c r="B948" s="51" t="s">
        <v>81</v>
      </c>
      <c r="C948" s="52"/>
      <c r="D948" s="52"/>
      <c r="E948" s="52"/>
      <c r="F948" s="52"/>
      <c r="G948" s="53"/>
      <c r="H948" s="20"/>
      <c r="I948" s="9">
        <v>4</v>
      </c>
      <c r="J948" s="9"/>
      <c r="K948" s="9"/>
      <c r="L948" s="9"/>
      <c r="M948" s="9">
        <f>I948*O948</f>
        <v>28.8</v>
      </c>
      <c r="N948" s="9">
        <f>I948*P948</f>
        <v>12</v>
      </c>
      <c r="O948" s="9">
        <v>7.2</v>
      </c>
      <c r="P948" s="9">
        <v>3</v>
      </c>
      <c r="Q948" s="9" t="s">
        <v>6</v>
      </c>
      <c r="R948" s="1">
        <v>0</v>
      </c>
      <c r="S948" s="26"/>
    </row>
    <row r="949" spans="1:19" ht="16.5" customHeight="1" x14ac:dyDescent="0.25">
      <c r="A949" s="9"/>
      <c r="B949" s="51" t="s">
        <v>88</v>
      </c>
      <c r="C949" s="52"/>
      <c r="D949" s="52"/>
      <c r="E949" s="52"/>
      <c r="F949" s="52"/>
      <c r="G949" s="53"/>
      <c r="H949" s="20"/>
      <c r="I949" s="9">
        <v>3</v>
      </c>
      <c r="J949" s="9"/>
      <c r="K949" s="9"/>
      <c r="L949" s="9"/>
      <c r="M949" s="9">
        <f>I949*O949</f>
        <v>24.900000000000002</v>
      </c>
      <c r="N949" s="9">
        <f>I949*P949</f>
        <v>10.5</v>
      </c>
      <c r="O949" s="9">
        <v>8.3000000000000007</v>
      </c>
      <c r="P949" s="9">
        <v>3.5</v>
      </c>
      <c r="Q949" s="9" t="s">
        <v>9</v>
      </c>
      <c r="R949" s="1">
        <v>0</v>
      </c>
      <c r="S949" s="26"/>
    </row>
    <row r="950" spans="1:19" ht="16.5" hidden="1" customHeight="1" x14ac:dyDescent="0.25">
      <c r="A950" s="21"/>
      <c r="H950" s="21"/>
      <c r="I950" s="21"/>
      <c r="J950" s="21"/>
      <c r="K950" s="21"/>
      <c r="L950" s="21"/>
      <c r="M950" s="9">
        <f>I950*O950</f>
        <v>0</v>
      </c>
      <c r="N950" s="9">
        <f>I950*P950</f>
        <v>0</v>
      </c>
      <c r="O950" s="21"/>
      <c r="P950" s="21"/>
      <c r="Q950" s="21"/>
      <c r="S950" s="25"/>
    </row>
    <row r="951" spans="1:19" ht="16.5" customHeight="1" x14ac:dyDescent="0.25">
      <c r="A951" s="9"/>
      <c r="B951" s="39" t="s">
        <v>42</v>
      </c>
      <c r="C951" s="40"/>
      <c r="D951" s="40"/>
      <c r="E951" s="40"/>
      <c r="F951" s="40"/>
      <c r="G951" s="41"/>
      <c r="H951" s="23"/>
      <c r="I951" s="24">
        <f>SUM(I939:I950)</f>
        <v>23</v>
      </c>
      <c r="J951" s="9"/>
      <c r="K951" s="9"/>
      <c r="L951" s="9"/>
      <c r="M951" s="9">
        <f>I951*O951</f>
        <v>168.36</v>
      </c>
      <c r="N951" s="9">
        <f>I951*P951</f>
        <v>67.39</v>
      </c>
      <c r="O951" s="24">
        <f>ROUND(SUM(M939:M950)/I951,2)</f>
        <v>7.32</v>
      </c>
      <c r="P951" s="24">
        <f>ROUND(SUM(N939:N950)/I951,2)</f>
        <v>2.93</v>
      </c>
      <c r="Q951" s="9"/>
      <c r="S951" s="25"/>
    </row>
    <row r="952" spans="1:19" ht="20.25" customHeight="1" x14ac:dyDescent="0.25">
      <c r="A952" s="27" t="s">
        <v>89</v>
      </c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</row>
    <row r="953" spans="1:19" ht="16.5" customHeight="1" x14ac:dyDescent="0.25">
      <c r="A953" s="9"/>
      <c r="B953" s="51" t="s">
        <v>90</v>
      </c>
      <c r="C953" s="52"/>
      <c r="D953" s="52"/>
      <c r="E953" s="52"/>
      <c r="F953" s="52"/>
      <c r="G953" s="53"/>
      <c r="H953" s="20"/>
      <c r="I953" s="9">
        <v>1</v>
      </c>
      <c r="J953" s="9"/>
      <c r="K953" s="9"/>
      <c r="L953" s="9"/>
      <c r="M953" s="9">
        <f t="shared" ref="M953:M965" si="120">I953*O953</f>
        <v>7.4</v>
      </c>
      <c r="N953" s="9">
        <f t="shared" ref="N953:N965" si="121">I953*P953</f>
        <v>3</v>
      </c>
      <c r="O953" s="9">
        <v>7.4</v>
      </c>
      <c r="P953" s="9">
        <v>3</v>
      </c>
      <c r="Q953" s="9" t="s">
        <v>6</v>
      </c>
      <c r="R953" s="1">
        <v>0</v>
      </c>
      <c r="S953" s="26"/>
    </row>
    <row r="954" spans="1:19" ht="16.5" customHeight="1" x14ac:dyDescent="0.25">
      <c r="A954" s="9"/>
      <c r="B954" s="51" t="s">
        <v>91</v>
      </c>
      <c r="C954" s="52"/>
      <c r="D954" s="52"/>
      <c r="E954" s="52"/>
      <c r="F954" s="52"/>
      <c r="G954" s="53"/>
      <c r="H954" s="20"/>
      <c r="I954" s="9">
        <v>3</v>
      </c>
      <c r="J954" s="9"/>
      <c r="K954" s="9"/>
      <c r="L954" s="9"/>
      <c r="M954" s="9">
        <f t="shared" si="120"/>
        <v>21.9</v>
      </c>
      <c r="N954" s="9">
        <f t="shared" si="121"/>
        <v>9</v>
      </c>
      <c r="O954" s="9">
        <v>7.3</v>
      </c>
      <c r="P954" s="9">
        <v>3</v>
      </c>
      <c r="Q954" s="9" t="s">
        <v>6</v>
      </c>
      <c r="R954" s="1">
        <v>0</v>
      </c>
      <c r="S954" s="26"/>
    </row>
    <row r="955" spans="1:19" ht="16.5" customHeight="1" x14ac:dyDescent="0.25">
      <c r="A955" s="9"/>
      <c r="B955" s="51" t="s">
        <v>92</v>
      </c>
      <c r="C955" s="52"/>
      <c r="D955" s="52"/>
      <c r="E955" s="52"/>
      <c r="F955" s="52"/>
      <c r="G955" s="53"/>
      <c r="H955" s="20"/>
      <c r="I955" s="9">
        <v>1</v>
      </c>
      <c r="J955" s="9"/>
      <c r="K955" s="9"/>
      <c r="L955" s="9"/>
      <c r="M955" s="9">
        <f t="shared" si="120"/>
        <v>8</v>
      </c>
      <c r="N955" s="9">
        <f t="shared" si="121"/>
        <v>3.5</v>
      </c>
      <c r="O955" s="9">
        <v>8</v>
      </c>
      <c r="P955" s="9">
        <v>3.5</v>
      </c>
      <c r="Q955" s="9" t="s">
        <v>9</v>
      </c>
      <c r="R955" s="1">
        <v>0</v>
      </c>
      <c r="S955" s="26"/>
    </row>
    <row r="956" spans="1:19" ht="16.5" customHeight="1" x14ac:dyDescent="0.25">
      <c r="A956" s="9"/>
      <c r="B956" s="51" t="s">
        <v>93</v>
      </c>
      <c r="C956" s="52"/>
      <c r="D956" s="52"/>
      <c r="E956" s="52"/>
      <c r="F956" s="52"/>
      <c r="G956" s="53"/>
      <c r="H956" s="20"/>
      <c r="I956" s="9">
        <v>2</v>
      </c>
      <c r="J956" s="9"/>
      <c r="K956" s="9"/>
      <c r="L956" s="9"/>
      <c r="M956" s="9">
        <f t="shared" si="120"/>
        <v>11.4</v>
      </c>
      <c r="N956" s="9">
        <f t="shared" si="121"/>
        <v>4</v>
      </c>
      <c r="O956" s="9">
        <v>5.7</v>
      </c>
      <c r="P956" s="9">
        <v>2</v>
      </c>
      <c r="Q956" s="9" t="s">
        <v>3</v>
      </c>
      <c r="R956" s="1">
        <v>0</v>
      </c>
      <c r="S956" s="26"/>
    </row>
    <row r="957" spans="1:19" ht="16.5" customHeight="1" x14ac:dyDescent="0.25">
      <c r="A957" s="9"/>
      <c r="B957" s="51" t="s">
        <v>94</v>
      </c>
      <c r="C957" s="52"/>
      <c r="D957" s="52"/>
      <c r="E957" s="52"/>
      <c r="F957" s="52"/>
      <c r="G957" s="53"/>
      <c r="H957" s="20"/>
      <c r="I957" s="9">
        <v>1</v>
      </c>
      <c r="J957" s="9"/>
      <c r="K957" s="9"/>
      <c r="L957" s="9"/>
      <c r="M957" s="9">
        <f t="shared" si="120"/>
        <v>5.5</v>
      </c>
      <c r="N957" s="9">
        <f t="shared" si="121"/>
        <v>2</v>
      </c>
      <c r="O957" s="9">
        <v>5.5</v>
      </c>
      <c r="P957" s="9">
        <v>2</v>
      </c>
      <c r="Q957" s="9" t="s">
        <v>3</v>
      </c>
      <c r="R957" s="1">
        <v>0</v>
      </c>
      <c r="S957" s="26"/>
    </row>
    <row r="958" spans="1:19" ht="16.5" customHeight="1" x14ac:dyDescent="0.25">
      <c r="A958" s="9"/>
      <c r="B958" s="51" t="s">
        <v>97</v>
      </c>
      <c r="C958" s="52"/>
      <c r="D958" s="52"/>
      <c r="E958" s="52"/>
      <c r="F958" s="52"/>
      <c r="G958" s="53"/>
      <c r="H958" s="20"/>
      <c r="I958" s="9">
        <v>3</v>
      </c>
      <c r="J958" s="9"/>
      <c r="K958" s="9"/>
      <c r="L958" s="9"/>
      <c r="M958" s="9">
        <f t="shared" si="120"/>
        <v>18.299999999999997</v>
      </c>
      <c r="N958" s="9">
        <f t="shared" si="121"/>
        <v>6</v>
      </c>
      <c r="O958" s="9">
        <v>6.1</v>
      </c>
      <c r="P958" s="9">
        <v>2</v>
      </c>
      <c r="Q958" s="9" t="s">
        <v>3</v>
      </c>
      <c r="R958" s="1">
        <v>0</v>
      </c>
      <c r="S958" s="26"/>
    </row>
    <row r="959" spans="1:19" ht="16.5" customHeight="1" x14ac:dyDescent="0.25">
      <c r="A959" s="9"/>
      <c r="B959" s="51" t="s">
        <v>96</v>
      </c>
      <c r="C959" s="52"/>
      <c r="D959" s="52"/>
      <c r="E959" s="52"/>
      <c r="F959" s="52"/>
      <c r="G959" s="53"/>
      <c r="H959" s="20"/>
      <c r="I959" s="9">
        <v>2</v>
      </c>
      <c r="J959" s="9"/>
      <c r="K959" s="9"/>
      <c r="L959" s="9"/>
      <c r="M959" s="9">
        <f t="shared" si="120"/>
        <v>13</v>
      </c>
      <c r="N959" s="9">
        <f t="shared" si="121"/>
        <v>5</v>
      </c>
      <c r="O959" s="9">
        <v>6.5</v>
      </c>
      <c r="P959" s="9">
        <v>2.5</v>
      </c>
      <c r="Q959" s="9" t="s">
        <v>5</v>
      </c>
      <c r="R959" s="1">
        <v>0</v>
      </c>
      <c r="S959" s="26"/>
    </row>
    <row r="960" spans="1:19" ht="16.5" customHeight="1" x14ac:dyDescent="0.25">
      <c r="A960" s="9"/>
      <c r="B960" s="51" t="s">
        <v>95</v>
      </c>
      <c r="C960" s="52"/>
      <c r="D960" s="52"/>
      <c r="E960" s="52"/>
      <c r="F960" s="52"/>
      <c r="G960" s="53"/>
      <c r="H960" s="20"/>
      <c r="I960" s="9">
        <v>2</v>
      </c>
      <c r="J960" s="9"/>
      <c r="K960" s="9"/>
      <c r="L960" s="9"/>
      <c r="M960" s="9">
        <f t="shared" si="120"/>
        <v>14.6</v>
      </c>
      <c r="N960" s="9">
        <f t="shared" si="121"/>
        <v>6</v>
      </c>
      <c r="O960" s="9">
        <v>7.3</v>
      </c>
      <c r="P960" s="9">
        <v>3</v>
      </c>
      <c r="Q960" s="9" t="s">
        <v>6</v>
      </c>
      <c r="R960" s="1">
        <v>0</v>
      </c>
      <c r="S960" s="26"/>
    </row>
    <row r="961" spans="1:19" ht="16.5" customHeight="1" x14ac:dyDescent="0.25">
      <c r="A961" s="9"/>
      <c r="B961" s="51" t="s">
        <v>98</v>
      </c>
      <c r="C961" s="52"/>
      <c r="D961" s="52"/>
      <c r="E961" s="52"/>
      <c r="F961" s="52"/>
      <c r="G961" s="53"/>
      <c r="H961" s="20"/>
      <c r="I961" s="9">
        <v>4</v>
      </c>
      <c r="J961" s="9"/>
      <c r="K961" s="9"/>
      <c r="L961" s="9"/>
      <c r="M961" s="9">
        <f t="shared" si="120"/>
        <v>28.4</v>
      </c>
      <c r="N961" s="9">
        <f t="shared" si="121"/>
        <v>12</v>
      </c>
      <c r="O961" s="9">
        <v>7.1</v>
      </c>
      <c r="P961" s="9">
        <v>3</v>
      </c>
      <c r="Q961" s="9" t="s">
        <v>6</v>
      </c>
      <c r="R961" s="1">
        <v>0</v>
      </c>
      <c r="S961" s="26"/>
    </row>
    <row r="962" spans="1:19" ht="16.5" customHeight="1" x14ac:dyDescent="0.25">
      <c r="A962" s="9"/>
      <c r="B962" s="51" t="s">
        <v>99</v>
      </c>
      <c r="C962" s="52"/>
      <c r="D962" s="52"/>
      <c r="E962" s="52"/>
      <c r="F962" s="52"/>
      <c r="G962" s="53"/>
      <c r="H962" s="20"/>
      <c r="I962" s="9">
        <v>1</v>
      </c>
      <c r="J962" s="9"/>
      <c r="K962" s="9"/>
      <c r="L962" s="9"/>
      <c r="M962" s="9">
        <f t="shared" si="120"/>
        <v>8</v>
      </c>
      <c r="N962" s="9">
        <f t="shared" si="121"/>
        <v>3.5</v>
      </c>
      <c r="O962" s="9">
        <v>8</v>
      </c>
      <c r="P962" s="9">
        <v>3.5</v>
      </c>
      <c r="Q962" s="9" t="s">
        <v>9</v>
      </c>
      <c r="R962" s="1">
        <v>0</v>
      </c>
      <c r="S962" s="26"/>
    </row>
    <row r="963" spans="1:19" ht="16.5" customHeight="1" x14ac:dyDescent="0.25">
      <c r="A963" s="9"/>
      <c r="B963" s="51" t="s">
        <v>100</v>
      </c>
      <c r="C963" s="52"/>
      <c r="D963" s="52"/>
      <c r="E963" s="52"/>
      <c r="F963" s="52"/>
      <c r="G963" s="53"/>
      <c r="H963" s="20"/>
      <c r="I963" s="9">
        <v>2</v>
      </c>
      <c r="J963" s="9"/>
      <c r="K963" s="9"/>
      <c r="L963" s="9"/>
      <c r="M963" s="9">
        <f t="shared" si="120"/>
        <v>14.8</v>
      </c>
      <c r="N963" s="9">
        <f t="shared" si="121"/>
        <v>6</v>
      </c>
      <c r="O963" s="9">
        <v>7.4</v>
      </c>
      <c r="P963" s="9">
        <v>3</v>
      </c>
      <c r="Q963" s="9" t="s">
        <v>6</v>
      </c>
      <c r="R963" s="1">
        <v>0</v>
      </c>
      <c r="S963" s="26"/>
    </row>
    <row r="964" spans="1:19" ht="16.5" hidden="1" customHeight="1" x14ac:dyDescent="0.25">
      <c r="A964" s="21"/>
      <c r="H964" s="21"/>
      <c r="I964" s="21"/>
      <c r="J964" s="21"/>
      <c r="K964" s="21"/>
      <c r="L964" s="21"/>
      <c r="M964" s="9">
        <f t="shared" si="120"/>
        <v>0</v>
      </c>
      <c r="N964" s="9">
        <f t="shared" si="121"/>
        <v>0</v>
      </c>
      <c r="O964" s="21"/>
      <c r="P964" s="21"/>
      <c r="Q964" s="21"/>
      <c r="S964" s="25"/>
    </row>
    <row r="965" spans="1:19" ht="16.5" customHeight="1" x14ac:dyDescent="0.25">
      <c r="A965" s="9"/>
      <c r="B965" s="39" t="s">
        <v>42</v>
      </c>
      <c r="C965" s="40"/>
      <c r="D965" s="40"/>
      <c r="E965" s="40"/>
      <c r="F965" s="40"/>
      <c r="G965" s="41"/>
      <c r="H965" s="23"/>
      <c r="I965" s="24">
        <f>SUM(I953:I964)</f>
        <v>22</v>
      </c>
      <c r="J965" s="9"/>
      <c r="K965" s="9"/>
      <c r="L965" s="9"/>
      <c r="M965" s="9">
        <f t="shared" si="120"/>
        <v>151.35999999999999</v>
      </c>
      <c r="N965" s="9">
        <f t="shared" si="121"/>
        <v>60.06</v>
      </c>
      <c r="O965" s="24">
        <f>ROUND(SUM(M953:M964)/I965,2)</f>
        <v>6.88</v>
      </c>
      <c r="P965" s="24">
        <f>ROUND(SUM(N953:N964)/I965,2)</f>
        <v>2.73</v>
      </c>
      <c r="Q965" s="9"/>
      <c r="S965" s="25"/>
    </row>
    <row r="966" spans="1:19" ht="20.25" customHeight="1" x14ac:dyDescent="0.25">
      <c r="A966" s="27" t="s">
        <v>101</v>
      </c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</row>
    <row r="967" spans="1:19" ht="16.5" customHeight="1" x14ac:dyDescent="0.25">
      <c r="A967" s="9"/>
      <c r="B967" s="51" t="s">
        <v>102</v>
      </c>
      <c r="C967" s="52"/>
      <c r="D967" s="52"/>
      <c r="E967" s="52"/>
      <c r="F967" s="52"/>
      <c r="G967" s="53"/>
      <c r="H967" s="20"/>
      <c r="I967" s="9">
        <v>1</v>
      </c>
      <c r="J967" s="9"/>
      <c r="K967" s="9"/>
      <c r="L967" s="9"/>
      <c r="M967" s="9">
        <f t="shared" ref="M967:M980" si="122">I967*O967</f>
        <v>6.8</v>
      </c>
      <c r="N967" s="9">
        <f t="shared" ref="N967:N980" si="123">I967*P967</f>
        <v>2.5</v>
      </c>
      <c r="O967" s="9">
        <v>6.8</v>
      </c>
      <c r="P967" s="9">
        <v>2.5</v>
      </c>
      <c r="Q967" s="9" t="s">
        <v>5</v>
      </c>
      <c r="R967" s="1">
        <v>0</v>
      </c>
      <c r="S967" s="26"/>
    </row>
    <row r="968" spans="1:19" ht="16.5" customHeight="1" x14ac:dyDescent="0.25">
      <c r="A968" s="9"/>
      <c r="B968" s="51" t="s">
        <v>103</v>
      </c>
      <c r="C968" s="52"/>
      <c r="D968" s="52"/>
      <c r="E968" s="52"/>
      <c r="F968" s="52"/>
      <c r="G968" s="53"/>
      <c r="H968" s="20"/>
      <c r="I968" s="9">
        <v>2</v>
      </c>
      <c r="J968" s="9"/>
      <c r="K968" s="9"/>
      <c r="L968" s="9"/>
      <c r="M968" s="9">
        <f t="shared" si="122"/>
        <v>17</v>
      </c>
      <c r="N968" s="9">
        <f t="shared" si="123"/>
        <v>7.4</v>
      </c>
      <c r="O968" s="9">
        <v>8.5</v>
      </c>
      <c r="P968" s="9">
        <v>3.7</v>
      </c>
      <c r="Q968" s="9" t="s">
        <v>10</v>
      </c>
      <c r="R968" s="1">
        <v>0</v>
      </c>
      <c r="S968" s="26"/>
    </row>
    <row r="969" spans="1:19" ht="16.5" customHeight="1" x14ac:dyDescent="0.25">
      <c r="A969" s="9"/>
      <c r="B969" s="51" t="s">
        <v>104</v>
      </c>
      <c r="C969" s="52"/>
      <c r="D969" s="52"/>
      <c r="E969" s="52"/>
      <c r="F969" s="52"/>
      <c r="G969" s="53"/>
      <c r="H969" s="20"/>
      <c r="I969" s="9">
        <v>4</v>
      </c>
      <c r="J969" s="9"/>
      <c r="K969" s="9"/>
      <c r="L969" s="9"/>
      <c r="M969" s="9">
        <f t="shared" si="122"/>
        <v>31.6</v>
      </c>
      <c r="N969" s="9">
        <f t="shared" si="123"/>
        <v>12</v>
      </c>
      <c r="O969" s="9">
        <v>7.9</v>
      </c>
      <c r="P969" s="9">
        <v>3</v>
      </c>
      <c r="Q969" s="9" t="s">
        <v>6</v>
      </c>
      <c r="R969" s="1">
        <v>0</v>
      </c>
      <c r="S969" s="26"/>
    </row>
    <row r="970" spans="1:19" ht="16.5" customHeight="1" x14ac:dyDescent="0.25">
      <c r="A970" s="9"/>
      <c r="B970" s="51" t="s">
        <v>105</v>
      </c>
      <c r="C970" s="52"/>
      <c r="D970" s="52"/>
      <c r="E970" s="52"/>
      <c r="F970" s="52"/>
      <c r="G970" s="53"/>
      <c r="H970" s="20"/>
      <c r="I970" s="9">
        <v>3</v>
      </c>
      <c r="J970" s="9"/>
      <c r="K970" s="9"/>
      <c r="L970" s="9"/>
      <c r="M970" s="9">
        <f t="shared" si="122"/>
        <v>25.799999999999997</v>
      </c>
      <c r="N970" s="9">
        <f t="shared" si="123"/>
        <v>11.100000000000001</v>
      </c>
      <c r="O970" s="9">
        <v>8.6</v>
      </c>
      <c r="P970" s="9">
        <v>3.7</v>
      </c>
      <c r="Q970" s="9" t="s">
        <v>10</v>
      </c>
      <c r="R970" s="1">
        <v>0</v>
      </c>
      <c r="S970" s="26"/>
    </row>
    <row r="971" spans="1:19" ht="16.5" customHeight="1" x14ac:dyDescent="0.25">
      <c r="A971" s="9"/>
      <c r="B971" s="51" t="s">
        <v>106</v>
      </c>
      <c r="C971" s="52"/>
      <c r="D971" s="52"/>
      <c r="E971" s="52"/>
      <c r="F971" s="52"/>
      <c r="G971" s="53"/>
      <c r="H971" s="20"/>
      <c r="I971" s="9">
        <v>2</v>
      </c>
      <c r="J971" s="9"/>
      <c r="K971" s="9"/>
      <c r="L971" s="9"/>
      <c r="M971" s="9">
        <f t="shared" si="122"/>
        <v>13.4</v>
      </c>
      <c r="N971" s="9">
        <f t="shared" si="123"/>
        <v>5</v>
      </c>
      <c r="O971" s="9">
        <v>6.7</v>
      </c>
      <c r="P971" s="9">
        <v>2.5</v>
      </c>
      <c r="Q971" s="9" t="s">
        <v>5</v>
      </c>
      <c r="R971" s="1">
        <v>0</v>
      </c>
      <c r="S971" s="26"/>
    </row>
    <row r="972" spans="1:19" ht="16.5" customHeight="1" x14ac:dyDescent="0.25">
      <c r="A972" s="9"/>
      <c r="B972" s="51" t="s">
        <v>107</v>
      </c>
      <c r="C972" s="52"/>
      <c r="D972" s="52"/>
      <c r="E972" s="52"/>
      <c r="F972" s="52"/>
      <c r="G972" s="53"/>
      <c r="H972" s="20"/>
      <c r="I972" s="9">
        <v>2</v>
      </c>
      <c r="J972" s="9"/>
      <c r="K972" s="9"/>
      <c r="L972" s="9"/>
      <c r="M972" s="9">
        <f t="shared" si="122"/>
        <v>14.2</v>
      </c>
      <c r="N972" s="9">
        <f t="shared" si="123"/>
        <v>6</v>
      </c>
      <c r="O972" s="9">
        <v>7.1</v>
      </c>
      <c r="P972" s="9">
        <v>3</v>
      </c>
      <c r="Q972" s="9" t="s">
        <v>6</v>
      </c>
      <c r="R972" s="1">
        <v>0</v>
      </c>
      <c r="S972" s="26"/>
    </row>
    <row r="973" spans="1:19" ht="16.5" customHeight="1" x14ac:dyDescent="0.25">
      <c r="A973" s="9"/>
      <c r="B973" s="51" t="s">
        <v>108</v>
      </c>
      <c r="C973" s="52"/>
      <c r="D973" s="52"/>
      <c r="E973" s="52"/>
      <c r="F973" s="52"/>
      <c r="G973" s="53"/>
      <c r="H973" s="20"/>
      <c r="I973" s="9">
        <v>4</v>
      </c>
      <c r="J973" s="9"/>
      <c r="K973" s="9"/>
      <c r="L973" s="9"/>
      <c r="M973" s="9">
        <f t="shared" si="122"/>
        <v>32.799999999999997</v>
      </c>
      <c r="N973" s="9">
        <f t="shared" si="123"/>
        <v>14</v>
      </c>
      <c r="O973" s="9">
        <v>8.1999999999999993</v>
      </c>
      <c r="P973" s="9">
        <v>3.5</v>
      </c>
      <c r="Q973" s="9" t="s">
        <v>9</v>
      </c>
      <c r="R973" s="1">
        <v>0</v>
      </c>
      <c r="S973" s="26"/>
    </row>
    <row r="974" spans="1:19" ht="16.5" customHeight="1" x14ac:dyDescent="0.25">
      <c r="A974" s="9"/>
      <c r="B974" s="51" t="s">
        <v>109</v>
      </c>
      <c r="C974" s="52"/>
      <c r="D974" s="52"/>
      <c r="E974" s="52"/>
      <c r="F974" s="52"/>
      <c r="G974" s="53"/>
      <c r="H974" s="20"/>
      <c r="I974" s="9">
        <v>2</v>
      </c>
      <c r="J974" s="9"/>
      <c r="K974" s="9"/>
      <c r="L974" s="9"/>
      <c r="M974" s="9">
        <f t="shared" si="122"/>
        <v>13.8</v>
      </c>
      <c r="N974" s="9">
        <f t="shared" si="123"/>
        <v>5</v>
      </c>
      <c r="O974" s="9">
        <v>6.9</v>
      </c>
      <c r="P974" s="9">
        <v>2.5</v>
      </c>
      <c r="Q974" s="9" t="s">
        <v>5</v>
      </c>
      <c r="R974" s="1">
        <v>0</v>
      </c>
      <c r="S974" s="26"/>
    </row>
    <row r="975" spans="1:19" ht="16.5" customHeight="1" x14ac:dyDescent="0.25">
      <c r="A975" s="9"/>
      <c r="B975" s="51" t="s">
        <v>110</v>
      </c>
      <c r="C975" s="52"/>
      <c r="D975" s="52"/>
      <c r="E975" s="52"/>
      <c r="F975" s="52"/>
      <c r="G975" s="53"/>
      <c r="H975" s="20"/>
      <c r="I975" s="9">
        <v>2</v>
      </c>
      <c r="J975" s="9"/>
      <c r="K975" s="9"/>
      <c r="L975" s="9"/>
      <c r="M975" s="9">
        <f t="shared" si="122"/>
        <v>15</v>
      </c>
      <c r="N975" s="9">
        <f t="shared" si="123"/>
        <v>6</v>
      </c>
      <c r="O975" s="9">
        <v>7.5</v>
      </c>
      <c r="P975" s="9">
        <v>3</v>
      </c>
      <c r="Q975" s="9" t="s">
        <v>6</v>
      </c>
      <c r="R975" s="1">
        <v>0</v>
      </c>
      <c r="S975" s="26"/>
    </row>
    <row r="976" spans="1:19" ht="16.5" customHeight="1" x14ac:dyDescent="0.25">
      <c r="A976" s="9"/>
      <c r="B976" s="51" t="s">
        <v>111</v>
      </c>
      <c r="C976" s="52"/>
      <c r="D976" s="52"/>
      <c r="E976" s="52"/>
      <c r="F976" s="52"/>
      <c r="G976" s="53"/>
      <c r="H976" s="20"/>
      <c r="I976" s="9">
        <v>4</v>
      </c>
      <c r="J976" s="9"/>
      <c r="K976" s="9"/>
      <c r="L976" s="9"/>
      <c r="M976" s="9">
        <f t="shared" si="122"/>
        <v>28.4</v>
      </c>
      <c r="N976" s="9">
        <f t="shared" si="123"/>
        <v>12</v>
      </c>
      <c r="O976" s="9">
        <v>7.1</v>
      </c>
      <c r="P976" s="9">
        <v>3</v>
      </c>
      <c r="Q976" s="9" t="s">
        <v>6</v>
      </c>
      <c r="R976" s="1">
        <v>0</v>
      </c>
      <c r="S976" s="26"/>
    </row>
    <row r="977" spans="1:19" ht="16.5" customHeight="1" x14ac:dyDescent="0.25">
      <c r="A977" s="9"/>
      <c r="B977" s="51" t="s">
        <v>112</v>
      </c>
      <c r="C977" s="52"/>
      <c r="D977" s="52"/>
      <c r="E977" s="52"/>
      <c r="F977" s="52"/>
      <c r="G977" s="53"/>
      <c r="H977" s="20"/>
      <c r="I977" s="9">
        <v>2</v>
      </c>
      <c r="J977" s="9"/>
      <c r="K977" s="9"/>
      <c r="L977" s="9"/>
      <c r="M977" s="9">
        <f t="shared" si="122"/>
        <v>13</v>
      </c>
      <c r="N977" s="9">
        <f t="shared" si="123"/>
        <v>5</v>
      </c>
      <c r="O977" s="9">
        <v>6.5</v>
      </c>
      <c r="P977" s="9">
        <v>2.5</v>
      </c>
      <c r="Q977" s="9" t="s">
        <v>5</v>
      </c>
      <c r="R977" s="1">
        <v>0</v>
      </c>
      <c r="S977" s="26"/>
    </row>
    <row r="978" spans="1:19" ht="16.5" customHeight="1" x14ac:dyDescent="0.25">
      <c r="A978" s="9"/>
      <c r="B978" s="51" t="s">
        <v>113</v>
      </c>
      <c r="C978" s="52"/>
      <c r="D978" s="52"/>
      <c r="E978" s="52"/>
      <c r="F978" s="52"/>
      <c r="G978" s="53"/>
      <c r="H978" s="20"/>
      <c r="I978" s="9">
        <v>1</v>
      </c>
      <c r="J978" s="9"/>
      <c r="K978" s="9"/>
      <c r="L978" s="9"/>
      <c r="M978" s="9">
        <f t="shared" si="122"/>
        <v>7.4</v>
      </c>
      <c r="N978" s="9">
        <f t="shared" si="123"/>
        <v>3</v>
      </c>
      <c r="O978" s="9">
        <v>7.4</v>
      </c>
      <c r="P978" s="9">
        <v>3</v>
      </c>
      <c r="Q978" s="9" t="s">
        <v>6</v>
      </c>
      <c r="R978" s="1">
        <v>0</v>
      </c>
      <c r="S978" s="26"/>
    </row>
    <row r="979" spans="1:19" ht="16.5" hidden="1" customHeight="1" x14ac:dyDescent="0.25">
      <c r="A979" s="21"/>
      <c r="H979" s="21"/>
      <c r="I979" s="21"/>
      <c r="J979" s="21"/>
      <c r="K979" s="21"/>
      <c r="L979" s="21"/>
      <c r="M979" s="9">
        <f t="shared" si="122"/>
        <v>0</v>
      </c>
      <c r="N979" s="9">
        <f t="shared" si="123"/>
        <v>0</v>
      </c>
      <c r="O979" s="21"/>
      <c r="P979" s="21"/>
      <c r="Q979" s="21"/>
      <c r="S979" s="25"/>
    </row>
    <row r="980" spans="1:19" ht="16.5" customHeight="1" x14ac:dyDescent="0.25">
      <c r="A980" s="9"/>
      <c r="B980" s="39" t="s">
        <v>42</v>
      </c>
      <c r="C980" s="40"/>
      <c r="D980" s="40"/>
      <c r="E980" s="40"/>
      <c r="F980" s="40"/>
      <c r="G980" s="41"/>
      <c r="H980" s="23"/>
      <c r="I980" s="24">
        <f>SUM(I967:I979)</f>
        <v>29</v>
      </c>
      <c r="J980" s="9"/>
      <c r="K980" s="9"/>
      <c r="L980" s="9"/>
      <c r="M980" s="9">
        <f t="shared" si="122"/>
        <v>219.23999999999998</v>
      </c>
      <c r="N980" s="9">
        <f t="shared" si="123"/>
        <v>89.03</v>
      </c>
      <c r="O980" s="24">
        <f>ROUND(SUM(M967:M979)/I980,2)</f>
        <v>7.56</v>
      </c>
      <c r="P980" s="24">
        <f>ROUND(SUM(N967:N979)/I980,2)</f>
        <v>3.07</v>
      </c>
      <c r="Q980" s="9"/>
      <c r="S980" s="25"/>
    </row>
    <row r="981" spans="1:19" ht="20.25" customHeight="1" x14ac:dyDescent="0.25">
      <c r="A981" s="27" t="s">
        <v>114</v>
      </c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</row>
    <row r="982" spans="1:19" ht="16.5" customHeight="1" x14ac:dyDescent="0.25">
      <c r="A982" s="9"/>
      <c r="B982" s="51" t="s">
        <v>115</v>
      </c>
      <c r="C982" s="52"/>
      <c r="D982" s="52"/>
      <c r="E982" s="52"/>
      <c r="F982" s="52"/>
      <c r="G982" s="53"/>
      <c r="H982" s="20"/>
      <c r="I982" s="9">
        <v>2</v>
      </c>
      <c r="J982" s="9"/>
      <c r="K982" s="9"/>
      <c r="L982" s="9"/>
      <c r="M982" s="9">
        <f t="shared" ref="M982:M992" si="124">I982*O982</f>
        <v>0</v>
      </c>
      <c r="N982" s="9">
        <f t="shared" ref="N982:N992" si="125">I982*P982</f>
        <v>0</v>
      </c>
      <c r="O982" s="9"/>
      <c r="P982" s="9"/>
      <c r="Q982" s="9"/>
      <c r="R982" s="1">
        <v>0</v>
      </c>
      <c r="S982" s="26"/>
    </row>
    <row r="983" spans="1:19" ht="16.5" customHeight="1" x14ac:dyDescent="0.25">
      <c r="A983" s="9"/>
      <c r="B983" s="51" t="s">
        <v>116</v>
      </c>
      <c r="C983" s="52"/>
      <c r="D983" s="52"/>
      <c r="E983" s="52"/>
      <c r="F983" s="52"/>
      <c r="G983" s="53"/>
      <c r="H983" s="20"/>
      <c r="I983" s="9">
        <v>3</v>
      </c>
      <c r="J983" s="9"/>
      <c r="K983" s="9"/>
      <c r="L983" s="9"/>
      <c r="M983" s="9">
        <f t="shared" si="124"/>
        <v>24.900000000000002</v>
      </c>
      <c r="N983" s="9">
        <f t="shared" si="125"/>
        <v>10.5</v>
      </c>
      <c r="O983" s="9">
        <v>8.3000000000000007</v>
      </c>
      <c r="P983" s="9">
        <v>3.5</v>
      </c>
      <c r="Q983" s="9" t="s">
        <v>9</v>
      </c>
      <c r="R983" s="1">
        <v>0</v>
      </c>
      <c r="S983" s="26"/>
    </row>
    <row r="984" spans="1:19" ht="16.5" customHeight="1" x14ac:dyDescent="0.25">
      <c r="A984" s="9"/>
      <c r="B984" s="51" t="s">
        <v>117</v>
      </c>
      <c r="C984" s="52"/>
      <c r="D984" s="52"/>
      <c r="E984" s="52"/>
      <c r="F984" s="52"/>
      <c r="G984" s="53"/>
      <c r="H984" s="20"/>
      <c r="I984" s="9">
        <v>3</v>
      </c>
      <c r="J984" s="9"/>
      <c r="K984" s="9"/>
      <c r="L984" s="9"/>
      <c r="M984" s="9">
        <f t="shared" si="124"/>
        <v>0</v>
      </c>
      <c r="N984" s="9">
        <f t="shared" si="125"/>
        <v>0</v>
      </c>
      <c r="O984" s="9"/>
      <c r="P984" s="9"/>
      <c r="Q984" s="9"/>
      <c r="R984" s="1">
        <v>0</v>
      </c>
      <c r="S984" s="26"/>
    </row>
    <row r="985" spans="1:19" ht="16.5" customHeight="1" x14ac:dyDescent="0.25">
      <c r="A985" s="9"/>
      <c r="B985" s="51" t="s">
        <v>123</v>
      </c>
      <c r="C985" s="52"/>
      <c r="D985" s="52"/>
      <c r="E985" s="52"/>
      <c r="F985" s="52"/>
      <c r="G985" s="53"/>
      <c r="H985" s="20"/>
      <c r="I985" s="9">
        <v>2</v>
      </c>
      <c r="J985" s="9"/>
      <c r="K985" s="9"/>
      <c r="L985" s="9"/>
      <c r="M985" s="9">
        <f t="shared" si="124"/>
        <v>0</v>
      </c>
      <c r="N985" s="9">
        <f t="shared" si="125"/>
        <v>0</v>
      </c>
      <c r="O985" s="9"/>
      <c r="P985" s="9"/>
      <c r="Q985" s="9"/>
      <c r="R985" s="1">
        <v>0</v>
      </c>
      <c r="S985" s="26"/>
    </row>
    <row r="986" spans="1:19" ht="16.5" customHeight="1" x14ac:dyDescent="0.25">
      <c r="A986" s="9"/>
      <c r="B986" s="51" t="s">
        <v>119</v>
      </c>
      <c r="C986" s="52"/>
      <c r="D986" s="52"/>
      <c r="E986" s="52"/>
      <c r="F986" s="52"/>
      <c r="G986" s="53"/>
      <c r="H986" s="20"/>
      <c r="I986" s="9">
        <v>4</v>
      </c>
      <c r="J986" s="9"/>
      <c r="K986" s="9"/>
      <c r="L986" s="9"/>
      <c r="M986" s="9">
        <f t="shared" si="124"/>
        <v>0</v>
      </c>
      <c r="N986" s="9">
        <f t="shared" si="125"/>
        <v>0</v>
      </c>
      <c r="O986" s="9"/>
      <c r="P986" s="9"/>
      <c r="Q986" s="9"/>
      <c r="R986" s="1">
        <v>0</v>
      </c>
      <c r="S986" s="26"/>
    </row>
    <row r="987" spans="1:19" ht="16.5" customHeight="1" x14ac:dyDescent="0.25">
      <c r="A987" s="9"/>
      <c r="B987" s="51" t="s">
        <v>120</v>
      </c>
      <c r="C987" s="52"/>
      <c r="D987" s="52"/>
      <c r="E987" s="52"/>
      <c r="F987" s="52"/>
      <c r="G987" s="53"/>
      <c r="H987" s="20"/>
      <c r="I987" s="9">
        <v>3</v>
      </c>
      <c r="J987" s="9"/>
      <c r="K987" s="9"/>
      <c r="L987" s="9"/>
      <c r="M987" s="9">
        <f t="shared" si="124"/>
        <v>21.299999999999997</v>
      </c>
      <c r="N987" s="9">
        <f t="shared" si="125"/>
        <v>9</v>
      </c>
      <c r="O987" s="9">
        <v>7.1</v>
      </c>
      <c r="P987" s="9">
        <v>3</v>
      </c>
      <c r="Q987" s="9" t="s">
        <v>6</v>
      </c>
      <c r="R987" s="1">
        <v>0</v>
      </c>
      <c r="S987" s="26"/>
    </row>
    <row r="988" spans="1:19" ht="16.5" customHeight="1" x14ac:dyDescent="0.25">
      <c r="A988" s="9"/>
      <c r="B988" s="51" t="s">
        <v>121</v>
      </c>
      <c r="C988" s="52"/>
      <c r="D988" s="52"/>
      <c r="E988" s="52"/>
      <c r="F988" s="52"/>
      <c r="G988" s="53"/>
      <c r="H988" s="20"/>
      <c r="I988" s="9">
        <v>2</v>
      </c>
      <c r="J988" s="9"/>
      <c r="K988" s="9"/>
      <c r="L988" s="9"/>
      <c r="M988" s="9">
        <f t="shared" si="124"/>
        <v>16</v>
      </c>
      <c r="N988" s="9">
        <f t="shared" si="125"/>
        <v>7</v>
      </c>
      <c r="O988" s="9">
        <v>8</v>
      </c>
      <c r="P988" s="9">
        <v>3.5</v>
      </c>
      <c r="Q988" s="9" t="s">
        <v>9</v>
      </c>
      <c r="R988" s="1">
        <v>0</v>
      </c>
      <c r="S988" s="26"/>
    </row>
    <row r="989" spans="1:19" ht="16.5" customHeight="1" x14ac:dyDescent="0.25">
      <c r="A989" s="9"/>
      <c r="B989" s="51" t="s">
        <v>122</v>
      </c>
      <c r="C989" s="52"/>
      <c r="D989" s="52"/>
      <c r="E989" s="52"/>
      <c r="F989" s="52"/>
      <c r="G989" s="53"/>
      <c r="H989" s="20"/>
      <c r="I989" s="9">
        <v>2</v>
      </c>
      <c r="J989" s="9"/>
      <c r="K989" s="9"/>
      <c r="L989" s="9"/>
      <c r="M989" s="9">
        <f t="shared" si="124"/>
        <v>0</v>
      </c>
      <c r="N989" s="9">
        <f t="shared" si="125"/>
        <v>0</v>
      </c>
      <c r="O989" s="9"/>
      <c r="P989" s="9"/>
      <c r="Q989" s="9"/>
      <c r="R989" s="1">
        <v>0</v>
      </c>
      <c r="S989" s="26"/>
    </row>
    <row r="990" spans="1:19" ht="16.5" customHeight="1" x14ac:dyDescent="0.25">
      <c r="A990" s="9"/>
      <c r="B990" s="51" t="s">
        <v>118</v>
      </c>
      <c r="C990" s="52"/>
      <c r="D990" s="52"/>
      <c r="E990" s="52"/>
      <c r="F990" s="52"/>
      <c r="G990" s="53"/>
      <c r="H990" s="20"/>
      <c r="I990" s="9">
        <v>1</v>
      </c>
      <c r="J990" s="9"/>
      <c r="K990" s="9"/>
      <c r="L990" s="9"/>
      <c r="M990" s="9">
        <f t="shared" si="124"/>
        <v>7.5</v>
      </c>
      <c r="N990" s="9">
        <f t="shared" si="125"/>
        <v>3</v>
      </c>
      <c r="O990" s="9">
        <v>7.5</v>
      </c>
      <c r="P990" s="9">
        <v>3</v>
      </c>
      <c r="Q990" s="9" t="s">
        <v>6</v>
      </c>
      <c r="R990" s="1">
        <v>0</v>
      </c>
      <c r="S990" s="26"/>
    </row>
    <row r="991" spans="1:19" ht="16.5" hidden="1" customHeight="1" x14ac:dyDescent="0.25">
      <c r="A991" s="21"/>
      <c r="H991" s="21"/>
      <c r="I991" s="21"/>
      <c r="J991" s="21"/>
      <c r="K991" s="21"/>
      <c r="L991" s="21"/>
      <c r="M991" s="9">
        <f t="shared" si="124"/>
        <v>0</v>
      </c>
      <c r="N991" s="9">
        <f t="shared" si="125"/>
        <v>0</v>
      </c>
      <c r="O991" s="21"/>
      <c r="P991" s="21"/>
      <c r="Q991" s="21"/>
      <c r="S991" s="25"/>
    </row>
    <row r="992" spans="1:19" ht="16.5" customHeight="1" x14ac:dyDescent="0.25">
      <c r="A992" s="9"/>
      <c r="B992" s="39" t="s">
        <v>42</v>
      </c>
      <c r="C992" s="40"/>
      <c r="D992" s="40"/>
      <c r="E992" s="40"/>
      <c r="F992" s="40"/>
      <c r="G992" s="41"/>
      <c r="H992" s="23"/>
      <c r="I992" s="24">
        <f>SUM(I982:I991)</f>
        <v>22</v>
      </c>
      <c r="J992" s="9"/>
      <c r="K992" s="9"/>
      <c r="L992" s="9"/>
      <c r="M992" s="9">
        <f t="shared" si="124"/>
        <v>69.739999999999995</v>
      </c>
      <c r="N992" s="9">
        <f t="shared" si="125"/>
        <v>29.48</v>
      </c>
      <c r="O992" s="24">
        <f>ROUND(SUM(M982:M991)/I992,2)</f>
        <v>3.17</v>
      </c>
      <c r="P992" s="24">
        <f>ROUND(SUM(N982:N991)/I992,2)</f>
        <v>1.34</v>
      </c>
      <c r="Q992" s="9"/>
      <c r="S992" s="25"/>
    </row>
    <row r="993" spans="1:19" ht="16.5" customHeight="1" x14ac:dyDescent="0.25">
      <c r="A993" s="21"/>
      <c r="B993" s="22"/>
      <c r="C993" s="22"/>
      <c r="D993" s="22"/>
      <c r="E993" s="22"/>
      <c r="F993" s="22"/>
      <c r="G993" s="22"/>
      <c r="H993" s="21"/>
      <c r="I993" s="21"/>
      <c r="J993" s="21"/>
      <c r="K993" s="21"/>
      <c r="L993" s="21"/>
      <c r="M993" s="21"/>
      <c r="N993" s="21"/>
      <c r="O993" s="21"/>
      <c r="P993" s="21"/>
      <c r="Q993" s="21"/>
    </row>
    <row r="995" spans="1:19" ht="18" x14ac:dyDescent="0.25">
      <c r="A995" s="35" t="s">
        <v>50</v>
      </c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</row>
    <row r="996" spans="1:19" ht="18" x14ac:dyDescent="0.25">
      <c r="A996" s="35" t="s">
        <v>172</v>
      </c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</row>
    <row r="997" spans="1:19" ht="18" x14ac:dyDescent="0.25">
      <c r="A997" s="35" t="s">
        <v>141</v>
      </c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</row>
    <row r="998" spans="1:19" ht="18" x14ac:dyDescent="0.25">
      <c r="A998" s="45" t="s">
        <v>149</v>
      </c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</row>
    <row r="999" spans="1:19" ht="19.5" customHeight="1" x14ac:dyDescent="0.25">
      <c r="A999" s="17"/>
      <c r="B999" s="17"/>
      <c r="C999" s="8"/>
      <c r="D999" s="18"/>
      <c r="E999" s="10"/>
      <c r="F999" s="11"/>
      <c r="G999" s="46" t="s">
        <v>49</v>
      </c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</row>
    <row r="1000" spans="1:19" ht="31.5" customHeight="1" x14ac:dyDescent="0.3">
      <c r="A1000" s="8"/>
      <c r="B1000" s="8"/>
      <c r="C1000" s="8"/>
      <c r="D1000" s="8"/>
      <c r="E1000" s="8"/>
      <c r="F1000" s="8"/>
      <c r="G1000" s="8"/>
      <c r="H1000" s="12"/>
      <c r="I1000" s="42" t="s">
        <v>40</v>
      </c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</row>
    <row r="1001" spans="1:19" ht="16.8" x14ac:dyDescent="0.3">
      <c r="A1001" s="8"/>
      <c r="B1001" s="8"/>
      <c r="C1001" s="8"/>
      <c r="D1001" s="8"/>
      <c r="E1001" s="8"/>
      <c r="F1001" s="8"/>
      <c r="G1001" s="8"/>
      <c r="H1001" s="12"/>
      <c r="I1001" s="12"/>
      <c r="J1001" s="12"/>
      <c r="K1001" s="12"/>
      <c r="L1001" s="8"/>
      <c r="M1001" s="8"/>
      <c r="N1001" s="8"/>
      <c r="O1001" s="8"/>
      <c r="P1001" s="8"/>
      <c r="Q1001" s="8"/>
    </row>
    <row r="1002" spans="1:19" ht="33" customHeight="1" x14ac:dyDescent="0.3">
      <c r="A1002" s="8"/>
      <c r="B1002" s="8"/>
      <c r="C1002" s="8"/>
      <c r="D1002" s="8"/>
      <c r="E1002" s="8"/>
      <c r="F1002" s="8"/>
      <c r="G1002" s="8"/>
      <c r="H1002" s="12"/>
      <c r="I1002" s="12"/>
      <c r="J1002" s="12"/>
      <c r="K1002" s="12"/>
      <c r="L1002" s="8"/>
      <c r="M1002" s="8"/>
      <c r="N1002" s="8"/>
      <c r="O1002" s="8"/>
      <c r="P1002" s="8"/>
      <c r="Q1002" s="8"/>
    </row>
    <row r="1003" spans="1:19" ht="11.25" customHeight="1" x14ac:dyDescent="0.3">
      <c r="A1003" s="8"/>
      <c r="B1003" s="8"/>
      <c r="C1003" s="8"/>
      <c r="D1003" s="8"/>
      <c r="E1003" s="8"/>
      <c r="F1003" s="8"/>
      <c r="G1003" s="8"/>
      <c r="H1003" s="12"/>
      <c r="I1003" s="12"/>
      <c r="J1003" s="12"/>
      <c r="K1003" s="12"/>
      <c r="L1003" s="8"/>
      <c r="M1003" s="8"/>
      <c r="N1003" s="8"/>
      <c r="O1003" s="8"/>
      <c r="P1003" s="8"/>
      <c r="Q1003" s="8"/>
    </row>
    <row r="1004" spans="1:19" ht="17.399999999999999" x14ac:dyDescent="0.3">
      <c r="A1004" s="8"/>
      <c r="B1004" s="8"/>
      <c r="C1004" s="8"/>
      <c r="D1004" s="8"/>
      <c r="E1004" s="8"/>
      <c r="F1004" s="8"/>
      <c r="G1004" s="47" t="s">
        <v>41</v>
      </c>
      <c r="H1004" s="47"/>
      <c r="I1004" s="47"/>
      <c r="J1004" s="47"/>
      <c r="K1004" s="47"/>
      <c r="L1004" s="47"/>
      <c r="M1004" s="47"/>
      <c r="N1004" s="47"/>
      <c r="O1004" s="47"/>
      <c r="P1004" s="47"/>
      <c r="Q1004" s="47"/>
      <c r="R1004" s="47"/>
      <c r="S1004" s="47"/>
    </row>
    <row r="1005" spans="1:19" ht="54" customHeight="1" x14ac:dyDescent="0.25">
      <c r="A1005" s="48" t="s">
        <v>33</v>
      </c>
      <c r="B1005" s="48"/>
      <c r="C1005" s="48"/>
      <c r="D1005" s="48"/>
      <c r="E1005" s="48"/>
      <c r="F1005" s="42" t="s">
        <v>24</v>
      </c>
      <c r="G1005" s="42"/>
      <c r="H1005" s="42"/>
      <c r="I1005" s="42"/>
      <c r="J1005" s="42"/>
      <c r="K1005" s="42"/>
      <c r="L1005" s="42"/>
      <c r="M1005" s="42"/>
      <c r="N1005" s="42"/>
      <c r="O1005" s="42"/>
      <c r="P1005" s="42"/>
      <c r="Q1005" s="42"/>
      <c r="R1005" s="42"/>
      <c r="S1005" s="42"/>
    </row>
    <row r="1006" spans="1:19" ht="17.399999999999999" x14ac:dyDescent="0.25">
      <c r="A1006" s="49" t="s">
        <v>34</v>
      </c>
      <c r="B1006" s="49"/>
      <c r="C1006" s="49"/>
      <c r="D1006" s="49"/>
      <c r="E1006" s="49"/>
      <c r="F1006" s="49"/>
      <c r="G1006" s="49"/>
      <c r="H1006" s="49"/>
      <c r="I1006" s="49"/>
      <c r="J1006" s="49"/>
      <c r="K1006" s="49"/>
      <c r="L1006" s="49"/>
      <c r="M1006" s="49"/>
      <c r="N1006" s="49"/>
      <c r="O1006" s="49"/>
      <c r="P1006" s="49"/>
      <c r="Q1006" s="49"/>
    </row>
    <row r="1007" spans="1:19" ht="4.5" customHeight="1" x14ac:dyDescent="0.25">
      <c r="A1007" s="50"/>
      <c r="B1007" s="50"/>
      <c r="C1007" s="50"/>
      <c r="D1007" s="50"/>
      <c r="E1007" s="50"/>
      <c r="F1007" s="50"/>
      <c r="G1007" s="50"/>
      <c r="H1007" s="50"/>
      <c r="I1007" s="50"/>
      <c r="J1007" s="50"/>
      <c r="K1007" s="50"/>
      <c r="L1007" s="50"/>
      <c r="M1007" s="50"/>
      <c r="N1007" s="50"/>
      <c r="O1007" s="50"/>
      <c r="P1007" s="50"/>
      <c r="Q1007" s="50"/>
    </row>
    <row r="1008" spans="1:19" ht="5.25" customHeight="1" x14ac:dyDescent="0.25">
      <c r="A1008" s="50"/>
      <c r="B1008" s="50"/>
      <c r="C1008" s="50"/>
      <c r="D1008" s="50"/>
      <c r="E1008" s="50"/>
      <c r="F1008" s="50"/>
      <c r="G1008" s="50"/>
      <c r="H1008" s="50"/>
      <c r="I1008" s="50"/>
      <c r="J1008" s="50"/>
      <c r="K1008" s="50"/>
      <c r="L1008" s="50"/>
      <c r="M1008" s="50"/>
      <c r="N1008" s="50"/>
      <c r="O1008" s="50"/>
      <c r="P1008" s="50"/>
      <c r="Q1008" s="50"/>
    </row>
    <row r="1009" spans="1:20" ht="16.5" customHeight="1" x14ac:dyDescent="0.25">
      <c r="A1009" s="54" t="s">
        <v>173</v>
      </c>
      <c r="B1009" s="54"/>
      <c r="C1009" s="54"/>
      <c r="D1009" s="54"/>
      <c r="E1009" s="54"/>
      <c r="F1009" s="54"/>
      <c r="G1009" s="58" t="s">
        <v>174</v>
      </c>
      <c r="H1009" s="58"/>
      <c r="I1009" s="58"/>
      <c r="J1009" s="58"/>
      <c r="K1009" s="58"/>
      <c r="L1009" s="58"/>
      <c r="M1009" s="58"/>
      <c r="N1009" s="58"/>
      <c r="O1009" s="58"/>
      <c r="P1009" s="58"/>
      <c r="Q1009" s="58"/>
      <c r="R1009" s="58"/>
      <c r="S1009" s="58"/>
    </row>
    <row r="1010" spans="1:20" ht="16.5" customHeight="1" x14ac:dyDescent="0.25">
      <c r="A1010" s="54" t="s">
        <v>175</v>
      </c>
      <c r="B1010" s="54"/>
      <c r="C1010" s="54"/>
      <c r="D1010" s="54"/>
      <c r="E1010" s="54"/>
      <c r="F1010" s="54"/>
      <c r="G1010" s="8" t="s">
        <v>46</v>
      </c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T1010" s="2"/>
    </row>
    <row r="1011" spans="1:20" ht="16.5" customHeight="1" x14ac:dyDescent="0.25">
      <c r="A1011" s="54" t="s">
        <v>47</v>
      </c>
      <c r="B1011" s="54"/>
      <c r="C1011" s="54"/>
      <c r="D1011" s="54"/>
      <c r="E1011" s="54"/>
      <c r="F1011" s="54"/>
      <c r="G1011" s="58" t="s">
        <v>48</v>
      </c>
      <c r="H1011" s="58"/>
      <c r="I1011" s="58"/>
      <c r="J1011" s="58"/>
      <c r="K1011" s="58"/>
      <c r="L1011" s="58"/>
      <c r="M1011" s="58"/>
      <c r="N1011" s="58"/>
      <c r="O1011" s="58"/>
      <c r="P1011" s="58"/>
      <c r="Q1011" s="58"/>
      <c r="R1011" s="58"/>
      <c r="S1011" s="58"/>
    </row>
    <row r="1012" spans="1:20" ht="5.25" customHeight="1" x14ac:dyDescent="0.25">
      <c r="A1012" s="8"/>
      <c r="B1012" s="8"/>
      <c r="C1012" s="8"/>
      <c r="D1012" s="8"/>
      <c r="E1012" s="8"/>
      <c r="F1012" s="8"/>
      <c r="G1012" s="8"/>
      <c r="H1012" s="8"/>
      <c r="I1012" s="8"/>
      <c r="J1012" s="19"/>
      <c r="K1012" s="19"/>
      <c r="L1012" s="19"/>
      <c r="M1012" s="19"/>
      <c r="N1012" s="19"/>
      <c r="O1012" s="19"/>
      <c r="P1012" s="19"/>
      <c r="Q1012" s="19"/>
    </row>
    <row r="1013" spans="1:20" ht="15" customHeight="1" x14ac:dyDescent="0.25">
      <c r="A1013" s="36" t="s">
        <v>0</v>
      </c>
      <c r="B1013" s="29" t="s">
        <v>1</v>
      </c>
      <c r="C1013" s="30"/>
      <c r="D1013" s="30"/>
      <c r="E1013" s="30"/>
      <c r="F1013" s="30"/>
      <c r="G1013" s="31"/>
      <c r="H1013" s="36" t="s">
        <v>32</v>
      </c>
      <c r="I1013" s="36" t="s">
        <v>39</v>
      </c>
      <c r="J1013" s="55" t="s">
        <v>2</v>
      </c>
      <c r="K1013" s="56"/>
      <c r="L1013" s="56"/>
      <c r="M1013" s="56"/>
      <c r="N1013" s="56"/>
      <c r="O1013" s="56"/>
      <c r="P1013" s="56"/>
      <c r="Q1013" s="57"/>
      <c r="S1013" s="36" t="s">
        <v>38</v>
      </c>
    </row>
    <row r="1014" spans="1:20" ht="24" customHeight="1" x14ac:dyDescent="0.25">
      <c r="A1014" s="37"/>
      <c r="B1014" s="32"/>
      <c r="C1014" s="33"/>
      <c r="D1014" s="33"/>
      <c r="E1014" s="33"/>
      <c r="F1014" s="33"/>
      <c r="G1014" s="34"/>
      <c r="H1014" s="37"/>
      <c r="I1014" s="37"/>
      <c r="J1014" s="7" t="s">
        <v>28</v>
      </c>
      <c r="K1014" s="7" t="s">
        <v>29</v>
      </c>
      <c r="L1014" s="7" t="s">
        <v>30</v>
      </c>
      <c r="M1014" s="7"/>
      <c r="N1014" s="7"/>
      <c r="O1014" s="6" t="s">
        <v>35</v>
      </c>
      <c r="P1014" s="6" t="s">
        <v>36</v>
      </c>
      <c r="Q1014" s="6" t="s">
        <v>37</v>
      </c>
      <c r="S1014" s="37"/>
    </row>
    <row r="1015" spans="1:20" ht="20.25" customHeight="1" x14ac:dyDescent="0.25">
      <c r="A1015" s="27" t="s">
        <v>54</v>
      </c>
      <c r="B1015" s="28"/>
      <c r="C1015" s="28"/>
      <c r="D1015" s="28"/>
      <c r="E1015" s="28"/>
      <c r="F1015" s="28"/>
      <c r="G1015" s="28"/>
      <c r="H1015" s="28"/>
      <c r="I1015" s="28"/>
      <c r="J1015" s="28"/>
      <c r="K1015" s="28"/>
      <c r="L1015" s="28"/>
      <c r="M1015" s="28"/>
      <c r="N1015" s="28"/>
      <c r="O1015" s="28"/>
      <c r="P1015" s="28"/>
      <c r="Q1015" s="28"/>
      <c r="R1015" s="28"/>
      <c r="S1015" s="28"/>
    </row>
    <row r="1016" spans="1:20" ht="16.5" customHeight="1" x14ac:dyDescent="0.25">
      <c r="A1016" s="9"/>
      <c r="B1016" s="51" t="s">
        <v>55</v>
      </c>
      <c r="C1016" s="52"/>
      <c r="D1016" s="52"/>
      <c r="E1016" s="52"/>
      <c r="F1016" s="52"/>
      <c r="G1016" s="53"/>
      <c r="H1016" s="20"/>
      <c r="I1016" s="9">
        <v>2</v>
      </c>
      <c r="J1016" s="9"/>
      <c r="K1016" s="9"/>
      <c r="L1016" s="9"/>
      <c r="M1016" s="9">
        <f t="shared" ref="M1016:M1024" si="126">I1016*O1016</f>
        <v>14.2</v>
      </c>
      <c r="N1016" s="9">
        <f t="shared" ref="N1016:N1024" si="127">I1016*P1016</f>
        <v>6</v>
      </c>
      <c r="O1016" s="9">
        <v>7.1</v>
      </c>
      <c r="P1016" s="9">
        <v>3</v>
      </c>
      <c r="Q1016" s="9" t="s">
        <v>6</v>
      </c>
      <c r="R1016" s="1">
        <v>0</v>
      </c>
      <c r="S1016" s="26"/>
    </row>
    <row r="1017" spans="1:20" ht="16.5" customHeight="1" x14ac:dyDescent="0.25">
      <c r="A1017" s="9"/>
      <c r="B1017" s="51" t="s">
        <v>56</v>
      </c>
      <c r="C1017" s="52"/>
      <c r="D1017" s="52"/>
      <c r="E1017" s="52"/>
      <c r="F1017" s="52"/>
      <c r="G1017" s="53"/>
      <c r="H1017" s="20"/>
      <c r="I1017" s="9">
        <v>3</v>
      </c>
      <c r="J1017" s="9"/>
      <c r="K1017" s="9"/>
      <c r="L1017" s="9"/>
      <c r="M1017" s="9">
        <f t="shared" si="126"/>
        <v>20.100000000000001</v>
      </c>
      <c r="N1017" s="9">
        <f t="shared" si="127"/>
        <v>7.5</v>
      </c>
      <c r="O1017" s="9">
        <v>6.7</v>
      </c>
      <c r="P1017" s="9">
        <v>2.5</v>
      </c>
      <c r="Q1017" s="9" t="s">
        <v>5</v>
      </c>
      <c r="R1017" s="1">
        <v>0</v>
      </c>
      <c r="S1017" s="26"/>
    </row>
    <row r="1018" spans="1:20" ht="31.2" customHeight="1" x14ac:dyDescent="0.25">
      <c r="A1018" s="9"/>
      <c r="B1018" s="51" t="s">
        <v>57</v>
      </c>
      <c r="C1018" s="52"/>
      <c r="D1018" s="52"/>
      <c r="E1018" s="52"/>
      <c r="F1018" s="52"/>
      <c r="G1018" s="53"/>
      <c r="H1018" s="20"/>
      <c r="I1018" s="9">
        <v>3</v>
      </c>
      <c r="J1018" s="9"/>
      <c r="K1018" s="9"/>
      <c r="L1018" s="9"/>
      <c r="M1018" s="9">
        <f t="shared" si="126"/>
        <v>21.9</v>
      </c>
      <c r="N1018" s="9">
        <f t="shared" si="127"/>
        <v>9</v>
      </c>
      <c r="O1018" s="9">
        <v>7.3</v>
      </c>
      <c r="P1018" s="9">
        <v>3</v>
      </c>
      <c r="Q1018" s="9" t="s">
        <v>6</v>
      </c>
      <c r="R1018" s="1">
        <v>0</v>
      </c>
      <c r="S1018" s="26"/>
    </row>
    <row r="1019" spans="1:20" ht="16.5" customHeight="1" x14ac:dyDescent="0.25">
      <c r="A1019" s="9"/>
      <c r="B1019" s="51" t="s">
        <v>58</v>
      </c>
      <c r="C1019" s="52"/>
      <c r="D1019" s="52"/>
      <c r="E1019" s="52"/>
      <c r="F1019" s="52"/>
      <c r="G1019" s="53"/>
      <c r="H1019" s="20"/>
      <c r="I1019" s="9">
        <v>1</v>
      </c>
      <c r="J1019" s="9"/>
      <c r="K1019" s="9"/>
      <c r="L1019" s="9"/>
      <c r="M1019" s="9">
        <f t="shared" si="126"/>
        <v>6.1</v>
      </c>
      <c r="N1019" s="9">
        <f t="shared" si="127"/>
        <v>2</v>
      </c>
      <c r="O1019" s="9">
        <v>6.1</v>
      </c>
      <c r="P1019" s="9">
        <v>2</v>
      </c>
      <c r="Q1019" s="9" t="s">
        <v>3</v>
      </c>
      <c r="R1019" s="1">
        <v>0</v>
      </c>
      <c r="S1019" s="26"/>
    </row>
    <row r="1020" spans="1:20" ht="16.5" customHeight="1" x14ac:dyDescent="0.25">
      <c r="A1020" s="9"/>
      <c r="B1020" s="51" t="s">
        <v>59</v>
      </c>
      <c r="C1020" s="52"/>
      <c r="D1020" s="52"/>
      <c r="E1020" s="52"/>
      <c r="F1020" s="52"/>
      <c r="G1020" s="53"/>
      <c r="H1020" s="20"/>
      <c r="I1020" s="9">
        <v>1</v>
      </c>
      <c r="J1020" s="9"/>
      <c r="K1020" s="9"/>
      <c r="L1020" s="9"/>
      <c r="M1020" s="9">
        <f t="shared" si="126"/>
        <v>6.8</v>
      </c>
      <c r="N1020" s="9">
        <f t="shared" si="127"/>
        <v>2.5</v>
      </c>
      <c r="O1020" s="9">
        <v>6.8</v>
      </c>
      <c r="P1020" s="9">
        <v>2.5</v>
      </c>
      <c r="Q1020" s="9" t="s">
        <v>5</v>
      </c>
      <c r="R1020" s="1">
        <v>0</v>
      </c>
      <c r="S1020" s="26"/>
    </row>
    <row r="1021" spans="1:20" ht="16.5" customHeight="1" x14ac:dyDescent="0.25">
      <c r="A1021" s="9"/>
      <c r="B1021" s="51" t="s">
        <v>60</v>
      </c>
      <c r="C1021" s="52"/>
      <c r="D1021" s="52"/>
      <c r="E1021" s="52"/>
      <c r="F1021" s="52"/>
      <c r="G1021" s="53"/>
      <c r="H1021" s="20"/>
      <c r="I1021" s="9">
        <v>3</v>
      </c>
      <c r="J1021" s="9"/>
      <c r="K1021" s="9"/>
      <c r="L1021" s="9"/>
      <c r="M1021" s="9">
        <f t="shared" si="126"/>
        <v>24.299999999999997</v>
      </c>
      <c r="N1021" s="9">
        <f t="shared" si="127"/>
        <v>10.5</v>
      </c>
      <c r="O1021" s="9">
        <v>8.1</v>
      </c>
      <c r="P1021" s="9">
        <v>3.5</v>
      </c>
      <c r="Q1021" s="9" t="s">
        <v>9</v>
      </c>
      <c r="R1021" s="1">
        <v>0</v>
      </c>
      <c r="S1021" s="26"/>
    </row>
    <row r="1022" spans="1:20" ht="16.5" customHeight="1" x14ac:dyDescent="0.25">
      <c r="A1022" s="9"/>
      <c r="B1022" s="51" t="s">
        <v>61</v>
      </c>
      <c r="C1022" s="52"/>
      <c r="D1022" s="52"/>
      <c r="E1022" s="52"/>
      <c r="F1022" s="52"/>
      <c r="G1022" s="53"/>
      <c r="H1022" s="20"/>
      <c r="I1022" s="9">
        <v>1</v>
      </c>
      <c r="J1022" s="9"/>
      <c r="K1022" s="9"/>
      <c r="L1022" s="9"/>
      <c r="M1022" s="9">
        <f t="shared" si="126"/>
        <v>8.1999999999999993</v>
      </c>
      <c r="N1022" s="9">
        <f t="shared" si="127"/>
        <v>3.5</v>
      </c>
      <c r="O1022" s="9">
        <v>8.1999999999999993</v>
      </c>
      <c r="P1022" s="9">
        <v>3.5</v>
      </c>
      <c r="Q1022" s="9" t="s">
        <v>9</v>
      </c>
      <c r="R1022" s="1">
        <v>0</v>
      </c>
      <c r="S1022" s="26"/>
    </row>
    <row r="1023" spans="1:20" ht="16.5" hidden="1" customHeight="1" x14ac:dyDescent="0.25">
      <c r="A1023" s="21"/>
      <c r="H1023" s="21"/>
      <c r="I1023" s="21"/>
      <c r="J1023" s="21"/>
      <c r="K1023" s="21"/>
      <c r="L1023" s="21"/>
      <c r="M1023" s="9">
        <f t="shared" si="126"/>
        <v>0</v>
      </c>
      <c r="N1023" s="9">
        <f t="shared" si="127"/>
        <v>0</v>
      </c>
      <c r="O1023" s="21"/>
      <c r="P1023" s="21"/>
      <c r="Q1023" s="21"/>
      <c r="S1023" s="25"/>
    </row>
    <row r="1024" spans="1:20" ht="16.5" customHeight="1" x14ac:dyDescent="0.25">
      <c r="A1024" s="9"/>
      <c r="B1024" s="39" t="s">
        <v>42</v>
      </c>
      <c r="C1024" s="40"/>
      <c r="D1024" s="40"/>
      <c r="E1024" s="40"/>
      <c r="F1024" s="40"/>
      <c r="G1024" s="41"/>
      <c r="H1024" s="23"/>
      <c r="I1024" s="24">
        <f>SUM(I1016:I1023)</f>
        <v>14</v>
      </c>
      <c r="J1024" s="9"/>
      <c r="K1024" s="9"/>
      <c r="L1024" s="9"/>
      <c r="M1024" s="9">
        <f t="shared" si="126"/>
        <v>101.64</v>
      </c>
      <c r="N1024" s="9">
        <f t="shared" si="127"/>
        <v>41.02</v>
      </c>
      <c r="O1024" s="24">
        <f>ROUND(SUM(M1016:M1023)/I1024,2)</f>
        <v>7.26</v>
      </c>
      <c r="P1024" s="24">
        <f>ROUND(SUM(N1016:N1023)/I1024,2)</f>
        <v>2.93</v>
      </c>
      <c r="Q1024" s="9"/>
      <c r="S1024" s="25"/>
    </row>
    <row r="1025" spans="1:19" ht="20.25" customHeight="1" x14ac:dyDescent="0.25">
      <c r="A1025" s="27" t="s">
        <v>62</v>
      </c>
      <c r="B1025" s="28"/>
      <c r="C1025" s="28"/>
      <c r="D1025" s="28"/>
      <c r="E1025" s="28"/>
      <c r="F1025" s="28"/>
      <c r="G1025" s="28"/>
      <c r="H1025" s="28"/>
      <c r="I1025" s="28"/>
      <c r="J1025" s="28"/>
      <c r="K1025" s="28"/>
      <c r="L1025" s="28"/>
      <c r="M1025" s="28"/>
      <c r="N1025" s="28"/>
      <c r="O1025" s="28"/>
      <c r="P1025" s="28"/>
      <c r="Q1025" s="28"/>
      <c r="R1025" s="28"/>
      <c r="S1025" s="28"/>
    </row>
    <row r="1026" spans="1:19" ht="16.5" customHeight="1" x14ac:dyDescent="0.25">
      <c r="A1026" s="9"/>
      <c r="B1026" s="51" t="s">
        <v>63</v>
      </c>
      <c r="C1026" s="52"/>
      <c r="D1026" s="52"/>
      <c r="E1026" s="52"/>
      <c r="F1026" s="52"/>
      <c r="G1026" s="53"/>
      <c r="H1026" s="20"/>
      <c r="I1026" s="9">
        <v>4</v>
      </c>
      <c r="J1026" s="9"/>
      <c r="K1026" s="9"/>
      <c r="L1026" s="9"/>
      <c r="M1026" s="9">
        <f t="shared" ref="M1026:M1034" si="128">I1026*O1026</f>
        <v>26</v>
      </c>
      <c r="N1026" s="9">
        <f t="shared" ref="N1026:N1034" si="129">I1026*P1026</f>
        <v>10</v>
      </c>
      <c r="O1026" s="9">
        <v>6.5</v>
      </c>
      <c r="P1026" s="9">
        <v>2.5</v>
      </c>
      <c r="Q1026" s="9" t="s">
        <v>5</v>
      </c>
      <c r="R1026" s="1">
        <v>0</v>
      </c>
      <c r="S1026" s="26"/>
    </row>
    <row r="1027" spans="1:19" ht="16.5" customHeight="1" x14ac:dyDescent="0.25">
      <c r="A1027" s="9"/>
      <c r="B1027" s="51" t="s">
        <v>64</v>
      </c>
      <c r="C1027" s="52"/>
      <c r="D1027" s="52"/>
      <c r="E1027" s="52"/>
      <c r="F1027" s="52"/>
      <c r="G1027" s="53"/>
      <c r="H1027" s="20"/>
      <c r="I1027" s="9">
        <v>4</v>
      </c>
      <c r="J1027" s="9"/>
      <c r="K1027" s="9"/>
      <c r="L1027" s="9"/>
      <c r="M1027" s="9">
        <f t="shared" si="128"/>
        <v>22</v>
      </c>
      <c r="N1027" s="9">
        <f t="shared" si="129"/>
        <v>8</v>
      </c>
      <c r="O1027" s="9">
        <v>5.5</v>
      </c>
      <c r="P1027" s="9">
        <v>2</v>
      </c>
      <c r="Q1027" s="9" t="s">
        <v>3</v>
      </c>
      <c r="R1027" s="1">
        <v>0</v>
      </c>
      <c r="S1027" s="26"/>
    </row>
    <row r="1028" spans="1:19" ht="16.5" customHeight="1" x14ac:dyDescent="0.25">
      <c r="A1028" s="9"/>
      <c r="B1028" s="51" t="s">
        <v>65</v>
      </c>
      <c r="C1028" s="52"/>
      <c r="D1028" s="52"/>
      <c r="E1028" s="52"/>
      <c r="F1028" s="52"/>
      <c r="G1028" s="53"/>
      <c r="H1028" s="20"/>
      <c r="I1028" s="9">
        <v>4</v>
      </c>
      <c r="J1028" s="9"/>
      <c r="K1028" s="9"/>
      <c r="L1028" s="9"/>
      <c r="M1028" s="9">
        <f t="shared" si="128"/>
        <v>23.6</v>
      </c>
      <c r="N1028" s="9">
        <f t="shared" si="129"/>
        <v>8</v>
      </c>
      <c r="O1028" s="9">
        <v>5.9</v>
      </c>
      <c r="P1028" s="9">
        <v>2</v>
      </c>
      <c r="Q1028" s="9" t="s">
        <v>3</v>
      </c>
      <c r="R1028" s="1">
        <v>0</v>
      </c>
      <c r="S1028" s="26"/>
    </row>
    <row r="1029" spans="1:19" ht="16.5" customHeight="1" x14ac:dyDescent="0.25">
      <c r="A1029" s="9"/>
      <c r="B1029" s="51" t="s">
        <v>66</v>
      </c>
      <c r="C1029" s="52"/>
      <c r="D1029" s="52"/>
      <c r="E1029" s="52"/>
      <c r="F1029" s="52"/>
      <c r="G1029" s="53"/>
      <c r="H1029" s="20"/>
      <c r="I1029" s="9">
        <v>1</v>
      </c>
      <c r="J1029" s="9"/>
      <c r="K1029" s="9"/>
      <c r="L1029" s="9"/>
      <c r="M1029" s="9">
        <f t="shared" si="128"/>
        <v>7</v>
      </c>
      <c r="N1029" s="9">
        <f t="shared" si="129"/>
        <v>3</v>
      </c>
      <c r="O1029" s="9">
        <v>7</v>
      </c>
      <c r="P1029" s="9">
        <v>3</v>
      </c>
      <c r="Q1029" s="9" t="s">
        <v>6</v>
      </c>
      <c r="R1029" s="1">
        <v>0</v>
      </c>
      <c r="S1029" s="26"/>
    </row>
    <row r="1030" spans="1:19" ht="16.5" customHeight="1" x14ac:dyDescent="0.25">
      <c r="A1030" s="9"/>
      <c r="B1030" s="51" t="s">
        <v>67</v>
      </c>
      <c r="C1030" s="52"/>
      <c r="D1030" s="52"/>
      <c r="E1030" s="52"/>
      <c r="F1030" s="52"/>
      <c r="G1030" s="53"/>
      <c r="H1030" s="20"/>
      <c r="I1030" s="9">
        <v>1</v>
      </c>
      <c r="J1030" s="9"/>
      <c r="K1030" s="9"/>
      <c r="L1030" s="9"/>
      <c r="M1030" s="9">
        <f t="shared" si="128"/>
        <v>7.1</v>
      </c>
      <c r="N1030" s="9">
        <f t="shared" si="129"/>
        <v>3</v>
      </c>
      <c r="O1030" s="9">
        <v>7.1</v>
      </c>
      <c r="P1030" s="9">
        <v>3</v>
      </c>
      <c r="Q1030" s="9" t="s">
        <v>6</v>
      </c>
      <c r="R1030" s="1">
        <v>0</v>
      </c>
      <c r="S1030" s="26"/>
    </row>
    <row r="1031" spans="1:19" ht="16.5" customHeight="1" x14ac:dyDescent="0.25">
      <c r="A1031" s="9"/>
      <c r="B1031" s="51" t="s">
        <v>68</v>
      </c>
      <c r="C1031" s="52"/>
      <c r="D1031" s="52"/>
      <c r="E1031" s="52"/>
      <c r="F1031" s="52"/>
      <c r="G1031" s="53"/>
      <c r="H1031" s="20"/>
      <c r="I1031" s="9">
        <v>1</v>
      </c>
      <c r="J1031" s="9"/>
      <c r="K1031" s="9"/>
      <c r="L1031" s="9"/>
      <c r="M1031" s="9">
        <f t="shared" si="128"/>
        <v>7.3</v>
      </c>
      <c r="N1031" s="9">
        <f t="shared" si="129"/>
        <v>3</v>
      </c>
      <c r="O1031" s="9">
        <v>7.3</v>
      </c>
      <c r="P1031" s="9">
        <v>3</v>
      </c>
      <c r="Q1031" s="9" t="s">
        <v>6</v>
      </c>
      <c r="R1031" s="1">
        <v>0</v>
      </c>
      <c r="S1031" s="26"/>
    </row>
    <row r="1032" spans="1:19" ht="16.5" customHeight="1" x14ac:dyDescent="0.25">
      <c r="A1032" s="9"/>
      <c r="B1032" s="51" t="s">
        <v>69</v>
      </c>
      <c r="C1032" s="52"/>
      <c r="D1032" s="52"/>
      <c r="E1032" s="52"/>
      <c r="F1032" s="52"/>
      <c r="G1032" s="53"/>
      <c r="H1032" s="20"/>
      <c r="I1032" s="9">
        <v>1</v>
      </c>
      <c r="J1032" s="9"/>
      <c r="K1032" s="9"/>
      <c r="L1032" s="9"/>
      <c r="M1032" s="9">
        <f t="shared" si="128"/>
        <v>6.7</v>
      </c>
      <c r="N1032" s="9">
        <f t="shared" si="129"/>
        <v>2.5</v>
      </c>
      <c r="O1032" s="9">
        <v>6.7</v>
      </c>
      <c r="P1032" s="9">
        <v>2.5</v>
      </c>
      <c r="Q1032" s="9" t="s">
        <v>5</v>
      </c>
      <c r="R1032" s="1">
        <v>0</v>
      </c>
      <c r="S1032" s="26"/>
    </row>
    <row r="1033" spans="1:19" ht="16.5" hidden="1" customHeight="1" x14ac:dyDescent="0.25">
      <c r="A1033" s="21"/>
      <c r="H1033" s="21"/>
      <c r="I1033" s="21"/>
      <c r="J1033" s="21"/>
      <c r="K1033" s="21"/>
      <c r="L1033" s="21"/>
      <c r="M1033" s="9">
        <f t="shared" si="128"/>
        <v>0</v>
      </c>
      <c r="N1033" s="9">
        <f t="shared" si="129"/>
        <v>0</v>
      </c>
      <c r="O1033" s="21"/>
      <c r="P1033" s="21"/>
      <c r="Q1033" s="21"/>
      <c r="S1033" s="25"/>
    </row>
    <row r="1034" spans="1:19" ht="16.5" customHeight="1" x14ac:dyDescent="0.25">
      <c r="A1034" s="9"/>
      <c r="B1034" s="39" t="s">
        <v>42</v>
      </c>
      <c r="C1034" s="40"/>
      <c r="D1034" s="40"/>
      <c r="E1034" s="40"/>
      <c r="F1034" s="40"/>
      <c r="G1034" s="41"/>
      <c r="H1034" s="23"/>
      <c r="I1034" s="24">
        <f>SUM(I1026:I1033)</f>
        <v>16</v>
      </c>
      <c r="J1034" s="9"/>
      <c r="K1034" s="9"/>
      <c r="L1034" s="9"/>
      <c r="M1034" s="9">
        <f t="shared" si="128"/>
        <v>99.68</v>
      </c>
      <c r="N1034" s="9">
        <f t="shared" si="129"/>
        <v>37.44</v>
      </c>
      <c r="O1034" s="24">
        <f>ROUND(SUM(M1026:M1033)/I1034,2)</f>
        <v>6.23</v>
      </c>
      <c r="P1034" s="24">
        <f>ROUND(SUM(N1026:N1033)/I1034,2)</f>
        <v>2.34</v>
      </c>
      <c r="Q1034" s="9"/>
      <c r="S1034" s="25"/>
    </row>
    <row r="1035" spans="1:19" ht="20.25" customHeight="1" x14ac:dyDescent="0.25">
      <c r="A1035" s="27" t="s">
        <v>70</v>
      </c>
      <c r="B1035" s="28"/>
      <c r="C1035" s="28"/>
      <c r="D1035" s="28"/>
      <c r="E1035" s="28"/>
      <c r="F1035" s="28"/>
      <c r="G1035" s="28"/>
      <c r="H1035" s="28"/>
      <c r="I1035" s="28"/>
      <c r="J1035" s="28"/>
      <c r="K1035" s="28"/>
      <c r="L1035" s="28"/>
      <c r="M1035" s="28"/>
      <c r="N1035" s="28"/>
      <c r="O1035" s="28"/>
      <c r="P1035" s="28"/>
      <c r="Q1035" s="28"/>
      <c r="R1035" s="28"/>
      <c r="S1035" s="28"/>
    </row>
    <row r="1036" spans="1:19" ht="16.5" customHeight="1" x14ac:dyDescent="0.25">
      <c r="A1036" s="9"/>
      <c r="B1036" s="51" t="s">
        <v>71</v>
      </c>
      <c r="C1036" s="52"/>
      <c r="D1036" s="52"/>
      <c r="E1036" s="52"/>
      <c r="F1036" s="52"/>
      <c r="G1036" s="53"/>
      <c r="H1036" s="20"/>
      <c r="I1036" s="9">
        <v>4</v>
      </c>
      <c r="J1036" s="9"/>
      <c r="K1036" s="9"/>
      <c r="L1036" s="9"/>
      <c r="M1036" s="9">
        <f t="shared" ref="M1036:M1045" si="130">I1036*O1036</f>
        <v>21.2</v>
      </c>
      <c r="N1036" s="9">
        <f t="shared" ref="N1036:N1045" si="131">I1036*P1036</f>
        <v>6</v>
      </c>
      <c r="O1036" s="9">
        <v>5.3</v>
      </c>
      <c r="P1036" s="9">
        <v>1.5</v>
      </c>
      <c r="Q1036" s="9" t="s">
        <v>4</v>
      </c>
      <c r="R1036" s="1">
        <v>0</v>
      </c>
      <c r="S1036" s="26"/>
    </row>
    <row r="1037" spans="1:19" ht="16.5" customHeight="1" x14ac:dyDescent="0.25">
      <c r="A1037" s="9"/>
      <c r="B1037" s="51" t="s">
        <v>72</v>
      </c>
      <c r="C1037" s="52"/>
      <c r="D1037" s="52"/>
      <c r="E1037" s="52"/>
      <c r="F1037" s="52"/>
      <c r="G1037" s="53"/>
      <c r="H1037" s="20"/>
      <c r="I1037" s="9">
        <v>4</v>
      </c>
      <c r="J1037" s="9"/>
      <c r="K1037" s="9"/>
      <c r="L1037" s="9"/>
      <c r="M1037" s="9">
        <f t="shared" si="130"/>
        <v>24.4</v>
      </c>
      <c r="N1037" s="9">
        <f t="shared" si="131"/>
        <v>8</v>
      </c>
      <c r="O1037" s="9">
        <v>6.1</v>
      </c>
      <c r="P1037" s="9">
        <v>2</v>
      </c>
      <c r="Q1037" s="9" t="s">
        <v>3</v>
      </c>
      <c r="R1037" s="1">
        <v>0</v>
      </c>
      <c r="S1037" s="26"/>
    </row>
    <row r="1038" spans="1:19" ht="16.5" customHeight="1" x14ac:dyDescent="0.25">
      <c r="A1038" s="9"/>
      <c r="B1038" s="51" t="s">
        <v>73</v>
      </c>
      <c r="C1038" s="52"/>
      <c r="D1038" s="52"/>
      <c r="E1038" s="52"/>
      <c r="F1038" s="52"/>
      <c r="G1038" s="53"/>
      <c r="H1038" s="20"/>
      <c r="I1038" s="9">
        <v>2</v>
      </c>
      <c r="J1038" s="9"/>
      <c r="K1038" s="9"/>
      <c r="L1038" s="9"/>
      <c r="M1038" s="9">
        <f t="shared" si="130"/>
        <v>13.8</v>
      </c>
      <c r="N1038" s="9">
        <f t="shared" si="131"/>
        <v>5</v>
      </c>
      <c r="O1038" s="9">
        <v>6.9</v>
      </c>
      <c r="P1038" s="9">
        <v>2.5</v>
      </c>
      <c r="Q1038" s="9" t="s">
        <v>5</v>
      </c>
      <c r="R1038" s="1">
        <v>0</v>
      </c>
      <c r="S1038" s="26"/>
    </row>
    <row r="1039" spans="1:19" ht="16.5" customHeight="1" x14ac:dyDescent="0.25">
      <c r="A1039" s="9"/>
      <c r="B1039" s="51" t="s">
        <v>74</v>
      </c>
      <c r="C1039" s="52"/>
      <c r="D1039" s="52"/>
      <c r="E1039" s="52"/>
      <c r="F1039" s="52"/>
      <c r="G1039" s="53"/>
      <c r="H1039" s="20"/>
      <c r="I1039" s="9">
        <v>2</v>
      </c>
      <c r="J1039" s="9"/>
      <c r="K1039" s="9"/>
      <c r="L1039" s="9"/>
      <c r="M1039" s="9">
        <f t="shared" si="130"/>
        <v>13.6</v>
      </c>
      <c r="N1039" s="9">
        <f t="shared" si="131"/>
        <v>5</v>
      </c>
      <c r="O1039" s="9">
        <v>6.8</v>
      </c>
      <c r="P1039" s="9">
        <v>2.5</v>
      </c>
      <c r="Q1039" s="9" t="s">
        <v>5</v>
      </c>
      <c r="R1039" s="1">
        <v>0</v>
      </c>
      <c r="S1039" s="26"/>
    </row>
    <row r="1040" spans="1:19" ht="16.5" customHeight="1" x14ac:dyDescent="0.25">
      <c r="A1040" s="9"/>
      <c r="B1040" s="51" t="s">
        <v>75</v>
      </c>
      <c r="C1040" s="52"/>
      <c r="D1040" s="52"/>
      <c r="E1040" s="52"/>
      <c r="F1040" s="52"/>
      <c r="G1040" s="53"/>
      <c r="H1040" s="20"/>
      <c r="I1040" s="9">
        <v>1</v>
      </c>
      <c r="J1040" s="9"/>
      <c r="K1040" s="9"/>
      <c r="L1040" s="9"/>
      <c r="M1040" s="9">
        <f t="shared" si="130"/>
        <v>6.6</v>
      </c>
      <c r="N1040" s="9">
        <f t="shared" si="131"/>
        <v>2.5</v>
      </c>
      <c r="O1040" s="9">
        <v>6.6</v>
      </c>
      <c r="P1040" s="9">
        <v>2.5</v>
      </c>
      <c r="Q1040" s="9" t="s">
        <v>5</v>
      </c>
      <c r="R1040" s="1">
        <v>0</v>
      </c>
      <c r="S1040" s="26"/>
    </row>
    <row r="1041" spans="1:19" ht="16.5" customHeight="1" x14ac:dyDescent="0.25">
      <c r="A1041" s="9"/>
      <c r="B1041" s="51" t="s">
        <v>76</v>
      </c>
      <c r="C1041" s="52"/>
      <c r="D1041" s="52"/>
      <c r="E1041" s="52"/>
      <c r="F1041" s="52"/>
      <c r="G1041" s="53"/>
      <c r="H1041" s="20"/>
      <c r="I1041" s="9">
        <v>4</v>
      </c>
      <c r="J1041" s="9"/>
      <c r="K1041" s="9"/>
      <c r="L1041" s="9"/>
      <c r="M1041" s="9">
        <f t="shared" si="130"/>
        <v>30</v>
      </c>
      <c r="N1041" s="9">
        <f t="shared" si="131"/>
        <v>12</v>
      </c>
      <c r="O1041" s="9">
        <v>7.5</v>
      </c>
      <c r="P1041" s="9">
        <v>3</v>
      </c>
      <c r="Q1041" s="9" t="s">
        <v>6</v>
      </c>
      <c r="R1041" s="1">
        <v>0</v>
      </c>
      <c r="S1041" s="26"/>
    </row>
    <row r="1042" spans="1:19" ht="16.5" customHeight="1" x14ac:dyDescent="0.25">
      <c r="A1042" s="9"/>
      <c r="B1042" s="51" t="s">
        <v>77</v>
      </c>
      <c r="C1042" s="52"/>
      <c r="D1042" s="52"/>
      <c r="E1042" s="52"/>
      <c r="F1042" s="52"/>
      <c r="G1042" s="53"/>
      <c r="H1042" s="20"/>
      <c r="I1042" s="9">
        <v>1</v>
      </c>
      <c r="J1042" s="9"/>
      <c r="K1042" s="9"/>
      <c r="L1042" s="9"/>
      <c r="M1042" s="9">
        <f t="shared" si="130"/>
        <v>7.2</v>
      </c>
      <c r="N1042" s="9">
        <f t="shared" si="131"/>
        <v>3</v>
      </c>
      <c r="O1042" s="9">
        <v>7.2</v>
      </c>
      <c r="P1042" s="9">
        <v>3</v>
      </c>
      <c r="Q1042" s="9" t="s">
        <v>6</v>
      </c>
      <c r="R1042" s="1">
        <v>0</v>
      </c>
      <c r="S1042" s="26"/>
    </row>
    <row r="1043" spans="1:19" ht="16.5" customHeight="1" x14ac:dyDescent="0.25">
      <c r="A1043" s="9"/>
      <c r="B1043" s="51" t="s">
        <v>78</v>
      </c>
      <c r="C1043" s="52"/>
      <c r="D1043" s="52"/>
      <c r="E1043" s="52"/>
      <c r="F1043" s="52"/>
      <c r="G1043" s="53"/>
      <c r="H1043" s="20"/>
      <c r="I1043" s="9">
        <v>3</v>
      </c>
      <c r="J1043" s="9"/>
      <c r="K1043" s="9"/>
      <c r="L1043" s="9"/>
      <c r="M1043" s="9">
        <f t="shared" si="130"/>
        <v>16.5</v>
      </c>
      <c r="N1043" s="9">
        <f t="shared" si="131"/>
        <v>6</v>
      </c>
      <c r="O1043" s="9">
        <v>5.5</v>
      </c>
      <c r="P1043" s="9">
        <v>2</v>
      </c>
      <c r="Q1043" s="9" t="s">
        <v>3</v>
      </c>
      <c r="R1043" s="1">
        <v>0</v>
      </c>
      <c r="S1043" s="26"/>
    </row>
    <row r="1044" spans="1:19" ht="16.5" hidden="1" customHeight="1" x14ac:dyDescent="0.25">
      <c r="A1044" s="21"/>
      <c r="H1044" s="21"/>
      <c r="I1044" s="21"/>
      <c r="J1044" s="21"/>
      <c r="K1044" s="21"/>
      <c r="L1044" s="21"/>
      <c r="M1044" s="9">
        <f t="shared" si="130"/>
        <v>0</v>
      </c>
      <c r="N1044" s="9">
        <f t="shared" si="131"/>
        <v>0</v>
      </c>
      <c r="O1044" s="21"/>
      <c r="P1044" s="21"/>
      <c r="Q1044" s="21"/>
      <c r="S1044" s="25"/>
    </row>
    <row r="1045" spans="1:19" ht="16.5" customHeight="1" x14ac:dyDescent="0.25">
      <c r="A1045" s="9"/>
      <c r="B1045" s="39" t="s">
        <v>42</v>
      </c>
      <c r="C1045" s="40"/>
      <c r="D1045" s="40"/>
      <c r="E1045" s="40"/>
      <c r="F1045" s="40"/>
      <c r="G1045" s="41"/>
      <c r="H1045" s="23"/>
      <c r="I1045" s="24">
        <f>SUM(I1036:I1044)</f>
        <v>21</v>
      </c>
      <c r="J1045" s="9"/>
      <c r="K1045" s="9"/>
      <c r="L1045" s="9"/>
      <c r="M1045" s="9">
        <f t="shared" si="130"/>
        <v>133.35</v>
      </c>
      <c r="N1045" s="9">
        <f t="shared" si="131"/>
        <v>47.459999999999994</v>
      </c>
      <c r="O1045" s="24">
        <f>ROUND(SUM(M1036:M1044)/I1045,2)</f>
        <v>6.35</v>
      </c>
      <c r="P1045" s="24">
        <f>ROUND(SUM(N1036:N1044)/I1045,2)</f>
        <v>2.2599999999999998</v>
      </c>
      <c r="Q1045" s="9"/>
      <c r="S1045" s="25"/>
    </row>
    <row r="1046" spans="1:19" ht="20.25" customHeight="1" x14ac:dyDescent="0.25">
      <c r="A1046" s="27" t="s">
        <v>79</v>
      </c>
      <c r="B1046" s="28"/>
      <c r="C1046" s="28"/>
      <c r="D1046" s="28"/>
      <c r="E1046" s="28"/>
      <c r="F1046" s="28"/>
      <c r="G1046" s="28"/>
      <c r="H1046" s="28"/>
      <c r="I1046" s="28"/>
      <c r="J1046" s="28"/>
      <c r="K1046" s="28"/>
      <c r="L1046" s="28"/>
      <c r="M1046" s="28"/>
      <c r="N1046" s="28"/>
      <c r="O1046" s="28"/>
      <c r="P1046" s="28"/>
      <c r="Q1046" s="28"/>
      <c r="R1046" s="28"/>
      <c r="S1046" s="28"/>
    </row>
    <row r="1047" spans="1:19" ht="16.5" customHeight="1" x14ac:dyDescent="0.25">
      <c r="A1047" s="9"/>
      <c r="B1047" s="51" t="s">
        <v>80</v>
      </c>
      <c r="C1047" s="52"/>
      <c r="D1047" s="52"/>
      <c r="E1047" s="52"/>
      <c r="F1047" s="52"/>
      <c r="G1047" s="53"/>
      <c r="H1047" s="20"/>
      <c r="I1047" s="9">
        <v>3</v>
      </c>
      <c r="J1047" s="9"/>
      <c r="K1047" s="9"/>
      <c r="L1047" s="9"/>
      <c r="M1047" s="9">
        <f t="shared" ref="M1047:M1052" si="132">I1047*O1047</f>
        <v>23.4</v>
      </c>
      <c r="N1047" s="9">
        <f t="shared" ref="N1047:N1052" si="133">I1047*P1047</f>
        <v>9</v>
      </c>
      <c r="O1047" s="9">
        <v>7.8</v>
      </c>
      <c r="P1047" s="9">
        <v>3</v>
      </c>
      <c r="Q1047" s="9" t="s">
        <v>6</v>
      </c>
      <c r="R1047" s="1">
        <v>0</v>
      </c>
      <c r="S1047" s="26"/>
    </row>
    <row r="1048" spans="1:19" ht="16.5" customHeight="1" x14ac:dyDescent="0.25">
      <c r="A1048" s="9"/>
      <c r="B1048" s="51" t="s">
        <v>81</v>
      </c>
      <c r="C1048" s="52"/>
      <c r="D1048" s="52"/>
      <c r="E1048" s="52"/>
      <c r="F1048" s="52"/>
      <c r="G1048" s="53"/>
      <c r="H1048" s="20"/>
      <c r="I1048" s="9">
        <v>4</v>
      </c>
      <c r="J1048" s="9"/>
      <c r="K1048" s="9"/>
      <c r="L1048" s="9"/>
      <c r="M1048" s="9">
        <f t="shared" si="132"/>
        <v>28.4</v>
      </c>
      <c r="N1048" s="9">
        <f t="shared" si="133"/>
        <v>12</v>
      </c>
      <c r="O1048" s="9">
        <v>7.1</v>
      </c>
      <c r="P1048" s="9">
        <v>3</v>
      </c>
      <c r="Q1048" s="9" t="s">
        <v>6</v>
      </c>
      <c r="R1048" s="1">
        <v>0</v>
      </c>
      <c r="S1048" s="26"/>
    </row>
    <row r="1049" spans="1:19" ht="16.5" customHeight="1" x14ac:dyDescent="0.25">
      <c r="A1049" s="9"/>
      <c r="B1049" s="51" t="s">
        <v>82</v>
      </c>
      <c r="C1049" s="52"/>
      <c r="D1049" s="52"/>
      <c r="E1049" s="52"/>
      <c r="F1049" s="52"/>
      <c r="G1049" s="53"/>
      <c r="H1049" s="20"/>
      <c r="I1049" s="9">
        <v>3</v>
      </c>
      <c r="J1049" s="9"/>
      <c r="K1049" s="9"/>
      <c r="L1049" s="9"/>
      <c r="M1049" s="9">
        <f t="shared" si="132"/>
        <v>21.299999999999997</v>
      </c>
      <c r="N1049" s="9">
        <f t="shared" si="133"/>
        <v>9</v>
      </c>
      <c r="O1049" s="9">
        <v>7.1</v>
      </c>
      <c r="P1049" s="9">
        <v>3</v>
      </c>
      <c r="Q1049" s="9" t="s">
        <v>6</v>
      </c>
      <c r="R1049" s="1">
        <v>0</v>
      </c>
      <c r="S1049" s="26"/>
    </row>
    <row r="1050" spans="1:19" ht="16.5" customHeight="1" x14ac:dyDescent="0.25">
      <c r="A1050" s="9"/>
      <c r="B1050" s="51" t="s">
        <v>83</v>
      </c>
      <c r="C1050" s="52"/>
      <c r="D1050" s="52"/>
      <c r="E1050" s="52"/>
      <c r="F1050" s="52"/>
      <c r="G1050" s="53"/>
      <c r="H1050" s="20"/>
      <c r="I1050" s="9">
        <v>1</v>
      </c>
      <c r="J1050" s="9"/>
      <c r="K1050" s="9"/>
      <c r="L1050" s="9"/>
      <c r="M1050" s="9">
        <f t="shared" si="132"/>
        <v>7.5</v>
      </c>
      <c r="N1050" s="9">
        <f t="shared" si="133"/>
        <v>3</v>
      </c>
      <c r="O1050" s="9">
        <v>7.5</v>
      </c>
      <c r="P1050" s="9">
        <v>3</v>
      </c>
      <c r="Q1050" s="9" t="s">
        <v>6</v>
      </c>
      <c r="R1050" s="1">
        <v>0</v>
      </c>
      <c r="S1050" s="26"/>
    </row>
    <row r="1051" spans="1:19" ht="16.5" customHeight="1" x14ac:dyDescent="0.25">
      <c r="A1051" s="9"/>
      <c r="B1051" s="51" t="s">
        <v>84</v>
      </c>
      <c r="C1051" s="52"/>
      <c r="D1051" s="52"/>
      <c r="E1051" s="52"/>
      <c r="F1051" s="52"/>
      <c r="G1051" s="53"/>
      <c r="H1051" s="20"/>
      <c r="I1051" s="9">
        <v>2</v>
      </c>
      <c r="J1051" s="9"/>
      <c r="K1051" s="9"/>
      <c r="L1051" s="9"/>
      <c r="M1051" s="9">
        <f t="shared" si="132"/>
        <v>13.6</v>
      </c>
      <c r="N1051" s="9">
        <f t="shared" si="133"/>
        <v>5</v>
      </c>
      <c r="O1051" s="9">
        <v>6.8</v>
      </c>
      <c r="P1051" s="9">
        <v>2.5</v>
      </c>
      <c r="Q1051" s="9" t="s">
        <v>5</v>
      </c>
      <c r="R1051" s="1">
        <v>0</v>
      </c>
      <c r="S1051" s="26"/>
    </row>
    <row r="1052" spans="1:19" ht="16.5" customHeight="1" x14ac:dyDescent="0.25">
      <c r="A1052" s="9"/>
      <c r="B1052" s="51" t="s">
        <v>85</v>
      </c>
      <c r="C1052" s="52"/>
      <c r="D1052" s="52"/>
      <c r="E1052" s="52"/>
      <c r="F1052" s="52"/>
      <c r="G1052" s="53"/>
      <c r="H1052" s="20"/>
      <c r="I1052" s="9">
        <v>2</v>
      </c>
      <c r="J1052" s="9"/>
      <c r="K1052" s="9"/>
      <c r="L1052" s="9"/>
      <c r="M1052" s="9">
        <f t="shared" si="132"/>
        <v>11.8</v>
      </c>
      <c r="N1052" s="9">
        <f t="shared" si="133"/>
        <v>4</v>
      </c>
      <c r="O1052" s="9">
        <v>5.9</v>
      </c>
      <c r="P1052" s="9">
        <v>2</v>
      </c>
      <c r="Q1052" s="9" t="s">
        <v>3</v>
      </c>
      <c r="R1052" s="1">
        <v>0</v>
      </c>
      <c r="S1052" s="26"/>
    </row>
    <row r="1053" spans="1:19" ht="15" customHeight="1" x14ac:dyDescent="0.25">
      <c r="A1053" s="36" t="s">
        <v>0</v>
      </c>
      <c r="B1053" s="29" t="s">
        <v>1</v>
      </c>
      <c r="C1053" s="30"/>
      <c r="D1053" s="30"/>
      <c r="E1053" s="30"/>
      <c r="F1053" s="30"/>
      <c r="G1053" s="31"/>
      <c r="H1053" s="36" t="s">
        <v>32</v>
      </c>
      <c r="I1053" s="36" t="s">
        <v>39</v>
      </c>
      <c r="J1053" s="55" t="s">
        <v>2</v>
      </c>
      <c r="K1053" s="56"/>
      <c r="L1053" s="56"/>
      <c r="M1053" s="56"/>
      <c r="N1053" s="56"/>
      <c r="O1053" s="56"/>
      <c r="P1053" s="56"/>
      <c r="Q1053" s="57"/>
      <c r="S1053" s="36" t="s">
        <v>38</v>
      </c>
    </row>
    <row r="1054" spans="1:19" ht="24" customHeight="1" x14ac:dyDescent="0.25">
      <c r="A1054" s="37"/>
      <c r="B1054" s="32"/>
      <c r="C1054" s="33"/>
      <c r="D1054" s="33"/>
      <c r="E1054" s="33"/>
      <c r="F1054" s="33"/>
      <c r="G1054" s="34"/>
      <c r="H1054" s="37"/>
      <c r="I1054" s="37"/>
      <c r="J1054" s="7" t="s">
        <v>28</v>
      </c>
      <c r="K1054" s="7" t="s">
        <v>29</v>
      </c>
      <c r="L1054" s="7" t="s">
        <v>30</v>
      </c>
      <c r="M1054" s="7"/>
      <c r="N1054" s="7"/>
      <c r="O1054" s="6" t="s">
        <v>35</v>
      </c>
      <c r="P1054" s="6" t="s">
        <v>36</v>
      </c>
      <c r="Q1054" s="6" t="s">
        <v>37</v>
      </c>
      <c r="S1054" s="37"/>
    </row>
    <row r="1055" spans="1:19" ht="16.5" customHeight="1" x14ac:dyDescent="0.25">
      <c r="A1055" s="9"/>
      <c r="B1055" s="51" t="s">
        <v>86</v>
      </c>
      <c r="C1055" s="52"/>
      <c r="D1055" s="52"/>
      <c r="E1055" s="52"/>
      <c r="F1055" s="52"/>
      <c r="G1055" s="53"/>
      <c r="H1055" s="20"/>
      <c r="I1055" s="9">
        <v>2</v>
      </c>
      <c r="J1055" s="9"/>
      <c r="K1055" s="9"/>
      <c r="L1055" s="9"/>
      <c r="M1055" s="9">
        <f>I1055*O1055</f>
        <v>13.8</v>
      </c>
      <c r="N1055" s="9">
        <f>I1055*P1055</f>
        <v>5</v>
      </c>
      <c r="O1055" s="9">
        <v>6.9</v>
      </c>
      <c r="P1055" s="9">
        <v>2.5</v>
      </c>
      <c r="Q1055" s="9" t="s">
        <v>5</v>
      </c>
      <c r="R1055" s="1">
        <v>0</v>
      </c>
      <c r="S1055" s="26"/>
    </row>
    <row r="1056" spans="1:19" ht="16.5" customHeight="1" x14ac:dyDescent="0.25">
      <c r="A1056" s="9"/>
      <c r="B1056" s="51" t="s">
        <v>87</v>
      </c>
      <c r="C1056" s="52"/>
      <c r="D1056" s="52"/>
      <c r="E1056" s="52"/>
      <c r="F1056" s="52"/>
      <c r="G1056" s="53"/>
      <c r="H1056" s="20"/>
      <c r="I1056" s="9">
        <v>3</v>
      </c>
      <c r="J1056" s="9"/>
      <c r="K1056" s="9"/>
      <c r="L1056" s="9"/>
      <c r="M1056" s="9">
        <f>I1056*O1056</f>
        <v>20.700000000000003</v>
      </c>
      <c r="N1056" s="9">
        <f>I1056*P1056</f>
        <v>7.5</v>
      </c>
      <c r="O1056" s="9">
        <v>6.9</v>
      </c>
      <c r="P1056" s="9">
        <v>2.5</v>
      </c>
      <c r="Q1056" s="9" t="s">
        <v>5</v>
      </c>
      <c r="R1056" s="1">
        <v>0</v>
      </c>
      <c r="S1056" s="26"/>
    </row>
    <row r="1057" spans="1:19" ht="16.5" customHeight="1" x14ac:dyDescent="0.25">
      <c r="A1057" s="9"/>
      <c r="B1057" s="51" t="s">
        <v>88</v>
      </c>
      <c r="C1057" s="52"/>
      <c r="D1057" s="52"/>
      <c r="E1057" s="52"/>
      <c r="F1057" s="52"/>
      <c r="G1057" s="53"/>
      <c r="H1057" s="20"/>
      <c r="I1057" s="9">
        <v>3</v>
      </c>
      <c r="J1057" s="9"/>
      <c r="K1057" s="9"/>
      <c r="L1057" s="9"/>
      <c r="M1057" s="9">
        <f>I1057*O1057</f>
        <v>25.799999999999997</v>
      </c>
      <c r="N1057" s="9">
        <f>I1057*P1057</f>
        <v>11.100000000000001</v>
      </c>
      <c r="O1057" s="9">
        <v>8.6</v>
      </c>
      <c r="P1057" s="9">
        <v>3.7</v>
      </c>
      <c r="Q1057" s="9" t="s">
        <v>10</v>
      </c>
      <c r="R1057" s="1">
        <v>0</v>
      </c>
      <c r="S1057" s="26"/>
    </row>
    <row r="1058" spans="1:19" ht="16.5" hidden="1" customHeight="1" x14ac:dyDescent="0.25">
      <c r="A1058" s="21"/>
      <c r="H1058" s="21"/>
      <c r="I1058" s="21"/>
      <c r="J1058" s="21"/>
      <c r="K1058" s="21"/>
      <c r="L1058" s="21"/>
      <c r="M1058" s="9">
        <f>I1058*O1058</f>
        <v>0</v>
      </c>
      <c r="N1058" s="9">
        <f>I1058*P1058</f>
        <v>0</v>
      </c>
      <c r="O1058" s="21"/>
      <c r="P1058" s="21"/>
      <c r="Q1058" s="21"/>
      <c r="S1058" s="25"/>
    </row>
    <row r="1059" spans="1:19" ht="16.5" customHeight="1" x14ac:dyDescent="0.25">
      <c r="A1059" s="9"/>
      <c r="B1059" s="39" t="s">
        <v>42</v>
      </c>
      <c r="C1059" s="40"/>
      <c r="D1059" s="40"/>
      <c r="E1059" s="40"/>
      <c r="F1059" s="40"/>
      <c r="G1059" s="41"/>
      <c r="H1059" s="23"/>
      <c r="I1059" s="24">
        <f>SUM(I1047:I1058)</f>
        <v>23</v>
      </c>
      <c r="J1059" s="9"/>
      <c r="K1059" s="9"/>
      <c r="L1059" s="9"/>
      <c r="M1059" s="9">
        <f>I1059*O1059</f>
        <v>166.29000000000002</v>
      </c>
      <c r="N1059" s="9">
        <f>I1059*P1059</f>
        <v>65.55</v>
      </c>
      <c r="O1059" s="24">
        <f>ROUND(SUM(M1047:M1058)/I1059,2)</f>
        <v>7.23</v>
      </c>
      <c r="P1059" s="24">
        <f>ROUND(SUM(N1047:N1058)/I1059,2)</f>
        <v>2.85</v>
      </c>
      <c r="Q1059" s="9"/>
      <c r="S1059" s="25"/>
    </row>
    <row r="1060" spans="1:19" ht="20.25" customHeight="1" x14ac:dyDescent="0.25">
      <c r="A1060" s="27" t="s">
        <v>89</v>
      </c>
      <c r="B1060" s="28"/>
      <c r="C1060" s="28"/>
      <c r="D1060" s="28"/>
      <c r="E1060" s="28"/>
      <c r="F1060" s="28"/>
      <c r="G1060" s="28"/>
      <c r="H1060" s="28"/>
      <c r="I1060" s="28"/>
      <c r="J1060" s="28"/>
      <c r="K1060" s="28"/>
      <c r="L1060" s="28"/>
      <c r="M1060" s="28"/>
      <c r="N1060" s="28"/>
      <c r="O1060" s="28"/>
      <c r="P1060" s="28"/>
      <c r="Q1060" s="28"/>
      <c r="R1060" s="28"/>
      <c r="S1060" s="28"/>
    </row>
    <row r="1061" spans="1:19" ht="16.5" customHeight="1" x14ac:dyDescent="0.25">
      <c r="A1061" s="9"/>
      <c r="B1061" s="51" t="s">
        <v>90</v>
      </c>
      <c r="C1061" s="52"/>
      <c r="D1061" s="52"/>
      <c r="E1061" s="52"/>
      <c r="F1061" s="52"/>
      <c r="G1061" s="53"/>
      <c r="H1061" s="20"/>
      <c r="I1061" s="9">
        <v>1</v>
      </c>
      <c r="J1061" s="9"/>
      <c r="K1061" s="9"/>
      <c r="L1061" s="9"/>
      <c r="M1061" s="9">
        <f t="shared" ref="M1061:M1073" si="134">I1061*O1061</f>
        <v>7.2</v>
      </c>
      <c r="N1061" s="9">
        <f t="shared" ref="N1061:N1073" si="135">I1061*P1061</f>
        <v>3</v>
      </c>
      <c r="O1061" s="9">
        <v>7.2</v>
      </c>
      <c r="P1061" s="9">
        <v>3</v>
      </c>
      <c r="Q1061" s="9" t="s">
        <v>6</v>
      </c>
      <c r="R1061" s="1">
        <v>0</v>
      </c>
      <c r="S1061" s="26"/>
    </row>
    <row r="1062" spans="1:19" ht="16.5" customHeight="1" x14ac:dyDescent="0.25">
      <c r="A1062" s="9"/>
      <c r="B1062" s="51" t="s">
        <v>91</v>
      </c>
      <c r="C1062" s="52"/>
      <c r="D1062" s="52"/>
      <c r="E1062" s="52"/>
      <c r="F1062" s="52"/>
      <c r="G1062" s="53"/>
      <c r="H1062" s="20"/>
      <c r="I1062" s="9">
        <v>3</v>
      </c>
      <c r="J1062" s="9"/>
      <c r="K1062" s="9"/>
      <c r="L1062" s="9"/>
      <c r="M1062" s="9">
        <f t="shared" si="134"/>
        <v>16.799999999999997</v>
      </c>
      <c r="N1062" s="9">
        <f t="shared" si="135"/>
        <v>6</v>
      </c>
      <c r="O1062" s="9">
        <v>5.6</v>
      </c>
      <c r="P1062" s="9">
        <v>2</v>
      </c>
      <c r="Q1062" s="9" t="s">
        <v>3</v>
      </c>
      <c r="R1062" s="1">
        <v>0</v>
      </c>
      <c r="S1062" s="26"/>
    </row>
    <row r="1063" spans="1:19" ht="16.5" customHeight="1" x14ac:dyDescent="0.25">
      <c r="A1063" s="9"/>
      <c r="B1063" s="51" t="s">
        <v>92</v>
      </c>
      <c r="C1063" s="52"/>
      <c r="D1063" s="52"/>
      <c r="E1063" s="52"/>
      <c r="F1063" s="52"/>
      <c r="G1063" s="53"/>
      <c r="H1063" s="20"/>
      <c r="I1063" s="9">
        <v>1</v>
      </c>
      <c r="J1063" s="9"/>
      <c r="K1063" s="9"/>
      <c r="L1063" s="9"/>
      <c r="M1063" s="9">
        <f t="shared" si="134"/>
        <v>8.5</v>
      </c>
      <c r="N1063" s="9">
        <f t="shared" si="135"/>
        <v>3.7</v>
      </c>
      <c r="O1063" s="9">
        <v>8.5</v>
      </c>
      <c r="P1063" s="9">
        <v>3.7</v>
      </c>
      <c r="Q1063" s="9" t="s">
        <v>10</v>
      </c>
      <c r="R1063" s="1">
        <v>0</v>
      </c>
      <c r="S1063" s="26"/>
    </row>
    <row r="1064" spans="1:19" ht="16.5" customHeight="1" x14ac:dyDescent="0.25">
      <c r="A1064" s="9"/>
      <c r="B1064" s="51" t="s">
        <v>93</v>
      </c>
      <c r="C1064" s="52"/>
      <c r="D1064" s="52"/>
      <c r="E1064" s="52"/>
      <c r="F1064" s="52"/>
      <c r="G1064" s="53"/>
      <c r="H1064" s="20"/>
      <c r="I1064" s="9">
        <v>2</v>
      </c>
      <c r="J1064" s="9"/>
      <c r="K1064" s="9"/>
      <c r="L1064" s="9"/>
      <c r="M1064" s="9">
        <f t="shared" si="134"/>
        <v>10.8</v>
      </c>
      <c r="N1064" s="9">
        <f t="shared" si="135"/>
        <v>3</v>
      </c>
      <c r="O1064" s="9">
        <v>5.4</v>
      </c>
      <c r="P1064" s="9">
        <v>1.5</v>
      </c>
      <c r="Q1064" s="9" t="s">
        <v>4</v>
      </c>
      <c r="R1064" s="1">
        <v>0</v>
      </c>
      <c r="S1064" s="26"/>
    </row>
    <row r="1065" spans="1:19" ht="16.5" customHeight="1" x14ac:dyDescent="0.25">
      <c r="A1065" s="9"/>
      <c r="B1065" s="51" t="s">
        <v>94</v>
      </c>
      <c r="C1065" s="52"/>
      <c r="D1065" s="52"/>
      <c r="E1065" s="52"/>
      <c r="F1065" s="52"/>
      <c r="G1065" s="53"/>
      <c r="H1065" s="20"/>
      <c r="I1065" s="9">
        <v>1</v>
      </c>
      <c r="J1065" s="9"/>
      <c r="K1065" s="9"/>
      <c r="L1065" s="9"/>
      <c r="M1065" s="9">
        <f t="shared" si="134"/>
        <v>6.1</v>
      </c>
      <c r="N1065" s="9">
        <f t="shared" si="135"/>
        <v>2</v>
      </c>
      <c r="O1065" s="9">
        <v>6.1</v>
      </c>
      <c r="P1065" s="9">
        <v>2</v>
      </c>
      <c r="Q1065" s="9" t="s">
        <v>3</v>
      </c>
      <c r="R1065" s="1">
        <v>0</v>
      </c>
      <c r="S1065" s="26"/>
    </row>
    <row r="1066" spans="1:19" ht="16.5" customHeight="1" x14ac:dyDescent="0.25">
      <c r="A1066" s="9"/>
      <c r="B1066" s="51" t="s">
        <v>95</v>
      </c>
      <c r="C1066" s="52"/>
      <c r="D1066" s="52"/>
      <c r="E1066" s="52"/>
      <c r="F1066" s="52"/>
      <c r="G1066" s="53"/>
      <c r="H1066" s="20"/>
      <c r="I1066" s="9">
        <v>2</v>
      </c>
      <c r="J1066" s="9"/>
      <c r="K1066" s="9"/>
      <c r="L1066" s="9"/>
      <c r="M1066" s="9">
        <f t="shared" si="134"/>
        <v>14.6</v>
      </c>
      <c r="N1066" s="9">
        <f t="shared" si="135"/>
        <v>6</v>
      </c>
      <c r="O1066" s="9">
        <v>7.3</v>
      </c>
      <c r="P1066" s="9">
        <v>3</v>
      </c>
      <c r="Q1066" s="9" t="s">
        <v>6</v>
      </c>
      <c r="R1066" s="1">
        <v>0</v>
      </c>
      <c r="S1066" s="26"/>
    </row>
    <row r="1067" spans="1:19" ht="16.5" customHeight="1" x14ac:dyDescent="0.25">
      <c r="A1067" s="9"/>
      <c r="B1067" s="51" t="s">
        <v>100</v>
      </c>
      <c r="C1067" s="52"/>
      <c r="D1067" s="52"/>
      <c r="E1067" s="52"/>
      <c r="F1067" s="52"/>
      <c r="G1067" s="53"/>
      <c r="H1067" s="20"/>
      <c r="I1067" s="9">
        <v>2</v>
      </c>
      <c r="J1067" s="9"/>
      <c r="K1067" s="9"/>
      <c r="L1067" s="9"/>
      <c r="M1067" s="9">
        <f t="shared" si="134"/>
        <v>14.2</v>
      </c>
      <c r="N1067" s="9">
        <f t="shared" si="135"/>
        <v>6</v>
      </c>
      <c r="O1067" s="9">
        <v>7.1</v>
      </c>
      <c r="P1067" s="9">
        <v>3</v>
      </c>
      <c r="Q1067" s="9" t="s">
        <v>6</v>
      </c>
      <c r="R1067" s="1">
        <v>0</v>
      </c>
      <c r="S1067" s="26"/>
    </row>
    <row r="1068" spans="1:19" ht="16.5" customHeight="1" x14ac:dyDescent="0.25">
      <c r="A1068" s="9"/>
      <c r="B1068" s="51" t="s">
        <v>97</v>
      </c>
      <c r="C1068" s="52"/>
      <c r="D1068" s="52"/>
      <c r="E1068" s="52"/>
      <c r="F1068" s="52"/>
      <c r="G1068" s="53"/>
      <c r="H1068" s="20"/>
      <c r="I1068" s="9">
        <v>3</v>
      </c>
      <c r="J1068" s="9"/>
      <c r="K1068" s="9"/>
      <c r="L1068" s="9"/>
      <c r="M1068" s="9">
        <f t="shared" si="134"/>
        <v>23.4</v>
      </c>
      <c r="N1068" s="9">
        <f t="shared" si="135"/>
        <v>9</v>
      </c>
      <c r="O1068" s="9">
        <v>7.8</v>
      </c>
      <c r="P1068" s="9">
        <v>3</v>
      </c>
      <c r="Q1068" s="9" t="s">
        <v>6</v>
      </c>
      <c r="R1068" s="1">
        <v>0</v>
      </c>
      <c r="S1068" s="26"/>
    </row>
    <row r="1069" spans="1:19" ht="16.5" customHeight="1" x14ac:dyDescent="0.25">
      <c r="A1069" s="9"/>
      <c r="B1069" s="51" t="s">
        <v>98</v>
      </c>
      <c r="C1069" s="52"/>
      <c r="D1069" s="52"/>
      <c r="E1069" s="52"/>
      <c r="F1069" s="52"/>
      <c r="G1069" s="53"/>
      <c r="H1069" s="20"/>
      <c r="I1069" s="9">
        <v>4</v>
      </c>
      <c r="J1069" s="9"/>
      <c r="K1069" s="9"/>
      <c r="L1069" s="9"/>
      <c r="M1069" s="9">
        <f t="shared" si="134"/>
        <v>22</v>
      </c>
      <c r="N1069" s="9">
        <f t="shared" si="135"/>
        <v>8</v>
      </c>
      <c r="O1069" s="9">
        <v>5.5</v>
      </c>
      <c r="P1069" s="9">
        <v>2</v>
      </c>
      <c r="Q1069" s="9" t="s">
        <v>3</v>
      </c>
      <c r="R1069" s="1">
        <v>0</v>
      </c>
      <c r="S1069" s="26"/>
    </row>
    <row r="1070" spans="1:19" ht="16.5" customHeight="1" x14ac:dyDescent="0.25">
      <c r="A1070" s="9"/>
      <c r="B1070" s="51" t="s">
        <v>99</v>
      </c>
      <c r="C1070" s="52"/>
      <c r="D1070" s="52"/>
      <c r="E1070" s="52"/>
      <c r="F1070" s="52"/>
      <c r="G1070" s="53"/>
      <c r="H1070" s="20"/>
      <c r="I1070" s="9">
        <v>1</v>
      </c>
      <c r="J1070" s="9"/>
      <c r="K1070" s="9"/>
      <c r="L1070" s="9"/>
      <c r="M1070" s="9">
        <f t="shared" si="134"/>
        <v>8.3000000000000007</v>
      </c>
      <c r="N1070" s="9">
        <f t="shared" si="135"/>
        <v>3.5</v>
      </c>
      <c r="O1070" s="9">
        <v>8.3000000000000007</v>
      </c>
      <c r="P1070" s="9">
        <v>3.5</v>
      </c>
      <c r="Q1070" s="9" t="s">
        <v>9</v>
      </c>
      <c r="R1070" s="1">
        <v>0</v>
      </c>
      <c r="S1070" s="26"/>
    </row>
    <row r="1071" spans="1:19" ht="16.5" customHeight="1" x14ac:dyDescent="0.25">
      <c r="A1071" s="9"/>
      <c r="B1071" s="51" t="s">
        <v>96</v>
      </c>
      <c r="C1071" s="52"/>
      <c r="D1071" s="52"/>
      <c r="E1071" s="52"/>
      <c r="F1071" s="52"/>
      <c r="G1071" s="53"/>
      <c r="H1071" s="20"/>
      <c r="I1071" s="9">
        <v>2</v>
      </c>
      <c r="J1071" s="9"/>
      <c r="K1071" s="9"/>
      <c r="L1071" s="9"/>
      <c r="M1071" s="9">
        <f t="shared" si="134"/>
        <v>13.6</v>
      </c>
      <c r="N1071" s="9">
        <f t="shared" si="135"/>
        <v>5</v>
      </c>
      <c r="O1071" s="9">
        <v>6.8</v>
      </c>
      <c r="P1071" s="9">
        <v>2.5</v>
      </c>
      <c r="Q1071" s="9" t="s">
        <v>5</v>
      </c>
      <c r="R1071" s="1">
        <v>0</v>
      </c>
      <c r="S1071" s="26"/>
    </row>
    <row r="1072" spans="1:19" ht="16.5" hidden="1" customHeight="1" x14ac:dyDescent="0.25">
      <c r="A1072" s="21"/>
      <c r="H1072" s="21"/>
      <c r="I1072" s="21"/>
      <c r="J1072" s="21"/>
      <c r="K1072" s="21"/>
      <c r="L1072" s="21"/>
      <c r="M1072" s="9">
        <f t="shared" si="134"/>
        <v>0</v>
      </c>
      <c r="N1072" s="9">
        <f t="shared" si="135"/>
        <v>0</v>
      </c>
      <c r="O1072" s="21"/>
      <c r="P1072" s="21"/>
      <c r="Q1072" s="21"/>
      <c r="S1072" s="25"/>
    </row>
    <row r="1073" spans="1:19" ht="16.5" customHeight="1" x14ac:dyDescent="0.25">
      <c r="A1073" s="9"/>
      <c r="B1073" s="39" t="s">
        <v>42</v>
      </c>
      <c r="C1073" s="40"/>
      <c r="D1073" s="40"/>
      <c r="E1073" s="40"/>
      <c r="F1073" s="40"/>
      <c r="G1073" s="41"/>
      <c r="H1073" s="23"/>
      <c r="I1073" s="24">
        <f>SUM(I1061:I1072)</f>
        <v>22</v>
      </c>
      <c r="J1073" s="9"/>
      <c r="K1073" s="9"/>
      <c r="L1073" s="9"/>
      <c r="M1073" s="9">
        <f t="shared" si="134"/>
        <v>145.42000000000002</v>
      </c>
      <c r="N1073" s="9">
        <f t="shared" si="135"/>
        <v>55.22</v>
      </c>
      <c r="O1073" s="24">
        <f>ROUND(SUM(M1061:M1072)/I1073,2)</f>
        <v>6.61</v>
      </c>
      <c r="P1073" s="24">
        <f>ROUND(SUM(N1061:N1072)/I1073,2)</f>
        <v>2.5099999999999998</v>
      </c>
      <c r="Q1073" s="9"/>
      <c r="S1073" s="25"/>
    </row>
    <row r="1074" spans="1:19" ht="20.25" customHeight="1" x14ac:dyDescent="0.25">
      <c r="A1074" s="27" t="s">
        <v>101</v>
      </c>
      <c r="B1074" s="28"/>
      <c r="C1074" s="28"/>
      <c r="D1074" s="28"/>
      <c r="E1074" s="28"/>
      <c r="F1074" s="28"/>
      <c r="G1074" s="28"/>
      <c r="H1074" s="28"/>
      <c r="I1074" s="28"/>
      <c r="J1074" s="28"/>
      <c r="K1074" s="28"/>
      <c r="L1074" s="28"/>
      <c r="M1074" s="28"/>
      <c r="N1074" s="28"/>
      <c r="O1074" s="28"/>
      <c r="P1074" s="28"/>
      <c r="Q1074" s="28"/>
      <c r="R1074" s="28"/>
      <c r="S1074" s="28"/>
    </row>
    <row r="1075" spans="1:19" ht="16.5" customHeight="1" x14ac:dyDescent="0.25">
      <c r="A1075" s="9"/>
      <c r="B1075" s="51" t="s">
        <v>102</v>
      </c>
      <c r="C1075" s="52"/>
      <c r="D1075" s="52"/>
      <c r="E1075" s="52"/>
      <c r="F1075" s="52"/>
      <c r="G1075" s="53"/>
      <c r="H1075" s="20"/>
      <c r="I1075" s="9">
        <v>1</v>
      </c>
      <c r="J1075" s="9"/>
      <c r="K1075" s="9"/>
      <c r="L1075" s="9"/>
      <c r="M1075" s="9">
        <f t="shared" ref="M1075:M1088" si="136">I1075*O1075</f>
        <v>7</v>
      </c>
      <c r="N1075" s="9">
        <f t="shared" ref="N1075:N1088" si="137">I1075*P1075</f>
        <v>3</v>
      </c>
      <c r="O1075" s="9">
        <v>7</v>
      </c>
      <c r="P1075" s="9">
        <v>3</v>
      </c>
      <c r="Q1075" s="9" t="s">
        <v>6</v>
      </c>
      <c r="R1075" s="1">
        <v>0</v>
      </c>
      <c r="S1075" s="26"/>
    </row>
    <row r="1076" spans="1:19" ht="16.5" customHeight="1" x14ac:dyDescent="0.25">
      <c r="A1076" s="9"/>
      <c r="B1076" s="51" t="s">
        <v>113</v>
      </c>
      <c r="C1076" s="52"/>
      <c r="D1076" s="52"/>
      <c r="E1076" s="52"/>
      <c r="F1076" s="52"/>
      <c r="G1076" s="53"/>
      <c r="H1076" s="20"/>
      <c r="I1076" s="9">
        <v>1</v>
      </c>
      <c r="J1076" s="9"/>
      <c r="K1076" s="9"/>
      <c r="L1076" s="9"/>
      <c r="M1076" s="9">
        <f t="shared" si="136"/>
        <v>7.4</v>
      </c>
      <c r="N1076" s="9">
        <f t="shared" si="137"/>
        <v>3</v>
      </c>
      <c r="O1076" s="9">
        <v>7.4</v>
      </c>
      <c r="P1076" s="9">
        <v>3</v>
      </c>
      <c r="Q1076" s="9" t="s">
        <v>6</v>
      </c>
      <c r="R1076" s="1">
        <v>0</v>
      </c>
      <c r="S1076" s="26"/>
    </row>
    <row r="1077" spans="1:19" ht="16.5" customHeight="1" x14ac:dyDescent="0.25">
      <c r="A1077" s="9"/>
      <c r="B1077" s="51" t="s">
        <v>104</v>
      </c>
      <c r="C1077" s="52"/>
      <c r="D1077" s="52"/>
      <c r="E1077" s="52"/>
      <c r="F1077" s="52"/>
      <c r="G1077" s="53"/>
      <c r="H1077" s="20"/>
      <c r="I1077" s="9">
        <v>4</v>
      </c>
      <c r="J1077" s="9"/>
      <c r="K1077" s="9"/>
      <c r="L1077" s="9"/>
      <c r="M1077" s="9">
        <f t="shared" si="136"/>
        <v>28.8</v>
      </c>
      <c r="N1077" s="9">
        <f t="shared" si="137"/>
        <v>12</v>
      </c>
      <c r="O1077" s="9">
        <v>7.2</v>
      </c>
      <c r="P1077" s="9">
        <v>3</v>
      </c>
      <c r="Q1077" s="9" t="s">
        <v>6</v>
      </c>
      <c r="R1077" s="1">
        <v>0</v>
      </c>
      <c r="S1077" s="26"/>
    </row>
    <row r="1078" spans="1:19" ht="16.5" customHeight="1" x14ac:dyDescent="0.25">
      <c r="A1078" s="9"/>
      <c r="B1078" s="51" t="s">
        <v>112</v>
      </c>
      <c r="C1078" s="52"/>
      <c r="D1078" s="52"/>
      <c r="E1078" s="52"/>
      <c r="F1078" s="52"/>
      <c r="G1078" s="53"/>
      <c r="H1078" s="20"/>
      <c r="I1078" s="9">
        <v>2</v>
      </c>
      <c r="J1078" s="9"/>
      <c r="K1078" s="9"/>
      <c r="L1078" s="9"/>
      <c r="M1078" s="9">
        <f t="shared" si="136"/>
        <v>12.8</v>
      </c>
      <c r="N1078" s="9">
        <f t="shared" si="137"/>
        <v>4</v>
      </c>
      <c r="O1078" s="9">
        <v>6.4</v>
      </c>
      <c r="P1078" s="9">
        <v>2</v>
      </c>
      <c r="Q1078" s="9" t="s">
        <v>3</v>
      </c>
      <c r="R1078" s="1">
        <v>0</v>
      </c>
      <c r="S1078" s="26"/>
    </row>
    <row r="1079" spans="1:19" ht="16.5" customHeight="1" x14ac:dyDescent="0.25">
      <c r="A1079" s="9"/>
      <c r="B1079" s="51" t="s">
        <v>106</v>
      </c>
      <c r="C1079" s="52"/>
      <c r="D1079" s="52"/>
      <c r="E1079" s="52"/>
      <c r="F1079" s="52"/>
      <c r="G1079" s="53"/>
      <c r="H1079" s="20"/>
      <c r="I1079" s="9">
        <v>2</v>
      </c>
      <c r="J1079" s="9"/>
      <c r="K1079" s="9"/>
      <c r="L1079" s="9"/>
      <c r="M1079" s="9">
        <f t="shared" si="136"/>
        <v>12.8</v>
      </c>
      <c r="N1079" s="9">
        <f t="shared" si="137"/>
        <v>4</v>
      </c>
      <c r="O1079" s="9">
        <v>6.4</v>
      </c>
      <c r="P1079" s="9">
        <v>2</v>
      </c>
      <c r="Q1079" s="9" t="s">
        <v>3</v>
      </c>
      <c r="R1079" s="1">
        <v>0</v>
      </c>
      <c r="S1079" s="26"/>
    </row>
    <row r="1080" spans="1:19" ht="16.5" customHeight="1" x14ac:dyDescent="0.25">
      <c r="A1080" s="9"/>
      <c r="B1080" s="51" t="s">
        <v>107</v>
      </c>
      <c r="C1080" s="52"/>
      <c r="D1080" s="52"/>
      <c r="E1080" s="52"/>
      <c r="F1080" s="52"/>
      <c r="G1080" s="53"/>
      <c r="H1080" s="20"/>
      <c r="I1080" s="9">
        <v>2</v>
      </c>
      <c r="J1080" s="9"/>
      <c r="K1080" s="9"/>
      <c r="L1080" s="9"/>
      <c r="M1080" s="9">
        <f t="shared" si="136"/>
        <v>13.2</v>
      </c>
      <c r="N1080" s="9">
        <f t="shared" si="137"/>
        <v>5</v>
      </c>
      <c r="O1080" s="9">
        <v>6.6</v>
      </c>
      <c r="P1080" s="9">
        <v>2.5</v>
      </c>
      <c r="Q1080" s="9" t="s">
        <v>5</v>
      </c>
      <c r="R1080" s="1">
        <v>0</v>
      </c>
      <c r="S1080" s="26"/>
    </row>
    <row r="1081" spans="1:19" ht="16.5" customHeight="1" x14ac:dyDescent="0.25">
      <c r="A1081" s="9"/>
      <c r="B1081" s="51" t="s">
        <v>108</v>
      </c>
      <c r="C1081" s="52"/>
      <c r="D1081" s="52"/>
      <c r="E1081" s="52"/>
      <c r="F1081" s="52"/>
      <c r="G1081" s="53"/>
      <c r="H1081" s="20"/>
      <c r="I1081" s="9">
        <v>4</v>
      </c>
      <c r="J1081" s="9"/>
      <c r="K1081" s="9"/>
      <c r="L1081" s="9"/>
      <c r="M1081" s="9">
        <f t="shared" si="136"/>
        <v>32</v>
      </c>
      <c r="N1081" s="9">
        <f t="shared" si="137"/>
        <v>14</v>
      </c>
      <c r="O1081" s="9">
        <v>8</v>
      </c>
      <c r="P1081" s="9">
        <v>3.5</v>
      </c>
      <c r="Q1081" s="9" t="s">
        <v>9</v>
      </c>
      <c r="R1081" s="1">
        <v>0</v>
      </c>
      <c r="S1081" s="26"/>
    </row>
    <row r="1082" spans="1:19" ht="16.5" customHeight="1" x14ac:dyDescent="0.25">
      <c r="A1082" s="9"/>
      <c r="B1082" s="51" t="s">
        <v>109</v>
      </c>
      <c r="C1082" s="52"/>
      <c r="D1082" s="52"/>
      <c r="E1082" s="52"/>
      <c r="F1082" s="52"/>
      <c r="G1082" s="53"/>
      <c r="H1082" s="20"/>
      <c r="I1082" s="9">
        <v>2</v>
      </c>
      <c r="J1082" s="9"/>
      <c r="K1082" s="9"/>
      <c r="L1082" s="9"/>
      <c r="M1082" s="9">
        <f t="shared" si="136"/>
        <v>15.8</v>
      </c>
      <c r="N1082" s="9">
        <f t="shared" si="137"/>
        <v>6</v>
      </c>
      <c r="O1082" s="9">
        <v>7.9</v>
      </c>
      <c r="P1082" s="9">
        <v>3</v>
      </c>
      <c r="Q1082" s="9" t="s">
        <v>6</v>
      </c>
      <c r="R1082" s="1">
        <v>0</v>
      </c>
      <c r="S1082" s="26"/>
    </row>
    <row r="1083" spans="1:19" ht="16.5" customHeight="1" x14ac:dyDescent="0.25">
      <c r="A1083" s="9"/>
      <c r="B1083" s="51" t="s">
        <v>110</v>
      </c>
      <c r="C1083" s="52"/>
      <c r="D1083" s="52"/>
      <c r="E1083" s="52"/>
      <c r="F1083" s="52"/>
      <c r="G1083" s="53"/>
      <c r="H1083" s="20"/>
      <c r="I1083" s="9">
        <v>2</v>
      </c>
      <c r="J1083" s="9"/>
      <c r="K1083" s="9"/>
      <c r="L1083" s="9"/>
      <c r="M1083" s="9">
        <f t="shared" si="136"/>
        <v>16.2</v>
      </c>
      <c r="N1083" s="9">
        <f t="shared" si="137"/>
        <v>7</v>
      </c>
      <c r="O1083" s="9">
        <v>8.1</v>
      </c>
      <c r="P1083" s="9">
        <v>3.5</v>
      </c>
      <c r="Q1083" s="9" t="s">
        <v>9</v>
      </c>
      <c r="R1083" s="1">
        <v>0</v>
      </c>
      <c r="S1083" s="26"/>
    </row>
    <row r="1084" spans="1:19" ht="16.5" customHeight="1" x14ac:dyDescent="0.25">
      <c r="A1084" s="9"/>
      <c r="B1084" s="51" t="s">
        <v>111</v>
      </c>
      <c r="C1084" s="52"/>
      <c r="D1084" s="52"/>
      <c r="E1084" s="52"/>
      <c r="F1084" s="52"/>
      <c r="G1084" s="53"/>
      <c r="H1084" s="20"/>
      <c r="I1084" s="9">
        <v>4</v>
      </c>
      <c r="J1084" s="9"/>
      <c r="K1084" s="9"/>
      <c r="L1084" s="9"/>
      <c r="M1084" s="9">
        <f t="shared" si="136"/>
        <v>30.8</v>
      </c>
      <c r="N1084" s="9">
        <f t="shared" si="137"/>
        <v>12</v>
      </c>
      <c r="O1084" s="9">
        <v>7.7</v>
      </c>
      <c r="P1084" s="9">
        <v>3</v>
      </c>
      <c r="Q1084" s="9" t="s">
        <v>6</v>
      </c>
      <c r="R1084" s="1">
        <v>0</v>
      </c>
      <c r="S1084" s="26"/>
    </row>
    <row r="1085" spans="1:19" ht="16.5" customHeight="1" x14ac:dyDescent="0.25">
      <c r="A1085" s="9"/>
      <c r="B1085" s="51" t="s">
        <v>105</v>
      </c>
      <c r="C1085" s="52"/>
      <c r="D1085" s="52"/>
      <c r="E1085" s="52"/>
      <c r="F1085" s="52"/>
      <c r="G1085" s="53"/>
      <c r="H1085" s="20"/>
      <c r="I1085" s="9">
        <v>3</v>
      </c>
      <c r="J1085" s="9"/>
      <c r="K1085" s="9"/>
      <c r="L1085" s="9"/>
      <c r="M1085" s="9">
        <f t="shared" si="136"/>
        <v>21.9</v>
      </c>
      <c r="N1085" s="9">
        <f t="shared" si="137"/>
        <v>9</v>
      </c>
      <c r="O1085" s="9">
        <v>7.3</v>
      </c>
      <c r="P1085" s="9">
        <v>3</v>
      </c>
      <c r="Q1085" s="9" t="s">
        <v>6</v>
      </c>
      <c r="R1085" s="1">
        <v>0</v>
      </c>
      <c r="S1085" s="26"/>
    </row>
    <row r="1086" spans="1:19" ht="16.5" customHeight="1" x14ac:dyDescent="0.25">
      <c r="A1086" s="9"/>
      <c r="B1086" s="51" t="s">
        <v>103</v>
      </c>
      <c r="C1086" s="52"/>
      <c r="D1086" s="52"/>
      <c r="E1086" s="52"/>
      <c r="F1086" s="52"/>
      <c r="G1086" s="53"/>
      <c r="H1086" s="20"/>
      <c r="I1086" s="9">
        <v>2</v>
      </c>
      <c r="J1086" s="9"/>
      <c r="K1086" s="9"/>
      <c r="L1086" s="9"/>
      <c r="M1086" s="9">
        <f t="shared" si="136"/>
        <v>12.8</v>
      </c>
      <c r="N1086" s="9">
        <f t="shared" si="137"/>
        <v>4</v>
      </c>
      <c r="O1086" s="9">
        <v>6.4</v>
      </c>
      <c r="P1086" s="9">
        <v>2</v>
      </c>
      <c r="Q1086" s="9" t="s">
        <v>3</v>
      </c>
      <c r="R1086" s="1">
        <v>0</v>
      </c>
      <c r="S1086" s="26"/>
    </row>
    <row r="1087" spans="1:19" ht="16.5" hidden="1" customHeight="1" x14ac:dyDescent="0.25">
      <c r="A1087" s="21"/>
      <c r="H1087" s="21"/>
      <c r="I1087" s="21"/>
      <c r="J1087" s="21"/>
      <c r="K1087" s="21"/>
      <c r="L1087" s="21"/>
      <c r="M1087" s="9">
        <f t="shared" si="136"/>
        <v>0</v>
      </c>
      <c r="N1087" s="9">
        <f t="shared" si="137"/>
        <v>0</v>
      </c>
      <c r="O1087" s="21"/>
      <c r="P1087" s="21"/>
      <c r="Q1087" s="21"/>
      <c r="S1087" s="25"/>
    </row>
    <row r="1088" spans="1:19" ht="16.5" customHeight="1" x14ac:dyDescent="0.25">
      <c r="A1088" s="9"/>
      <c r="B1088" s="39" t="s">
        <v>42</v>
      </c>
      <c r="C1088" s="40"/>
      <c r="D1088" s="40"/>
      <c r="E1088" s="40"/>
      <c r="F1088" s="40"/>
      <c r="G1088" s="41"/>
      <c r="H1088" s="23"/>
      <c r="I1088" s="24">
        <f>SUM(I1075:I1087)</f>
        <v>29</v>
      </c>
      <c r="J1088" s="9"/>
      <c r="K1088" s="9"/>
      <c r="L1088" s="9"/>
      <c r="M1088" s="9">
        <f t="shared" si="136"/>
        <v>211.41</v>
      </c>
      <c r="N1088" s="9">
        <f t="shared" si="137"/>
        <v>82.94</v>
      </c>
      <c r="O1088" s="24">
        <f>ROUND(SUM(M1075:M1087)/I1088,2)</f>
        <v>7.29</v>
      </c>
      <c r="P1088" s="24">
        <f>ROUND(SUM(N1075:N1087)/I1088,2)</f>
        <v>2.86</v>
      </c>
      <c r="Q1088" s="9"/>
      <c r="S1088" s="25"/>
    </row>
    <row r="1089" spans="1:19" ht="20.25" customHeight="1" x14ac:dyDescent="0.25">
      <c r="A1089" s="27" t="s">
        <v>114</v>
      </c>
      <c r="B1089" s="28"/>
      <c r="C1089" s="28"/>
      <c r="D1089" s="28"/>
      <c r="E1089" s="28"/>
      <c r="F1089" s="28"/>
      <c r="G1089" s="28"/>
      <c r="H1089" s="28"/>
      <c r="I1089" s="28"/>
      <c r="J1089" s="28"/>
      <c r="K1089" s="28"/>
      <c r="L1089" s="28"/>
      <c r="M1089" s="28"/>
      <c r="N1089" s="28"/>
      <c r="O1089" s="28"/>
      <c r="P1089" s="28"/>
      <c r="Q1089" s="28"/>
      <c r="R1089" s="28"/>
      <c r="S1089" s="28"/>
    </row>
    <row r="1090" spans="1:19" ht="16.5" customHeight="1" x14ac:dyDescent="0.25">
      <c r="A1090" s="9"/>
      <c r="B1090" s="51" t="s">
        <v>115</v>
      </c>
      <c r="C1090" s="52"/>
      <c r="D1090" s="52"/>
      <c r="E1090" s="52"/>
      <c r="F1090" s="52"/>
      <c r="G1090" s="53"/>
      <c r="H1090" s="20"/>
      <c r="I1090" s="9">
        <v>2</v>
      </c>
      <c r="J1090" s="9"/>
      <c r="K1090" s="9"/>
      <c r="L1090" s="9"/>
      <c r="M1090" s="9">
        <f t="shared" ref="M1090:M1100" si="138">I1090*O1090</f>
        <v>0</v>
      </c>
      <c r="N1090" s="9">
        <f t="shared" ref="N1090:N1100" si="139">I1090*P1090</f>
        <v>0</v>
      </c>
      <c r="O1090" s="9"/>
      <c r="P1090" s="9"/>
      <c r="Q1090" s="9"/>
      <c r="R1090" s="1">
        <v>0</v>
      </c>
      <c r="S1090" s="26"/>
    </row>
    <row r="1091" spans="1:19" ht="16.5" customHeight="1" x14ac:dyDescent="0.25">
      <c r="A1091" s="9"/>
      <c r="B1091" s="51" t="s">
        <v>122</v>
      </c>
      <c r="C1091" s="52"/>
      <c r="D1091" s="52"/>
      <c r="E1091" s="52"/>
      <c r="F1091" s="52"/>
      <c r="G1091" s="53"/>
      <c r="H1091" s="20"/>
      <c r="I1091" s="9">
        <v>2</v>
      </c>
      <c r="J1091" s="9"/>
      <c r="K1091" s="9"/>
      <c r="L1091" s="9"/>
      <c r="M1091" s="9">
        <f t="shared" si="138"/>
        <v>0</v>
      </c>
      <c r="N1091" s="9">
        <f t="shared" si="139"/>
        <v>0</v>
      </c>
      <c r="O1091" s="9"/>
      <c r="P1091" s="9"/>
      <c r="Q1091" s="9"/>
      <c r="R1091" s="1">
        <v>0</v>
      </c>
      <c r="S1091" s="26"/>
    </row>
    <row r="1092" spans="1:19" ht="16.5" customHeight="1" x14ac:dyDescent="0.25">
      <c r="A1092" s="9"/>
      <c r="B1092" s="51" t="s">
        <v>117</v>
      </c>
      <c r="C1092" s="52"/>
      <c r="D1092" s="52"/>
      <c r="E1092" s="52"/>
      <c r="F1092" s="52"/>
      <c r="G1092" s="53"/>
      <c r="H1092" s="20"/>
      <c r="I1092" s="9">
        <v>3</v>
      </c>
      <c r="J1092" s="9"/>
      <c r="K1092" s="9"/>
      <c r="L1092" s="9"/>
      <c r="M1092" s="9">
        <f t="shared" si="138"/>
        <v>0</v>
      </c>
      <c r="N1092" s="9">
        <f t="shared" si="139"/>
        <v>0</v>
      </c>
      <c r="O1092" s="9"/>
      <c r="P1092" s="9"/>
      <c r="Q1092" s="9"/>
      <c r="R1092" s="1">
        <v>0</v>
      </c>
      <c r="S1092" s="26"/>
    </row>
    <row r="1093" spans="1:19" ht="16.5" customHeight="1" x14ac:dyDescent="0.25">
      <c r="A1093" s="9"/>
      <c r="B1093" s="51" t="s">
        <v>123</v>
      </c>
      <c r="C1093" s="52"/>
      <c r="D1093" s="52"/>
      <c r="E1093" s="52"/>
      <c r="F1093" s="52"/>
      <c r="G1093" s="53"/>
      <c r="H1093" s="20"/>
      <c r="I1093" s="9">
        <v>2</v>
      </c>
      <c r="J1093" s="9"/>
      <c r="K1093" s="9"/>
      <c r="L1093" s="9"/>
      <c r="M1093" s="9">
        <f t="shared" si="138"/>
        <v>0</v>
      </c>
      <c r="N1093" s="9">
        <f t="shared" si="139"/>
        <v>0</v>
      </c>
      <c r="O1093" s="9"/>
      <c r="P1093" s="9"/>
      <c r="Q1093" s="9"/>
      <c r="R1093" s="1">
        <v>0</v>
      </c>
      <c r="S1093" s="26"/>
    </row>
    <row r="1094" spans="1:19" ht="16.5" customHeight="1" x14ac:dyDescent="0.25">
      <c r="A1094" s="9"/>
      <c r="B1094" s="51" t="s">
        <v>119</v>
      </c>
      <c r="C1094" s="52"/>
      <c r="D1094" s="52"/>
      <c r="E1094" s="52"/>
      <c r="F1094" s="52"/>
      <c r="G1094" s="53"/>
      <c r="H1094" s="20"/>
      <c r="I1094" s="9">
        <v>4</v>
      </c>
      <c r="J1094" s="9"/>
      <c r="K1094" s="9"/>
      <c r="L1094" s="9"/>
      <c r="M1094" s="9">
        <f t="shared" si="138"/>
        <v>0</v>
      </c>
      <c r="N1094" s="9">
        <f t="shared" si="139"/>
        <v>0</v>
      </c>
      <c r="O1094" s="9"/>
      <c r="P1094" s="9"/>
      <c r="Q1094" s="9"/>
      <c r="R1094" s="1">
        <v>0</v>
      </c>
      <c r="S1094" s="26"/>
    </row>
    <row r="1095" spans="1:19" ht="16.5" customHeight="1" x14ac:dyDescent="0.25">
      <c r="A1095" s="9"/>
      <c r="B1095" s="51" t="s">
        <v>120</v>
      </c>
      <c r="C1095" s="52"/>
      <c r="D1095" s="52"/>
      <c r="E1095" s="52"/>
      <c r="F1095" s="52"/>
      <c r="G1095" s="53"/>
      <c r="H1095" s="20"/>
      <c r="I1095" s="9">
        <v>3</v>
      </c>
      <c r="J1095" s="9"/>
      <c r="K1095" s="9"/>
      <c r="L1095" s="9"/>
      <c r="M1095" s="9">
        <f t="shared" si="138"/>
        <v>18.600000000000001</v>
      </c>
      <c r="N1095" s="9">
        <f t="shared" si="139"/>
        <v>6</v>
      </c>
      <c r="O1095" s="9">
        <v>6.2</v>
      </c>
      <c r="P1095" s="9">
        <v>2</v>
      </c>
      <c r="Q1095" s="9" t="s">
        <v>3</v>
      </c>
      <c r="R1095" s="1">
        <v>0</v>
      </c>
      <c r="S1095" s="26"/>
    </row>
    <row r="1096" spans="1:19" ht="16.5" customHeight="1" x14ac:dyDescent="0.25">
      <c r="A1096" s="9"/>
      <c r="B1096" s="51" t="s">
        <v>121</v>
      </c>
      <c r="C1096" s="52"/>
      <c r="D1096" s="52"/>
      <c r="E1096" s="52"/>
      <c r="F1096" s="52"/>
      <c r="G1096" s="53"/>
      <c r="H1096" s="20"/>
      <c r="I1096" s="9">
        <v>2</v>
      </c>
      <c r="J1096" s="9"/>
      <c r="K1096" s="9"/>
      <c r="L1096" s="9"/>
      <c r="M1096" s="9">
        <f t="shared" si="138"/>
        <v>16.2</v>
      </c>
      <c r="N1096" s="9">
        <f t="shared" si="139"/>
        <v>7</v>
      </c>
      <c r="O1096" s="9">
        <v>8.1</v>
      </c>
      <c r="P1096" s="9">
        <v>3.5</v>
      </c>
      <c r="Q1096" s="9" t="s">
        <v>9</v>
      </c>
      <c r="R1096" s="1">
        <v>0</v>
      </c>
      <c r="S1096" s="26"/>
    </row>
    <row r="1097" spans="1:19" ht="16.5" customHeight="1" x14ac:dyDescent="0.25">
      <c r="A1097" s="9"/>
      <c r="B1097" s="51" t="s">
        <v>116</v>
      </c>
      <c r="C1097" s="52"/>
      <c r="D1097" s="52"/>
      <c r="E1097" s="52"/>
      <c r="F1097" s="52"/>
      <c r="G1097" s="53"/>
      <c r="H1097" s="20"/>
      <c r="I1097" s="9">
        <v>3</v>
      </c>
      <c r="J1097" s="9"/>
      <c r="K1097" s="9"/>
      <c r="L1097" s="9"/>
      <c r="M1097" s="9">
        <f t="shared" si="138"/>
        <v>19.5</v>
      </c>
      <c r="N1097" s="9">
        <f t="shared" si="139"/>
        <v>7.5</v>
      </c>
      <c r="O1097" s="9">
        <v>6.5</v>
      </c>
      <c r="P1097" s="9">
        <v>2.5</v>
      </c>
      <c r="Q1097" s="9" t="s">
        <v>5</v>
      </c>
      <c r="R1097" s="1">
        <v>0</v>
      </c>
      <c r="S1097" s="26"/>
    </row>
    <row r="1098" spans="1:19" ht="16.5" customHeight="1" x14ac:dyDescent="0.25">
      <c r="A1098" s="9"/>
      <c r="B1098" s="51" t="s">
        <v>118</v>
      </c>
      <c r="C1098" s="52"/>
      <c r="D1098" s="52"/>
      <c r="E1098" s="52"/>
      <c r="F1098" s="52"/>
      <c r="G1098" s="53"/>
      <c r="H1098" s="20"/>
      <c r="I1098" s="9">
        <v>1</v>
      </c>
      <c r="J1098" s="9"/>
      <c r="K1098" s="9"/>
      <c r="L1098" s="9"/>
      <c r="M1098" s="9">
        <f t="shared" si="138"/>
        <v>7.4</v>
      </c>
      <c r="N1098" s="9">
        <f t="shared" si="139"/>
        <v>3</v>
      </c>
      <c r="O1098" s="9">
        <v>7.4</v>
      </c>
      <c r="P1098" s="9">
        <v>3</v>
      </c>
      <c r="Q1098" s="9" t="s">
        <v>6</v>
      </c>
      <c r="R1098" s="1">
        <v>0</v>
      </c>
      <c r="S1098" s="26"/>
    </row>
    <row r="1099" spans="1:19" ht="16.5" hidden="1" customHeight="1" x14ac:dyDescent="0.25">
      <c r="A1099" s="21"/>
      <c r="H1099" s="21"/>
      <c r="I1099" s="21"/>
      <c r="J1099" s="21"/>
      <c r="K1099" s="21"/>
      <c r="L1099" s="21"/>
      <c r="M1099" s="9">
        <f t="shared" si="138"/>
        <v>0</v>
      </c>
      <c r="N1099" s="9">
        <f t="shared" si="139"/>
        <v>0</v>
      </c>
      <c r="O1099" s="21"/>
      <c r="P1099" s="21"/>
      <c r="Q1099" s="21"/>
      <c r="S1099" s="25"/>
    </row>
    <row r="1100" spans="1:19" ht="16.5" customHeight="1" x14ac:dyDescent="0.25">
      <c r="A1100" s="9"/>
      <c r="B1100" s="39" t="s">
        <v>42</v>
      </c>
      <c r="C1100" s="40"/>
      <c r="D1100" s="40"/>
      <c r="E1100" s="40"/>
      <c r="F1100" s="40"/>
      <c r="G1100" s="41"/>
      <c r="H1100" s="23"/>
      <c r="I1100" s="24">
        <f>SUM(I1090:I1099)</f>
        <v>22</v>
      </c>
      <c r="J1100" s="9"/>
      <c r="K1100" s="9"/>
      <c r="L1100" s="9"/>
      <c r="M1100" s="9">
        <f t="shared" si="138"/>
        <v>61.599999999999994</v>
      </c>
      <c r="N1100" s="9">
        <f t="shared" si="139"/>
        <v>23.540000000000003</v>
      </c>
      <c r="O1100" s="24">
        <f>ROUND(SUM(M1090:M1099)/I1100,2)</f>
        <v>2.8</v>
      </c>
      <c r="P1100" s="24">
        <f>ROUND(SUM(N1090:N1099)/I1100,2)</f>
        <v>1.07</v>
      </c>
      <c r="Q1100" s="9"/>
      <c r="S1100" s="25"/>
    </row>
    <row r="1101" spans="1:19" ht="16.5" customHeight="1" x14ac:dyDescent="0.25">
      <c r="A1101" s="21"/>
      <c r="B1101" s="22"/>
      <c r="C1101" s="22"/>
      <c r="D1101" s="22"/>
      <c r="E1101" s="22"/>
      <c r="F1101" s="22"/>
      <c r="G1101" s="22"/>
      <c r="H1101" s="21"/>
      <c r="I1101" s="21"/>
      <c r="J1101" s="21"/>
      <c r="K1101" s="21"/>
      <c r="L1101" s="21"/>
      <c r="M1101" s="21"/>
      <c r="N1101" s="21"/>
      <c r="O1101" s="21"/>
      <c r="P1101" s="21"/>
      <c r="Q1101" s="21"/>
    </row>
    <row r="1103" spans="1:19" ht="18" x14ac:dyDescent="0.25">
      <c r="A1103" s="35" t="s">
        <v>50</v>
      </c>
      <c r="B1103" s="35"/>
      <c r="C1103" s="35"/>
      <c r="D1103" s="35"/>
      <c r="E1103" s="35"/>
      <c r="F1103" s="35"/>
      <c r="G1103" s="35"/>
      <c r="H1103" s="35"/>
      <c r="I1103" s="35"/>
      <c r="J1103" s="35"/>
      <c r="K1103" s="35"/>
      <c r="L1103" s="35"/>
      <c r="M1103" s="35"/>
      <c r="N1103" s="35"/>
      <c r="O1103" s="35"/>
      <c r="P1103" s="35"/>
      <c r="Q1103" s="35"/>
      <c r="R1103" s="35"/>
      <c r="S1103" s="35"/>
    </row>
    <row r="1104" spans="1:19" ht="18" x14ac:dyDescent="0.25">
      <c r="A1104" s="35" t="s">
        <v>176</v>
      </c>
      <c r="B1104" s="35"/>
      <c r="C1104" s="35"/>
      <c r="D1104" s="35"/>
      <c r="E1104" s="35"/>
      <c r="F1104" s="35"/>
      <c r="G1104" s="35"/>
      <c r="H1104" s="35"/>
      <c r="I1104" s="35"/>
      <c r="J1104" s="35"/>
      <c r="K1104" s="35"/>
      <c r="L1104" s="35"/>
      <c r="M1104" s="35"/>
      <c r="N1104" s="35"/>
      <c r="O1104" s="35"/>
      <c r="P1104" s="35"/>
      <c r="Q1104" s="35"/>
      <c r="R1104" s="35"/>
      <c r="S1104" s="35"/>
    </row>
    <row r="1105" spans="1:20" ht="18" x14ac:dyDescent="0.25">
      <c r="A1105" s="35" t="s">
        <v>177</v>
      </c>
      <c r="B1105" s="35"/>
      <c r="C1105" s="35"/>
      <c r="D1105" s="35"/>
      <c r="E1105" s="35"/>
      <c r="F1105" s="35"/>
      <c r="G1105" s="35"/>
      <c r="H1105" s="35"/>
      <c r="I1105" s="35"/>
      <c r="J1105" s="35"/>
      <c r="K1105" s="35"/>
      <c r="L1105" s="35"/>
      <c r="M1105" s="35"/>
      <c r="N1105" s="35"/>
      <c r="O1105" s="35"/>
      <c r="P1105" s="35"/>
      <c r="Q1105" s="35"/>
      <c r="R1105" s="35"/>
      <c r="S1105" s="35"/>
    </row>
    <row r="1106" spans="1:20" ht="18" x14ac:dyDescent="0.25">
      <c r="A1106" s="45" t="s">
        <v>149</v>
      </c>
      <c r="B1106" s="45"/>
      <c r="C1106" s="45"/>
      <c r="D1106" s="45"/>
      <c r="E1106" s="45"/>
      <c r="F1106" s="45"/>
      <c r="G1106" s="45"/>
      <c r="H1106" s="45"/>
      <c r="I1106" s="45"/>
      <c r="J1106" s="45"/>
      <c r="K1106" s="45"/>
      <c r="L1106" s="45"/>
      <c r="M1106" s="45"/>
      <c r="N1106" s="45"/>
      <c r="O1106" s="45"/>
      <c r="P1106" s="45"/>
      <c r="Q1106" s="45"/>
      <c r="R1106" s="45"/>
      <c r="S1106" s="45"/>
    </row>
    <row r="1107" spans="1:20" ht="19.5" customHeight="1" x14ac:dyDescent="0.25">
      <c r="A1107" s="17"/>
      <c r="B1107" s="17"/>
      <c r="C1107" s="8"/>
      <c r="D1107" s="18"/>
      <c r="E1107" s="10"/>
      <c r="F1107" s="11"/>
      <c r="G1107" s="46" t="s">
        <v>49</v>
      </c>
      <c r="H1107" s="46"/>
      <c r="I1107" s="46"/>
      <c r="J1107" s="46"/>
      <c r="K1107" s="46"/>
      <c r="L1107" s="46"/>
      <c r="M1107" s="46"/>
      <c r="N1107" s="46"/>
      <c r="O1107" s="46"/>
      <c r="P1107" s="46"/>
      <c r="Q1107" s="46"/>
      <c r="R1107" s="46"/>
      <c r="S1107" s="46"/>
    </row>
    <row r="1108" spans="1:20" ht="31.5" customHeight="1" x14ac:dyDescent="0.3">
      <c r="A1108" s="8"/>
      <c r="B1108" s="8"/>
      <c r="C1108" s="8"/>
      <c r="D1108" s="8"/>
      <c r="E1108" s="8"/>
      <c r="F1108" s="8"/>
      <c r="G1108" s="8"/>
      <c r="H1108" s="12"/>
      <c r="I1108" s="42" t="s">
        <v>40</v>
      </c>
      <c r="J1108" s="43"/>
      <c r="K1108" s="43"/>
      <c r="L1108" s="43"/>
      <c r="M1108" s="43"/>
      <c r="N1108" s="43"/>
      <c r="O1108" s="43"/>
      <c r="P1108" s="43"/>
      <c r="Q1108" s="43"/>
      <c r="R1108" s="43"/>
      <c r="S1108" s="43"/>
    </row>
    <row r="1109" spans="1:20" ht="16.8" x14ac:dyDescent="0.3">
      <c r="A1109" s="8"/>
      <c r="B1109" s="8"/>
      <c r="C1109" s="8"/>
      <c r="D1109" s="8"/>
      <c r="E1109" s="8"/>
      <c r="F1109" s="8"/>
      <c r="G1109" s="8"/>
      <c r="H1109" s="12"/>
      <c r="I1109" s="12"/>
      <c r="J1109" s="12"/>
      <c r="K1109" s="12"/>
      <c r="L1109" s="8"/>
      <c r="M1109" s="8"/>
      <c r="N1109" s="8"/>
      <c r="O1109" s="8"/>
      <c r="P1109" s="8"/>
      <c r="Q1109" s="8"/>
    </row>
    <row r="1110" spans="1:20" ht="33" customHeight="1" x14ac:dyDescent="0.3">
      <c r="A1110" s="8"/>
      <c r="B1110" s="8"/>
      <c r="C1110" s="8"/>
      <c r="D1110" s="8"/>
      <c r="E1110" s="8"/>
      <c r="F1110" s="8"/>
      <c r="G1110" s="8"/>
      <c r="H1110" s="12"/>
      <c r="I1110" s="12"/>
      <c r="J1110" s="12"/>
      <c r="K1110" s="12"/>
      <c r="L1110" s="8"/>
      <c r="M1110" s="8"/>
      <c r="N1110" s="8"/>
      <c r="O1110" s="8"/>
      <c r="P1110" s="8"/>
      <c r="Q1110" s="8"/>
    </row>
    <row r="1111" spans="1:20" ht="11.25" customHeight="1" x14ac:dyDescent="0.3">
      <c r="A1111" s="8"/>
      <c r="B1111" s="8"/>
      <c r="C1111" s="8"/>
      <c r="D1111" s="8"/>
      <c r="E1111" s="8"/>
      <c r="F1111" s="8"/>
      <c r="G1111" s="8"/>
      <c r="H1111" s="12"/>
      <c r="I1111" s="12"/>
      <c r="J1111" s="12"/>
      <c r="K1111" s="12"/>
      <c r="L1111" s="8"/>
      <c r="M1111" s="8"/>
      <c r="N1111" s="8"/>
      <c r="O1111" s="8"/>
      <c r="P1111" s="8"/>
      <c r="Q1111" s="8"/>
    </row>
    <row r="1112" spans="1:20" ht="17.399999999999999" x14ac:dyDescent="0.3">
      <c r="A1112" s="8"/>
      <c r="B1112" s="8"/>
      <c r="C1112" s="8"/>
      <c r="D1112" s="8"/>
      <c r="E1112" s="8"/>
      <c r="F1112" s="8"/>
      <c r="G1112" s="47" t="s">
        <v>41</v>
      </c>
      <c r="H1112" s="47"/>
      <c r="I1112" s="47"/>
      <c r="J1112" s="47"/>
      <c r="K1112" s="47"/>
      <c r="L1112" s="47"/>
      <c r="M1112" s="47"/>
      <c r="N1112" s="47"/>
      <c r="O1112" s="47"/>
      <c r="P1112" s="47"/>
      <c r="Q1112" s="47"/>
      <c r="R1112" s="47"/>
      <c r="S1112" s="47"/>
    </row>
    <row r="1113" spans="1:20" ht="54" customHeight="1" x14ac:dyDescent="0.25">
      <c r="A1113" s="48" t="s">
        <v>33</v>
      </c>
      <c r="B1113" s="48"/>
      <c r="C1113" s="48"/>
      <c r="D1113" s="48"/>
      <c r="E1113" s="48"/>
      <c r="F1113" s="42" t="s">
        <v>24</v>
      </c>
      <c r="G1113" s="42"/>
      <c r="H1113" s="42"/>
      <c r="I1113" s="42"/>
      <c r="J1113" s="42"/>
      <c r="K1113" s="42"/>
      <c r="L1113" s="42"/>
      <c r="M1113" s="42"/>
      <c r="N1113" s="42"/>
      <c r="O1113" s="42"/>
      <c r="P1113" s="42"/>
      <c r="Q1113" s="42"/>
      <c r="R1113" s="42"/>
      <c r="S1113" s="42"/>
    </row>
    <row r="1114" spans="1:20" ht="17.399999999999999" x14ac:dyDescent="0.25">
      <c r="A1114" s="49" t="s">
        <v>34</v>
      </c>
      <c r="B1114" s="49"/>
      <c r="C1114" s="49"/>
      <c r="D1114" s="49"/>
      <c r="E1114" s="49"/>
      <c r="F1114" s="49"/>
      <c r="G1114" s="49"/>
      <c r="H1114" s="49"/>
      <c r="I1114" s="49"/>
      <c r="J1114" s="49"/>
      <c r="K1114" s="49"/>
      <c r="L1114" s="49"/>
      <c r="M1114" s="49"/>
      <c r="N1114" s="49"/>
      <c r="O1114" s="49"/>
      <c r="P1114" s="49"/>
      <c r="Q1114" s="49"/>
    </row>
    <row r="1115" spans="1:20" ht="4.5" customHeight="1" x14ac:dyDescent="0.25">
      <c r="A1115" s="50"/>
      <c r="B1115" s="50"/>
      <c r="C1115" s="50"/>
      <c r="D1115" s="50"/>
      <c r="E1115" s="50"/>
      <c r="F1115" s="50"/>
      <c r="G1115" s="50"/>
      <c r="H1115" s="50"/>
      <c r="I1115" s="50"/>
      <c r="J1115" s="50"/>
      <c r="K1115" s="50"/>
      <c r="L1115" s="50"/>
      <c r="M1115" s="50"/>
      <c r="N1115" s="50"/>
      <c r="O1115" s="50"/>
      <c r="P1115" s="50"/>
      <c r="Q1115" s="50"/>
    </row>
    <row r="1116" spans="1:20" ht="5.25" customHeight="1" x14ac:dyDescent="0.25">
      <c r="A1116" s="50"/>
      <c r="B1116" s="50"/>
      <c r="C1116" s="50"/>
      <c r="D1116" s="50"/>
      <c r="E1116" s="50"/>
      <c r="F1116" s="50"/>
      <c r="G1116" s="50"/>
      <c r="H1116" s="50"/>
      <c r="I1116" s="50"/>
      <c r="J1116" s="50"/>
      <c r="K1116" s="50"/>
      <c r="L1116" s="50"/>
      <c r="M1116" s="50"/>
      <c r="N1116" s="50"/>
      <c r="O1116" s="50"/>
      <c r="P1116" s="50"/>
      <c r="Q1116" s="50"/>
    </row>
    <row r="1117" spans="1:20" ht="16.5" customHeight="1" x14ac:dyDescent="0.25">
      <c r="A1117" s="54" t="s">
        <v>178</v>
      </c>
      <c r="B1117" s="54"/>
      <c r="C1117" s="54"/>
      <c r="D1117" s="54"/>
      <c r="E1117" s="54"/>
      <c r="F1117" s="54"/>
      <c r="G1117" s="58" t="s">
        <v>179</v>
      </c>
      <c r="H1117" s="58"/>
      <c r="I1117" s="58"/>
      <c r="J1117" s="58"/>
      <c r="K1117" s="58"/>
      <c r="L1117" s="58"/>
      <c r="M1117" s="58"/>
      <c r="N1117" s="58"/>
      <c r="O1117" s="58"/>
      <c r="P1117" s="58"/>
      <c r="Q1117" s="58"/>
      <c r="R1117" s="58"/>
      <c r="S1117" s="58"/>
    </row>
    <row r="1118" spans="1:20" ht="16.5" customHeight="1" x14ac:dyDescent="0.25">
      <c r="A1118" s="54" t="s">
        <v>180</v>
      </c>
      <c r="B1118" s="54"/>
      <c r="C1118" s="54"/>
      <c r="D1118" s="54"/>
      <c r="E1118" s="54"/>
      <c r="F1118" s="54"/>
      <c r="G1118" s="8" t="s">
        <v>46</v>
      </c>
      <c r="H1118" s="8"/>
      <c r="I1118" s="8"/>
      <c r="J1118" s="8"/>
      <c r="K1118" s="8"/>
      <c r="L1118" s="8"/>
      <c r="M1118" s="8"/>
      <c r="N1118" s="8"/>
      <c r="O1118" s="8"/>
      <c r="P1118" s="8"/>
      <c r="Q1118" s="8"/>
      <c r="T1118" s="2"/>
    </row>
    <row r="1119" spans="1:20" ht="16.5" customHeight="1" x14ac:dyDescent="0.25">
      <c r="A1119" s="54" t="s">
        <v>47</v>
      </c>
      <c r="B1119" s="54"/>
      <c r="C1119" s="54"/>
      <c r="D1119" s="54"/>
      <c r="E1119" s="54"/>
      <c r="F1119" s="54"/>
      <c r="G1119" s="58" t="s">
        <v>48</v>
      </c>
      <c r="H1119" s="58"/>
      <c r="I1119" s="58"/>
      <c r="J1119" s="58"/>
      <c r="K1119" s="58"/>
      <c r="L1119" s="58"/>
      <c r="M1119" s="58"/>
      <c r="N1119" s="58"/>
      <c r="O1119" s="58"/>
      <c r="P1119" s="58"/>
      <c r="Q1119" s="58"/>
      <c r="R1119" s="58"/>
      <c r="S1119" s="58"/>
    </row>
    <row r="1120" spans="1:20" ht="5.25" customHeight="1" x14ac:dyDescent="0.25">
      <c r="A1120" s="8"/>
      <c r="B1120" s="8"/>
      <c r="C1120" s="8"/>
      <c r="D1120" s="8"/>
      <c r="E1120" s="8"/>
      <c r="F1120" s="8"/>
      <c r="G1120" s="8"/>
      <c r="H1120" s="8"/>
      <c r="I1120" s="8"/>
      <c r="J1120" s="19"/>
      <c r="K1120" s="19"/>
      <c r="L1120" s="19"/>
      <c r="M1120" s="19"/>
      <c r="N1120" s="19"/>
      <c r="O1120" s="19"/>
      <c r="P1120" s="19"/>
      <c r="Q1120" s="19"/>
    </row>
    <row r="1121" spans="1:19" ht="15" customHeight="1" x14ac:dyDescent="0.25">
      <c r="A1121" s="36" t="s">
        <v>0</v>
      </c>
      <c r="B1121" s="29" t="s">
        <v>1</v>
      </c>
      <c r="C1121" s="30"/>
      <c r="D1121" s="30"/>
      <c r="E1121" s="30"/>
      <c r="F1121" s="30"/>
      <c r="G1121" s="31"/>
      <c r="H1121" s="36" t="s">
        <v>32</v>
      </c>
      <c r="I1121" s="36" t="s">
        <v>39</v>
      </c>
      <c r="J1121" s="55" t="s">
        <v>2</v>
      </c>
      <c r="K1121" s="56"/>
      <c r="L1121" s="56"/>
      <c r="M1121" s="56"/>
      <c r="N1121" s="56"/>
      <c r="O1121" s="56"/>
      <c r="P1121" s="56"/>
      <c r="Q1121" s="57"/>
      <c r="S1121" s="36" t="s">
        <v>38</v>
      </c>
    </row>
    <row r="1122" spans="1:19" ht="24" customHeight="1" x14ac:dyDescent="0.25">
      <c r="A1122" s="37"/>
      <c r="B1122" s="32"/>
      <c r="C1122" s="33"/>
      <c r="D1122" s="33"/>
      <c r="E1122" s="33"/>
      <c r="F1122" s="33"/>
      <c r="G1122" s="34"/>
      <c r="H1122" s="37"/>
      <c r="I1122" s="37"/>
      <c r="J1122" s="7" t="s">
        <v>28</v>
      </c>
      <c r="K1122" s="7" t="s">
        <v>29</v>
      </c>
      <c r="L1122" s="7" t="s">
        <v>30</v>
      </c>
      <c r="M1122" s="7"/>
      <c r="N1122" s="7"/>
      <c r="O1122" s="6" t="s">
        <v>35</v>
      </c>
      <c r="P1122" s="6" t="s">
        <v>36</v>
      </c>
      <c r="Q1122" s="6" t="s">
        <v>37</v>
      </c>
      <c r="S1122" s="37"/>
    </row>
    <row r="1123" spans="1:19" ht="20.25" customHeight="1" x14ac:dyDescent="0.25">
      <c r="A1123" s="27" t="s">
        <v>54</v>
      </c>
      <c r="B1123" s="28"/>
      <c r="C1123" s="28"/>
      <c r="D1123" s="28"/>
      <c r="E1123" s="28"/>
      <c r="F1123" s="28"/>
      <c r="G1123" s="28"/>
      <c r="H1123" s="28"/>
      <c r="I1123" s="28"/>
      <c r="J1123" s="28"/>
      <c r="K1123" s="28"/>
      <c r="L1123" s="28"/>
      <c r="M1123" s="28"/>
      <c r="N1123" s="28"/>
      <c r="O1123" s="28"/>
      <c r="P1123" s="28"/>
      <c r="Q1123" s="28"/>
      <c r="R1123" s="28"/>
      <c r="S1123" s="28"/>
    </row>
    <row r="1124" spans="1:19" ht="16.5" customHeight="1" x14ac:dyDescent="0.25">
      <c r="A1124" s="9"/>
      <c r="B1124" s="51" t="s">
        <v>61</v>
      </c>
      <c r="C1124" s="52"/>
      <c r="D1124" s="52"/>
      <c r="E1124" s="52"/>
      <c r="F1124" s="52"/>
      <c r="G1124" s="53"/>
      <c r="H1124" s="20"/>
      <c r="I1124" s="9">
        <v>1</v>
      </c>
      <c r="J1124" s="9"/>
      <c r="K1124" s="9"/>
      <c r="L1124" s="9"/>
      <c r="M1124" s="9">
        <f t="shared" ref="M1124:M1132" si="140">I1124*O1124</f>
        <v>6.4</v>
      </c>
      <c r="N1124" s="9">
        <f t="shared" ref="N1124:N1132" si="141">I1124*P1124</f>
        <v>2</v>
      </c>
      <c r="O1124" s="9">
        <v>6.4</v>
      </c>
      <c r="P1124" s="9">
        <v>2</v>
      </c>
      <c r="Q1124" s="9" t="s">
        <v>3</v>
      </c>
      <c r="R1124" s="1">
        <v>0</v>
      </c>
      <c r="S1124" s="26"/>
    </row>
    <row r="1125" spans="1:19" ht="16.5" customHeight="1" x14ac:dyDescent="0.25">
      <c r="A1125" s="9"/>
      <c r="B1125" s="51" t="s">
        <v>56</v>
      </c>
      <c r="C1125" s="52"/>
      <c r="D1125" s="52"/>
      <c r="E1125" s="52"/>
      <c r="F1125" s="52"/>
      <c r="G1125" s="53"/>
      <c r="H1125" s="20"/>
      <c r="I1125" s="9">
        <v>3</v>
      </c>
      <c r="J1125" s="9"/>
      <c r="K1125" s="9"/>
      <c r="L1125" s="9"/>
      <c r="M1125" s="9">
        <f t="shared" si="140"/>
        <v>14.700000000000001</v>
      </c>
      <c r="N1125" s="9">
        <f t="shared" si="141"/>
        <v>3</v>
      </c>
      <c r="O1125" s="9">
        <v>4.9000000000000004</v>
      </c>
      <c r="P1125" s="9">
        <v>1</v>
      </c>
      <c r="Q1125" s="9" t="s">
        <v>8</v>
      </c>
      <c r="R1125" s="1">
        <v>0</v>
      </c>
      <c r="S1125" s="26"/>
    </row>
    <row r="1126" spans="1:19" ht="31.2" customHeight="1" x14ac:dyDescent="0.25">
      <c r="A1126" s="9"/>
      <c r="B1126" s="51" t="s">
        <v>57</v>
      </c>
      <c r="C1126" s="52"/>
      <c r="D1126" s="52"/>
      <c r="E1126" s="52"/>
      <c r="F1126" s="52"/>
      <c r="G1126" s="53"/>
      <c r="H1126" s="20"/>
      <c r="I1126" s="9">
        <v>3</v>
      </c>
      <c r="J1126" s="9"/>
      <c r="K1126" s="9"/>
      <c r="L1126" s="9"/>
      <c r="M1126" s="9">
        <f t="shared" si="140"/>
        <v>22.799999999999997</v>
      </c>
      <c r="N1126" s="9">
        <f t="shared" si="141"/>
        <v>9</v>
      </c>
      <c r="O1126" s="9">
        <v>7.6</v>
      </c>
      <c r="P1126" s="9">
        <v>3</v>
      </c>
      <c r="Q1126" s="9" t="s">
        <v>6</v>
      </c>
      <c r="R1126" s="1">
        <v>0</v>
      </c>
      <c r="S1126" s="26"/>
    </row>
    <row r="1127" spans="1:19" ht="16.5" customHeight="1" x14ac:dyDescent="0.25">
      <c r="A1127" s="9"/>
      <c r="B1127" s="51" t="s">
        <v>58</v>
      </c>
      <c r="C1127" s="52"/>
      <c r="D1127" s="52"/>
      <c r="E1127" s="52"/>
      <c r="F1127" s="52"/>
      <c r="G1127" s="53"/>
      <c r="H1127" s="20"/>
      <c r="I1127" s="9">
        <v>1</v>
      </c>
      <c r="J1127" s="9"/>
      <c r="K1127" s="9"/>
      <c r="L1127" s="9"/>
      <c r="M1127" s="9">
        <f t="shared" si="140"/>
        <v>6.7</v>
      </c>
      <c r="N1127" s="9">
        <f t="shared" si="141"/>
        <v>2.5</v>
      </c>
      <c r="O1127" s="9">
        <v>6.7</v>
      </c>
      <c r="P1127" s="9">
        <v>2.5</v>
      </c>
      <c r="Q1127" s="9" t="s">
        <v>5</v>
      </c>
      <c r="R1127" s="1">
        <v>0</v>
      </c>
      <c r="S1127" s="26"/>
    </row>
    <row r="1128" spans="1:19" ht="16.5" customHeight="1" x14ac:dyDescent="0.25">
      <c r="A1128" s="9"/>
      <c r="B1128" s="51" t="s">
        <v>59</v>
      </c>
      <c r="C1128" s="52"/>
      <c r="D1128" s="52"/>
      <c r="E1128" s="52"/>
      <c r="F1128" s="52"/>
      <c r="G1128" s="53"/>
      <c r="H1128" s="20"/>
      <c r="I1128" s="9">
        <v>1</v>
      </c>
      <c r="J1128" s="9"/>
      <c r="K1128" s="9"/>
      <c r="L1128" s="9"/>
      <c r="M1128" s="9">
        <f t="shared" si="140"/>
        <v>7.3</v>
      </c>
      <c r="N1128" s="9">
        <f t="shared" si="141"/>
        <v>3</v>
      </c>
      <c r="O1128" s="9">
        <v>7.3</v>
      </c>
      <c r="P1128" s="9">
        <v>3</v>
      </c>
      <c r="Q1128" s="9" t="s">
        <v>6</v>
      </c>
      <c r="R1128" s="1">
        <v>0</v>
      </c>
      <c r="S1128" s="26"/>
    </row>
    <row r="1129" spans="1:19" ht="16.5" customHeight="1" x14ac:dyDescent="0.25">
      <c r="A1129" s="9"/>
      <c r="B1129" s="51" t="s">
        <v>60</v>
      </c>
      <c r="C1129" s="52"/>
      <c r="D1129" s="52"/>
      <c r="E1129" s="52"/>
      <c r="F1129" s="52"/>
      <c r="G1129" s="53"/>
      <c r="H1129" s="20"/>
      <c r="I1129" s="9">
        <v>3</v>
      </c>
      <c r="J1129" s="9"/>
      <c r="K1129" s="9"/>
      <c r="L1129" s="9"/>
      <c r="M1129" s="9">
        <f t="shared" si="140"/>
        <v>25.200000000000003</v>
      </c>
      <c r="N1129" s="9">
        <f t="shared" si="141"/>
        <v>10.5</v>
      </c>
      <c r="O1129" s="9">
        <v>8.4</v>
      </c>
      <c r="P1129" s="9">
        <v>3.5</v>
      </c>
      <c r="Q1129" s="9" t="s">
        <v>9</v>
      </c>
      <c r="R1129" s="1">
        <v>0</v>
      </c>
      <c r="S1129" s="26"/>
    </row>
    <row r="1130" spans="1:19" ht="16.5" customHeight="1" x14ac:dyDescent="0.25">
      <c r="A1130" s="9"/>
      <c r="B1130" s="51" t="s">
        <v>55</v>
      </c>
      <c r="C1130" s="52"/>
      <c r="D1130" s="52"/>
      <c r="E1130" s="52"/>
      <c r="F1130" s="52"/>
      <c r="G1130" s="53"/>
      <c r="H1130" s="20"/>
      <c r="I1130" s="9">
        <v>2</v>
      </c>
      <c r="J1130" s="9"/>
      <c r="K1130" s="9"/>
      <c r="L1130" s="9"/>
      <c r="M1130" s="9">
        <f t="shared" si="140"/>
        <v>14.8</v>
      </c>
      <c r="N1130" s="9">
        <f t="shared" si="141"/>
        <v>6</v>
      </c>
      <c r="O1130" s="9">
        <v>7.4</v>
      </c>
      <c r="P1130" s="9">
        <v>3</v>
      </c>
      <c r="Q1130" s="9" t="s">
        <v>6</v>
      </c>
      <c r="R1130" s="1">
        <v>0</v>
      </c>
      <c r="S1130" s="26"/>
    </row>
    <row r="1131" spans="1:19" ht="16.5" hidden="1" customHeight="1" x14ac:dyDescent="0.25">
      <c r="A1131" s="21"/>
      <c r="H1131" s="21"/>
      <c r="I1131" s="21"/>
      <c r="J1131" s="21"/>
      <c r="K1131" s="21"/>
      <c r="L1131" s="21"/>
      <c r="M1131" s="9">
        <f t="shared" si="140"/>
        <v>0</v>
      </c>
      <c r="N1131" s="9">
        <f t="shared" si="141"/>
        <v>0</v>
      </c>
      <c r="O1131" s="21"/>
      <c r="P1131" s="21"/>
      <c r="Q1131" s="21"/>
      <c r="S1131" s="25"/>
    </row>
    <row r="1132" spans="1:19" ht="16.5" customHeight="1" x14ac:dyDescent="0.25">
      <c r="A1132" s="9"/>
      <c r="B1132" s="39" t="s">
        <v>42</v>
      </c>
      <c r="C1132" s="40"/>
      <c r="D1132" s="40"/>
      <c r="E1132" s="40"/>
      <c r="F1132" s="40"/>
      <c r="G1132" s="41"/>
      <c r="H1132" s="23"/>
      <c r="I1132" s="24">
        <f>SUM(I1124:I1131)</f>
        <v>14</v>
      </c>
      <c r="J1132" s="9"/>
      <c r="K1132" s="9"/>
      <c r="L1132" s="9"/>
      <c r="M1132" s="9">
        <f t="shared" si="140"/>
        <v>97.86</v>
      </c>
      <c r="N1132" s="9">
        <f t="shared" si="141"/>
        <v>35.979999999999997</v>
      </c>
      <c r="O1132" s="24">
        <f>ROUND(SUM(M1124:M1131)/I1132,2)</f>
        <v>6.99</v>
      </c>
      <c r="P1132" s="24">
        <f>ROUND(SUM(N1124:N1131)/I1132,2)</f>
        <v>2.57</v>
      </c>
      <c r="Q1132" s="9"/>
      <c r="S1132" s="25"/>
    </row>
    <row r="1133" spans="1:19" ht="20.25" customHeight="1" x14ac:dyDescent="0.25">
      <c r="A1133" s="27" t="s">
        <v>62</v>
      </c>
      <c r="B1133" s="28"/>
      <c r="C1133" s="28"/>
      <c r="D1133" s="28"/>
      <c r="E1133" s="28"/>
      <c r="F1133" s="28"/>
      <c r="G1133" s="28"/>
      <c r="H1133" s="28"/>
      <c r="I1133" s="28"/>
      <c r="J1133" s="28"/>
      <c r="K1133" s="28"/>
      <c r="L1133" s="28"/>
      <c r="M1133" s="28"/>
      <c r="N1133" s="28"/>
      <c r="O1133" s="28"/>
      <c r="P1133" s="28"/>
      <c r="Q1133" s="28"/>
      <c r="R1133" s="28"/>
      <c r="S1133" s="28"/>
    </row>
    <row r="1134" spans="1:19" ht="16.5" customHeight="1" x14ac:dyDescent="0.25">
      <c r="A1134" s="9"/>
      <c r="B1134" s="51" t="s">
        <v>63</v>
      </c>
      <c r="C1134" s="52"/>
      <c r="D1134" s="52"/>
      <c r="E1134" s="52"/>
      <c r="F1134" s="52"/>
      <c r="G1134" s="53"/>
      <c r="H1134" s="20"/>
      <c r="I1134" s="9">
        <v>4</v>
      </c>
      <c r="J1134" s="9"/>
      <c r="K1134" s="9"/>
      <c r="L1134" s="9"/>
      <c r="M1134" s="9">
        <f t="shared" ref="M1134:M1142" si="142">I1134*O1134</f>
        <v>22.4</v>
      </c>
      <c r="N1134" s="9">
        <f t="shared" ref="N1134:N1142" si="143">I1134*P1134</f>
        <v>8</v>
      </c>
      <c r="O1134" s="9">
        <v>5.6</v>
      </c>
      <c r="P1134" s="9">
        <v>2</v>
      </c>
      <c r="Q1134" s="9" t="s">
        <v>3</v>
      </c>
      <c r="R1134" s="1">
        <v>0</v>
      </c>
      <c r="S1134" s="26"/>
    </row>
    <row r="1135" spans="1:19" ht="16.5" customHeight="1" x14ac:dyDescent="0.25">
      <c r="A1135" s="9"/>
      <c r="B1135" s="51" t="s">
        <v>64</v>
      </c>
      <c r="C1135" s="52"/>
      <c r="D1135" s="52"/>
      <c r="E1135" s="52"/>
      <c r="F1135" s="52"/>
      <c r="G1135" s="53"/>
      <c r="H1135" s="20"/>
      <c r="I1135" s="9">
        <v>4</v>
      </c>
      <c r="J1135" s="9"/>
      <c r="K1135" s="9"/>
      <c r="L1135" s="9"/>
      <c r="M1135" s="9">
        <f t="shared" si="142"/>
        <v>22.4</v>
      </c>
      <c r="N1135" s="9">
        <f t="shared" si="143"/>
        <v>8</v>
      </c>
      <c r="O1135" s="9">
        <v>5.6</v>
      </c>
      <c r="P1135" s="9">
        <v>2</v>
      </c>
      <c r="Q1135" s="9" t="s">
        <v>3</v>
      </c>
      <c r="R1135" s="1">
        <v>0</v>
      </c>
      <c r="S1135" s="26"/>
    </row>
    <row r="1136" spans="1:19" ht="16.5" customHeight="1" x14ac:dyDescent="0.25">
      <c r="A1136" s="9"/>
      <c r="B1136" s="51" t="s">
        <v>65</v>
      </c>
      <c r="C1136" s="52"/>
      <c r="D1136" s="52"/>
      <c r="E1136" s="52"/>
      <c r="F1136" s="52"/>
      <c r="G1136" s="53"/>
      <c r="H1136" s="20"/>
      <c r="I1136" s="9">
        <v>4</v>
      </c>
      <c r="J1136" s="9"/>
      <c r="K1136" s="9"/>
      <c r="L1136" s="9"/>
      <c r="M1136" s="9">
        <f t="shared" si="142"/>
        <v>28</v>
      </c>
      <c r="N1136" s="9">
        <f t="shared" si="143"/>
        <v>12</v>
      </c>
      <c r="O1136" s="9">
        <v>7</v>
      </c>
      <c r="P1136" s="9">
        <v>3</v>
      </c>
      <c r="Q1136" s="9" t="s">
        <v>6</v>
      </c>
      <c r="R1136" s="1">
        <v>0</v>
      </c>
      <c r="S1136" s="26"/>
    </row>
    <row r="1137" spans="1:19" ht="16.5" customHeight="1" x14ac:dyDescent="0.25">
      <c r="A1137" s="9"/>
      <c r="B1137" s="51" t="s">
        <v>66</v>
      </c>
      <c r="C1137" s="52"/>
      <c r="D1137" s="52"/>
      <c r="E1137" s="52"/>
      <c r="F1137" s="52"/>
      <c r="G1137" s="53"/>
      <c r="H1137" s="20"/>
      <c r="I1137" s="9">
        <v>1</v>
      </c>
      <c r="J1137" s="9"/>
      <c r="K1137" s="9"/>
      <c r="L1137" s="9"/>
      <c r="M1137" s="9">
        <f t="shared" si="142"/>
        <v>7.7</v>
      </c>
      <c r="N1137" s="9">
        <f t="shared" si="143"/>
        <v>3</v>
      </c>
      <c r="O1137" s="9">
        <v>7.7</v>
      </c>
      <c r="P1137" s="9">
        <v>3</v>
      </c>
      <c r="Q1137" s="9" t="s">
        <v>6</v>
      </c>
      <c r="R1137" s="1">
        <v>0</v>
      </c>
      <c r="S1137" s="26"/>
    </row>
    <row r="1138" spans="1:19" ht="16.5" customHeight="1" x14ac:dyDescent="0.25">
      <c r="A1138" s="9"/>
      <c r="B1138" s="51" t="s">
        <v>67</v>
      </c>
      <c r="C1138" s="52"/>
      <c r="D1138" s="52"/>
      <c r="E1138" s="52"/>
      <c r="F1138" s="52"/>
      <c r="G1138" s="53"/>
      <c r="H1138" s="20"/>
      <c r="I1138" s="9">
        <v>1</v>
      </c>
      <c r="J1138" s="9"/>
      <c r="K1138" s="9"/>
      <c r="L1138" s="9"/>
      <c r="M1138" s="9">
        <f t="shared" si="142"/>
        <v>7.7</v>
      </c>
      <c r="N1138" s="9">
        <f t="shared" si="143"/>
        <v>3</v>
      </c>
      <c r="O1138" s="9">
        <v>7.7</v>
      </c>
      <c r="P1138" s="9">
        <v>3</v>
      </c>
      <c r="Q1138" s="9" t="s">
        <v>6</v>
      </c>
      <c r="R1138" s="1">
        <v>0</v>
      </c>
      <c r="S1138" s="26"/>
    </row>
    <row r="1139" spans="1:19" ht="16.5" customHeight="1" x14ac:dyDescent="0.25">
      <c r="A1139" s="9"/>
      <c r="B1139" s="51" t="s">
        <v>68</v>
      </c>
      <c r="C1139" s="52"/>
      <c r="D1139" s="52"/>
      <c r="E1139" s="52"/>
      <c r="F1139" s="52"/>
      <c r="G1139" s="53"/>
      <c r="H1139" s="20"/>
      <c r="I1139" s="9">
        <v>1</v>
      </c>
      <c r="J1139" s="9"/>
      <c r="K1139" s="9"/>
      <c r="L1139" s="9"/>
      <c r="M1139" s="9">
        <f t="shared" si="142"/>
        <v>7.3</v>
      </c>
      <c r="N1139" s="9">
        <f t="shared" si="143"/>
        <v>3</v>
      </c>
      <c r="O1139" s="9">
        <v>7.3</v>
      </c>
      <c r="P1139" s="9">
        <v>3</v>
      </c>
      <c r="Q1139" s="9" t="s">
        <v>6</v>
      </c>
      <c r="R1139" s="1">
        <v>0</v>
      </c>
      <c r="S1139" s="26"/>
    </row>
    <row r="1140" spans="1:19" ht="16.5" customHeight="1" x14ac:dyDescent="0.25">
      <c r="A1140" s="9"/>
      <c r="B1140" s="51" t="s">
        <v>69</v>
      </c>
      <c r="C1140" s="52"/>
      <c r="D1140" s="52"/>
      <c r="E1140" s="52"/>
      <c r="F1140" s="52"/>
      <c r="G1140" s="53"/>
      <c r="H1140" s="20"/>
      <c r="I1140" s="9">
        <v>1</v>
      </c>
      <c r="J1140" s="9"/>
      <c r="K1140" s="9"/>
      <c r="L1140" s="9"/>
      <c r="M1140" s="9">
        <f t="shared" si="142"/>
        <v>7.4</v>
      </c>
      <c r="N1140" s="9">
        <f t="shared" si="143"/>
        <v>3</v>
      </c>
      <c r="O1140" s="9">
        <v>7.4</v>
      </c>
      <c r="P1140" s="9">
        <v>3</v>
      </c>
      <c r="Q1140" s="9" t="s">
        <v>6</v>
      </c>
      <c r="R1140" s="1">
        <v>0</v>
      </c>
      <c r="S1140" s="26"/>
    </row>
    <row r="1141" spans="1:19" ht="16.5" hidden="1" customHeight="1" x14ac:dyDescent="0.25">
      <c r="A1141" s="21"/>
      <c r="H1141" s="21"/>
      <c r="I1141" s="21"/>
      <c r="J1141" s="21"/>
      <c r="K1141" s="21"/>
      <c r="L1141" s="21"/>
      <c r="M1141" s="9">
        <f t="shared" si="142"/>
        <v>0</v>
      </c>
      <c r="N1141" s="9">
        <f t="shared" si="143"/>
        <v>0</v>
      </c>
      <c r="O1141" s="21"/>
      <c r="P1141" s="21"/>
      <c r="Q1141" s="21"/>
      <c r="S1141" s="25"/>
    </row>
    <row r="1142" spans="1:19" ht="16.5" customHeight="1" x14ac:dyDescent="0.25">
      <c r="A1142" s="9"/>
      <c r="B1142" s="39" t="s">
        <v>42</v>
      </c>
      <c r="C1142" s="40"/>
      <c r="D1142" s="40"/>
      <c r="E1142" s="40"/>
      <c r="F1142" s="40"/>
      <c r="G1142" s="41"/>
      <c r="H1142" s="23"/>
      <c r="I1142" s="24">
        <f>SUM(I1134:I1141)</f>
        <v>16</v>
      </c>
      <c r="J1142" s="9"/>
      <c r="K1142" s="9"/>
      <c r="L1142" s="9"/>
      <c r="M1142" s="9">
        <f t="shared" si="142"/>
        <v>102.88</v>
      </c>
      <c r="N1142" s="9">
        <f t="shared" si="143"/>
        <v>40</v>
      </c>
      <c r="O1142" s="24">
        <f>ROUND(SUM(M1134:M1141)/I1142,2)</f>
        <v>6.43</v>
      </c>
      <c r="P1142" s="24">
        <f>ROUND(SUM(N1134:N1141)/I1142,2)</f>
        <v>2.5</v>
      </c>
      <c r="Q1142" s="9"/>
      <c r="S1142" s="25"/>
    </row>
    <row r="1143" spans="1:19" ht="20.25" customHeight="1" x14ac:dyDescent="0.25">
      <c r="A1143" s="27" t="s">
        <v>131</v>
      </c>
      <c r="B1143" s="28"/>
      <c r="C1143" s="28"/>
      <c r="D1143" s="28"/>
      <c r="E1143" s="28"/>
      <c r="F1143" s="28"/>
      <c r="G1143" s="28"/>
      <c r="H1143" s="28"/>
      <c r="I1143" s="28"/>
      <c r="J1143" s="28"/>
      <c r="K1143" s="28"/>
      <c r="L1143" s="28"/>
      <c r="M1143" s="28"/>
      <c r="N1143" s="28"/>
      <c r="O1143" s="28"/>
      <c r="P1143" s="28"/>
      <c r="Q1143" s="28"/>
      <c r="R1143" s="28"/>
      <c r="S1143" s="28"/>
    </row>
    <row r="1144" spans="1:19" ht="16.5" customHeight="1" x14ac:dyDescent="0.25">
      <c r="A1144" s="9"/>
      <c r="B1144" s="51" t="s">
        <v>56</v>
      </c>
      <c r="C1144" s="52"/>
      <c r="D1144" s="52"/>
      <c r="E1144" s="52"/>
      <c r="F1144" s="52"/>
      <c r="G1144" s="53"/>
      <c r="H1144" s="20"/>
      <c r="I1144" s="9">
        <v>3</v>
      </c>
      <c r="J1144" s="9"/>
      <c r="K1144" s="9"/>
      <c r="L1144" s="9"/>
      <c r="M1144" s="9">
        <f>I1144*O1144</f>
        <v>16.799999999999997</v>
      </c>
      <c r="N1144" s="9">
        <f>I1144*P1144</f>
        <v>6</v>
      </c>
      <c r="O1144" s="9">
        <v>5.6</v>
      </c>
      <c r="P1144" s="9">
        <v>2</v>
      </c>
      <c r="Q1144" s="9" t="s">
        <v>3</v>
      </c>
      <c r="R1144" s="1">
        <v>6</v>
      </c>
      <c r="S1144" s="26" t="s">
        <v>132</v>
      </c>
    </row>
    <row r="1145" spans="1:19" ht="16.5" hidden="1" customHeight="1" x14ac:dyDescent="0.25">
      <c r="A1145" s="21"/>
      <c r="H1145" s="21"/>
      <c r="I1145" s="21"/>
      <c r="J1145" s="21"/>
      <c r="K1145" s="21"/>
      <c r="L1145" s="21"/>
      <c r="M1145" s="9">
        <f>I1145*O1145</f>
        <v>0</v>
      </c>
      <c r="N1145" s="9">
        <f>I1145*P1145</f>
        <v>0</v>
      </c>
      <c r="O1145" s="21"/>
      <c r="P1145" s="21"/>
      <c r="Q1145" s="21"/>
      <c r="S1145" s="25"/>
    </row>
    <row r="1146" spans="1:19" ht="16.5" customHeight="1" x14ac:dyDescent="0.25">
      <c r="A1146" s="9"/>
      <c r="B1146" s="39" t="s">
        <v>42</v>
      </c>
      <c r="C1146" s="40"/>
      <c r="D1146" s="40"/>
      <c r="E1146" s="40"/>
      <c r="F1146" s="40"/>
      <c r="G1146" s="41"/>
      <c r="H1146" s="23"/>
      <c r="I1146" s="24">
        <f>SUM(I1144:I1145)</f>
        <v>3</v>
      </c>
      <c r="J1146" s="9"/>
      <c r="K1146" s="9"/>
      <c r="L1146" s="9"/>
      <c r="M1146" s="9">
        <f>I1146*O1146</f>
        <v>16.799999999999997</v>
      </c>
      <c r="N1146" s="9">
        <f>I1146*P1146</f>
        <v>6</v>
      </c>
      <c r="O1146" s="24">
        <f>ROUND(SUM(M1144:M1145)/I1146,2)</f>
        <v>5.6</v>
      </c>
      <c r="P1146" s="24">
        <f>ROUND(SUM(N1144:N1145)/I1146,2)</f>
        <v>2</v>
      </c>
      <c r="Q1146" s="9"/>
      <c r="S1146" s="25"/>
    </row>
    <row r="1147" spans="1:19" ht="20.25" customHeight="1" x14ac:dyDescent="0.25">
      <c r="A1147" s="27" t="s">
        <v>70</v>
      </c>
      <c r="B1147" s="28"/>
      <c r="C1147" s="28"/>
      <c r="D1147" s="28"/>
      <c r="E1147" s="28"/>
      <c r="F1147" s="28"/>
      <c r="G1147" s="28"/>
      <c r="H1147" s="28"/>
      <c r="I1147" s="28"/>
      <c r="J1147" s="28"/>
      <c r="K1147" s="28"/>
      <c r="L1147" s="28"/>
      <c r="M1147" s="28"/>
      <c r="N1147" s="28"/>
      <c r="O1147" s="28"/>
      <c r="P1147" s="28"/>
      <c r="Q1147" s="28"/>
      <c r="R1147" s="28"/>
      <c r="S1147" s="28"/>
    </row>
    <row r="1148" spans="1:19" ht="16.5" customHeight="1" x14ac:dyDescent="0.25">
      <c r="A1148" s="9"/>
      <c r="B1148" s="51" t="s">
        <v>71</v>
      </c>
      <c r="C1148" s="52"/>
      <c r="D1148" s="52"/>
      <c r="E1148" s="52"/>
      <c r="F1148" s="52"/>
      <c r="G1148" s="53"/>
      <c r="H1148" s="20"/>
      <c r="I1148" s="9">
        <v>4</v>
      </c>
      <c r="J1148" s="9"/>
      <c r="K1148" s="9"/>
      <c r="L1148" s="9"/>
      <c r="M1148" s="9">
        <f t="shared" ref="M1148:M1157" si="144">I1148*O1148</f>
        <v>21.6</v>
      </c>
      <c r="N1148" s="9">
        <f t="shared" ref="N1148:N1157" si="145">I1148*P1148</f>
        <v>6</v>
      </c>
      <c r="O1148" s="9">
        <v>5.4</v>
      </c>
      <c r="P1148" s="9">
        <v>1.5</v>
      </c>
      <c r="Q1148" s="9" t="s">
        <v>4</v>
      </c>
      <c r="R1148" s="1">
        <v>0</v>
      </c>
      <c r="S1148" s="26"/>
    </row>
    <row r="1149" spans="1:19" ht="16.5" customHeight="1" x14ac:dyDescent="0.25">
      <c r="A1149" s="9"/>
      <c r="B1149" s="51" t="s">
        <v>74</v>
      </c>
      <c r="C1149" s="52"/>
      <c r="D1149" s="52"/>
      <c r="E1149" s="52"/>
      <c r="F1149" s="52"/>
      <c r="G1149" s="53"/>
      <c r="H1149" s="20"/>
      <c r="I1149" s="9">
        <v>2</v>
      </c>
      <c r="J1149" s="9"/>
      <c r="K1149" s="9"/>
      <c r="L1149" s="9"/>
      <c r="M1149" s="9">
        <f t="shared" si="144"/>
        <v>16</v>
      </c>
      <c r="N1149" s="9">
        <f t="shared" si="145"/>
        <v>7</v>
      </c>
      <c r="O1149" s="9">
        <v>8</v>
      </c>
      <c r="P1149" s="9">
        <v>3.5</v>
      </c>
      <c r="Q1149" s="9" t="s">
        <v>9</v>
      </c>
      <c r="R1149" s="1">
        <v>0</v>
      </c>
      <c r="S1149" s="26"/>
    </row>
    <row r="1150" spans="1:19" ht="16.5" customHeight="1" x14ac:dyDescent="0.25">
      <c r="A1150" s="9"/>
      <c r="B1150" s="51" t="s">
        <v>73</v>
      </c>
      <c r="C1150" s="52"/>
      <c r="D1150" s="52"/>
      <c r="E1150" s="52"/>
      <c r="F1150" s="52"/>
      <c r="G1150" s="53"/>
      <c r="H1150" s="20"/>
      <c r="I1150" s="9">
        <v>2</v>
      </c>
      <c r="J1150" s="9"/>
      <c r="K1150" s="9"/>
      <c r="L1150" s="9"/>
      <c r="M1150" s="9">
        <f t="shared" si="144"/>
        <v>16.2</v>
      </c>
      <c r="N1150" s="9">
        <f t="shared" si="145"/>
        <v>7</v>
      </c>
      <c r="O1150" s="9">
        <v>8.1</v>
      </c>
      <c r="P1150" s="9">
        <v>3.5</v>
      </c>
      <c r="Q1150" s="9" t="s">
        <v>9</v>
      </c>
      <c r="R1150" s="1">
        <v>0</v>
      </c>
      <c r="S1150" s="26"/>
    </row>
    <row r="1151" spans="1:19" ht="16.5" customHeight="1" x14ac:dyDescent="0.25">
      <c r="A1151" s="9"/>
      <c r="B1151" s="51" t="s">
        <v>72</v>
      </c>
      <c r="C1151" s="52"/>
      <c r="D1151" s="52"/>
      <c r="E1151" s="52"/>
      <c r="F1151" s="52"/>
      <c r="G1151" s="53"/>
      <c r="H1151" s="20"/>
      <c r="I1151" s="9">
        <v>4</v>
      </c>
      <c r="J1151" s="9"/>
      <c r="K1151" s="9"/>
      <c r="L1151" s="9"/>
      <c r="M1151" s="9">
        <f t="shared" si="144"/>
        <v>24.4</v>
      </c>
      <c r="N1151" s="9">
        <f t="shared" si="145"/>
        <v>8</v>
      </c>
      <c r="O1151" s="9">
        <v>6.1</v>
      </c>
      <c r="P1151" s="9">
        <v>2</v>
      </c>
      <c r="Q1151" s="9" t="s">
        <v>3</v>
      </c>
      <c r="R1151" s="1">
        <v>0</v>
      </c>
      <c r="S1151" s="26"/>
    </row>
    <row r="1152" spans="1:19" ht="16.5" customHeight="1" x14ac:dyDescent="0.25">
      <c r="A1152" s="9"/>
      <c r="B1152" s="51" t="s">
        <v>75</v>
      </c>
      <c r="C1152" s="52"/>
      <c r="D1152" s="52"/>
      <c r="E1152" s="52"/>
      <c r="F1152" s="52"/>
      <c r="G1152" s="53"/>
      <c r="H1152" s="20"/>
      <c r="I1152" s="9">
        <v>1</v>
      </c>
      <c r="J1152" s="9"/>
      <c r="K1152" s="9"/>
      <c r="L1152" s="9"/>
      <c r="M1152" s="9">
        <f t="shared" si="144"/>
        <v>6.4</v>
      </c>
      <c r="N1152" s="9">
        <f t="shared" si="145"/>
        <v>2</v>
      </c>
      <c r="O1152" s="9">
        <v>6.4</v>
      </c>
      <c r="P1152" s="9">
        <v>2</v>
      </c>
      <c r="Q1152" s="9" t="s">
        <v>3</v>
      </c>
      <c r="R1152" s="1">
        <v>0</v>
      </c>
      <c r="S1152" s="26"/>
    </row>
    <row r="1153" spans="1:19" ht="16.5" customHeight="1" x14ac:dyDescent="0.25">
      <c r="A1153" s="9"/>
      <c r="B1153" s="51" t="s">
        <v>78</v>
      </c>
      <c r="C1153" s="52"/>
      <c r="D1153" s="52"/>
      <c r="E1153" s="52"/>
      <c r="F1153" s="52"/>
      <c r="G1153" s="53"/>
      <c r="H1153" s="20"/>
      <c r="I1153" s="9">
        <v>3</v>
      </c>
      <c r="J1153" s="9"/>
      <c r="K1153" s="9"/>
      <c r="L1153" s="9"/>
      <c r="M1153" s="9">
        <f t="shared" si="144"/>
        <v>17.399999999999999</v>
      </c>
      <c r="N1153" s="9">
        <f t="shared" si="145"/>
        <v>6</v>
      </c>
      <c r="O1153" s="9">
        <v>5.8</v>
      </c>
      <c r="P1153" s="9">
        <v>2</v>
      </c>
      <c r="Q1153" s="9" t="s">
        <v>3</v>
      </c>
      <c r="R1153" s="1">
        <v>0</v>
      </c>
      <c r="S1153" s="26"/>
    </row>
    <row r="1154" spans="1:19" ht="16.5" customHeight="1" x14ac:dyDescent="0.25">
      <c r="A1154" s="9"/>
      <c r="B1154" s="51" t="s">
        <v>77</v>
      </c>
      <c r="C1154" s="52"/>
      <c r="D1154" s="52"/>
      <c r="E1154" s="52"/>
      <c r="F1154" s="52"/>
      <c r="G1154" s="53"/>
      <c r="H1154" s="20"/>
      <c r="I1154" s="9">
        <v>1</v>
      </c>
      <c r="J1154" s="9"/>
      <c r="K1154" s="9"/>
      <c r="L1154" s="9"/>
      <c r="M1154" s="9">
        <f t="shared" si="144"/>
        <v>7.2</v>
      </c>
      <c r="N1154" s="9">
        <f t="shared" si="145"/>
        <v>3</v>
      </c>
      <c r="O1154" s="9">
        <v>7.2</v>
      </c>
      <c r="P1154" s="9">
        <v>3</v>
      </c>
      <c r="Q1154" s="9" t="s">
        <v>6</v>
      </c>
      <c r="R1154" s="1">
        <v>0</v>
      </c>
      <c r="S1154" s="26"/>
    </row>
    <row r="1155" spans="1:19" ht="16.5" customHeight="1" x14ac:dyDescent="0.25">
      <c r="A1155" s="9"/>
      <c r="B1155" s="51" t="s">
        <v>76</v>
      </c>
      <c r="C1155" s="52"/>
      <c r="D1155" s="52"/>
      <c r="E1155" s="52"/>
      <c r="F1155" s="52"/>
      <c r="G1155" s="53"/>
      <c r="H1155" s="20"/>
      <c r="I1155" s="9">
        <v>4</v>
      </c>
      <c r="J1155" s="9"/>
      <c r="K1155" s="9"/>
      <c r="L1155" s="9"/>
      <c r="M1155" s="9">
        <f t="shared" si="144"/>
        <v>26.8</v>
      </c>
      <c r="N1155" s="9">
        <f t="shared" si="145"/>
        <v>10</v>
      </c>
      <c r="O1155" s="9">
        <v>6.7</v>
      </c>
      <c r="P1155" s="9">
        <v>2.5</v>
      </c>
      <c r="Q1155" s="9" t="s">
        <v>5</v>
      </c>
      <c r="R1155" s="1">
        <v>0</v>
      </c>
      <c r="S1155" s="26"/>
    </row>
    <row r="1156" spans="1:19" ht="16.5" hidden="1" customHeight="1" x14ac:dyDescent="0.25">
      <c r="A1156" s="21"/>
      <c r="H1156" s="21"/>
      <c r="I1156" s="21"/>
      <c r="J1156" s="21"/>
      <c r="K1156" s="21"/>
      <c r="L1156" s="21"/>
      <c r="M1156" s="9">
        <f t="shared" si="144"/>
        <v>0</v>
      </c>
      <c r="N1156" s="9">
        <f t="shared" si="145"/>
        <v>0</v>
      </c>
      <c r="O1156" s="21"/>
      <c r="P1156" s="21"/>
      <c r="Q1156" s="21"/>
      <c r="S1156" s="25"/>
    </row>
    <row r="1157" spans="1:19" ht="16.5" customHeight="1" x14ac:dyDescent="0.25">
      <c r="A1157" s="9"/>
      <c r="B1157" s="39" t="s">
        <v>42</v>
      </c>
      <c r="C1157" s="40"/>
      <c r="D1157" s="40"/>
      <c r="E1157" s="40"/>
      <c r="F1157" s="40"/>
      <c r="G1157" s="41"/>
      <c r="H1157" s="23"/>
      <c r="I1157" s="24">
        <f>SUM(I1148:I1156)</f>
        <v>21</v>
      </c>
      <c r="J1157" s="9"/>
      <c r="K1157" s="9"/>
      <c r="L1157" s="9"/>
      <c r="M1157" s="9">
        <f t="shared" si="144"/>
        <v>136.08000000000001</v>
      </c>
      <c r="N1157" s="9">
        <f t="shared" si="145"/>
        <v>48.93</v>
      </c>
      <c r="O1157" s="24">
        <f>ROUND(SUM(M1148:M1156)/I1157,2)</f>
        <v>6.48</v>
      </c>
      <c r="P1157" s="24">
        <f>ROUND(SUM(N1148:N1156)/I1157,2)</f>
        <v>2.33</v>
      </c>
      <c r="Q1157" s="9"/>
      <c r="S1157" s="25"/>
    </row>
    <row r="1158" spans="1:19" ht="20.25" customHeight="1" x14ac:dyDescent="0.25">
      <c r="A1158" s="27" t="s">
        <v>79</v>
      </c>
      <c r="B1158" s="28"/>
      <c r="C1158" s="28"/>
      <c r="D1158" s="28"/>
      <c r="E1158" s="28"/>
      <c r="F1158" s="28"/>
      <c r="G1158" s="28"/>
      <c r="H1158" s="28"/>
      <c r="I1158" s="28"/>
      <c r="J1158" s="28"/>
      <c r="K1158" s="28"/>
      <c r="L1158" s="28"/>
      <c r="M1158" s="28"/>
      <c r="N1158" s="28"/>
      <c r="O1158" s="28"/>
      <c r="P1158" s="28"/>
      <c r="Q1158" s="28"/>
      <c r="R1158" s="28"/>
      <c r="S1158" s="28"/>
    </row>
    <row r="1159" spans="1:19" ht="16.5" customHeight="1" x14ac:dyDescent="0.25">
      <c r="A1159" s="9"/>
      <c r="B1159" s="51" t="s">
        <v>80</v>
      </c>
      <c r="C1159" s="52"/>
      <c r="D1159" s="52"/>
      <c r="E1159" s="52"/>
      <c r="F1159" s="52"/>
      <c r="G1159" s="53"/>
      <c r="H1159" s="20"/>
      <c r="I1159" s="9">
        <v>3</v>
      </c>
      <c r="J1159" s="9"/>
      <c r="K1159" s="9"/>
      <c r="L1159" s="9"/>
      <c r="M1159" s="9">
        <f>I1159*O1159</f>
        <v>21.299999999999997</v>
      </c>
      <c r="N1159" s="9">
        <f>I1159*P1159</f>
        <v>9</v>
      </c>
      <c r="O1159" s="9">
        <v>7.1</v>
      </c>
      <c r="P1159" s="9">
        <v>3</v>
      </c>
      <c r="Q1159" s="9" t="s">
        <v>6</v>
      </c>
      <c r="R1159" s="1">
        <v>0</v>
      </c>
      <c r="S1159" s="26"/>
    </row>
    <row r="1160" spans="1:19" ht="16.5" customHeight="1" x14ac:dyDescent="0.25">
      <c r="A1160" s="9"/>
      <c r="B1160" s="51" t="s">
        <v>83</v>
      </c>
      <c r="C1160" s="52"/>
      <c r="D1160" s="52"/>
      <c r="E1160" s="52"/>
      <c r="F1160" s="52"/>
      <c r="G1160" s="53"/>
      <c r="H1160" s="20"/>
      <c r="I1160" s="9">
        <v>1</v>
      </c>
      <c r="J1160" s="9"/>
      <c r="K1160" s="9"/>
      <c r="L1160" s="9"/>
      <c r="M1160" s="9">
        <f>I1160*O1160</f>
        <v>7.5</v>
      </c>
      <c r="N1160" s="9">
        <f>I1160*P1160</f>
        <v>3</v>
      </c>
      <c r="O1160" s="9">
        <v>7.5</v>
      </c>
      <c r="P1160" s="9">
        <v>3</v>
      </c>
      <c r="Q1160" s="9" t="s">
        <v>6</v>
      </c>
      <c r="R1160" s="1">
        <v>0</v>
      </c>
      <c r="S1160" s="26"/>
    </row>
    <row r="1161" spans="1:19" ht="15" customHeight="1" x14ac:dyDescent="0.25">
      <c r="A1161" s="36" t="s">
        <v>0</v>
      </c>
      <c r="B1161" s="29" t="s">
        <v>1</v>
      </c>
      <c r="C1161" s="30"/>
      <c r="D1161" s="30"/>
      <c r="E1161" s="30"/>
      <c r="F1161" s="30"/>
      <c r="G1161" s="31"/>
      <c r="H1161" s="36" t="s">
        <v>32</v>
      </c>
      <c r="I1161" s="36" t="s">
        <v>39</v>
      </c>
      <c r="J1161" s="55" t="s">
        <v>2</v>
      </c>
      <c r="K1161" s="56"/>
      <c r="L1161" s="56"/>
      <c r="M1161" s="56"/>
      <c r="N1161" s="56"/>
      <c r="O1161" s="56"/>
      <c r="P1161" s="56"/>
      <c r="Q1161" s="57"/>
      <c r="S1161" s="36" t="s">
        <v>38</v>
      </c>
    </row>
    <row r="1162" spans="1:19" ht="24" customHeight="1" x14ac:dyDescent="0.25">
      <c r="A1162" s="37"/>
      <c r="B1162" s="32"/>
      <c r="C1162" s="33"/>
      <c r="D1162" s="33"/>
      <c r="E1162" s="33"/>
      <c r="F1162" s="33"/>
      <c r="G1162" s="34"/>
      <c r="H1162" s="37"/>
      <c r="I1162" s="37"/>
      <c r="J1162" s="7" t="s">
        <v>28</v>
      </c>
      <c r="K1162" s="7" t="s">
        <v>29</v>
      </c>
      <c r="L1162" s="7" t="s">
        <v>30</v>
      </c>
      <c r="M1162" s="7"/>
      <c r="N1162" s="7"/>
      <c r="O1162" s="6" t="s">
        <v>35</v>
      </c>
      <c r="P1162" s="6" t="s">
        <v>36</v>
      </c>
      <c r="Q1162" s="6" t="s">
        <v>37</v>
      </c>
      <c r="S1162" s="37"/>
    </row>
    <row r="1163" spans="1:19" ht="16.5" customHeight="1" x14ac:dyDescent="0.25">
      <c r="A1163" s="9"/>
      <c r="B1163" s="51" t="s">
        <v>82</v>
      </c>
      <c r="C1163" s="52"/>
      <c r="D1163" s="52"/>
      <c r="E1163" s="52"/>
      <c r="F1163" s="52"/>
      <c r="G1163" s="53"/>
      <c r="H1163" s="20"/>
      <c r="I1163" s="9">
        <v>3</v>
      </c>
      <c r="J1163" s="9"/>
      <c r="K1163" s="9"/>
      <c r="L1163" s="9"/>
      <c r="M1163" s="9">
        <f t="shared" ref="M1163:M1171" si="146">I1163*O1163</f>
        <v>18.600000000000001</v>
      </c>
      <c r="N1163" s="9">
        <f t="shared" ref="N1163:N1171" si="147">I1163*P1163</f>
        <v>6</v>
      </c>
      <c r="O1163" s="9">
        <v>6.2</v>
      </c>
      <c r="P1163" s="9">
        <v>2</v>
      </c>
      <c r="Q1163" s="9" t="s">
        <v>3</v>
      </c>
      <c r="R1163" s="1">
        <v>0</v>
      </c>
      <c r="S1163" s="26"/>
    </row>
    <row r="1164" spans="1:19" ht="16.5" customHeight="1" x14ac:dyDescent="0.25">
      <c r="A1164" s="9"/>
      <c r="B1164" s="51" t="s">
        <v>81</v>
      </c>
      <c r="C1164" s="52"/>
      <c r="D1164" s="52"/>
      <c r="E1164" s="52"/>
      <c r="F1164" s="52"/>
      <c r="G1164" s="53"/>
      <c r="H1164" s="20"/>
      <c r="I1164" s="9">
        <v>4</v>
      </c>
      <c r="J1164" s="9"/>
      <c r="K1164" s="9"/>
      <c r="L1164" s="9"/>
      <c r="M1164" s="9">
        <f t="shared" si="146"/>
        <v>30.4</v>
      </c>
      <c r="N1164" s="9">
        <f t="shared" si="147"/>
        <v>12</v>
      </c>
      <c r="O1164" s="9">
        <v>7.6</v>
      </c>
      <c r="P1164" s="9">
        <v>3</v>
      </c>
      <c r="Q1164" s="9" t="s">
        <v>6</v>
      </c>
      <c r="R1164" s="1">
        <v>0</v>
      </c>
      <c r="S1164" s="26"/>
    </row>
    <row r="1165" spans="1:19" ht="16.5" customHeight="1" x14ac:dyDescent="0.25">
      <c r="A1165" s="9"/>
      <c r="B1165" s="51" t="s">
        <v>84</v>
      </c>
      <c r="C1165" s="52"/>
      <c r="D1165" s="52"/>
      <c r="E1165" s="52"/>
      <c r="F1165" s="52"/>
      <c r="G1165" s="53"/>
      <c r="H1165" s="20"/>
      <c r="I1165" s="9">
        <v>2</v>
      </c>
      <c r="J1165" s="9"/>
      <c r="K1165" s="9"/>
      <c r="L1165" s="9"/>
      <c r="M1165" s="9">
        <f t="shared" si="146"/>
        <v>14.6</v>
      </c>
      <c r="N1165" s="9">
        <f t="shared" si="147"/>
        <v>6</v>
      </c>
      <c r="O1165" s="9">
        <v>7.3</v>
      </c>
      <c r="P1165" s="9">
        <v>3</v>
      </c>
      <c r="Q1165" s="9" t="s">
        <v>6</v>
      </c>
      <c r="R1165" s="1">
        <v>0</v>
      </c>
      <c r="S1165" s="26"/>
    </row>
    <row r="1166" spans="1:19" ht="16.5" customHeight="1" x14ac:dyDescent="0.25">
      <c r="A1166" s="9"/>
      <c r="B1166" s="51" t="s">
        <v>85</v>
      </c>
      <c r="C1166" s="52"/>
      <c r="D1166" s="52"/>
      <c r="E1166" s="52"/>
      <c r="F1166" s="52"/>
      <c r="G1166" s="53"/>
      <c r="H1166" s="20"/>
      <c r="I1166" s="9">
        <v>2</v>
      </c>
      <c r="J1166" s="9"/>
      <c r="K1166" s="9"/>
      <c r="L1166" s="9"/>
      <c r="M1166" s="9">
        <f t="shared" si="146"/>
        <v>13.6</v>
      </c>
      <c r="N1166" s="9">
        <f t="shared" si="147"/>
        <v>5</v>
      </c>
      <c r="O1166" s="9">
        <v>6.8</v>
      </c>
      <c r="P1166" s="9">
        <v>2.5</v>
      </c>
      <c r="Q1166" s="9" t="s">
        <v>5</v>
      </c>
      <c r="R1166" s="1">
        <v>0</v>
      </c>
      <c r="S1166" s="26"/>
    </row>
    <row r="1167" spans="1:19" ht="16.5" customHeight="1" x14ac:dyDescent="0.25">
      <c r="A1167" s="9"/>
      <c r="B1167" s="51" t="s">
        <v>86</v>
      </c>
      <c r="C1167" s="52"/>
      <c r="D1167" s="52"/>
      <c r="E1167" s="52"/>
      <c r="F1167" s="52"/>
      <c r="G1167" s="53"/>
      <c r="H1167" s="20"/>
      <c r="I1167" s="9">
        <v>2</v>
      </c>
      <c r="J1167" s="9"/>
      <c r="K1167" s="9"/>
      <c r="L1167" s="9"/>
      <c r="M1167" s="9">
        <f t="shared" si="146"/>
        <v>15.2</v>
      </c>
      <c r="N1167" s="9">
        <f t="shared" si="147"/>
        <v>6</v>
      </c>
      <c r="O1167" s="9">
        <v>7.6</v>
      </c>
      <c r="P1167" s="9">
        <v>3</v>
      </c>
      <c r="Q1167" s="9" t="s">
        <v>6</v>
      </c>
      <c r="R1167" s="1">
        <v>0</v>
      </c>
      <c r="S1167" s="26"/>
    </row>
    <row r="1168" spans="1:19" ht="16.5" customHeight="1" x14ac:dyDescent="0.25">
      <c r="A1168" s="9"/>
      <c r="B1168" s="51" t="s">
        <v>87</v>
      </c>
      <c r="C1168" s="52"/>
      <c r="D1168" s="52"/>
      <c r="E1168" s="52"/>
      <c r="F1168" s="52"/>
      <c r="G1168" s="53"/>
      <c r="H1168" s="20"/>
      <c r="I1168" s="9">
        <v>3</v>
      </c>
      <c r="J1168" s="9"/>
      <c r="K1168" s="9"/>
      <c r="L1168" s="9"/>
      <c r="M1168" s="9">
        <f t="shared" si="146"/>
        <v>22.200000000000003</v>
      </c>
      <c r="N1168" s="9">
        <f t="shared" si="147"/>
        <v>9</v>
      </c>
      <c r="O1168" s="9">
        <v>7.4</v>
      </c>
      <c r="P1168" s="9">
        <v>3</v>
      </c>
      <c r="Q1168" s="9" t="s">
        <v>6</v>
      </c>
      <c r="R1168" s="1">
        <v>0</v>
      </c>
      <c r="S1168" s="26"/>
    </row>
    <row r="1169" spans="1:19" ht="16.5" customHeight="1" x14ac:dyDescent="0.25">
      <c r="A1169" s="9"/>
      <c r="B1169" s="51" t="s">
        <v>88</v>
      </c>
      <c r="C1169" s="52"/>
      <c r="D1169" s="52"/>
      <c r="E1169" s="52"/>
      <c r="F1169" s="52"/>
      <c r="G1169" s="53"/>
      <c r="H1169" s="20"/>
      <c r="I1169" s="9">
        <v>3</v>
      </c>
      <c r="J1169" s="9"/>
      <c r="K1169" s="9"/>
      <c r="L1169" s="9"/>
      <c r="M1169" s="9">
        <f t="shared" si="146"/>
        <v>19.5</v>
      </c>
      <c r="N1169" s="9">
        <f t="shared" si="147"/>
        <v>7.5</v>
      </c>
      <c r="O1169" s="9">
        <v>6.5</v>
      </c>
      <c r="P1169" s="9">
        <v>2.5</v>
      </c>
      <c r="Q1169" s="9" t="s">
        <v>5</v>
      </c>
      <c r="R1169" s="1">
        <v>0</v>
      </c>
      <c r="S1169" s="26"/>
    </row>
    <row r="1170" spans="1:19" ht="16.5" hidden="1" customHeight="1" x14ac:dyDescent="0.25">
      <c r="A1170" s="21"/>
      <c r="H1170" s="21"/>
      <c r="I1170" s="21"/>
      <c r="J1170" s="21"/>
      <c r="K1170" s="21"/>
      <c r="L1170" s="21"/>
      <c r="M1170" s="9">
        <f t="shared" si="146"/>
        <v>0</v>
      </c>
      <c r="N1170" s="9">
        <f t="shared" si="147"/>
        <v>0</v>
      </c>
      <c r="O1170" s="21"/>
      <c r="P1170" s="21"/>
      <c r="Q1170" s="21"/>
      <c r="S1170" s="25"/>
    </row>
    <row r="1171" spans="1:19" ht="16.5" customHeight="1" x14ac:dyDescent="0.25">
      <c r="A1171" s="9"/>
      <c r="B1171" s="39" t="s">
        <v>42</v>
      </c>
      <c r="C1171" s="40"/>
      <c r="D1171" s="40"/>
      <c r="E1171" s="40"/>
      <c r="F1171" s="40"/>
      <c r="G1171" s="41"/>
      <c r="H1171" s="23"/>
      <c r="I1171" s="24">
        <f>SUM(I1159:I1170)</f>
        <v>23</v>
      </c>
      <c r="J1171" s="9"/>
      <c r="K1171" s="9"/>
      <c r="L1171" s="9"/>
      <c r="M1171" s="9">
        <f t="shared" si="146"/>
        <v>162.84</v>
      </c>
      <c r="N1171" s="9">
        <f t="shared" si="147"/>
        <v>63.48</v>
      </c>
      <c r="O1171" s="24">
        <f>ROUND(SUM(M1159:M1170)/I1171,2)</f>
        <v>7.08</v>
      </c>
      <c r="P1171" s="24">
        <f>ROUND(SUM(N1159:N1170)/I1171,2)</f>
        <v>2.76</v>
      </c>
      <c r="Q1171" s="9"/>
      <c r="S1171" s="25"/>
    </row>
    <row r="1172" spans="1:19" ht="20.25" customHeight="1" x14ac:dyDescent="0.25">
      <c r="A1172" s="27" t="s">
        <v>89</v>
      </c>
      <c r="B1172" s="28"/>
      <c r="C1172" s="28"/>
      <c r="D1172" s="28"/>
      <c r="E1172" s="28"/>
      <c r="F1172" s="28"/>
      <c r="G1172" s="28"/>
      <c r="H1172" s="28"/>
      <c r="I1172" s="28"/>
      <c r="J1172" s="28"/>
      <c r="K1172" s="28"/>
      <c r="L1172" s="28"/>
      <c r="M1172" s="28"/>
      <c r="N1172" s="28"/>
      <c r="O1172" s="28"/>
      <c r="P1172" s="28"/>
      <c r="Q1172" s="28"/>
      <c r="R1172" s="28"/>
      <c r="S1172" s="28"/>
    </row>
    <row r="1173" spans="1:19" ht="16.5" customHeight="1" x14ac:dyDescent="0.25">
      <c r="A1173" s="9"/>
      <c r="B1173" s="51" t="s">
        <v>90</v>
      </c>
      <c r="C1173" s="52"/>
      <c r="D1173" s="52"/>
      <c r="E1173" s="52"/>
      <c r="F1173" s="52"/>
      <c r="G1173" s="53"/>
      <c r="H1173" s="20"/>
      <c r="I1173" s="9">
        <v>1</v>
      </c>
      <c r="J1173" s="9"/>
      <c r="K1173" s="9"/>
      <c r="L1173" s="9"/>
      <c r="M1173" s="9">
        <f t="shared" ref="M1173:M1185" si="148">I1173*O1173</f>
        <v>7.4</v>
      </c>
      <c r="N1173" s="9">
        <f t="shared" ref="N1173:N1185" si="149">I1173*P1173</f>
        <v>3</v>
      </c>
      <c r="O1173" s="9">
        <v>7.4</v>
      </c>
      <c r="P1173" s="9">
        <v>3</v>
      </c>
      <c r="Q1173" s="9" t="s">
        <v>6</v>
      </c>
      <c r="R1173" s="1">
        <v>0</v>
      </c>
      <c r="S1173" s="26"/>
    </row>
    <row r="1174" spans="1:19" ht="16.5" customHeight="1" x14ac:dyDescent="0.25">
      <c r="A1174" s="9"/>
      <c r="B1174" s="51" t="s">
        <v>91</v>
      </c>
      <c r="C1174" s="52"/>
      <c r="D1174" s="52"/>
      <c r="E1174" s="52"/>
      <c r="F1174" s="52"/>
      <c r="G1174" s="53"/>
      <c r="H1174" s="20"/>
      <c r="I1174" s="9">
        <v>3</v>
      </c>
      <c r="J1174" s="9"/>
      <c r="K1174" s="9"/>
      <c r="L1174" s="9"/>
      <c r="M1174" s="9">
        <f t="shared" si="148"/>
        <v>17.700000000000003</v>
      </c>
      <c r="N1174" s="9">
        <f t="shared" si="149"/>
        <v>6</v>
      </c>
      <c r="O1174" s="9">
        <v>5.9</v>
      </c>
      <c r="P1174" s="9">
        <v>2</v>
      </c>
      <c r="Q1174" s="9" t="s">
        <v>3</v>
      </c>
      <c r="R1174" s="1">
        <v>0</v>
      </c>
      <c r="S1174" s="26"/>
    </row>
    <row r="1175" spans="1:19" ht="16.5" customHeight="1" x14ac:dyDescent="0.25">
      <c r="A1175" s="9"/>
      <c r="B1175" s="51" t="s">
        <v>92</v>
      </c>
      <c r="C1175" s="52"/>
      <c r="D1175" s="52"/>
      <c r="E1175" s="52"/>
      <c r="F1175" s="52"/>
      <c r="G1175" s="53"/>
      <c r="H1175" s="20"/>
      <c r="I1175" s="9">
        <v>1</v>
      </c>
      <c r="J1175" s="9"/>
      <c r="K1175" s="9"/>
      <c r="L1175" s="9"/>
      <c r="M1175" s="9">
        <f t="shared" si="148"/>
        <v>7.5</v>
      </c>
      <c r="N1175" s="9">
        <f t="shared" si="149"/>
        <v>3</v>
      </c>
      <c r="O1175" s="9">
        <v>7.5</v>
      </c>
      <c r="P1175" s="9">
        <v>3</v>
      </c>
      <c r="Q1175" s="9" t="s">
        <v>6</v>
      </c>
      <c r="R1175" s="1">
        <v>0</v>
      </c>
      <c r="S1175" s="26"/>
    </row>
    <row r="1176" spans="1:19" ht="16.5" customHeight="1" x14ac:dyDescent="0.25">
      <c r="A1176" s="9"/>
      <c r="B1176" s="51" t="s">
        <v>93</v>
      </c>
      <c r="C1176" s="52"/>
      <c r="D1176" s="52"/>
      <c r="E1176" s="52"/>
      <c r="F1176" s="52"/>
      <c r="G1176" s="53"/>
      <c r="H1176" s="20"/>
      <c r="I1176" s="9">
        <v>2</v>
      </c>
      <c r="J1176" s="9"/>
      <c r="K1176" s="9"/>
      <c r="L1176" s="9"/>
      <c r="M1176" s="9">
        <f t="shared" si="148"/>
        <v>15.2</v>
      </c>
      <c r="N1176" s="9">
        <f t="shared" si="149"/>
        <v>6</v>
      </c>
      <c r="O1176" s="9">
        <v>7.6</v>
      </c>
      <c r="P1176" s="9">
        <v>3</v>
      </c>
      <c r="Q1176" s="9" t="s">
        <v>6</v>
      </c>
      <c r="R1176" s="1">
        <v>0</v>
      </c>
      <c r="S1176" s="26"/>
    </row>
    <row r="1177" spans="1:19" ht="16.5" customHeight="1" x14ac:dyDescent="0.25">
      <c r="A1177" s="9"/>
      <c r="B1177" s="51" t="s">
        <v>94</v>
      </c>
      <c r="C1177" s="52"/>
      <c r="D1177" s="52"/>
      <c r="E1177" s="52"/>
      <c r="F1177" s="52"/>
      <c r="G1177" s="53"/>
      <c r="H1177" s="20"/>
      <c r="I1177" s="9">
        <v>1</v>
      </c>
      <c r="J1177" s="9"/>
      <c r="K1177" s="9"/>
      <c r="L1177" s="9"/>
      <c r="M1177" s="9">
        <f t="shared" si="148"/>
        <v>5.5</v>
      </c>
      <c r="N1177" s="9">
        <f t="shared" si="149"/>
        <v>2</v>
      </c>
      <c r="O1177" s="9">
        <v>5.5</v>
      </c>
      <c r="P1177" s="9">
        <v>2</v>
      </c>
      <c r="Q1177" s="9" t="s">
        <v>3</v>
      </c>
      <c r="R1177" s="1">
        <v>0</v>
      </c>
      <c r="S1177" s="26"/>
    </row>
    <row r="1178" spans="1:19" ht="16.5" customHeight="1" x14ac:dyDescent="0.25">
      <c r="A1178" s="9"/>
      <c r="B1178" s="51" t="s">
        <v>95</v>
      </c>
      <c r="C1178" s="52"/>
      <c r="D1178" s="52"/>
      <c r="E1178" s="52"/>
      <c r="F1178" s="52"/>
      <c r="G1178" s="53"/>
      <c r="H1178" s="20"/>
      <c r="I1178" s="9">
        <v>2</v>
      </c>
      <c r="J1178" s="9"/>
      <c r="K1178" s="9"/>
      <c r="L1178" s="9"/>
      <c r="M1178" s="9">
        <f t="shared" si="148"/>
        <v>13.8</v>
      </c>
      <c r="N1178" s="9">
        <f t="shared" si="149"/>
        <v>5</v>
      </c>
      <c r="O1178" s="9">
        <v>6.9</v>
      </c>
      <c r="P1178" s="9">
        <v>2.5</v>
      </c>
      <c r="Q1178" s="9" t="s">
        <v>5</v>
      </c>
      <c r="R1178" s="1">
        <v>0</v>
      </c>
      <c r="S1178" s="26"/>
    </row>
    <row r="1179" spans="1:19" ht="16.5" customHeight="1" x14ac:dyDescent="0.25">
      <c r="A1179" s="9"/>
      <c r="B1179" s="51" t="s">
        <v>100</v>
      </c>
      <c r="C1179" s="52"/>
      <c r="D1179" s="52"/>
      <c r="E1179" s="52"/>
      <c r="F1179" s="52"/>
      <c r="G1179" s="53"/>
      <c r="H1179" s="20"/>
      <c r="I1179" s="9">
        <v>2</v>
      </c>
      <c r="J1179" s="9"/>
      <c r="K1179" s="9"/>
      <c r="L1179" s="9"/>
      <c r="M1179" s="9">
        <f t="shared" si="148"/>
        <v>14.8</v>
      </c>
      <c r="N1179" s="9">
        <f t="shared" si="149"/>
        <v>6</v>
      </c>
      <c r="O1179" s="9">
        <v>7.4</v>
      </c>
      <c r="P1179" s="9">
        <v>3</v>
      </c>
      <c r="Q1179" s="9" t="s">
        <v>6</v>
      </c>
      <c r="R1179" s="1">
        <v>0</v>
      </c>
      <c r="S1179" s="26"/>
    </row>
    <row r="1180" spans="1:19" ht="16.5" customHeight="1" x14ac:dyDescent="0.25">
      <c r="A1180" s="9"/>
      <c r="B1180" s="51" t="s">
        <v>97</v>
      </c>
      <c r="C1180" s="52"/>
      <c r="D1180" s="52"/>
      <c r="E1180" s="52"/>
      <c r="F1180" s="52"/>
      <c r="G1180" s="53"/>
      <c r="H1180" s="20"/>
      <c r="I1180" s="9">
        <v>3</v>
      </c>
      <c r="J1180" s="9"/>
      <c r="K1180" s="9"/>
      <c r="L1180" s="9"/>
      <c r="M1180" s="9">
        <f t="shared" si="148"/>
        <v>14.700000000000001</v>
      </c>
      <c r="N1180" s="9">
        <f t="shared" si="149"/>
        <v>3</v>
      </c>
      <c r="O1180" s="9">
        <v>4.9000000000000004</v>
      </c>
      <c r="P1180" s="9">
        <v>1</v>
      </c>
      <c r="Q1180" s="9" t="s">
        <v>8</v>
      </c>
      <c r="R1180" s="1">
        <v>0</v>
      </c>
      <c r="S1180" s="26"/>
    </row>
    <row r="1181" spans="1:19" ht="16.5" customHeight="1" x14ac:dyDescent="0.25">
      <c r="A1181" s="9"/>
      <c r="B1181" s="51" t="s">
        <v>98</v>
      </c>
      <c r="C1181" s="52"/>
      <c r="D1181" s="52"/>
      <c r="E1181" s="52"/>
      <c r="F1181" s="52"/>
      <c r="G1181" s="53"/>
      <c r="H1181" s="20"/>
      <c r="I1181" s="9">
        <v>4</v>
      </c>
      <c r="J1181" s="9"/>
      <c r="K1181" s="9"/>
      <c r="L1181" s="9"/>
      <c r="M1181" s="9">
        <f t="shared" si="148"/>
        <v>26</v>
      </c>
      <c r="N1181" s="9">
        <f t="shared" si="149"/>
        <v>10</v>
      </c>
      <c r="O1181" s="9">
        <v>6.5</v>
      </c>
      <c r="P1181" s="9">
        <v>2.5</v>
      </c>
      <c r="Q1181" s="9" t="s">
        <v>5</v>
      </c>
      <c r="R1181" s="1">
        <v>0</v>
      </c>
      <c r="S1181" s="26"/>
    </row>
    <row r="1182" spans="1:19" ht="16.5" customHeight="1" x14ac:dyDescent="0.25">
      <c r="A1182" s="9"/>
      <c r="B1182" s="51" t="s">
        <v>99</v>
      </c>
      <c r="C1182" s="52"/>
      <c r="D1182" s="52"/>
      <c r="E1182" s="52"/>
      <c r="F1182" s="52"/>
      <c r="G1182" s="53"/>
      <c r="H1182" s="20"/>
      <c r="I1182" s="9">
        <v>1</v>
      </c>
      <c r="J1182" s="9"/>
      <c r="K1182" s="9"/>
      <c r="L1182" s="9"/>
      <c r="M1182" s="9">
        <f t="shared" si="148"/>
        <v>8</v>
      </c>
      <c r="N1182" s="9">
        <f t="shared" si="149"/>
        <v>3.5</v>
      </c>
      <c r="O1182" s="9">
        <v>8</v>
      </c>
      <c r="P1182" s="9">
        <v>3.5</v>
      </c>
      <c r="Q1182" s="9" t="s">
        <v>9</v>
      </c>
      <c r="R1182" s="1">
        <v>0</v>
      </c>
      <c r="S1182" s="26"/>
    </row>
    <row r="1183" spans="1:19" ht="16.5" customHeight="1" x14ac:dyDescent="0.25">
      <c r="A1183" s="9"/>
      <c r="B1183" s="51" t="s">
        <v>96</v>
      </c>
      <c r="C1183" s="52"/>
      <c r="D1183" s="52"/>
      <c r="E1183" s="52"/>
      <c r="F1183" s="52"/>
      <c r="G1183" s="53"/>
      <c r="H1183" s="20"/>
      <c r="I1183" s="9">
        <v>2</v>
      </c>
      <c r="J1183" s="9"/>
      <c r="K1183" s="9"/>
      <c r="L1183" s="9"/>
      <c r="M1183" s="9">
        <f t="shared" si="148"/>
        <v>12.4</v>
      </c>
      <c r="N1183" s="9">
        <f t="shared" si="149"/>
        <v>4</v>
      </c>
      <c r="O1183" s="9">
        <v>6.2</v>
      </c>
      <c r="P1183" s="9">
        <v>2</v>
      </c>
      <c r="Q1183" s="9" t="s">
        <v>3</v>
      </c>
      <c r="R1183" s="1">
        <v>0</v>
      </c>
      <c r="S1183" s="26"/>
    </row>
    <row r="1184" spans="1:19" ht="16.5" hidden="1" customHeight="1" x14ac:dyDescent="0.25">
      <c r="A1184" s="21"/>
      <c r="H1184" s="21"/>
      <c r="I1184" s="21"/>
      <c r="J1184" s="21"/>
      <c r="K1184" s="21"/>
      <c r="L1184" s="21"/>
      <c r="M1184" s="9">
        <f t="shared" si="148"/>
        <v>0</v>
      </c>
      <c r="N1184" s="9">
        <f t="shared" si="149"/>
        <v>0</v>
      </c>
      <c r="O1184" s="21"/>
      <c r="P1184" s="21"/>
      <c r="Q1184" s="21"/>
      <c r="S1184" s="25"/>
    </row>
    <row r="1185" spans="1:19" ht="16.5" customHeight="1" x14ac:dyDescent="0.25">
      <c r="A1185" s="9"/>
      <c r="B1185" s="39" t="s">
        <v>42</v>
      </c>
      <c r="C1185" s="40"/>
      <c r="D1185" s="40"/>
      <c r="E1185" s="40"/>
      <c r="F1185" s="40"/>
      <c r="G1185" s="41"/>
      <c r="H1185" s="23"/>
      <c r="I1185" s="24">
        <f>SUM(I1173:I1184)</f>
        <v>22</v>
      </c>
      <c r="J1185" s="9"/>
      <c r="K1185" s="9"/>
      <c r="L1185" s="9"/>
      <c r="M1185" s="9">
        <f t="shared" si="148"/>
        <v>143</v>
      </c>
      <c r="N1185" s="9">
        <f t="shared" si="149"/>
        <v>51.48</v>
      </c>
      <c r="O1185" s="24">
        <f>ROUND(SUM(M1173:M1184)/I1185,2)</f>
        <v>6.5</v>
      </c>
      <c r="P1185" s="24">
        <f>ROUND(SUM(N1173:N1184)/I1185,2)</f>
        <v>2.34</v>
      </c>
      <c r="Q1185" s="9"/>
      <c r="S1185" s="25"/>
    </row>
    <row r="1186" spans="1:19" ht="20.25" customHeight="1" x14ac:dyDescent="0.25">
      <c r="A1186" s="27" t="s">
        <v>101</v>
      </c>
      <c r="B1186" s="28"/>
      <c r="C1186" s="28"/>
      <c r="D1186" s="28"/>
      <c r="E1186" s="28"/>
      <c r="F1186" s="28"/>
      <c r="G1186" s="28"/>
      <c r="H1186" s="28"/>
      <c r="I1186" s="28"/>
      <c r="J1186" s="28"/>
      <c r="K1186" s="28"/>
      <c r="L1186" s="28"/>
      <c r="M1186" s="28"/>
      <c r="N1186" s="28"/>
      <c r="O1186" s="28"/>
      <c r="P1186" s="28"/>
      <c r="Q1186" s="28"/>
      <c r="R1186" s="28"/>
      <c r="S1186" s="28"/>
    </row>
    <row r="1187" spans="1:19" ht="16.5" customHeight="1" x14ac:dyDescent="0.25">
      <c r="A1187" s="9"/>
      <c r="B1187" s="51" t="s">
        <v>102</v>
      </c>
      <c r="C1187" s="52"/>
      <c r="D1187" s="52"/>
      <c r="E1187" s="52"/>
      <c r="F1187" s="52"/>
      <c r="G1187" s="53"/>
      <c r="H1187" s="20"/>
      <c r="I1187" s="9">
        <v>1</v>
      </c>
      <c r="J1187" s="9"/>
      <c r="K1187" s="9"/>
      <c r="L1187" s="9"/>
      <c r="M1187" s="9">
        <f t="shared" ref="M1187:M1200" si="150">I1187*O1187</f>
        <v>7.4</v>
      </c>
      <c r="N1187" s="9">
        <f t="shared" ref="N1187:N1200" si="151">I1187*P1187</f>
        <v>3</v>
      </c>
      <c r="O1187" s="9">
        <v>7.4</v>
      </c>
      <c r="P1187" s="9">
        <v>3</v>
      </c>
      <c r="Q1187" s="9" t="s">
        <v>6</v>
      </c>
      <c r="R1187" s="1">
        <v>0</v>
      </c>
      <c r="S1187" s="26"/>
    </row>
    <row r="1188" spans="1:19" ht="16.5" customHeight="1" x14ac:dyDescent="0.25">
      <c r="A1188" s="9"/>
      <c r="B1188" s="51" t="s">
        <v>113</v>
      </c>
      <c r="C1188" s="52"/>
      <c r="D1188" s="52"/>
      <c r="E1188" s="52"/>
      <c r="F1188" s="52"/>
      <c r="G1188" s="53"/>
      <c r="H1188" s="20"/>
      <c r="I1188" s="9">
        <v>1</v>
      </c>
      <c r="J1188" s="9"/>
      <c r="K1188" s="9"/>
      <c r="L1188" s="9"/>
      <c r="M1188" s="9">
        <f t="shared" si="150"/>
        <v>7.4</v>
      </c>
      <c r="N1188" s="9">
        <f t="shared" si="151"/>
        <v>3</v>
      </c>
      <c r="O1188" s="9">
        <v>7.4</v>
      </c>
      <c r="P1188" s="9">
        <v>3</v>
      </c>
      <c r="Q1188" s="9" t="s">
        <v>6</v>
      </c>
      <c r="R1188" s="1">
        <v>0</v>
      </c>
      <c r="S1188" s="26"/>
    </row>
    <row r="1189" spans="1:19" ht="16.5" customHeight="1" x14ac:dyDescent="0.25">
      <c r="A1189" s="9"/>
      <c r="B1189" s="51" t="s">
        <v>104</v>
      </c>
      <c r="C1189" s="52"/>
      <c r="D1189" s="52"/>
      <c r="E1189" s="52"/>
      <c r="F1189" s="52"/>
      <c r="G1189" s="53"/>
      <c r="H1189" s="20"/>
      <c r="I1189" s="9">
        <v>4</v>
      </c>
      <c r="J1189" s="9"/>
      <c r="K1189" s="9"/>
      <c r="L1189" s="9"/>
      <c r="M1189" s="9">
        <f t="shared" si="150"/>
        <v>28.8</v>
      </c>
      <c r="N1189" s="9">
        <f t="shared" si="151"/>
        <v>12</v>
      </c>
      <c r="O1189" s="9">
        <v>7.2</v>
      </c>
      <c r="P1189" s="9">
        <v>3</v>
      </c>
      <c r="Q1189" s="9" t="s">
        <v>6</v>
      </c>
      <c r="R1189" s="1">
        <v>0</v>
      </c>
      <c r="S1189" s="26"/>
    </row>
    <row r="1190" spans="1:19" ht="16.5" customHeight="1" x14ac:dyDescent="0.25">
      <c r="A1190" s="9"/>
      <c r="B1190" s="51" t="s">
        <v>105</v>
      </c>
      <c r="C1190" s="52"/>
      <c r="D1190" s="52"/>
      <c r="E1190" s="52"/>
      <c r="F1190" s="52"/>
      <c r="G1190" s="53"/>
      <c r="H1190" s="20"/>
      <c r="I1190" s="9">
        <v>3</v>
      </c>
      <c r="J1190" s="9"/>
      <c r="K1190" s="9"/>
      <c r="L1190" s="9"/>
      <c r="M1190" s="9">
        <f t="shared" si="150"/>
        <v>21.6</v>
      </c>
      <c r="N1190" s="9">
        <f t="shared" si="151"/>
        <v>9</v>
      </c>
      <c r="O1190" s="9">
        <v>7.2</v>
      </c>
      <c r="P1190" s="9">
        <v>3</v>
      </c>
      <c r="Q1190" s="9" t="s">
        <v>6</v>
      </c>
      <c r="R1190" s="1">
        <v>0</v>
      </c>
      <c r="S1190" s="26"/>
    </row>
    <row r="1191" spans="1:19" ht="16.5" customHeight="1" x14ac:dyDescent="0.25">
      <c r="A1191" s="9"/>
      <c r="B1191" s="51" t="s">
        <v>106</v>
      </c>
      <c r="C1191" s="52"/>
      <c r="D1191" s="52"/>
      <c r="E1191" s="52"/>
      <c r="F1191" s="52"/>
      <c r="G1191" s="53"/>
      <c r="H1191" s="20"/>
      <c r="I1191" s="9">
        <v>2</v>
      </c>
      <c r="J1191" s="9"/>
      <c r="K1191" s="9"/>
      <c r="L1191" s="9"/>
      <c r="M1191" s="9">
        <f t="shared" si="150"/>
        <v>13.4</v>
      </c>
      <c r="N1191" s="9">
        <f t="shared" si="151"/>
        <v>5</v>
      </c>
      <c r="O1191" s="9">
        <v>6.7</v>
      </c>
      <c r="P1191" s="9">
        <v>2.5</v>
      </c>
      <c r="Q1191" s="9" t="s">
        <v>5</v>
      </c>
      <c r="R1191" s="1">
        <v>0</v>
      </c>
      <c r="S1191" s="26"/>
    </row>
    <row r="1192" spans="1:19" ht="16.5" customHeight="1" x14ac:dyDescent="0.25">
      <c r="A1192" s="9"/>
      <c r="B1192" s="51" t="s">
        <v>107</v>
      </c>
      <c r="C1192" s="52"/>
      <c r="D1192" s="52"/>
      <c r="E1192" s="52"/>
      <c r="F1192" s="52"/>
      <c r="G1192" s="53"/>
      <c r="H1192" s="20"/>
      <c r="I1192" s="9">
        <v>2</v>
      </c>
      <c r="J1192" s="9"/>
      <c r="K1192" s="9"/>
      <c r="L1192" s="9"/>
      <c r="M1192" s="9">
        <f t="shared" si="150"/>
        <v>13.6</v>
      </c>
      <c r="N1192" s="9">
        <f t="shared" si="151"/>
        <v>5</v>
      </c>
      <c r="O1192" s="9">
        <v>6.8</v>
      </c>
      <c r="P1192" s="9">
        <v>2.5</v>
      </c>
      <c r="Q1192" s="9" t="s">
        <v>5</v>
      </c>
      <c r="R1192" s="1">
        <v>0</v>
      </c>
      <c r="S1192" s="26"/>
    </row>
    <row r="1193" spans="1:19" ht="16.5" customHeight="1" x14ac:dyDescent="0.25">
      <c r="A1193" s="9"/>
      <c r="B1193" s="51" t="s">
        <v>108</v>
      </c>
      <c r="C1193" s="52"/>
      <c r="D1193" s="52"/>
      <c r="E1193" s="52"/>
      <c r="F1193" s="52"/>
      <c r="G1193" s="53"/>
      <c r="H1193" s="20"/>
      <c r="I1193" s="9">
        <v>4</v>
      </c>
      <c r="J1193" s="9"/>
      <c r="K1193" s="9"/>
      <c r="L1193" s="9"/>
      <c r="M1193" s="9">
        <f t="shared" si="150"/>
        <v>30.4</v>
      </c>
      <c r="N1193" s="9">
        <f t="shared" si="151"/>
        <v>12</v>
      </c>
      <c r="O1193" s="9">
        <v>7.6</v>
      </c>
      <c r="P1193" s="9">
        <v>3</v>
      </c>
      <c r="Q1193" s="9" t="s">
        <v>6</v>
      </c>
      <c r="R1193" s="1">
        <v>0</v>
      </c>
      <c r="S1193" s="26"/>
    </row>
    <row r="1194" spans="1:19" ht="16.5" customHeight="1" x14ac:dyDescent="0.25">
      <c r="A1194" s="9"/>
      <c r="B1194" s="51" t="s">
        <v>109</v>
      </c>
      <c r="C1194" s="52"/>
      <c r="D1194" s="52"/>
      <c r="E1194" s="52"/>
      <c r="F1194" s="52"/>
      <c r="G1194" s="53"/>
      <c r="H1194" s="20"/>
      <c r="I1194" s="9">
        <v>2</v>
      </c>
      <c r="J1194" s="9"/>
      <c r="K1194" s="9"/>
      <c r="L1194" s="9"/>
      <c r="M1194" s="9">
        <f t="shared" si="150"/>
        <v>13.6</v>
      </c>
      <c r="N1194" s="9">
        <f t="shared" si="151"/>
        <v>5</v>
      </c>
      <c r="O1194" s="9">
        <v>6.8</v>
      </c>
      <c r="P1194" s="9">
        <v>2.5</v>
      </c>
      <c r="Q1194" s="9" t="s">
        <v>5</v>
      </c>
      <c r="R1194" s="1">
        <v>0</v>
      </c>
      <c r="S1194" s="26"/>
    </row>
    <row r="1195" spans="1:19" ht="16.5" customHeight="1" x14ac:dyDescent="0.25">
      <c r="A1195" s="9"/>
      <c r="B1195" s="51" t="s">
        <v>110</v>
      </c>
      <c r="C1195" s="52"/>
      <c r="D1195" s="52"/>
      <c r="E1195" s="52"/>
      <c r="F1195" s="52"/>
      <c r="G1195" s="53"/>
      <c r="H1195" s="20"/>
      <c r="I1195" s="9">
        <v>2</v>
      </c>
      <c r="J1195" s="9"/>
      <c r="K1195" s="9"/>
      <c r="L1195" s="9"/>
      <c r="M1195" s="9">
        <f t="shared" si="150"/>
        <v>16.8</v>
      </c>
      <c r="N1195" s="9">
        <f t="shared" si="151"/>
        <v>7</v>
      </c>
      <c r="O1195" s="9">
        <v>8.4</v>
      </c>
      <c r="P1195" s="9">
        <v>3.5</v>
      </c>
      <c r="Q1195" s="9" t="s">
        <v>9</v>
      </c>
      <c r="R1195" s="1">
        <v>0</v>
      </c>
      <c r="S1195" s="26"/>
    </row>
    <row r="1196" spans="1:19" ht="16.5" customHeight="1" x14ac:dyDescent="0.25">
      <c r="A1196" s="9"/>
      <c r="B1196" s="51" t="s">
        <v>111</v>
      </c>
      <c r="C1196" s="52"/>
      <c r="D1196" s="52"/>
      <c r="E1196" s="52"/>
      <c r="F1196" s="52"/>
      <c r="G1196" s="53"/>
      <c r="H1196" s="20"/>
      <c r="I1196" s="9">
        <v>4</v>
      </c>
      <c r="J1196" s="9"/>
      <c r="K1196" s="9"/>
      <c r="L1196" s="9"/>
      <c r="M1196" s="9">
        <f t="shared" si="150"/>
        <v>29.6</v>
      </c>
      <c r="N1196" s="9">
        <f t="shared" si="151"/>
        <v>12</v>
      </c>
      <c r="O1196" s="9">
        <v>7.4</v>
      </c>
      <c r="P1196" s="9">
        <v>3</v>
      </c>
      <c r="Q1196" s="9" t="s">
        <v>6</v>
      </c>
      <c r="R1196" s="1">
        <v>0</v>
      </c>
      <c r="S1196" s="26"/>
    </row>
    <row r="1197" spans="1:19" ht="16.5" customHeight="1" x14ac:dyDescent="0.25">
      <c r="A1197" s="9"/>
      <c r="B1197" s="51" t="s">
        <v>112</v>
      </c>
      <c r="C1197" s="52"/>
      <c r="D1197" s="52"/>
      <c r="E1197" s="52"/>
      <c r="F1197" s="52"/>
      <c r="G1197" s="53"/>
      <c r="H1197" s="20"/>
      <c r="I1197" s="9">
        <v>2</v>
      </c>
      <c r="J1197" s="9"/>
      <c r="K1197" s="9"/>
      <c r="L1197" s="9"/>
      <c r="M1197" s="9">
        <f t="shared" si="150"/>
        <v>13.6</v>
      </c>
      <c r="N1197" s="9">
        <f t="shared" si="151"/>
        <v>5</v>
      </c>
      <c r="O1197" s="9">
        <v>6.8</v>
      </c>
      <c r="P1197" s="9">
        <v>2.5</v>
      </c>
      <c r="Q1197" s="9" t="s">
        <v>5</v>
      </c>
      <c r="R1197" s="1">
        <v>0</v>
      </c>
      <c r="S1197" s="26"/>
    </row>
    <row r="1198" spans="1:19" ht="16.5" customHeight="1" x14ac:dyDescent="0.25">
      <c r="A1198" s="9"/>
      <c r="B1198" s="51" t="s">
        <v>103</v>
      </c>
      <c r="C1198" s="52"/>
      <c r="D1198" s="52"/>
      <c r="E1198" s="52"/>
      <c r="F1198" s="52"/>
      <c r="G1198" s="53"/>
      <c r="H1198" s="20"/>
      <c r="I1198" s="9">
        <v>2</v>
      </c>
      <c r="J1198" s="9"/>
      <c r="K1198" s="9"/>
      <c r="L1198" s="9"/>
      <c r="M1198" s="9">
        <f t="shared" si="150"/>
        <v>15.8</v>
      </c>
      <c r="N1198" s="9">
        <f t="shared" si="151"/>
        <v>6</v>
      </c>
      <c r="O1198" s="9">
        <v>7.9</v>
      </c>
      <c r="P1198" s="9">
        <v>3</v>
      </c>
      <c r="Q1198" s="9" t="s">
        <v>6</v>
      </c>
      <c r="R1198" s="1">
        <v>0</v>
      </c>
      <c r="S1198" s="26"/>
    </row>
    <row r="1199" spans="1:19" ht="16.5" hidden="1" customHeight="1" x14ac:dyDescent="0.25">
      <c r="A1199" s="21"/>
      <c r="H1199" s="21"/>
      <c r="I1199" s="21"/>
      <c r="J1199" s="21"/>
      <c r="K1199" s="21"/>
      <c r="L1199" s="21"/>
      <c r="M1199" s="9">
        <f t="shared" si="150"/>
        <v>0</v>
      </c>
      <c r="N1199" s="9">
        <f t="shared" si="151"/>
        <v>0</v>
      </c>
      <c r="O1199" s="21"/>
      <c r="P1199" s="21"/>
      <c r="Q1199" s="21"/>
      <c r="S1199" s="25"/>
    </row>
    <row r="1200" spans="1:19" ht="16.5" customHeight="1" x14ac:dyDescent="0.25">
      <c r="A1200" s="9"/>
      <c r="B1200" s="39" t="s">
        <v>42</v>
      </c>
      <c r="C1200" s="40"/>
      <c r="D1200" s="40"/>
      <c r="E1200" s="40"/>
      <c r="F1200" s="40"/>
      <c r="G1200" s="41"/>
      <c r="H1200" s="23"/>
      <c r="I1200" s="24">
        <f>SUM(I1187:I1199)</f>
        <v>29</v>
      </c>
      <c r="J1200" s="9"/>
      <c r="K1200" s="9"/>
      <c r="L1200" s="9"/>
      <c r="M1200" s="9">
        <f t="shared" si="150"/>
        <v>211.98999999999998</v>
      </c>
      <c r="N1200" s="9">
        <f t="shared" si="151"/>
        <v>84.1</v>
      </c>
      <c r="O1200" s="24">
        <f>ROUND(SUM(M1187:M1199)/I1200,2)</f>
        <v>7.31</v>
      </c>
      <c r="P1200" s="24">
        <f>ROUND(SUM(N1187:N1199)/I1200,2)</f>
        <v>2.9</v>
      </c>
      <c r="Q1200" s="9"/>
      <c r="S1200" s="25"/>
    </row>
    <row r="1201" spans="1:19" ht="20.25" customHeight="1" x14ac:dyDescent="0.25">
      <c r="A1201" s="27" t="s">
        <v>114</v>
      </c>
      <c r="B1201" s="28"/>
      <c r="C1201" s="28"/>
      <c r="D1201" s="28"/>
      <c r="E1201" s="28"/>
      <c r="F1201" s="28"/>
      <c r="G1201" s="28"/>
      <c r="H1201" s="28"/>
      <c r="I1201" s="28"/>
      <c r="J1201" s="28"/>
      <c r="K1201" s="28"/>
      <c r="L1201" s="28"/>
      <c r="M1201" s="28"/>
      <c r="N1201" s="28"/>
      <c r="O1201" s="28"/>
      <c r="P1201" s="28"/>
      <c r="Q1201" s="28"/>
      <c r="R1201" s="28"/>
      <c r="S1201" s="28"/>
    </row>
    <row r="1202" spans="1:19" ht="16.5" customHeight="1" x14ac:dyDescent="0.25">
      <c r="A1202" s="9"/>
      <c r="B1202" s="51" t="s">
        <v>115</v>
      </c>
      <c r="C1202" s="52"/>
      <c r="D1202" s="52"/>
      <c r="E1202" s="52"/>
      <c r="F1202" s="52"/>
      <c r="G1202" s="53"/>
      <c r="H1202" s="20"/>
      <c r="I1202" s="9">
        <v>2</v>
      </c>
      <c r="J1202" s="9"/>
      <c r="K1202" s="9"/>
      <c r="L1202" s="9"/>
      <c r="M1202" s="9">
        <f t="shared" ref="M1202:M1213" si="152">I1202*O1202</f>
        <v>0</v>
      </c>
      <c r="N1202" s="9">
        <f t="shared" ref="N1202:N1213" si="153">I1202*P1202</f>
        <v>0</v>
      </c>
      <c r="O1202" s="9"/>
      <c r="P1202" s="9"/>
      <c r="Q1202" s="9"/>
      <c r="R1202" s="1">
        <v>0</v>
      </c>
      <c r="S1202" s="26"/>
    </row>
    <row r="1203" spans="1:19" ht="16.5" customHeight="1" x14ac:dyDescent="0.25">
      <c r="A1203" s="9"/>
      <c r="B1203" s="51" t="s">
        <v>122</v>
      </c>
      <c r="C1203" s="52"/>
      <c r="D1203" s="52"/>
      <c r="E1203" s="52"/>
      <c r="F1203" s="52"/>
      <c r="G1203" s="53"/>
      <c r="H1203" s="20"/>
      <c r="I1203" s="9">
        <v>2</v>
      </c>
      <c r="J1203" s="9"/>
      <c r="K1203" s="9"/>
      <c r="L1203" s="9"/>
      <c r="M1203" s="9">
        <f t="shared" si="152"/>
        <v>0</v>
      </c>
      <c r="N1203" s="9">
        <f t="shared" si="153"/>
        <v>0</v>
      </c>
      <c r="O1203" s="9"/>
      <c r="P1203" s="9"/>
      <c r="Q1203" s="9"/>
      <c r="R1203" s="1">
        <v>0</v>
      </c>
      <c r="S1203" s="26"/>
    </row>
    <row r="1204" spans="1:19" ht="16.5" customHeight="1" x14ac:dyDescent="0.25">
      <c r="A1204" s="9"/>
      <c r="B1204" s="51" t="s">
        <v>117</v>
      </c>
      <c r="C1204" s="52"/>
      <c r="D1204" s="52"/>
      <c r="E1204" s="52"/>
      <c r="F1204" s="52"/>
      <c r="G1204" s="53"/>
      <c r="H1204" s="20"/>
      <c r="I1204" s="9">
        <v>3</v>
      </c>
      <c r="J1204" s="9"/>
      <c r="K1204" s="9"/>
      <c r="L1204" s="9"/>
      <c r="M1204" s="9">
        <f t="shared" si="152"/>
        <v>0</v>
      </c>
      <c r="N1204" s="9">
        <f t="shared" si="153"/>
        <v>0</v>
      </c>
      <c r="O1204" s="9"/>
      <c r="P1204" s="9"/>
      <c r="Q1204" s="9"/>
      <c r="R1204" s="1">
        <v>0</v>
      </c>
      <c r="S1204" s="26"/>
    </row>
    <row r="1205" spans="1:19" ht="16.5" customHeight="1" x14ac:dyDescent="0.25">
      <c r="A1205" s="9"/>
      <c r="B1205" s="51" t="s">
        <v>123</v>
      </c>
      <c r="C1205" s="52"/>
      <c r="D1205" s="52"/>
      <c r="E1205" s="52"/>
      <c r="F1205" s="52"/>
      <c r="G1205" s="53"/>
      <c r="H1205" s="20"/>
      <c r="I1205" s="9">
        <v>2</v>
      </c>
      <c r="J1205" s="9"/>
      <c r="K1205" s="9"/>
      <c r="L1205" s="9"/>
      <c r="M1205" s="9">
        <f t="shared" si="152"/>
        <v>0</v>
      </c>
      <c r="N1205" s="9">
        <f t="shared" si="153"/>
        <v>0</v>
      </c>
      <c r="O1205" s="9"/>
      <c r="P1205" s="9"/>
      <c r="Q1205" s="9"/>
      <c r="R1205" s="1">
        <v>0</v>
      </c>
      <c r="S1205" s="26"/>
    </row>
    <row r="1206" spans="1:19" ht="16.5" customHeight="1" x14ac:dyDescent="0.25">
      <c r="A1206" s="9"/>
      <c r="B1206" s="51" t="s">
        <v>142</v>
      </c>
      <c r="C1206" s="52"/>
      <c r="D1206" s="52"/>
      <c r="E1206" s="52"/>
      <c r="F1206" s="52"/>
      <c r="G1206" s="53"/>
      <c r="H1206" s="20"/>
      <c r="I1206" s="9">
        <v>3</v>
      </c>
      <c r="J1206" s="9"/>
      <c r="K1206" s="9"/>
      <c r="L1206" s="9"/>
      <c r="M1206" s="9">
        <f t="shared" si="152"/>
        <v>22.200000000000003</v>
      </c>
      <c r="N1206" s="9">
        <f t="shared" si="153"/>
        <v>9</v>
      </c>
      <c r="O1206" s="9">
        <v>7.4</v>
      </c>
      <c r="P1206" s="9">
        <v>3</v>
      </c>
      <c r="Q1206" s="9" t="s">
        <v>6</v>
      </c>
      <c r="R1206" s="1">
        <v>0</v>
      </c>
      <c r="S1206" s="26"/>
    </row>
    <row r="1207" spans="1:19" ht="16.5" customHeight="1" x14ac:dyDescent="0.25">
      <c r="A1207" s="9"/>
      <c r="B1207" s="51" t="s">
        <v>120</v>
      </c>
      <c r="C1207" s="52"/>
      <c r="D1207" s="52"/>
      <c r="E1207" s="52"/>
      <c r="F1207" s="52"/>
      <c r="G1207" s="53"/>
      <c r="H1207" s="20"/>
      <c r="I1207" s="9">
        <v>3</v>
      </c>
      <c r="J1207" s="9"/>
      <c r="K1207" s="9"/>
      <c r="L1207" s="9"/>
      <c r="M1207" s="9">
        <f t="shared" si="152"/>
        <v>21.9</v>
      </c>
      <c r="N1207" s="9">
        <f t="shared" si="153"/>
        <v>9</v>
      </c>
      <c r="O1207" s="9">
        <v>7.3</v>
      </c>
      <c r="P1207" s="9">
        <v>3</v>
      </c>
      <c r="Q1207" s="9" t="s">
        <v>6</v>
      </c>
      <c r="R1207" s="1">
        <v>0</v>
      </c>
      <c r="S1207" s="26"/>
    </row>
    <row r="1208" spans="1:19" ht="16.5" customHeight="1" x14ac:dyDescent="0.25">
      <c r="A1208" s="9"/>
      <c r="B1208" s="51" t="s">
        <v>119</v>
      </c>
      <c r="C1208" s="52"/>
      <c r="D1208" s="52"/>
      <c r="E1208" s="52"/>
      <c r="F1208" s="52"/>
      <c r="G1208" s="53"/>
      <c r="H1208" s="20"/>
      <c r="I1208" s="9">
        <v>4</v>
      </c>
      <c r="J1208" s="9"/>
      <c r="K1208" s="9"/>
      <c r="L1208" s="9"/>
      <c r="M1208" s="9">
        <f t="shared" si="152"/>
        <v>0</v>
      </c>
      <c r="N1208" s="9">
        <f t="shared" si="153"/>
        <v>0</v>
      </c>
      <c r="O1208" s="9"/>
      <c r="P1208" s="9"/>
      <c r="Q1208" s="9"/>
      <c r="R1208" s="1">
        <v>0</v>
      </c>
      <c r="S1208" s="26"/>
    </row>
    <row r="1209" spans="1:19" ht="16.5" customHeight="1" x14ac:dyDescent="0.25">
      <c r="A1209" s="9"/>
      <c r="B1209" s="51" t="s">
        <v>121</v>
      </c>
      <c r="C1209" s="52"/>
      <c r="D1209" s="52"/>
      <c r="E1209" s="52"/>
      <c r="F1209" s="52"/>
      <c r="G1209" s="53"/>
      <c r="H1209" s="20"/>
      <c r="I1209" s="9">
        <v>2</v>
      </c>
      <c r="J1209" s="9"/>
      <c r="K1209" s="9"/>
      <c r="L1209" s="9"/>
      <c r="M1209" s="9">
        <f t="shared" si="152"/>
        <v>14.6</v>
      </c>
      <c r="N1209" s="9">
        <f t="shared" si="153"/>
        <v>6</v>
      </c>
      <c r="O1209" s="9">
        <v>7.3</v>
      </c>
      <c r="P1209" s="9">
        <v>3</v>
      </c>
      <c r="Q1209" s="9" t="s">
        <v>6</v>
      </c>
      <c r="R1209" s="1">
        <v>0</v>
      </c>
      <c r="S1209" s="26"/>
    </row>
    <row r="1210" spans="1:19" ht="16.5" customHeight="1" x14ac:dyDescent="0.25">
      <c r="A1210" s="9"/>
      <c r="B1210" s="51" t="s">
        <v>116</v>
      </c>
      <c r="C1210" s="52"/>
      <c r="D1210" s="52"/>
      <c r="E1210" s="52"/>
      <c r="F1210" s="52"/>
      <c r="G1210" s="53"/>
      <c r="H1210" s="20"/>
      <c r="I1210" s="9">
        <v>3</v>
      </c>
      <c r="J1210" s="9"/>
      <c r="K1210" s="9"/>
      <c r="L1210" s="9"/>
      <c r="M1210" s="9">
        <f t="shared" si="152"/>
        <v>24</v>
      </c>
      <c r="N1210" s="9">
        <f t="shared" si="153"/>
        <v>10.5</v>
      </c>
      <c r="O1210" s="9">
        <v>8</v>
      </c>
      <c r="P1210" s="9">
        <v>3.5</v>
      </c>
      <c r="Q1210" s="9" t="s">
        <v>9</v>
      </c>
      <c r="R1210" s="1">
        <v>0</v>
      </c>
      <c r="S1210" s="26"/>
    </row>
    <row r="1211" spans="1:19" ht="16.5" customHeight="1" x14ac:dyDescent="0.25">
      <c r="A1211" s="9"/>
      <c r="B1211" s="51" t="s">
        <v>118</v>
      </c>
      <c r="C1211" s="52"/>
      <c r="D1211" s="52"/>
      <c r="E1211" s="52"/>
      <c r="F1211" s="52"/>
      <c r="G1211" s="53"/>
      <c r="H1211" s="20"/>
      <c r="I1211" s="9">
        <v>1</v>
      </c>
      <c r="J1211" s="9"/>
      <c r="K1211" s="9"/>
      <c r="L1211" s="9"/>
      <c r="M1211" s="9">
        <f t="shared" si="152"/>
        <v>8</v>
      </c>
      <c r="N1211" s="9">
        <f t="shared" si="153"/>
        <v>3.5</v>
      </c>
      <c r="O1211" s="9">
        <v>8</v>
      </c>
      <c r="P1211" s="9">
        <v>3.5</v>
      </c>
      <c r="Q1211" s="9" t="s">
        <v>9</v>
      </c>
      <c r="R1211" s="1">
        <v>0</v>
      </c>
      <c r="S1211" s="26"/>
    </row>
    <row r="1212" spans="1:19" ht="16.5" hidden="1" customHeight="1" x14ac:dyDescent="0.25">
      <c r="A1212" s="21"/>
      <c r="H1212" s="21"/>
      <c r="I1212" s="21"/>
      <c r="J1212" s="21"/>
      <c r="K1212" s="21"/>
      <c r="L1212" s="21"/>
      <c r="M1212" s="9">
        <f t="shared" si="152"/>
        <v>0</v>
      </c>
      <c r="N1212" s="9">
        <f t="shared" si="153"/>
        <v>0</v>
      </c>
      <c r="O1212" s="21"/>
      <c r="P1212" s="21"/>
      <c r="Q1212" s="21"/>
      <c r="S1212" s="25"/>
    </row>
    <row r="1213" spans="1:19" ht="16.5" customHeight="1" x14ac:dyDescent="0.25">
      <c r="A1213" s="9"/>
      <c r="B1213" s="39" t="s">
        <v>42</v>
      </c>
      <c r="C1213" s="40"/>
      <c r="D1213" s="40"/>
      <c r="E1213" s="40"/>
      <c r="F1213" s="40"/>
      <c r="G1213" s="41"/>
      <c r="H1213" s="23"/>
      <c r="I1213" s="24">
        <f>SUM(I1202:I1212)</f>
        <v>25</v>
      </c>
      <c r="J1213" s="9"/>
      <c r="K1213" s="9"/>
      <c r="L1213" s="9"/>
      <c r="M1213" s="9">
        <f t="shared" si="152"/>
        <v>90.75</v>
      </c>
      <c r="N1213" s="9">
        <f t="shared" si="153"/>
        <v>38</v>
      </c>
      <c r="O1213" s="24">
        <f>ROUND(SUM(M1202:M1212)/I1213,2)</f>
        <v>3.63</v>
      </c>
      <c r="P1213" s="24">
        <f>ROUND(SUM(N1202:N1212)/I1213,2)</f>
        <v>1.52</v>
      </c>
      <c r="Q1213" s="9"/>
      <c r="S1213" s="25"/>
    </row>
    <row r="1214" spans="1:19" ht="16.5" customHeight="1" x14ac:dyDescent="0.25">
      <c r="A1214" s="21"/>
      <c r="B1214" s="22"/>
      <c r="C1214" s="22"/>
      <c r="D1214" s="22"/>
      <c r="E1214" s="22"/>
      <c r="F1214" s="22"/>
      <c r="G1214" s="22"/>
      <c r="H1214" s="21"/>
      <c r="I1214" s="21"/>
      <c r="J1214" s="21"/>
      <c r="K1214" s="21"/>
      <c r="L1214" s="21"/>
      <c r="M1214" s="21"/>
      <c r="N1214" s="21"/>
      <c r="O1214" s="21"/>
      <c r="P1214" s="21"/>
      <c r="Q1214" s="21"/>
    </row>
    <row r="1216" spans="1:19" ht="18" x14ac:dyDescent="0.25">
      <c r="A1216" s="35" t="s">
        <v>161</v>
      </c>
      <c r="B1216" s="35"/>
      <c r="C1216" s="35"/>
      <c r="D1216" s="35"/>
      <c r="E1216" s="35"/>
      <c r="F1216" s="35"/>
      <c r="G1216" s="35"/>
      <c r="H1216" s="35"/>
      <c r="I1216" s="35"/>
      <c r="J1216" s="35"/>
      <c r="K1216" s="35"/>
      <c r="L1216" s="35"/>
      <c r="M1216" s="35"/>
      <c r="N1216" s="35"/>
      <c r="O1216" s="35"/>
      <c r="P1216" s="35"/>
      <c r="Q1216" s="35"/>
      <c r="R1216" s="35"/>
      <c r="S1216" s="35"/>
    </row>
    <row r="1217" spans="1:20" ht="18" x14ac:dyDescent="0.25">
      <c r="A1217" s="35" t="s">
        <v>181</v>
      </c>
      <c r="B1217" s="35"/>
      <c r="C1217" s="35"/>
      <c r="D1217" s="35"/>
      <c r="E1217" s="35"/>
      <c r="F1217" s="35"/>
      <c r="G1217" s="35"/>
      <c r="H1217" s="35"/>
      <c r="I1217" s="35"/>
      <c r="J1217" s="35"/>
      <c r="K1217" s="35"/>
      <c r="L1217" s="35"/>
      <c r="M1217" s="35"/>
      <c r="N1217" s="35"/>
      <c r="O1217" s="35"/>
      <c r="P1217" s="35"/>
      <c r="Q1217" s="35"/>
      <c r="R1217" s="35"/>
      <c r="S1217" s="35"/>
    </row>
    <row r="1218" spans="1:20" ht="18" x14ac:dyDescent="0.25">
      <c r="A1218" s="35" t="s">
        <v>182</v>
      </c>
      <c r="B1218" s="35"/>
      <c r="C1218" s="35"/>
      <c r="D1218" s="35"/>
      <c r="E1218" s="35"/>
      <c r="F1218" s="35"/>
      <c r="G1218" s="35"/>
      <c r="H1218" s="35"/>
      <c r="I1218" s="35"/>
      <c r="J1218" s="35"/>
      <c r="K1218" s="35"/>
      <c r="L1218" s="35"/>
      <c r="M1218" s="35"/>
      <c r="N1218" s="35"/>
      <c r="O1218" s="35"/>
      <c r="P1218" s="35"/>
      <c r="Q1218" s="35"/>
      <c r="R1218" s="35"/>
      <c r="S1218" s="35"/>
    </row>
    <row r="1219" spans="1:20" ht="18" x14ac:dyDescent="0.25">
      <c r="A1219" s="45" t="s">
        <v>149</v>
      </c>
      <c r="B1219" s="45"/>
      <c r="C1219" s="45"/>
      <c r="D1219" s="45"/>
      <c r="E1219" s="45"/>
      <c r="F1219" s="45"/>
      <c r="G1219" s="45"/>
      <c r="H1219" s="45"/>
      <c r="I1219" s="45"/>
      <c r="J1219" s="45"/>
      <c r="K1219" s="45"/>
      <c r="L1219" s="45"/>
      <c r="M1219" s="45"/>
      <c r="N1219" s="45"/>
      <c r="O1219" s="45"/>
      <c r="P1219" s="45"/>
      <c r="Q1219" s="45"/>
      <c r="R1219" s="45"/>
      <c r="S1219" s="45"/>
    </row>
    <row r="1220" spans="1:20" ht="19.5" customHeight="1" x14ac:dyDescent="0.25">
      <c r="A1220" s="17"/>
      <c r="B1220" s="17"/>
      <c r="C1220" s="8"/>
      <c r="D1220" s="18"/>
      <c r="E1220" s="10"/>
      <c r="F1220" s="11"/>
      <c r="G1220" s="46" t="s">
        <v>49</v>
      </c>
      <c r="H1220" s="46"/>
      <c r="I1220" s="46"/>
      <c r="J1220" s="46"/>
      <c r="K1220" s="46"/>
      <c r="L1220" s="46"/>
      <c r="M1220" s="46"/>
      <c r="N1220" s="46"/>
      <c r="O1220" s="46"/>
      <c r="P1220" s="46"/>
      <c r="Q1220" s="46"/>
      <c r="R1220" s="46"/>
      <c r="S1220" s="46"/>
    </row>
    <row r="1221" spans="1:20" ht="31.5" customHeight="1" x14ac:dyDescent="0.3">
      <c r="A1221" s="8"/>
      <c r="B1221" s="8"/>
      <c r="C1221" s="8"/>
      <c r="D1221" s="8"/>
      <c r="E1221" s="8"/>
      <c r="F1221" s="8"/>
      <c r="G1221" s="8"/>
      <c r="H1221" s="12"/>
      <c r="I1221" s="42" t="s">
        <v>40</v>
      </c>
      <c r="J1221" s="43"/>
      <c r="K1221" s="43"/>
      <c r="L1221" s="43"/>
      <c r="M1221" s="43"/>
      <c r="N1221" s="43"/>
      <c r="O1221" s="43"/>
      <c r="P1221" s="43"/>
      <c r="Q1221" s="43"/>
      <c r="R1221" s="43"/>
      <c r="S1221" s="43"/>
    </row>
    <row r="1222" spans="1:20" ht="16.8" x14ac:dyDescent="0.3">
      <c r="A1222" s="8"/>
      <c r="B1222" s="8"/>
      <c r="C1222" s="8"/>
      <c r="D1222" s="8"/>
      <c r="E1222" s="8"/>
      <c r="F1222" s="8"/>
      <c r="G1222" s="8"/>
      <c r="H1222" s="12"/>
      <c r="I1222" s="12"/>
      <c r="J1222" s="12"/>
      <c r="K1222" s="12"/>
      <c r="L1222" s="8"/>
      <c r="M1222" s="8"/>
      <c r="N1222" s="8"/>
      <c r="O1222" s="8"/>
      <c r="P1222" s="8"/>
      <c r="Q1222" s="8"/>
    </row>
    <row r="1223" spans="1:20" ht="33" customHeight="1" x14ac:dyDescent="0.3">
      <c r="A1223" s="8"/>
      <c r="B1223" s="8"/>
      <c r="C1223" s="8"/>
      <c r="D1223" s="8"/>
      <c r="E1223" s="8"/>
      <c r="F1223" s="8"/>
      <c r="G1223" s="8"/>
      <c r="H1223" s="12"/>
      <c r="I1223" s="12"/>
      <c r="J1223" s="12"/>
      <c r="K1223" s="12"/>
      <c r="L1223" s="8"/>
      <c r="M1223" s="8"/>
      <c r="N1223" s="8"/>
      <c r="O1223" s="8"/>
      <c r="P1223" s="8"/>
      <c r="Q1223" s="8"/>
    </row>
    <row r="1224" spans="1:20" ht="11.25" customHeight="1" x14ac:dyDescent="0.3">
      <c r="A1224" s="8"/>
      <c r="B1224" s="8"/>
      <c r="C1224" s="8"/>
      <c r="D1224" s="8"/>
      <c r="E1224" s="8"/>
      <c r="F1224" s="8"/>
      <c r="G1224" s="8"/>
      <c r="H1224" s="12"/>
      <c r="I1224" s="12"/>
      <c r="J1224" s="12"/>
      <c r="K1224" s="12"/>
      <c r="L1224" s="8"/>
      <c r="M1224" s="8"/>
      <c r="N1224" s="8"/>
      <c r="O1224" s="8"/>
      <c r="P1224" s="8"/>
      <c r="Q1224" s="8"/>
    </row>
    <row r="1225" spans="1:20" ht="17.399999999999999" x14ac:dyDescent="0.3">
      <c r="A1225" s="8"/>
      <c r="B1225" s="8"/>
      <c r="C1225" s="8"/>
      <c r="D1225" s="8"/>
      <c r="E1225" s="8"/>
      <c r="F1225" s="8"/>
      <c r="G1225" s="47" t="s">
        <v>41</v>
      </c>
      <c r="H1225" s="47"/>
      <c r="I1225" s="47"/>
      <c r="J1225" s="47"/>
      <c r="K1225" s="47"/>
      <c r="L1225" s="47"/>
      <c r="M1225" s="47"/>
      <c r="N1225" s="47"/>
      <c r="O1225" s="47"/>
      <c r="P1225" s="47"/>
      <c r="Q1225" s="47"/>
      <c r="R1225" s="47"/>
      <c r="S1225" s="47"/>
    </row>
    <row r="1226" spans="1:20" ht="54" customHeight="1" x14ac:dyDescent="0.25">
      <c r="A1226" s="48" t="s">
        <v>33</v>
      </c>
      <c r="B1226" s="48"/>
      <c r="C1226" s="48"/>
      <c r="D1226" s="48"/>
      <c r="E1226" s="48"/>
      <c r="F1226" s="42" t="s">
        <v>24</v>
      </c>
      <c r="G1226" s="42"/>
      <c r="H1226" s="42"/>
      <c r="I1226" s="42"/>
      <c r="J1226" s="42"/>
      <c r="K1226" s="42"/>
      <c r="L1226" s="42"/>
      <c r="M1226" s="42"/>
      <c r="N1226" s="42"/>
      <c r="O1226" s="42"/>
      <c r="P1226" s="42"/>
      <c r="Q1226" s="42"/>
      <c r="R1226" s="42"/>
      <c r="S1226" s="42"/>
    </row>
    <row r="1227" spans="1:20" ht="17.399999999999999" x14ac:dyDescent="0.25">
      <c r="A1227" s="49" t="s">
        <v>34</v>
      </c>
      <c r="B1227" s="49"/>
      <c r="C1227" s="49"/>
      <c r="D1227" s="49"/>
      <c r="E1227" s="49"/>
      <c r="F1227" s="49"/>
      <c r="G1227" s="49"/>
      <c r="H1227" s="49"/>
      <c r="I1227" s="49"/>
      <c r="J1227" s="49"/>
      <c r="K1227" s="49"/>
      <c r="L1227" s="49"/>
      <c r="M1227" s="49"/>
      <c r="N1227" s="49"/>
      <c r="O1227" s="49"/>
      <c r="P1227" s="49"/>
      <c r="Q1227" s="49"/>
    </row>
    <row r="1228" spans="1:20" ht="4.5" customHeight="1" x14ac:dyDescent="0.25">
      <c r="A1228" s="50"/>
      <c r="B1228" s="50"/>
      <c r="C1228" s="50"/>
      <c r="D1228" s="50"/>
      <c r="E1228" s="50"/>
      <c r="F1228" s="50"/>
      <c r="G1228" s="50"/>
      <c r="H1228" s="50"/>
      <c r="I1228" s="50"/>
      <c r="J1228" s="50"/>
      <c r="K1228" s="50"/>
      <c r="L1228" s="50"/>
      <c r="M1228" s="50"/>
      <c r="N1228" s="50"/>
      <c r="O1228" s="50"/>
      <c r="P1228" s="50"/>
      <c r="Q1228" s="50"/>
    </row>
    <row r="1229" spans="1:20" ht="5.25" customHeight="1" x14ac:dyDescent="0.25">
      <c r="A1229" s="50"/>
      <c r="B1229" s="50"/>
      <c r="C1229" s="50"/>
      <c r="D1229" s="50"/>
      <c r="E1229" s="50"/>
      <c r="F1229" s="50"/>
      <c r="G1229" s="50"/>
      <c r="H1229" s="50"/>
      <c r="I1229" s="50"/>
      <c r="J1229" s="50"/>
      <c r="K1229" s="50"/>
      <c r="L1229" s="50"/>
      <c r="M1229" s="50"/>
      <c r="N1229" s="50"/>
      <c r="O1229" s="50"/>
      <c r="P1229" s="50"/>
      <c r="Q1229" s="50"/>
    </row>
    <row r="1230" spans="1:20" ht="16.5" customHeight="1" x14ac:dyDescent="0.25">
      <c r="A1230" s="54" t="s">
        <v>183</v>
      </c>
      <c r="B1230" s="54"/>
      <c r="C1230" s="54"/>
      <c r="D1230" s="54"/>
      <c r="E1230" s="54"/>
      <c r="F1230" s="54"/>
      <c r="G1230" s="58" t="s">
        <v>184</v>
      </c>
      <c r="H1230" s="58"/>
      <c r="I1230" s="58"/>
      <c r="J1230" s="58"/>
      <c r="K1230" s="58"/>
      <c r="L1230" s="58"/>
      <c r="M1230" s="58"/>
      <c r="N1230" s="58"/>
      <c r="O1230" s="58"/>
      <c r="P1230" s="58"/>
      <c r="Q1230" s="58"/>
      <c r="R1230" s="58"/>
      <c r="S1230" s="58"/>
    </row>
    <row r="1231" spans="1:20" ht="16.5" customHeight="1" x14ac:dyDescent="0.25">
      <c r="A1231" s="54" t="s">
        <v>185</v>
      </c>
      <c r="B1231" s="54"/>
      <c r="C1231" s="54"/>
      <c r="D1231" s="54"/>
      <c r="E1231" s="54"/>
      <c r="F1231" s="54"/>
      <c r="G1231" s="8" t="s">
        <v>46</v>
      </c>
      <c r="H1231" s="8"/>
      <c r="I1231" s="8"/>
      <c r="J1231" s="8"/>
      <c r="K1231" s="8"/>
      <c r="L1231" s="8"/>
      <c r="M1231" s="8"/>
      <c r="N1231" s="8"/>
      <c r="O1231" s="8"/>
      <c r="P1231" s="8"/>
      <c r="Q1231" s="8"/>
      <c r="T1231" s="2"/>
    </row>
    <row r="1232" spans="1:20" ht="16.5" customHeight="1" x14ac:dyDescent="0.25">
      <c r="A1232" s="54" t="s">
        <v>47</v>
      </c>
      <c r="B1232" s="54"/>
      <c r="C1232" s="54"/>
      <c r="D1232" s="54"/>
      <c r="E1232" s="54"/>
      <c r="F1232" s="54"/>
      <c r="G1232" s="58" t="s">
        <v>48</v>
      </c>
      <c r="H1232" s="58"/>
      <c r="I1232" s="58"/>
      <c r="J1232" s="58"/>
      <c r="K1232" s="58"/>
      <c r="L1232" s="58"/>
      <c r="M1232" s="58"/>
      <c r="N1232" s="58"/>
      <c r="O1232" s="58"/>
      <c r="P1232" s="58"/>
      <c r="Q1232" s="58"/>
      <c r="R1232" s="58"/>
      <c r="S1232" s="58"/>
    </row>
    <row r="1233" spans="1:19" ht="5.25" customHeight="1" x14ac:dyDescent="0.25">
      <c r="A1233" s="8"/>
      <c r="B1233" s="8"/>
      <c r="C1233" s="8"/>
      <c r="D1233" s="8"/>
      <c r="E1233" s="8"/>
      <c r="F1233" s="8"/>
      <c r="G1233" s="8"/>
      <c r="H1233" s="8"/>
      <c r="I1233" s="8"/>
      <c r="J1233" s="19"/>
      <c r="K1233" s="19"/>
      <c r="L1233" s="19"/>
      <c r="M1233" s="19"/>
      <c r="N1233" s="19"/>
      <c r="O1233" s="19"/>
      <c r="P1233" s="19"/>
      <c r="Q1233" s="19"/>
    </row>
    <row r="1234" spans="1:19" ht="15" customHeight="1" x14ac:dyDescent="0.25">
      <c r="A1234" s="36" t="s">
        <v>0</v>
      </c>
      <c r="B1234" s="29" t="s">
        <v>1</v>
      </c>
      <c r="C1234" s="30"/>
      <c r="D1234" s="30"/>
      <c r="E1234" s="30"/>
      <c r="F1234" s="30"/>
      <c r="G1234" s="31"/>
      <c r="H1234" s="36" t="s">
        <v>32</v>
      </c>
      <c r="I1234" s="36" t="s">
        <v>39</v>
      </c>
      <c r="J1234" s="55" t="s">
        <v>2</v>
      </c>
      <c r="K1234" s="56"/>
      <c r="L1234" s="56"/>
      <c r="M1234" s="56"/>
      <c r="N1234" s="56"/>
      <c r="O1234" s="56"/>
      <c r="P1234" s="56"/>
      <c r="Q1234" s="57"/>
      <c r="S1234" s="36" t="s">
        <v>38</v>
      </c>
    </row>
    <row r="1235" spans="1:19" ht="24" customHeight="1" x14ac:dyDescent="0.25">
      <c r="A1235" s="37"/>
      <c r="B1235" s="32"/>
      <c r="C1235" s="33"/>
      <c r="D1235" s="33"/>
      <c r="E1235" s="33"/>
      <c r="F1235" s="33"/>
      <c r="G1235" s="34"/>
      <c r="H1235" s="37"/>
      <c r="I1235" s="37"/>
      <c r="J1235" s="7" t="s">
        <v>28</v>
      </c>
      <c r="K1235" s="7" t="s">
        <v>29</v>
      </c>
      <c r="L1235" s="7" t="s">
        <v>30</v>
      </c>
      <c r="M1235" s="7"/>
      <c r="N1235" s="7"/>
      <c r="O1235" s="6" t="s">
        <v>35</v>
      </c>
      <c r="P1235" s="6" t="s">
        <v>36</v>
      </c>
      <c r="Q1235" s="6" t="s">
        <v>37</v>
      </c>
      <c r="S1235" s="37"/>
    </row>
    <row r="1236" spans="1:19" ht="20.25" customHeight="1" x14ac:dyDescent="0.25">
      <c r="A1236" s="27" t="s">
        <v>54</v>
      </c>
      <c r="B1236" s="28"/>
      <c r="C1236" s="28"/>
      <c r="D1236" s="28"/>
      <c r="E1236" s="28"/>
      <c r="F1236" s="28"/>
      <c r="G1236" s="28"/>
      <c r="H1236" s="28"/>
      <c r="I1236" s="28"/>
      <c r="J1236" s="28"/>
      <c r="K1236" s="28"/>
      <c r="L1236" s="28"/>
      <c r="M1236" s="28"/>
      <c r="N1236" s="28"/>
      <c r="O1236" s="28"/>
      <c r="P1236" s="28"/>
      <c r="Q1236" s="28"/>
      <c r="R1236" s="28"/>
      <c r="S1236" s="28"/>
    </row>
    <row r="1237" spans="1:19" ht="16.5" customHeight="1" x14ac:dyDescent="0.25">
      <c r="A1237" s="9"/>
      <c r="B1237" s="51" t="s">
        <v>55</v>
      </c>
      <c r="C1237" s="52"/>
      <c r="D1237" s="52"/>
      <c r="E1237" s="52"/>
      <c r="F1237" s="52"/>
      <c r="G1237" s="53"/>
      <c r="H1237" s="20"/>
      <c r="I1237" s="9">
        <v>2</v>
      </c>
      <c r="J1237" s="9"/>
      <c r="K1237" s="9"/>
      <c r="L1237" s="9"/>
      <c r="M1237" s="9">
        <f t="shared" ref="M1237:M1245" si="154">I1237*O1237</f>
        <v>15.2</v>
      </c>
      <c r="N1237" s="9">
        <f t="shared" ref="N1237:N1245" si="155">I1237*P1237</f>
        <v>6</v>
      </c>
      <c r="O1237" s="9">
        <v>7.6</v>
      </c>
      <c r="P1237" s="9">
        <v>3</v>
      </c>
      <c r="Q1237" s="9" t="s">
        <v>6</v>
      </c>
      <c r="R1237" s="1">
        <v>0</v>
      </c>
      <c r="S1237" s="26"/>
    </row>
    <row r="1238" spans="1:19" ht="16.5" customHeight="1" x14ac:dyDescent="0.25">
      <c r="A1238" s="9"/>
      <c r="B1238" s="51" t="s">
        <v>56</v>
      </c>
      <c r="C1238" s="52"/>
      <c r="D1238" s="52"/>
      <c r="E1238" s="52"/>
      <c r="F1238" s="52"/>
      <c r="G1238" s="53"/>
      <c r="H1238" s="20"/>
      <c r="I1238" s="9">
        <v>3</v>
      </c>
      <c r="J1238" s="9"/>
      <c r="K1238" s="9"/>
      <c r="L1238" s="9"/>
      <c r="M1238" s="9">
        <f t="shared" si="154"/>
        <v>19.5</v>
      </c>
      <c r="N1238" s="9">
        <f t="shared" si="155"/>
        <v>7.5</v>
      </c>
      <c r="O1238" s="9">
        <v>6.5</v>
      </c>
      <c r="P1238" s="9">
        <v>2.5</v>
      </c>
      <c r="Q1238" s="9" t="s">
        <v>5</v>
      </c>
      <c r="R1238" s="1">
        <v>0</v>
      </c>
      <c r="S1238" s="26"/>
    </row>
    <row r="1239" spans="1:19" ht="31.2" customHeight="1" x14ac:dyDescent="0.25">
      <c r="A1239" s="9"/>
      <c r="B1239" s="51" t="s">
        <v>57</v>
      </c>
      <c r="C1239" s="52"/>
      <c r="D1239" s="52"/>
      <c r="E1239" s="52"/>
      <c r="F1239" s="52"/>
      <c r="G1239" s="53"/>
      <c r="H1239" s="20"/>
      <c r="I1239" s="9">
        <v>3</v>
      </c>
      <c r="J1239" s="9"/>
      <c r="K1239" s="9"/>
      <c r="L1239" s="9"/>
      <c r="M1239" s="9">
        <f t="shared" si="154"/>
        <v>22.799999999999997</v>
      </c>
      <c r="N1239" s="9">
        <f t="shared" si="155"/>
        <v>9</v>
      </c>
      <c r="O1239" s="9">
        <v>7.6</v>
      </c>
      <c r="P1239" s="9">
        <v>3</v>
      </c>
      <c r="Q1239" s="9" t="s">
        <v>6</v>
      </c>
      <c r="R1239" s="1">
        <v>0</v>
      </c>
      <c r="S1239" s="26"/>
    </row>
    <row r="1240" spans="1:19" ht="16.5" customHeight="1" x14ac:dyDescent="0.25">
      <c r="A1240" s="9"/>
      <c r="B1240" s="51" t="s">
        <v>58</v>
      </c>
      <c r="C1240" s="52"/>
      <c r="D1240" s="52"/>
      <c r="E1240" s="52"/>
      <c r="F1240" s="52"/>
      <c r="G1240" s="53"/>
      <c r="H1240" s="20"/>
      <c r="I1240" s="9">
        <v>1</v>
      </c>
      <c r="J1240" s="9"/>
      <c r="K1240" s="9"/>
      <c r="L1240" s="9"/>
      <c r="M1240" s="9">
        <f t="shared" si="154"/>
        <v>7.6</v>
      </c>
      <c r="N1240" s="9">
        <f t="shared" si="155"/>
        <v>3</v>
      </c>
      <c r="O1240" s="9">
        <v>7.6</v>
      </c>
      <c r="P1240" s="9">
        <v>3</v>
      </c>
      <c r="Q1240" s="9" t="s">
        <v>6</v>
      </c>
      <c r="R1240" s="1">
        <v>0</v>
      </c>
      <c r="S1240" s="26"/>
    </row>
    <row r="1241" spans="1:19" ht="16.5" customHeight="1" x14ac:dyDescent="0.25">
      <c r="A1241" s="9"/>
      <c r="B1241" s="51" t="s">
        <v>59</v>
      </c>
      <c r="C1241" s="52"/>
      <c r="D1241" s="52"/>
      <c r="E1241" s="52"/>
      <c r="F1241" s="52"/>
      <c r="G1241" s="53"/>
      <c r="H1241" s="20"/>
      <c r="I1241" s="9">
        <v>1</v>
      </c>
      <c r="J1241" s="9"/>
      <c r="K1241" s="9"/>
      <c r="L1241" s="9"/>
      <c r="M1241" s="9">
        <f t="shared" si="154"/>
        <v>7.3</v>
      </c>
      <c r="N1241" s="9">
        <f t="shared" si="155"/>
        <v>3</v>
      </c>
      <c r="O1241" s="9">
        <v>7.3</v>
      </c>
      <c r="P1241" s="9">
        <v>3</v>
      </c>
      <c r="Q1241" s="9" t="s">
        <v>6</v>
      </c>
      <c r="R1241" s="1">
        <v>0</v>
      </c>
      <c r="S1241" s="26"/>
    </row>
    <row r="1242" spans="1:19" ht="16.5" customHeight="1" x14ac:dyDescent="0.25">
      <c r="A1242" s="9"/>
      <c r="B1242" s="51" t="s">
        <v>60</v>
      </c>
      <c r="C1242" s="52"/>
      <c r="D1242" s="52"/>
      <c r="E1242" s="52"/>
      <c r="F1242" s="52"/>
      <c r="G1242" s="53"/>
      <c r="H1242" s="20"/>
      <c r="I1242" s="9">
        <v>3</v>
      </c>
      <c r="J1242" s="9"/>
      <c r="K1242" s="9"/>
      <c r="L1242" s="9"/>
      <c r="M1242" s="9">
        <f t="shared" si="154"/>
        <v>23.700000000000003</v>
      </c>
      <c r="N1242" s="9">
        <f t="shared" si="155"/>
        <v>9</v>
      </c>
      <c r="O1242" s="9">
        <v>7.9</v>
      </c>
      <c r="P1242" s="9">
        <v>3</v>
      </c>
      <c r="Q1242" s="9" t="s">
        <v>6</v>
      </c>
      <c r="R1242" s="1">
        <v>0</v>
      </c>
      <c r="S1242" s="26"/>
    </row>
    <row r="1243" spans="1:19" ht="16.5" customHeight="1" x14ac:dyDescent="0.25">
      <c r="A1243" s="9"/>
      <c r="B1243" s="51" t="s">
        <v>61</v>
      </c>
      <c r="C1243" s="52"/>
      <c r="D1243" s="52"/>
      <c r="E1243" s="52"/>
      <c r="F1243" s="52"/>
      <c r="G1243" s="53"/>
      <c r="H1243" s="20"/>
      <c r="I1243" s="9">
        <v>1</v>
      </c>
      <c r="J1243" s="9"/>
      <c r="K1243" s="9"/>
      <c r="L1243" s="9"/>
      <c r="M1243" s="9">
        <f t="shared" si="154"/>
        <v>9.1</v>
      </c>
      <c r="N1243" s="9">
        <f t="shared" si="155"/>
        <v>4</v>
      </c>
      <c r="O1243" s="9">
        <v>9.1</v>
      </c>
      <c r="P1243" s="9">
        <v>4</v>
      </c>
      <c r="Q1243" s="9" t="s">
        <v>12</v>
      </c>
      <c r="R1243" s="1">
        <v>0</v>
      </c>
      <c r="S1243" s="26"/>
    </row>
    <row r="1244" spans="1:19" ht="16.5" hidden="1" customHeight="1" x14ac:dyDescent="0.25">
      <c r="A1244" s="21"/>
      <c r="H1244" s="21"/>
      <c r="I1244" s="21"/>
      <c r="J1244" s="21"/>
      <c r="K1244" s="21"/>
      <c r="L1244" s="21"/>
      <c r="M1244" s="9">
        <f t="shared" si="154"/>
        <v>0</v>
      </c>
      <c r="N1244" s="9">
        <f t="shared" si="155"/>
        <v>0</v>
      </c>
      <c r="O1244" s="21"/>
      <c r="P1244" s="21"/>
      <c r="Q1244" s="21"/>
      <c r="S1244" s="25"/>
    </row>
    <row r="1245" spans="1:19" ht="16.5" customHeight="1" x14ac:dyDescent="0.25">
      <c r="A1245" s="9"/>
      <c r="B1245" s="39" t="s">
        <v>42</v>
      </c>
      <c r="C1245" s="40"/>
      <c r="D1245" s="40"/>
      <c r="E1245" s="40"/>
      <c r="F1245" s="40"/>
      <c r="G1245" s="41"/>
      <c r="H1245" s="23"/>
      <c r="I1245" s="24">
        <f>SUM(I1237:I1244)</f>
        <v>14</v>
      </c>
      <c r="J1245" s="9"/>
      <c r="K1245" s="9"/>
      <c r="L1245" s="9"/>
      <c r="M1245" s="9">
        <f t="shared" si="154"/>
        <v>105.14</v>
      </c>
      <c r="N1245" s="9">
        <f t="shared" si="155"/>
        <v>41.44</v>
      </c>
      <c r="O1245" s="24">
        <f>ROUND(SUM(M1237:M1244)/I1245,2)</f>
        <v>7.51</v>
      </c>
      <c r="P1245" s="24">
        <f>ROUND(SUM(N1237:N1244)/I1245,2)</f>
        <v>2.96</v>
      </c>
      <c r="Q1245" s="9"/>
      <c r="S1245" s="25"/>
    </row>
    <row r="1246" spans="1:19" ht="20.25" customHeight="1" x14ac:dyDescent="0.25">
      <c r="A1246" s="27" t="s">
        <v>62</v>
      </c>
      <c r="B1246" s="28"/>
      <c r="C1246" s="28"/>
      <c r="D1246" s="28"/>
      <c r="E1246" s="28"/>
      <c r="F1246" s="28"/>
      <c r="G1246" s="28"/>
      <c r="H1246" s="28"/>
      <c r="I1246" s="28"/>
      <c r="J1246" s="28"/>
      <c r="K1246" s="28"/>
      <c r="L1246" s="28"/>
      <c r="M1246" s="28"/>
      <c r="N1246" s="28"/>
      <c r="O1246" s="28"/>
      <c r="P1246" s="28"/>
      <c r="Q1246" s="28"/>
      <c r="R1246" s="28"/>
      <c r="S1246" s="28"/>
    </row>
    <row r="1247" spans="1:19" ht="16.5" customHeight="1" x14ac:dyDescent="0.25">
      <c r="A1247" s="9"/>
      <c r="B1247" s="51" t="s">
        <v>63</v>
      </c>
      <c r="C1247" s="52"/>
      <c r="D1247" s="52"/>
      <c r="E1247" s="52"/>
      <c r="F1247" s="52"/>
      <c r="G1247" s="53"/>
      <c r="H1247" s="20"/>
      <c r="I1247" s="9">
        <v>4</v>
      </c>
      <c r="J1247" s="9"/>
      <c r="K1247" s="9"/>
      <c r="L1247" s="9"/>
      <c r="M1247" s="9">
        <f t="shared" ref="M1247:M1255" si="156">I1247*O1247</f>
        <v>28.4</v>
      </c>
      <c r="N1247" s="9">
        <f t="shared" ref="N1247:N1255" si="157">I1247*P1247</f>
        <v>12</v>
      </c>
      <c r="O1247" s="9">
        <v>7.1</v>
      </c>
      <c r="P1247" s="9">
        <v>3</v>
      </c>
      <c r="Q1247" s="9" t="s">
        <v>6</v>
      </c>
      <c r="R1247" s="1">
        <v>0</v>
      </c>
      <c r="S1247" s="26"/>
    </row>
    <row r="1248" spans="1:19" ht="16.5" customHeight="1" x14ac:dyDescent="0.25">
      <c r="A1248" s="9"/>
      <c r="B1248" s="51" t="s">
        <v>64</v>
      </c>
      <c r="C1248" s="52"/>
      <c r="D1248" s="52"/>
      <c r="E1248" s="52"/>
      <c r="F1248" s="52"/>
      <c r="G1248" s="53"/>
      <c r="H1248" s="20"/>
      <c r="I1248" s="9">
        <v>4</v>
      </c>
      <c r="J1248" s="9"/>
      <c r="K1248" s="9"/>
      <c r="L1248" s="9"/>
      <c r="M1248" s="9">
        <f t="shared" si="156"/>
        <v>25.2</v>
      </c>
      <c r="N1248" s="9">
        <f t="shared" si="157"/>
        <v>8</v>
      </c>
      <c r="O1248" s="9">
        <v>6.3</v>
      </c>
      <c r="P1248" s="9">
        <v>2</v>
      </c>
      <c r="Q1248" s="9" t="s">
        <v>3</v>
      </c>
      <c r="R1248" s="1">
        <v>0</v>
      </c>
      <c r="S1248" s="26"/>
    </row>
    <row r="1249" spans="1:19" ht="16.5" customHeight="1" x14ac:dyDescent="0.25">
      <c r="A1249" s="9"/>
      <c r="B1249" s="51" t="s">
        <v>65</v>
      </c>
      <c r="C1249" s="52"/>
      <c r="D1249" s="52"/>
      <c r="E1249" s="52"/>
      <c r="F1249" s="52"/>
      <c r="G1249" s="53"/>
      <c r="H1249" s="20"/>
      <c r="I1249" s="9">
        <v>4</v>
      </c>
      <c r="J1249" s="9"/>
      <c r="K1249" s="9"/>
      <c r="L1249" s="9"/>
      <c r="M1249" s="9">
        <f t="shared" si="156"/>
        <v>30.8</v>
      </c>
      <c r="N1249" s="9">
        <f t="shared" si="157"/>
        <v>12</v>
      </c>
      <c r="O1249" s="9">
        <v>7.7</v>
      </c>
      <c r="P1249" s="9">
        <v>3</v>
      </c>
      <c r="Q1249" s="9" t="s">
        <v>6</v>
      </c>
      <c r="R1249" s="1">
        <v>0</v>
      </c>
      <c r="S1249" s="26"/>
    </row>
    <row r="1250" spans="1:19" ht="16.5" customHeight="1" x14ac:dyDescent="0.25">
      <c r="A1250" s="9"/>
      <c r="B1250" s="51" t="s">
        <v>66</v>
      </c>
      <c r="C1250" s="52"/>
      <c r="D1250" s="52"/>
      <c r="E1250" s="52"/>
      <c r="F1250" s="52"/>
      <c r="G1250" s="53"/>
      <c r="H1250" s="20"/>
      <c r="I1250" s="9">
        <v>1</v>
      </c>
      <c r="J1250" s="9"/>
      <c r="K1250" s="9"/>
      <c r="L1250" s="9"/>
      <c r="M1250" s="9">
        <f t="shared" si="156"/>
        <v>7.6</v>
      </c>
      <c r="N1250" s="9">
        <f t="shared" si="157"/>
        <v>3</v>
      </c>
      <c r="O1250" s="9">
        <v>7.6</v>
      </c>
      <c r="P1250" s="9">
        <v>3</v>
      </c>
      <c r="Q1250" s="9" t="s">
        <v>6</v>
      </c>
      <c r="R1250" s="1">
        <v>0</v>
      </c>
      <c r="S1250" s="26"/>
    </row>
    <row r="1251" spans="1:19" ht="16.5" customHeight="1" x14ac:dyDescent="0.25">
      <c r="A1251" s="9"/>
      <c r="B1251" s="51" t="s">
        <v>67</v>
      </c>
      <c r="C1251" s="52"/>
      <c r="D1251" s="52"/>
      <c r="E1251" s="52"/>
      <c r="F1251" s="52"/>
      <c r="G1251" s="53"/>
      <c r="H1251" s="20"/>
      <c r="I1251" s="9">
        <v>1</v>
      </c>
      <c r="J1251" s="9"/>
      <c r="K1251" s="9"/>
      <c r="L1251" s="9"/>
      <c r="M1251" s="9">
        <f t="shared" si="156"/>
        <v>7.9</v>
      </c>
      <c r="N1251" s="9">
        <f t="shared" si="157"/>
        <v>3</v>
      </c>
      <c r="O1251" s="9">
        <v>7.9</v>
      </c>
      <c r="P1251" s="9">
        <v>3</v>
      </c>
      <c r="Q1251" s="9" t="s">
        <v>6</v>
      </c>
      <c r="R1251" s="1">
        <v>0</v>
      </c>
      <c r="S1251" s="26"/>
    </row>
    <row r="1252" spans="1:19" ht="16.5" customHeight="1" x14ac:dyDescent="0.25">
      <c r="A1252" s="9"/>
      <c r="B1252" s="51" t="s">
        <v>69</v>
      </c>
      <c r="C1252" s="52"/>
      <c r="D1252" s="52"/>
      <c r="E1252" s="52"/>
      <c r="F1252" s="52"/>
      <c r="G1252" s="53"/>
      <c r="H1252" s="20"/>
      <c r="I1252" s="9">
        <v>1</v>
      </c>
      <c r="J1252" s="9"/>
      <c r="K1252" s="9"/>
      <c r="L1252" s="9"/>
      <c r="M1252" s="9">
        <f t="shared" si="156"/>
        <v>7.5</v>
      </c>
      <c r="N1252" s="9">
        <f t="shared" si="157"/>
        <v>3</v>
      </c>
      <c r="O1252" s="9">
        <v>7.5</v>
      </c>
      <c r="P1252" s="9">
        <v>3</v>
      </c>
      <c r="Q1252" s="9" t="s">
        <v>6</v>
      </c>
      <c r="R1252" s="1">
        <v>0</v>
      </c>
      <c r="S1252" s="26"/>
    </row>
    <row r="1253" spans="1:19" ht="16.5" customHeight="1" x14ac:dyDescent="0.25">
      <c r="A1253" s="9"/>
      <c r="B1253" s="51" t="s">
        <v>68</v>
      </c>
      <c r="C1253" s="52"/>
      <c r="D1253" s="52"/>
      <c r="E1253" s="52"/>
      <c r="F1253" s="52"/>
      <c r="G1253" s="53"/>
      <c r="H1253" s="20"/>
      <c r="I1253" s="9">
        <v>1</v>
      </c>
      <c r="J1253" s="9"/>
      <c r="K1253" s="9"/>
      <c r="L1253" s="9"/>
      <c r="M1253" s="9">
        <f t="shared" si="156"/>
        <v>7.4</v>
      </c>
      <c r="N1253" s="9">
        <f t="shared" si="157"/>
        <v>3</v>
      </c>
      <c r="O1253" s="9">
        <v>7.4</v>
      </c>
      <c r="P1253" s="9">
        <v>3</v>
      </c>
      <c r="Q1253" s="9" t="s">
        <v>6</v>
      </c>
      <c r="R1253" s="1">
        <v>0</v>
      </c>
      <c r="S1253" s="26"/>
    </row>
    <row r="1254" spans="1:19" ht="16.5" hidden="1" customHeight="1" x14ac:dyDescent="0.25">
      <c r="A1254" s="21"/>
      <c r="H1254" s="21"/>
      <c r="I1254" s="21"/>
      <c r="J1254" s="21"/>
      <c r="K1254" s="21"/>
      <c r="L1254" s="21"/>
      <c r="M1254" s="9">
        <f t="shared" si="156"/>
        <v>0</v>
      </c>
      <c r="N1254" s="9">
        <f t="shared" si="157"/>
        <v>0</v>
      </c>
      <c r="O1254" s="21"/>
      <c r="P1254" s="21"/>
      <c r="Q1254" s="21"/>
      <c r="S1254" s="25"/>
    </row>
    <row r="1255" spans="1:19" ht="16.5" customHeight="1" x14ac:dyDescent="0.25">
      <c r="A1255" s="9"/>
      <c r="B1255" s="39" t="s">
        <v>42</v>
      </c>
      <c r="C1255" s="40"/>
      <c r="D1255" s="40"/>
      <c r="E1255" s="40"/>
      <c r="F1255" s="40"/>
      <c r="G1255" s="41"/>
      <c r="H1255" s="23"/>
      <c r="I1255" s="24">
        <f>SUM(I1247:I1254)</f>
        <v>16</v>
      </c>
      <c r="J1255" s="9"/>
      <c r="K1255" s="9"/>
      <c r="L1255" s="9"/>
      <c r="M1255" s="9">
        <f t="shared" si="156"/>
        <v>114.88</v>
      </c>
      <c r="N1255" s="9">
        <f t="shared" si="157"/>
        <v>44</v>
      </c>
      <c r="O1255" s="24">
        <f>ROUND(SUM(M1247:M1254)/I1255,2)</f>
        <v>7.18</v>
      </c>
      <c r="P1255" s="24">
        <f>ROUND(SUM(N1247:N1254)/I1255,2)</f>
        <v>2.75</v>
      </c>
      <c r="Q1255" s="9"/>
      <c r="S1255" s="25"/>
    </row>
    <row r="1256" spans="1:19" ht="20.25" customHeight="1" x14ac:dyDescent="0.25">
      <c r="A1256" s="27" t="s">
        <v>70</v>
      </c>
      <c r="B1256" s="28"/>
      <c r="C1256" s="28"/>
      <c r="D1256" s="28"/>
      <c r="E1256" s="28"/>
      <c r="F1256" s="28"/>
      <c r="G1256" s="28"/>
      <c r="H1256" s="28"/>
      <c r="I1256" s="28"/>
      <c r="J1256" s="28"/>
      <c r="K1256" s="28"/>
      <c r="L1256" s="28"/>
      <c r="M1256" s="28"/>
      <c r="N1256" s="28"/>
      <c r="O1256" s="28"/>
      <c r="P1256" s="28"/>
      <c r="Q1256" s="28"/>
      <c r="R1256" s="28"/>
      <c r="S1256" s="28"/>
    </row>
    <row r="1257" spans="1:19" ht="16.5" customHeight="1" x14ac:dyDescent="0.25">
      <c r="A1257" s="9"/>
      <c r="B1257" s="51" t="s">
        <v>71</v>
      </c>
      <c r="C1257" s="52"/>
      <c r="D1257" s="52"/>
      <c r="E1257" s="52"/>
      <c r="F1257" s="52"/>
      <c r="G1257" s="53"/>
      <c r="H1257" s="20"/>
      <c r="I1257" s="9">
        <v>4</v>
      </c>
      <c r="J1257" s="9"/>
      <c r="K1257" s="9"/>
      <c r="L1257" s="9"/>
      <c r="M1257" s="9">
        <f t="shared" ref="M1257:M1266" si="158">I1257*O1257</f>
        <v>6</v>
      </c>
      <c r="N1257" s="9">
        <f t="shared" ref="N1257:N1266" si="159">I1257*P1257</f>
        <v>0</v>
      </c>
      <c r="O1257" s="9">
        <v>1.5</v>
      </c>
      <c r="P1257" s="9">
        <v>0</v>
      </c>
      <c r="Q1257" s="9" t="s">
        <v>7</v>
      </c>
      <c r="R1257" s="1">
        <v>0</v>
      </c>
      <c r="S1257" s="26"/>
    </row>
    <row r="1258" spans="1:19" ht="16.5" customHeight="1" x14ac:dyDescent="0.25">
      <c r="A1258" s="9"/>
      <c r="B1258" s="51" t="s">
        <v>72</v>
      </c>
      <c r="C1258" s="52"/>
      <c r="D1258" s="52"/>
      <c r="E1258" s="52"/>
      <c r="F1258" s="52"/>
      <c r="G1258" s="53"/>
      <c r="H1258" s="20"/>
      <c r="I1258" s="9">
        <v>4</v>
      </c>
      <c r="J1258" s="9"/>
      <c r="K1258" s="9"/>
      <c r="L1258" s="9"/>
      <c r="M1258" s="9">
        <f t="shared" si="158"/>
        <v>30.8</v>
      </c>
      <c r="N1258" s="9">
        <f t="shared" si="159"/>
        <v>12</v>
      </c>
      <c r="O1258" s="9">
        <v>7.7</v>
      </c>
      <c r="P1258" s="9">
        <v>3</v>
      </c>
      <c r="Q1258" s="9" t="s">
        <v>6</v>
      </c>
      <c r="R1258" s="1">
        <v>0</v>
      </c>
      <c r="S1258" s="26"/>
    </row>
    <row r="1259" spans="1:19" ht="16.5" customHeight="1" x14ac:dyDescent="0.25">
      <c r="A1259" s="9"/>
      <c r="B1259" s="51" t="s">
        <v>73</v>
      </c>
      <c r="C1259" s="52"/>
      <c r="D1259" s="52"/>
      <c r="E1259" s="52"/>
      <c r="F1259" s="52"/>
      <c r="G1259" s="53"/>
      <c r="H1259" s="20"/>
      <c r="I1259" s="9">
        <v>2</v>
      </c>
      <c r="J1259" s="9"/>
      <c r="K1259" s="9"/>
      <c r="L1259" s="9"/>
      <c r="M1259" s="9">
        <f t="shared" si="158"/>
        <v>15.2</v>
      </c>
      <c r="N1259" s="9">
        <f t="shared" si="159"/>
        <v>6</v>
      </c>
      <c r="O1259" s="9">
        <v>7.6</v>
      </c>
      <c r="P1259" s="9">
        <v>3</v>
      </c>
      <c r="Q1259" s="9" t="s">
        <v>6</v>
      </c>
      <c r="R1259" s="1">
        <v>0</v>
      </c>
      <c r="S1259" s="26"/>
    </row>
    <row r="1260" spans="1:19" ht="16.5" customHeight="1" x14ac:dyDescent="0.25">
      <c r="A1260" s="9"/>
      <c r="B1260" s="51" t="s">
        <v>74</v>
      </c>
      <c r="C1260" s="52"/>
      <c r="D1260" s="52"/>
      <c r="E1260" s="52"/>
      <c r="F1260" s="52"/>
      <c r="G1260" s="53"/>
      <c r="H1260" s="20"/>
      <c r="I1260" s="9">
        <v>2</v>
      </c>
      <c r="J1260" s="9"/>
      <c r="K1260" s="9"/>
      <c r="L1260" s="9"/>
      <c r="M1260" s="9">
        <f t="shared" si="158"/>
        <v>15.2</v>
      </c>
      <c r="N1260" s="9">
        <f t="shared" si="159"/>
        <v>6</v>
      </c>
      <c r="O1260" s="9">
        <v>7.6</v>
      </c>
      <c r="P1260" s="9">
        <v>3</v>
      </c>
      <c r="Q1260" s="9" t="s">
        <v>6</v>
      </c>
      <c r="R1260" s="1">
        <v>0</v>
      </c>
      <c r="S1260" s="26"/>
    </row>
    <row r="1261" spans="1:19" ht="16.5" customHeight="1" x14ac:dyDescent="0.25">
      <c r="A1261" s="9"/>
      <c r="B1261" s="51" t="s">
        <v>75</v>
      </c>
      <c r="C1261" s="52"/>
      <c r="D1261" s="52"/>
      <c r="E1261" s="52"/>
      <c r="F1261" s="52"/>
      <c r="G1261" s="53"/>
      <c r="H1261" s="20"/>
      <c r="I1261" s="9">
        <v>1</v>
      </c>
      <c r="J1261" s="9"/>
      <c r="K1261" s="9"/>
      <c r="L1261" s="9"/>
      <c r="M1261" s="9">
        <f t="shared" si="158"/>
        <v>8.1999999999999993</v>
      </c>
      <c r="N1261" s="9">
        <f t="shared" si="159"/>
        <v>3.5</v>
      </c>
      <c r="O1261" s="9">
        <v>8.1999999999999993</v>
      </c>
      <c r="P1261" s="9">
        <v>3.5</v>
      </c>
      <c r="Q1261" s="9" t="s">
        <v>9</v>
      </c>
      <c r="R1261" s="1">
        <v>0</v>
      </c>
      <c r="S1261" s="26"/>
    </row>
    <row r="1262" spans="1:19" ht="16.5" customHeight="1" x14ac:dyDescent="0.25">
      <c r="A1262" s="9"/>
      <c r="B1262" s="51" t="s">
        <v>76</v>
      </c>
      <c r="C1262" s="52"/>
      <c r="D1262" s="52"/>
      <c r="E1262" s="52"/>
      <c r="F1262" s="52"/>
      <c r="G1262" s="53"/>
      <c r="H1262" s="20"/>
      <c r="I1262" s="9">
        <v>4</v>
      </c>
      <c r="J1262" s="9"/>
      <c r="K1262" s="9"/>
      <c r="L1262" s="9"/>
      <c r="M1262" s="9">
        <f t="shared" si="158"/>
        <v>32</v>
      </c>
      <c r="N1262" s="9">
        <f t="shared" si="159"/>
        <v>14</v>
      </c>
      <c r="O1262" s="9">
        <v>8</v>
      </c>
      <c r="P1262" s="9">
        <v>3.5</v>
      </c>
      <c r="Q1262" s="9" t="s">
        <v>9</v>
      </c>
      <c r="R1262" s="1">
        <v>0</v>
      </c>
      <c r="S1262" s="26"/>
    </row>
    <row r="1263" spans="1:19" ht="16.5" customHeight="1" x14ac:dyDescent="0.25">
      <c r="A1263" s="9"/>
      <c r="B1263" s="51" t="s">
        <v>77</v>
      </c>
      <c r="C1263" s="52"/>
      <c r="D1263" s="52"/>
      <c r="E1263" s="52"/>
      <c r="F1263" s="52"/>
      <c r="G1263" s="53"/>
      <c r="H1263" s="20"/>
      <c r="I1263" s="9">
        <v>1</v>
      </c>
      <c r="J1263" s="9"/>
      <c r="K1263" s="9"/>
      <c r="L1263" s="9"/>
      <c r="M1263" s="9">
        <f t="shared" si="158"/>
        <v>7.2</v>
      </c>
      <c r="N1263" s="9">
        <f t="shared" si="159"/>
        <v>3</v>
      </c>
      <c r="O1263" s="9">
        <v>7.2</v>
      </c>
      <c r="P1263" s="9">
        <v>3</v>
      </c>
      <c r="Q1263" s="9" t="s">
        <v>6</v>
      </c>
      <c r="R1263" s="1">
        <v>0</v>
      </c>
      <c r="S1263" s="26"/>
    </row>
    <row r="1264" spans="1:19" ht="16.5" customHeight="1" x14ac:dyDescent="0.25">
      <c r="A1264" s="9"/>
      <c r="B1264" s="51" t="s">
        <v>78</v>
      </c>
      <c r="C1264" s="52"/>
      <c r="D1264" s="52"/>
      <c r="E1264" s="52"/>
      <c r="F1264" s="52"/>
      <c r="G1264" s="53"/>
      <c r="H1264" s="20"/>
      <c r="I1264" s="9">
        <v>3</v>
      </c>
      <c r="J1264" s="9"/>
      <c r="K1264" s="9"/>
      <c r="L1264" s="9"/>
      <c r="M1264" s="9">
        <f t="shared" si="158"/>
        <v>21</v>
      </c>
      <c r="N1264" s="9">
        <f t="shared" si="159"/>
        <v>9</v>
      </c>
      <c r="O1264" s="9">
        <v>7</v>
      </c>
      <c r="P1264" s="9">
        <v>3</v>
      </c>
      <c r="Q1264" s="9" t="s">
        <v>6</v>
      </c>
      <c r="R1264" s="1">
        <v>0</v>
      </c>
      <c r="S1264" s="26"/>
    </row>
    <row r="1265" spans="1:19" ht="16.5" hidden="1" customHeight="1" x14ac:dyDescent="0.25">
      <c r="A1265" s="21"/>
      <c r="H1265" s="21"/>
      <c r="I1265" s="21"/>
      <c r="J1265" s="21"/>
      <c r="K1265" s="21"/>
      <c r="L1265" s="21"/>
      <c r="M1265" s="9">
        <f t="shared" si="158"/>
        <v>0</v>
      </c>
      <c r="N1265" s="9">
        <f t="shared" si="159"/>
        <v>0</v>
      </c>
      <c r="O1265" s="21"/>
      <c r="P1265" s="21"/>
      <c r="Q1265" s="21"/>
      <c r="S1265" s="25"/>
    </row>
    <row r="1266" spans="1:19" ht="16.5" customHeight="1" x14ac:dyDescent="0.25">
      <c r="A1266" s="9"/>
      <c r="B1266" s="39" t="s">
        <v>42</v>
      </c>
      <c r="C1266" s="40"/>
      <c r="D1266" s="40"/>
      <c r="E1266" s="40"/>
      <c r="F1266" s="40"/>
      <c r="G1266" s="41"/>
      <c r="H1266" s="23"/>
      <c r="I1266" s="24">
        <f>SUM(I1257:I1265)</f>
        <v>21</v>
      </c>
      <c r="J1266" s="9"/>
      <c r="K1266" s="9"/>
      <c r="L1266" s="9"/>
      <c r="M1266" s="9">
        <f t="shared" si="158"/>
        <v>135.66</v>
      </c>
      <c r="N1266" s="9">
        <f t="shared" si="159"/>
        <v>53.55</v>
      </c>
      <c r="O1266" s="24">
        <f>ROUND(SUM(M1257:M1265)/I1266,2)</f>
        <v>6.46</v>
      </c>
      <c r="P1266" s="24">
        <f>ROUND(SUM(N1257:N1265)/I1266,2)</f>
        <v>2.5499999999999998</v>
      </c>
      <c r="Q1266" s="9"/>
      <c r="S1266" s="25"/>
    </row>
    <row r="1267" spans="1:19" ht="20.25" customHeight="1" x14ac:dyDescent="0.25">
      <c r="A1267" s="27" t="s">
        <v>133</v>
      </c>
      <c r="B1267" s="28"/>
      <c r="C1267" s="28"/>
      <c r="D1267" s="28"/>
      <c r="E1267" s="28"/>
      <c r="F1267" s="28"/>
      <c r="G1267" s="28"/>
      <c r="H1267" s="28"/>
      <c r="I1267" s="28"/>
      <c r="J1267" s="28"/>
      <c r="K1267" s="28"/>
      <c r="L1267" s="28"/>
      <c r="M1267" s="28"/>
      <c r="N1267" s="28"/>
      <c r="O1267" s="28"/>
      <c r="P1267" s="28"/>
      <c r="Q1267" s="28"/>
      <c r="R1267" s="28"/>
      <c r="S1267" s="28"/>
    </row>
    <row r="1268" spans="1:19" ht="16.5" customHeight="1" x14ac:dyDescent="0.25">
      <c r="A1268" s="9"/>
      <c r="B1268" s="51" t="s">
        <v>71</v>
      </c>
      <c r="C1268" s="52"/>
      <c r="D1268" s="52"/>
      <c r="E1268" s="52"/>
      <c r="F1268" s="52"/>
      <c r="G1268" s="53"/>
      <c r="H1268" s="20"/>
      <c r="I1268" s="9">
        <v>4</v>
      </c>
      <c r="J1268" s="9"/>
      <c r="K1268" s="9"/>
      <c r="L1268" s="9"/>
      <c r="M1268" s="9">
        <f>I1268*O1268</f>
        <v>23.2</v>
      </c>
      <c r="N1268" s="9">
        <f>I1268*P1268</f>
        <v>8</v>
      </c>
      <c r="O1268" s="9">
        <v>5.8</v>
      </c>
      <c r="P1268" s="9">
        <v>2</v>
      </c>
      <c r="Q1268" s="9" t="s">
        <v>3</v>
      </c>
      <c r="R1268" s="1">
        <v>6</v>
      </c>
      <c r="S1268" s="26" t="s">
        <v>132</v>
      </c>
    </row>
    <row r="1269" spans="1:19" ht="16.5" hidden="1" customHeight="1" x14ac:dyDescent="0.25">
      <c r="A1269" s="21"/>
      <c r="H1269" s="21"/>
      <c r="I1269" s="21"/>
      <c r="J1269" s="21"/>
      <c r="K1269" s="21"/>
      <c r="L1269" s="21"/>
      <c r="M1269" s="9">
        <f>I1269*O1269</f>
        <v>0</v>
      </c>
      <c r="N1269" s="9">
        <f>I1269*P1269</f>
        <v>0</v>
      </c>
      <c r="O1269" s="21"/>
      <c r="P1269" s="21"/>
      <c r="Q1269" s="21"/>
      <c r="S1269" s="25"/>
    </row>
    <row r="1270" spans="1:19" ht="16.5" customHeight="1" x14ac:dyDescent="0.25">
      <c r="A1270" s="9"/>
      <c r="B1270" s="39" t="s">
        <v>42</v>
      </c>
      <c r="C1270" s="40"/>
      <c r="D1270" s="40"/>
      <c r="E1270" s="40"/>
      <c r="F1270" s="40"/>
      <c r="G1270" s="41"/>
      <c r="H1270" s="23"/>
      <c r="I1270" s="24">
        <f>SUM(I1268:I1269)</f>
        <v>4</v>
      </c>
      <c r="J1270" s="9"/>
      <c r="K1270" s="9"/>
      <c r="L1270" s="9"/>
      <c r="M1270" s="9">
        <f>I1270*O1270</f>
        <v>23.2</v>
      </c>
      <c r="N1270" s="9">
        <f>I1270*P1270</f>
        <v>8</v>
      </c>
      <c r="O1270" s="24">
        <f>ROUND(SUM(M1268:M1269)/I1270,2)</f>
        <v>5.8</v>
      </c>
      <c r="P1270" s="24">
        <f>ROUND(SUM(N1268:N1269)/I1270,2)</f>
        <v>2</v>
      </c>
      <c r="Q1270" s="9"/>
      <c r="S1270" s="25"/>
    </row>
    <row r="1271" spans="1:19" ht="20.25" customHeight="1" x14ac:dyDescent="0.25">
      <c r="A1271" s="27" t="s">
        <v>79</v>
      </c>
      <c r="B1271" s="28"/>
      <c r="C1271" s="28"/>
      <c r="D1271" s="28"/>
      <c r="E1271" s="28"/>
      <c r="F1271" s="28"/>
      <c r="G1271" s="28"/>
      <c r="H1271" s="28"/>
      <c r="I1271" s="28"/>
      <c r="J1271" s="28"/>
      <c r="K1271" s="28"/>
      <c r="L1271" s="28"/>
      <c r="M1271" s="28"/>
      <c r="N1271" s="28"/>
      <c r="O1271" s="28"/>
      <c r="P1271" s="28"/>
      <c r="Q1271" s="28"/>
      <c r="R1271" s="28"/>
      <c r="S1271" s="28"/>
    </row>
    <row r="1272" spans="1:19" ht="16.5" customHeight="1" x14ac:dyDescent="0.25">
      <c r="A1272" s="9"/>
      <c r="B1272" s="51" t="s">
        <v>87</v>
      </c>
      <c r="C1272" s="52"/>
      <c r="D1272" s="52"/>
      <c r="E1272" s="52"/>
      <c r="F1272" s="52"/>
      <c r="G1272" s="53"/>
      <c r="H1272" s="20"/>
      <c r="I1272" s="9">
        <v>3</v>
      </c>
      <c r="J1272" s="9"/>
      <c r="K1272" s="9"/>
      <c r="L1272" s="9"/>
      <c r="M1272" s="9">
        <f>I1272*O1272</f>
        <v>22.799999999999997</v>
      </c>
      <c r="N1272" s="9">
        <f>I1272*P1272</f>
        <v>9</v>
      </c>
      <c r="O1272" s="9">
        <v>7.6</v>
      </c>
      <c r="P1272" s="9">
        <v>3</v>
      </c>
      <c r="Q1272" s="9" t="s">
        <v>6</v>
      </c>
      <c r="R1272" s="1">
        <v>0</v>
      </c>
      <c r="S1272" s="26"/>
    </row>
    <row r="1273" spans="1:19" ht="16.5" customHeight="1" x14ac:dyDescent="0.25">
      <c r="A1273" s="9"/>
      <c r="B1273" s="51" t="s">
        <v>82</v>
      </c>
      <c r="C1273" s="52"/>
      <c r="D1273" s="52"/>
      <c r="E1273" s="52"/>
      <c r="F1273" s="52"/>
      <c r="G1273" s="53"/>
      <c r="H1273" s="20"/>
      <c r="I1273" s="9">
        <v>3</v>
      </c>
      <c r="J1273" s="9"/>
      <c r="K1273" s="9"/>
      <c r="L1273" s="9"/>
      <c r="M1273" s="9">
        <f>I1273*O1273</f>
        <v>22.5</v>
      </c>
      <c r="N1273" s="9">
        <f>I1273*P1273</f>
        <v>9</v>
      </c>
      <c r="O1273" s="9">
        <v>7.5</v>
      </c>
      <c r="P1273" s="9">
        <v>3</v>
      </c>
      <c r="Q1273" s="9" t="s">
        <v>6</v>
      </c>
      <c r="R1273" s="1">
        <v>0</v>
      </c>
      <c r="S1273" s="26"/>
    </row>
    <row r="1274" spans="1:19" ht="15" customHeight="1" x14ac:dyDescent="0.25">
      <c r="A1274" s="36" t="s">
        <v>0</v>
      </c>
      <c r="B1274" s="29" t="s">
        <v>1</v>
      </c>
      <c r="C1274" s="30"/>
      <c r="D1274" s="30"/>
      <c r="E1274" s="30"/>
      <c r="F1274" s="30"/>
      <c r="G1274" s="31"/>
      <c r="H1274" s="36" t="s">
        <v>32</v>
      </c>
      <c r="I1274" s="36" t="s">
        <v>39</v>
      </c>
      <c r="J1274" s="55" t="s">
        <v>2</v>
      </c>
      <c r="K1274" s="56"/>
      <c r="L1274" s="56"/>
      <c r="M1274" s="56"/>
      <c r="N1274" s="56"/>
      <c r="O1274" s="56"/>
      <c r="P1274" s="56"/>
      <c r="Q1274" s="57"/>
      <c r="S1274" s="36" t="s">
        <v>38</v>
      </c>
    </row>
    <row r="1275" spans="1:19" ht="24" customHeight="1" x14ac:dyDescent="0.25">
      <c r="A1275" s="37"/>
      <c r="B1275" s="32"/>
      <c r="C1275" s="33"/>
      <c r="D1275" s="33"/>
      <c r="E1275" s="33"/>
      <c r="F1275" s="33"/>
      <c r="G1275" s="34"/>
      <c r="H1275" s="37"/>
      <c r="I1275" s="37"/>
      <c r="J1275" s="7" t="s">
        <v>28</v>
      </c>
      <c r="K1275" s="7" t="s">
        <v>29</v>
      </c>
      <c r="L1275" s="7" t="s">
        <v>30</v>
      </c>
      <c r="M1275" s="7"/>
      <c r="N1275" s="7"/>
      <c r="O1275" s="6" t="s">
        <v>35</v>
      </c>
      <c r="P1275" s="6" t="s">
        <v>36</v>
      </c>
      <c r="Q1275" s="6" t="s">
        <v>37</v>
      </c>
      <c r="S1275" s="37"/>
    </row>
    <row r="1276" spans="1:19" ht="16.5" customHeight="1" x14ac:dyDescent="0.25">
      <c r="A1276" s="9"/>
      <c r="B1276" s="51" t="s">
        <v>83</v>
      </c>
      <c r="C1276" s="52"/>
      <c r="D1276" s="52"/>
      <c r="E1276" s="52"/>
      <c r="F1276" s="52"/>
      <c r="G1276" s="53"/>
      <c r="H1276" s="20"/>
      <c r="I1276" s="9">
        <v>1</v>
      </c>
      <c r="J1276" s="9"/>
      <c r="K1276" s="9"/>
      <c r="L1276" s="9"/>
      <c r="M1276" s="9">
        <f t="shared" ref="M1276:M1284" si="160">I1276*O1276</f>
        <v>8.5</v>
      </c>
      <c r="N1276" s="9">
        <f t="shared" ref="N1276:N1284" si="161">I1276*P1276</f>
        <v>3.7</v>
      </c>
      <c r="O1276" s="9">
        <v>8.5</v>
      </c>
      <c r="P1276" s="9">
        <v>3.7</v>
      </c>
      <c r="Q1276" s="9" t="s">
        <v>10</v>
      </c>
      <c r="R1276" s="1">
        <v>0</v>
      </c>
      <c r="S1276" s="26"/>
    </row>
    <row r="1277" spans="1:19" ht="16.5" customHeight="1" x14ac:dyDescent="0.25">
      <c r="A1277" s="9"/>
      <c r="B1277" s="51" t="s">
        <v>80</v>
      </c>
      <c r="C1277" s="52"/>
      <c r="D1277" s="52"/>
      <c r="E1277" s="52"/>
      <c r="F1277" s="52"/>
      <c r="G1277" s="53"/>
      <c r="H1277" s="20"/>
      <c r="I1277" s="9">
        <v>3</v>
      </c>
      <c r="J1277" s="9"/>
      <c r="K1277" s="9"/>
      <c r="L1277" s="9"/>
      <c r="M1277" s="9">
        <f t="shared" si="160"/>
        <v>19.200000000000003</v>
      </c>
      <c r="N1277" s="9">
        <f t="shared" si="161"/>
        <v>6</v>
      </c>
      <c r="O1277" s="9">
        <v>6.4</v>
      </c>
      <c r="P1277" s="9">
        <v>2</v>
      </c>
      <c r="Q1277" s="9" t="s">
        <v>3</v>
      </c>
      <c r="R1277" s="1">
        <v>0</v>
      </c>
      <c r="S1277" s="26"/>
    </row>
    <row r="1278" spans="1:19" ht="16.5" customHeight="1" x14ac:dyDescent="0.25">
      <c r="A1278" s="9"/>
      <c r="B1278" s="51" t="s">
        <v>85</v>
      </c>
      <c r="C1278" s="52"/>
      <c r="D1278" s="52"/>
      <c r="E1278" s="52"/>
      <c r="F1278" s="52"/>
      <c r="G1278" s="53"/>
      <c r="H1278" s="20"/>
      <c r="I1278" s="9">
        <v>2</v>
      </c>
      <c r="J1278" s="9"/>
      <c r="K1278" s="9"/>
      <c r="L1278" s="9"/>
      <c r="M1278" s="9">
        <f t="shared" si="160"/>
        <v>15.8</v>
      </c>
      <c r="N1278" s="9">
        <f t="shared" si="161"/>
        <v>6</v>
      </c>
      <c r="O1278" s="9">
        <v>7.9</v>
      </c>
      <c r="P1278" s="9">
        <v>3</v>
      </c>
      <c r="Q1278" s="9" t="s">
        <v>6</v>
      </c>
      <c r="R1278" s="1">
        <v>0</v>
      </c>
      <c r="S1278" s="26"/>
    </row>
    <row r="1279" spans="1:19" ht="16.5" customHeight="1" x14ac:dyDescent="0.25">
      <c r="A1279" s="9"/>
      <c r="B1279" s="51" t="s">
        <v>86</v>
      </c>
      <c r="C1279" s="52"/>
      <c r="D1279" s="52"/>
      <c r="E1279" s="52"/>
      <c r="F1279" s="52"/>
      <c r="G1279" s="53"/>
      <c r="H1279" s="20"/>
      <c r="I1279" s="9">
        <v>2</v>
      </c>
      <c r="J1279" s="9"/>
      <c r="K1279" s="9"/>
      <c r="L1279" s="9"/>
      <c r="M1279" s="9">
        <f t="shared" si="160"/>
        <v>15.4</v>
      </c>
      <c r="N1279" s="9">
        <f t="shared" si="161"/>
        <v>6</v>
      </c>
      <c r="O1279" s="9">
        <v>7.7</v>
      </c>
      <c r="P1279" s="9">
        <v>3</v>
      </c>
      <c r="Q1279" s="9" t="s">
        <v>6</v>
      </c>
      <c r="R1279" s="1">
        <v>0</v>
      </c>
      <c r="S1279" s="26"/>
    </row>
    <row r="1280" spans="1:19" ht="16.5" customHeight="1" x14ac:dyDescent="0.25">
      <c r="A1280" s="9"/>
      <c r="B1280" s="51" t="s">
        <v>81</v>
      </c>
      <c r="C1280" s="52"/>
      <c r="D1280" s="52"/>
      <c r="E1280" s="52"/>
      <c r="F1280" s="52"/>
      <c r="G1280" s="53"/>
      <c r="H1280" s="20"/>
      <c r="I1280" s="9">
        <v>4</v>
      </c>
      <c r="J1280" s="9"/>
      <c r="K1280" s="9"/>
      <c r="L1280" s="9"/>
      <c r="M1280" s="9">
        <f t="shared" si="160"/>
        <v>33.6</v>
      </c>
      <c r="N1280" s="9">
        <f t="shared" si="161"/>
        <v>14</v>
      </c>
      <c r="O1280" s="9">
        <v>8.4</v>
      </c>
      <c r="P1280" s="9">
        <v>3.5</v>
      </c>
      <c r="Q1280" s="9" t="s">
        <v>9</v>
      </c>
      <c r="R1280" s="1">
        <v>0</v>
      </c>
      <c r="S1280" s="26"/>
    </row>
    <row r="1281" spans="1:19" ht="16.5" customHeight="1" x14ac:dyDescent="0.25">
      <c r="A1281" s="9"/>
      <c r="B1281" s="51" t="s">
        <v>84</v>
      </c>
      <c r="C1281" s="52"/>
      <c r="D1281" s="52"/>
      <c r="E1281" s="52"/>
      <c r="F1281" s="52"/>
      <c r="G1281" s="53"/>
      <c r="H1281" s="20"/>
      <c r="I1281" s="9">
        <v>2</v>
      </c>
      <c r="J1281" s="9"/>
      <c r="K1281" s="9"/>
      <c r="L1281" s="9"/>
      <c r="M1281" s="9">
        <f t="shared" si="160"/>
        <v>16</v>
      </c>
      <c r="N1281" s="9">
        <f t="shared" si="161"/>
        <v>7</v>
      </c>
      <c r="O1281" s="9">
        <v>8</v>
      </c>
      <c r="P1281" s="9">
        <v>3.5</v>
      </c>
      <c r="Q1281" s="9" t="s">
        <v>9</v>
      </c>
      <c r="R1281" s="1">
        <v>0</v>
      </c>
      <c r="S1281" s="26"/>
    </row>
    <row r="1282" spans="1:19" ht="16.5" customHeight="1" x14ac:dyDescent="0.25">
      <c r="A1282" s="9"/>
      <c r="B1282" s="51" t="s">
        <v>88</v>
      </c>
      <c r="C1282" s="52"/>
      <c r="D1282" s="52"/>
      <c r="E1282" s="52"/>
      <c r="F1282" s="52"/>
      <c r="G1282" s="53"/>
      <c r="H1282" s="20"/>
      <c r="I1282" s="9">
        <v>3</v>
      </c>
      <c r="J1282" s="9"/>
      <c r="K1282" s="9"/>
      <c r="L1282" s="9"/>
      <c r="M1282" s="9">
        <f t="shared" si="160"/>
        <v>25.799999999999997</v>
      </c>
      <c r="N1282" s="9">
        <f t="shared" si="161"/>
        <v>11.100000000000001</v>
      </c>
      <c r="O1282" s="9">
        <v>8.6</v>
      </c>
      <c r="P1282" s="9">
        <v>3.7</v>
      </c>
      <c r="Q1282" s="9" t="s">
        <v>10</v>
      </c>
      <c r="R1282" s="1">
        <v>0</v>
      </c>
      <c r="S1282" s="26"/>
    </row>
    <row r="1283" spans="1:19" ht="16.5" hidden="1" customHeight="1" x14ac:dyDescent="0.25">
      <c r="A1283" s="21"/>
      <c r="H1283" s="21"/>
      <c r="I1283" s="21"/>
      <c r="J1283" s="21"/>
      <c r="K1283" s="21"/>
      <c r="L1283" s="21"/>
      <c r="M1283" s="9">
        <f t="shared" si="160"/>
        <v>0</v>
      </c>
      <c r="N1283" s="9">
        <f t="shared" si="161"/>
        <v>0</v>
      </c>
      <c r="O1283" s="21"/>
      <c r="P1283" s="21"/>
      <c r="Q1283" s="21"/>
      <c r="S1283" s="25"/>
    </row>
    <row r="1284" spans="1:19" ht="16.5" customHeight="1" x14ac:dyDescent="0.25">
      <c r="A1284" s="9"/>
      <c r="B1284" s="39" t="s">
        <v>42</v>
      </c>
      <c r="C1284" s="40"/>
      <c r="D1284" s="40"/>
      <c r="E1284" s="40"/>
      <c r="F1284" s="40"/>
      <c r="G1284" s="41"/>
      <c r="H1284" s="23"/>
      <c r="I1284" s="24">
        <f>SUM(I1272:I1283)</f>
        <v>23</v>
      </c>
      <c r="J1284" s="9"/>
      <c r="K1284" s="9"/>
      <c r="L1284" s="9"/>
      <c r="M1284" s="9">
        <f t="shared" si="160"/>
        <v>179.63</v>
      </c>
      <c r="N1284" s="9">
        <f t="shared" si="161"/>
        <v>71.760000000000005</v>
      </c>
      <c r="O1284" s="24">
        <f>ROUND(SUM(M1272:M1283)/I1284,2)</f>
        <v>7.81</v>
      </c>
      <c r="P1284" s="24">
        <f>ROUND(SUM(N1272:N1283)/I1284,2)</f>
        <v>3.12</v>
      </c>
      <c r="Q1284" s="9"/>
      <c r="S1284" s="25"/>
    </row>
    <row r="1285" spans="1:19" ht="20.25" customHeight="1" x14ac:dyDescent="0.25">
      <c r="A1285" s="27" t="s">
        <v>89</v>
      </c>
      <c r="B1285" s="28"/>
      <c r="C1285" s="28"/>
      <c r="D1285" s="28"/>
      <c r="E1285" s="28"/>
      <c r="F1285" s="28"/>
      <c r="G1285" s="28"/>
      <c r="H1285" s="28"/>
      <c r="I1285" s="28"/>
      <c r="J1285" s="28"/>
      <c r="K1285" s="28"/>
      <c r="L1285" s="28"/>
      <c r="M1285" s="28"/>
      <c r="N1285" s="28"/>
      <c r="O1285" s="28"/>
      <c r="P1285" s="28"/>
      <c r="Q1285" s="28"/>
      <c r="R1285" s="28"/>
      <c r="S1285" s="28"/>
    </row>
    <row r="1286" spans="1:19" ht="16.5" customHeight="1" x14ac:dyDescent="0.25">
      <c r="A1286" s="9"/>
      <c r="B1286" s="51" t="s">
        <v>92</v>
      </c>
      <c r="C1286" s="52"/>
      <c r="D1286" s="52"/>
      <c r="E1286" s="52"/>
      <c r="F1286" s="52"/>
      <c r="G1286" s="53"/>
      <c r="H1286" s="20"/>
      <c r="I1286" s="9">
        <v>1</v>
      </c>
      <c r="J1286" s="9"/>
      <c r="K1286" s="9"/>
      <c r="L1286" s="9"/>
      <c r="M1286" s="9">
        <f t="shared" ref="M1286:M1298" si="162">I1286*O1286</f>
        <v>8.5</v>
      </c>
      <c r="N1286" s="9">
        <f t="shared" ref="N1286:N1298" si="163">I1286*P1286</f>
        <v>3.7</v>
      </c>
      <c r="O1286" s="9">
        <v>8.5</v>
      </c>
      <c r="P1286" s="9">
        <v>3.7</v>
      </c>
      <c r="Q1286" s="9" t="s">
        <v>10</v>
      </c>
      <c r="R1286" s="1">
        <v>0</v>
      </c>
      <c r="S1286" s="26"/>
    </row>
    <row r="1287" spans="1:19" ht="16.5" customHeight="1" x14ac:dyDescent="0.25">
      <c r="A1287" s="9"/>
      <c r="B1287" s="51" t="s">
        <v>91</v>
      </c>
      <c r="C1287" s="52"/>
      <c r="D1287" s="52"/>
      <c r="E1287" s="52"/>
      <c r="F1287" s="52"/>
      <c r="G1287" s="53"/>
      <c r="H1287" s="20"/>
      <c r="I1287" s="9">
        <v>3</v>
      </c>
      <c r="J1287" s="9"/>
      <c r="K1287" s="9"/>
      <c r="L1287" s="9"/>
      <c r="M1287" s="9">
        <f t="shared" si="162"/>
        <v>20.700000000000003</v>
      </c>
      <c r="N1287" s="9">
        <f t="shared" si="163"/>
        <v>7.5</v>
      </c>
      <c r="O1287" s="9">
        <v>6.9</v>
      </c>
      <c r="P1287" s="9">
        <v>2.5</v>
      </c>
      <c r="Q1287" s="9" t="s">
        <v>5</v>
      </c>
      <c r="R1287" s="1">
        <v>0</v>
      </c>
      <c r="S1287" s="26"/>
    </row>
    <row r="1288" spans="1:19" ht="16.5" customHeight="1" x14ac:dyDescent="0.25">
      <c r="A1288" s="9"/>
      <c r="B1288" s="51" t="s">
        <v>90</v>
      </c>
      <c r="C1288" s="52"/>
      <c r="D1288" s="52"/>
      <c r="E1288" s="52"/>
      <c r="F1288" s="52"/>
      <c r="G1288" s="53"/>
      <c r="H1288" s="20"/>
      <c r="I1288" s="9">
        <v>1</v>
      </c>
      <c r="J1288" s="9"/>
      <c r="K1288" s="9"/>
      <c r="L1288" s="9"/>
      <c r="M1288" s="9">
        <f t="shared" si="162"/>
        <v>7.5</v>
      </c>
      <c r="N1288" s="9">
        <f t="shared" si="163"/>
        <v>3</v>
      </c>
      <c r="O1288" s="9">
        <v>7.5</v>
      </c>
      <c r="P1288" s="9">
        <v>3</v>
      </c>
      <c r="Q1288" s="9" t="s">
        <v>6</v>
      </c>
      <c r="R1288" s="1">
        <v>0</v>
      </c>
      <c r="S1288" s="26"/>
    </row>
    <row r="1289" spans="1:19" ht="16.5" customHeight="1" x14ac:dyDescent="0.25">
      <c r="A1289" s="9"/>
      <c r="B1289" s="51" t="s">
        <v>93</v>
      </c>
      <c r="C1289" s="52"/>
      <c r="D1289" s="52"/>
      <c r="E1289" s="52"/>
      <c r="F1289" s="52"/>
      <c r="G1289" s="53"/>
      <c r="H1289" s="20"/>
      <c r="I1289" s="9">
        <v>2</v>
      </c>
      <c r="J1289" s="9"/>
      <c r="K1289" s="9"/>
      <c r="L1289" s="9"/>
      <c r="M1289" s="9">
        <f t="shared" si="162"/>
        <v>14.4</v>
      </c>
      <c r="N1289" s="9">
        <f t="shared" si="163"/>
        <v>6</v>
      </c>
      <c r="O1289" s="9">
        <v>7.2</v>
      </c>
      <c r="P1289" s="9">
        <v>3</v>
      </c>
      <c r="Q1289" s="9" t="s">
        <v>6</v>
      </c>
      <c r="R1289" s="1">
        <v>0</v>
      </c>
      <c r="S1289" s="26"/>
    </row>
    <row r="1290" spans="1:19" ht="16.5" customHeight="1" x14ac:dyDescent="0.25">
      <c r="A1290" s="9"/>
      <c r="B1290" s="51" t="s">
        <v>98</v>
      </c>
      <c r="C1290" s="52"/>
      <c r="D1290" s="52"/>
      <c r="E1290" s="52"/>
      <c r="F1290" s="52"/>
      <c r="G1290" s="53"/>
      <c r="H1290" s="20"/>
      <c r="I1290" s="9">
        <v>4</v>
      </c>
      <c r="J1290" s="9"/>
      <c r="K1290" s="9"/>
      <c r="L1290" s="9"/>
      <c r="M1290" s="9">
        <f t="shared" si="162"/>
        <v>28.8</v>
      </c>
      <c r="N1290" s="9">
        <f t="shared" si="163"/>
        <v>12</v>
      </c>
      <c r="O1290" s="9">
        <v>7.2</v>
      </c>
      <c r="P1290" s="9">
        <v>3</v>
      </c>
      <c r="Q1290" s="9" t="s">
        <v>6</v>
      </c>
      <c r="R1290" s="1">
        <v>0</v>
      </c>
      <c r="S1290" s="26"/>
    </row>
    <row r="1291" spans="1:19" ht="16.5" customHeight="1" x14ac:dyDescent="0.25">
      <c r="A1291" s="9"/>
      <c r="B1291" s="51" t="s">
        <v>97</v>
      </c>
      <c r="C1291" s="52"/>
      <c r="D1291" s="52"/>
      <c r="E1291" s="52"/>
      <c r="F1291" s="52"/>
      <c r="G1291" s="53"/>
      <c r="H1291" s="20"/>
      <c r="I1291" s="9">
        <v>3</v>
      </c>
      <c r="J1291" s="9"/>
      <c r="K1291" s="9"/>
      <c r="L1291" s="9"/>
      <c r="M1291" s="9">
        <f t="shared" si="162"/>
        <v>20.399999999999999</v>
      </c>
      <c r="N1291" s="9">
        <f t="shared" si="163"/>
        <v>7.5</v>
      </c>
      <c r="O1291" s="9">
        <v>6.8</v>
      </c>
      <c r="P1291" s="9">
        <v>2.5</v>
      </c>
      <c r="Q1291" s="9" t="s">
        <v>5</v>
      </c>
      <c r="R1291" s="1">
        <v>0</v>
      </c>
      <c r="S1291" s="26"/>
    </row>
    <row r="1292" spans="1:19" ht="16.5" customHeight="1" x14ac:dyDescent="0.25">
      <c r="A1292" s="9"/>
      <c r="B1292" s="51" t="s">
        <v>96</v>
      </c>
      <c r="C1292" s="52"/>
      <c r="D1292" s="52"/>
      <c r="E1292" s="52"/>
      <c r="F1292" s="52"/>
      <c r="G1292" s="53"/>
      <c r="H1292" s="20"/>
      <c r="I1292" s="9">
        <v>2</v>
      </c>
      <c r="J1292" s="9"/>
      <c r="K1292" s="9"/>
      <c r="L1292" s="9"/>
      <c r="M1292" s="9">
        <f t="shared" si="162"/>
        <v>13.6</v>
      </c>
      <c r="N1292" s="9">
        <f t="shared" si="163"/>
        <v>5</v>
      </c>
      <c r="O1292" s="9">
        <v>6.8</v>
      </c>
      <c r="P1292" s="9">
        <v>2.5</v>
      </c>
      <c r="Q1292" s="9" t="s">
        <v>5</v>
      </c>
      <c r="R1292" s="1">
        <v>0</v>
      </c>
      <c r="S1292" s="26"/>
    </row>
    <row r="1293" spans="1:19" ht="16.5" customHeight="1" x14ac:dyDescent="0.25">
      <c r="A1293" s="9"/>
      <c r="B1293" s="51" t="s">
        <v>95</v>
      </c>
      <c r="C1293" s="52"/>
      <c r="D1293" s="52"/>
      <c r="E1293" s="52"/>
      <c r="F1293" s="52"/>
      <c r="G1293" s="53"/>
      <c r="H1293" s="20"/>
      <c r="I1293" s="9">
        <v>2</v>
      </c>
      <c r="J1293" s="9"/>
      <c r="K1293" s="9"/>
      <c r="L1293" s="9"/>
      <c r="M1293" s="9">
        <f t="shared" si="162"/>
        <v>13.8</v>
      </c>
      <c r="N1293" s="9">
        <f t="shared" si="163"/>
        <v>5</v>
      </c>
      <c r="O1293" s="9">
        <v>6.9</v>
      </c>
      <c r="P1293" s="9">
        <v>2.5</v>
      </c>
      <c r="Q1293" s="9" t="s">
        <v>5</v>
      </c>
      <c r="R1293" s="1">
        <v>0</v>
      </c>
      <c r="S1293" s="26"/>
    </row>
    <row r="1294" spans="1:19" ht="16.5" customHeight="1" x14ac:dyDescent="0.25">
      <c r="A1294" s="9"/>
      <c r="B1294" s="51" t="s">
        <v>94</v>
      </c>
      <c r="C1294" s="52"/>
      <c r="D1294" s="52"/>
      <c r="E1294" s="52"/>
      <c r="F1294" s="52"/>
      <c r="G1294" s="53"/>
      <c r="H1294" s="20"/>
      <c r="I1294" s="9">
        <v>1</v>
      </c>
      <c r="J1294" s="9"/>
      <c r="K1294" s="9"/>
      <c r="L1294" s="9"/>
      <c r="M1294" s="9">
        <f t="shared" si="162"/>
        <v>8.8000000000000007</v>
      </c>
      <c r="N1294" s="9">
        <f t="shared" si="163"/>
        <v>3.7</v>
      </c>
      <c r="O1294" s="9">
        <v>8.8000000000000007</v>
      </c>
      <c r="P1294" s="9">
        <v>3.7</v>
      </c>
      <c r="Q1294" s="9" t="s">
        <v>10</v>
      </c>
      <c r="R1294" s="1">
        <v>0</v>
      </c>
      <c r="S1294" s="26"/>
    </row>
    <row r="1295" spans="1:19" ht="16.5" customHeight="1" x14ac:dyDescent="0.25">
      <c r="A1295" s="9"/>
      <c r="B1295" s="51" t="s">
        <v>99</v>
      </c>
      <c r="C1295" s="52"/>
      <c r="D1295" s="52"/>
      <c r="E1295" s="52"/>
      <c r="F1295" s="52"/>
      <c r="G1295" s="53"/>
      <c r="H1295" s="20"/>
      <c r="I1295" s="9">
        <v>1</v>
      </c>
      <c r="J1295" s="9"/>
      <c r="K1295" s="9"/>
      <c r="L1295" s="9"/>
      <c r="M1295" s="9">
        <f t="shared" si="162"/>
        <v>8.4</v>
      </c>
      <c r="N1295" s="9">
        <f t="shared" si="163"/>
        <v>3.5</v>
      </c>
      <c r="O1295" s="9">
        <v>8.4</v>
      </c>
      <c r="P1295" s="9">
        <v>3.5</v>
      </c>
      <c r="Q1295" s="9" t="s">
        <v>9</v>
      </c>
      <c r="R1295" s="1">
        <v>0</v>
      </c>
      <c r="S1295" s="26"/>
    </row>
    <row r="1296" spans="1:19" ht="16.5" customHeight="1" x14ac:dyDescent="0.25">
      <c r="A1296" s="9"/>
      <c r="B1296" s="51" t="s">
        <v>100</v>
      </c>
      <c r="C1296" s="52"/>
      <c r="D1296" s="52"/>
      <c r="E1296" s="52"/>
      <c r="F1296" s="52"/>
      <c r="G1296" s="53"/>
      <c r="H1296" s="20"/>
      <c r="I1296" s="9">
        <v>2</v>
      </c>
      <c r="J1296" s="9"/>
      <c r="K1296" s="9"/>
      <c r="L1296" s="9"/>
      <c r="M1296" s="9">
        <f t="shared" si="162"/>
        <v>16</v>
      </c>
      <c r="N1296" s="9">
        <f t="shared" si="163"/>
        <v>7</v>
      </c>
      <c r="O1296" s="9">
        <v>8</v>
      </c>
      <c r="P1296" s="9">
        <v>3.5</v>
      </c>
      <c r="Q1296" s="9" t="s">
        <v>9</v>
      </c>
      <c r="R1296" s="1">
        <v>0</v>
      </c>
      <c r="S1296" s="26"/>
    </row>
    <row r="1297" spans="1:19" ht="16.5" hidden="1" customHeight="1" x14ac:dyDescent="0.25">
      <c r="A1297" s="21"/>
      <c r="H1297" s="21"/>
      <c r="I1297" s="21"/>
      <c r="J1297" s="21"/>
      <c r="K1297" s="21"/>
      <c r="L1297" s="21"/>
      <c r="M1297" s="9">
        <f t="shared" si="162"/>
        <v>0</v>
      </c>
      <c r="N1297" s="9">
        <f t="shared" si="163"/>
        <v>0</v>
      </c>
      <c r="O1297" s="21"/>
      <c r="P1297" s="21"/>
      <c r="Q1297" s="21"/>
      <c r="S1297" s="25"/>
    </row>
    <row r="1298" spans="1:19" ht="16.5" customHeight="1" x14ac:dyDescent="0.25">
      <c r="A1298" s="9"/>
      <c r="B1298" s="39" t="s">
        <v>42</v>
      </c>
      <c r="C1298" s="40"/>
      <c r="D1298" s="40"/>
      <c r="E1298" s="40"/>
      <c r="F1298" s="40"/>
      <c r="G1298" s="41"/>
      <c r="H1298" s="23"/>
      <c r="I1298" s="24">
        <f>SUM(I1286:I1297)</f>
        <v>22</v>
      </c>
      <c r="J1298" s="9"/>
      <c r="K1298" s="9"/>
      <c r="L1298" s="9"/>
      <c r="M1298" s="9">
        <f t="shared" si="162"/>
        <v>160.82</v>
      </c>
      <c r="N1298" s="9">
        <f t="shared" si="163"/>
        <v>63.8</v>
      </c>
      <c r="O1298" s="24">
        <f>ROUND(SUM(M1286:M1297)/I1298,2)</f>
        <v>7.31</v>
      </c>
      <c r="P1298" s="24">
        <f>ROUND(SUM(N1286:N1297)/I1298,2)</f>
        <v>2.9</v>
      </c>
      <c r="Q1298" s="9"/>
      <c r="S1298" s="25"/>
    </row>
    <row r="1299" spans="1:19" ht="20.25" customHeight="1" x14ac:dyDescent="0.25">
      <c r="A1299" s="27" t="s">
        <v>101</v>
      </c>
      <c r="B1299" s="28"/>
      <c r="C1299" s="28"/>
      <c r="D1299" s="28"/>
      <c r="E1299" s="28"/>
      <c r="F1299" s="28"/>
      <c r="G1299" s="28"/>
      <c r="H1299" s="28"/>
      <c r="I1299" s="28"/>
      <c r="J1299" s="28"/>
      <c r="K1299" s="28"/>
      <c r="L1299" s="28"/>
      <c r="M1299" s="28"/>
      <c r="N1299" s="28"/>
      <c r="O1299" s="28"/>
      <c r="P1299" s="28"/>
      <c r="Q1299" s="28"/>
      <c r="R1299" s="28"/>
      <c r="S1299" s="28"/>
    </row>
    <row r="1300" spans="1:19" ht="16.5" customHeight="1" x14ac:dyDescent="0.25">
      <c r="A1300" s="9"/>
      <c r="B1300" s="51" t="s">
        <v>104</v>
      </c>
      <c r="C1300" s="52"/>
      <c r="D1300" s="52"/>
      <c r="E1300" s="52"/>
      <c r="F1300" s="52"/>
      <c r="G1300" s="53"/>
      <c r="H1300" s="20"/>
      <c r="I1300" s="9">
        <v>4</v>
      </c>
      <c r="J1300" s="9"/>
      <c r="K1300" s="9"/>
      <c r="L1300" s="9"/>
      <c r="M1300" s="9">
        <f t="shared" ref="M1300:M1313" si="164">I1300*O1300</f>
        <v>34.799999999999997</v>
      </c>
      <c r="N1300" s="9">
        <f t="shared" ref="N1300:N1313" si="165">I1300*P1300</f>
        <v>14.8</v>
      </c>
      <c r="O1300" s="9">
        <v>8.6999999999999993</v>
      </c>
      <c r="P1300" s="9">
        <v>3.7</v>
      </c>
      <c r="Q1300" s="9" t="s">
        <v>10</v>
      </c>
      <c r="R1300" s="1">
        <v>0</v>
      </c>
      <c r="S1300" s="26"/>
    </row>
    <row r="1301" spans="1:19" ht="16.5" customHeight="1" x14ac:dyDescent="0.25">
      <c r="A1301" s="9"/>
      <c r="B1301" s="51" t="s">
        <v>103</v>
      </c>
      <c r="C1301" s="52"/>
      <c r="D1301" s="52"/>
      <c r="E1301" s="52"/>
      <c r="F1301" s="52"/>
      <c r="G1301" s="53"/>
      <c r="H1301" s="20"/>
      <c r="I1301" s="9">
        <v>2</v>
      </c>
      <c r="J1301" s="9"/>
      <c r="K1301" s="9"/>
      <c r="L1301" s="9"/>
      <c r="M1301" s="9">
        <f t="shared" si="164"/>
        <v>16.8</v>
      </c>
      <c r="N1301" s="9">
        <f t="shared" si="165"/>
        <v>7</v>
      </c>
      <c r="O1301" s="9">
        <v>8.4</v>
      </c>
      <c r="P1301" s="9">
        <v>3.5</v>
      </c>
      <c r="Q1301" s="9" t="s">
        <v>9</v>
      </c>
      <c r="R1301" s="1">
        <v>0</v>
      </c>
      <c r="S1301" s="26"/>
    </row>
    <row r="1302" spans="1:19" ht="16.5" customHeight="1" x14ac:dyDescent="0.25">
      <c r="A1302" s="9"/>
      <c r="B1302" s="51" t="s">
        <v>102</v>
      </c>
      <c r="C1302" s="52"/>
      <c r="D1302" s="52"/>
      <c r="E1302" s="52"/>
      <c r="F1302" s="52"/>
      <c r="G1302" s="53"/>
      <c r="H1302" s="20"/>
      <c r="I1302" s="9">
        <v>1</v>
      </c>
      <c r="J1302" s="9"/>
      <c r="K1302" s="9"/>
      <c r="L1302" s="9"/>
      <c r="M1302" s="9">
        <f t="shared" si="164"/>
        <v>6.7</v>
      </c>
      <c r="N1302" s="9">
        <f t="shared" si="165"/>
        <v>2.5</v>
      </c>
      <c r="O1302" s="9">
        <v>6.7</v>
      </c>
      <c r="P1302" s="9">
        <v>2.5</v>
      </c>
      <c r="Q1302" s="9" t="s">
        <v>5</v>
      </c>
      <c r="R1302" s="1">
        <v>0</v>
      </c>
      <c r="S1302" s="26"/>
    </row>
    <row r="1303" spans="1:19" ht="16.5" customHeight="1" x14ac:dyDescent="0.25">
      <c r="A1303" s="9"/>
      <c r="B1303" s="51" t="s">
        <v>105</v>
      </c>
      <c r="C1303" s="52"/>
      <c r="D1303" s="52"/>
      <c r="E1303" s="52"/>
      <c r="F1303" s="52"/>
      <c r="G1303" s="53"/>
      <c r="H1303" s="20"/>
      <c r="I1303" s="9">
        <v>3</v>
      </c>
      <c r="J1303" s="9"/>
      <c r="K1303" s="9"/>
      <c r="L1303" s="9"/>
      <c r="M1303" s="9">
        <f t="shared" si="164"/>
        <v>27</v>
      </c>
      <c r="N1303" s="9">
        <f t="shared" si="165"/>
        <v>12</v>
      </c>
      <c r="O1303" s="9">
        <v>9</v>
      </c>
      <c r="P1303" s="9">
        <v>4</v>
      </c>
      <c r="Q1303" s="9" t="s">
        <v>12</v>
      </c>
      <c r="R1303" s="1">
        <v>0</v>
      </c>
      <c r="S1303" s="26"/>
    </row>
    <row r="1304" spans="1:19" ht="16.5" customHeight="1" x14ac:dyDescent="0.25">
      <c r="A1304" s="9"/>
      <c r="B1304" s="51" t="s">
        <v>108</v>
      </c>
      <c r="C1304" s="52"/>
      <c r="D1304" s="52"/>
      <c r="E1304" s="52"/>
      <c r="F1304" s="52"/>
      <c r="G1304" s="53"/>
      <c r="H1304" s="20"/>
      <c r="I1304" s="9">
        <v>4</v>
      </c>
      <c r="J1304" s="9"/>
      <c r="K1304" s="9"/>
      <c r="L1304" s="9"/>
      <c r="M1304" s="9">
        <f t="shared" si="164"/>
        <v>32.4</v>
      </c>
      <c r="N1304" s="9">
        <f t="shared" si="165"/>
        <v>14</v>
      </c>
      <c r="O1304" s="9">
        <v>8.1</v>
      </c>
      <c r="P1304" s="9">
        <v>3.5</v>
      </c>
      <c r="Q1304" s="9" t="s">
        <v>9</v>
      </c>
      <c r="R1304" s="1">
        <v>0</v>
      </c>
      <c r="S1304" s="26"/>
    </row>
    <row r="1305" spans="1:19" ht="16.5" customHeight="1" x14ac:dyDescent="0.25">
      <c r="A1305" s="9"/>
      <c r="B1305" s="51" t="s">
        <v>107</v>
      </c>
      <c r="C1305" s="52"/>
      <c r="D1305" s="52"/>
      <c r="E1305" s="52"/>
      <c r="F1305" s="52"/>
      <c r="G1305" s="53"/>
      <c r="H1305" s="20"/>
      <c r="I1305" s="9">
        <v>2</v>
      </c>
      <c r="J1305" s="9"/>
      <c r="K1305" s="9"/>
      <c r="L1305" s="9"/>
      <c r="M1305" s="9">
        <f t="shared" si="164"/>
        <v>13.8</v>
      </c>
      <c r="N1305" s="9">
        <f t="shared" si="165"/>
        <v>5</v>
      </c>
      <c r="O1305" s="9">
        <v>6.9</v>
      </c>
      <c r="P1305" s="9">
        <v>2.5</v>
      </c>
      <c r="Q1305" s="9" t="s">
        <v>5</v>
      </c>
      <c r="R1305" s="1">
        <v>0</v>
      </c>
      <c r="S1305" s="26"/>
    </row>
    <row r="1306" spans="1:19" ht="16.5" customHeight="1" x14ac:dyDescent="0.25">
      <c r="A1306" s="9"/>
      <c r="B1306" s="51" t="s">
        <v>106</v>
      </c>
      <c r="C1306" s="52"/>
      <c r="D1306" s="52"/>
      <c r="E1306" s="52"/>
      <c r="F1306" s="52"/>
      <c r="G1306" s="53"/>
      <c r="H1306" s="20"/>
      <c r="I1306" s="9">
        <v>2</v>
      </c>
      <c r="J1306" s="9"/>
      <c r="K1306" s="9"/>
      <c r="L1306" s="9"/>
      <c r="M1306" s="9">
        <f t="shared" si="164"/>
        <v>14.2</v>
      </c>
      <c r="N1306" s="9">
        <f t="shared" si="165"/>
        <v>6</v>
      </c>
      <c r="O1306" s="9">
        <v>7.1</v>
      </c>
      <c r="P1306" s="9">
        <v>3</v>
      </c>
      <c r="Q1306" s="9" t="s">
        <v>6</v>
      </c>
      <c r="R1306" s="1">
        <v>0</v>
      </c>
      <c r="S1306" s="26"/>
    </row>
    <row r="1307" spans="1:19" ht="16.5" customHeight="1" x14ac:dyDescent="0.25">
      <c r="A1307" s="9"/>
      <c r="B1307" s="51" t="s">
        <v>109</v>
      </c>
      <c r="C1307" s="52"/>
      <c r="D1307" s="52"/>
      <c r="E1307" s="52"/>
      <c r="F1307" s="52"/>
      <c r="G1307" s="53"/>
      <c r="H1307" s="20"/>
      <c r="I1307" s="9">
        <v>2</v>
      </c>
      <c r="J1307" s="9"/>
      <c r="K1307" s="9"/>
      <c r="L1307" s="9"/>
      <c r="M1307" s="9">
        <f t="shared" si="164"/>
        <v>15.6</v>
      </c>
      <c r="N1307" s="9">
        <f t="shared" si="165"/>
        <v>6</v>
      </c>
      <c r="O1307" s="9">
        <v>7.8</v>
      </c>
      <c r="P1307" s="9">
        <v>3</v>
      </c>
      <c r="Q1307" s="9" t="s">
        <v>6</v>
      </c>
      <c r="R1307" s="1">
        <v>0</v>
      </c>
      <c r="S1307" s="26"/>
    </row>
    <row r="1308" spans="1:19" ht="16.5" customHeight="1" x14ac:dyDescent="0.25">
      <c r="A1308" s="9"/>
      <c r="B1308" s="51" t="s">
        <v>110</v>
      </c>
      <c r="C1308" s="52"/>
      <c r="D1308" s="52"/>
      <c r="E1308" s="52"/>
      <c r="F1308" s="52"/>
      <c r="G1308" s="53"/>
      <c r="H1308" s="20"/>
      <c r="I1308" s="9">
        <v>2</v>
      </c>
      <c r="J1308" s="9"/>
      <c r="K1308" s="9"/>
      <c r="L1308" s="9"/>
      <c r="M1308" s="9">
        <f t="shared" si="164"/>
        <v>16.8</v>
      </c>
      <c r="N1308" s="9">
        <f t="shared" si="165"/>
        <v>7</v>
      </c>
      <c r="O1308" s="9">
        <v>8.4</v>
      </c>
      <c r="P1308" s="9">
        <v>3.5</v>
      </c>
      <c r="Q1308" s="9" t="s">
        <v>9</v>
      </c>
      <c r="R1308" s="1">
        <v>0</v>
      </c>
      <c r="S1308" s="26"/>
    </row>
    <row r="1309" spans="1:19" ht="16.5" customHeight="1" x14ac:dyDescent="0.25">
      <c r="A1309" s="9"/>
      <c r="B1309" s="51" t="s">
        <v>111</v>
      </c>
      <c r="C1309" s="52"/>
      <c r="D1309" s="52"/>
      <c r="E1309" s="52"/>
      <c r="F1309" s="52"/>
      <c r="G1309" s="53"/>
      <c r="H1309" s="20"/>
      <c r="I1309" s="9">
        <v>4</v>
      </c>
      <c r="J1309" s="9"/>
      <c r="K1309" s="9"/>
      <c r="L1309" s="9"/>
      <c r="M1309" s="9">
        <f t="shared" si="164"/>
        <v>26</v>
      </c>
      <c r="N1309" s="9">
        <f t="shared" si="165"/>
        <v>10</v>
      </c>
      <c r="O1309" s="9">
        <v>6.5</v>
      </c>
      <c r="P1309" s="9">
        <v>2.5</v>
      </c>
      <c r="Q1309" s="9" t="s">
        <v>5</v>
      </c>
      <c r="R1309" s="1">
        <v>0</v>
      </c>
      <c r="S1309" s="26"/>
    </row>
    <row r="1310" spans="1:19" ht="16.5" customHeight="1" x14ac:dyDescent="0.25">
      <c r="A1310" s="9"/>
      <c r="B1310" s="51" t="s">
        <v>112</v>
      </c>
      <c r="C1310" s="52"/>
      <c r="D1310" s="52"/>
      <c r="E1310" s="52"/>
      <c r="F1310" s="52"/>
      <c r="G1310" s="53"/>
      <c r="H1310" s="20"/>
      <c r="I1310" s="9">
        <v>2</v>
      </c>
      <c r="J1310" s="9"/>
      <c r="K1310" s="9"/>
      <c r="L1310" s="9"/>
      <c r="M1310" s="9">
        <f t="shared" si="164"/>
        <v>13.8</v>
      </c>
      <c r="N1310" s="9">
        <f t="shared" si="165"/>
        <v>5</v>
      </c>
      <c r="O1310" s="9">
        <v>6.9</v>
      </c>
      <c r="P1310" s="9">
        <v>2.5</v>
      </c>
      <c r="Q1310" s="9" t="s">
        <v>5</v>
      </c>
      <c r="R1310" s="1">
        <v>0</v>
      </c>
      <c r="S1310" s="26"/>
    </row>
    <row r="1311" spans="1:19" ht="16.5" customHeight="1" x14ac:dyDescent="0.25">
      <c r="A1311" s="9"/>
      <c r="B1311" s="51" t="s">
        <v>113</v>
      </c>
      <c r="C1311" s="52"/>
      <c r="D1311" s="52"/>
      <c r="E1311" s="52"/>
      <c r="F1311" s="52"/>
      <c r="G1311" s="53"/>
      <c r="H1311" s="20"/>
      <c r="I1311" s="9">
        <v>1</v>
      </c>
      <c r="J1311" s="9"/>
      <c r="K1311" s="9"/>
      <c r="L1311" s="9"/>
      <c r="M1311" s="9">
        <f t="shared" si="164"/>
        <v>7.7</v>
      </c>
      <c r="N1311" s="9">
        <f t="shared" si="165"/>
        <v>3</v>
      </c>
      <c r="O1311" s="9">
        <v>7.7</v>
      </c>
      <c r="P1311" s="9">
        <v>3</v>
      </c>
      <c r="Q1311" s="9" t="s">
        <v>6</v>
      </c>
      <c r="R1311" s="1">
        <v>0</v>
      </c>
      <c r="S1311" s="26"/>
    </row>
    <row r="1312" spans="1:19" ht="16.5" hidden="1" customHeight="1" x14ac:dyDescent="0.25">
      <c r="A1312" s="21"/>
      <c r="H1312" s="21"/>
      <c r="I1312" s="21"/>
      <c r="J1312" s="21"/>
      <c r="K1312" s="21"/>
      <c r="L1312" s="21"/>
      <c r="M1312" s="9">
        <f t="shared" si="164"/>
        <v>0</v>
      </c>
      <c r="N1312" s="9">
        <f t="shared" si="165"/>
        <v>0</v>
      </c>
      <c r="O1312" s="21"/>
      <c r="P1312" s="21"/>
      <c r="Q1312" s="21"/>
      <c r="S1312" s="25"/>
    </row>
    <row r="1313" spans="1:19" ht="16.5" customHeight="1" x14ac:dyDescent="0.25">
      <c r="A1313" s="9"/>
      <c r="B1313" s="39" t="s">
        <v>42</v>
      </c>
      <c r="C1313" s="40"/>
      <c r="D1313" s="40"/>
      <c r="E1313" s="40"/>
      <c r="F1313" s="40"/>
      <c r="G1313" s="41"/>
      <c r="H1313" s="23"/>
      <c r="I1313" s="24">
        <f>SUM(I1300:I1312)</f>
        <v>29</v>
      </c>
      <c r="J1313" s="9"/>
      <c r="K1313" s="9"/>
      <c r="L1313" s="9"/>
      <c r="M1313" s="9">
        <f t="shared" si="164"/>
        <v>225.62</v>
      </c>
      <c r="N1313" s="9">
        <f t="shared" si="165"/>
        <v>92.22</v>
      </c>
      <c r="O1313" s="24">
        <f>ROUND(SUM(M1300:M1312)/I1313,2)</f>
        <v>7.78</v>
      </c>
      <c r="P1313" s="24">
        <f>ROUND(SUM(N1300:N1312)/I1313,2)</f>
        <v>3.18</v>
      </c>
      <c r="Q1313" s="9"/>
      <c r="S1313" s="25"/>
    </row>
    <row r="1314" spans="1:19" ht="20.25" customHeight="1" x14ac:dyDescent="0.25">
      <c r="A1314" s="27" t="s">
        <v>114</v>
      </c>
      <c r="B1314" s="28"/>
      <c r="C1314" s="28"/>
      <c r="D1314" s="28"/>
      <c r="E1314" s="28"/>
      <c r="F1314" s="28"/>
      <c r="G1314" s="28"/>
      <c r="H1314" s="28"/>
      <c r="I1314" s="28"/>
      <c r="J1314" s="28"/>
      <c r="K1314" s="28"/>
      <c r="L1314" s="28"/>
      <c r="M1314" s="28"/>
      <c r="N1314" s="28"/>
      <c r="O1314" s="28"/>
      <c r="P1314" s="28"/>
      <c r="Q1314" s="28"/>
      <c r="R1314" s="28"/>
      <c r="S1314" s="28"/>
    </row>
    <row r="1315" spans="1:19" ht="16.5" customHeight="1" x14ac:dyDescent="0.25">
      <c r="A1315" s="9"/>
      <c r="B1315" s="51" t="s">
        <v>115</v>
      </c>
      <c r="C1315" s="52"/>
      <c r="D1315" s="52"/>
      <c r="E1315" s="52"/>
      <c r="F1315" s="52"/>
      <c r="G1315" s="53"/>
      <c r="H1315" s="20"/>
      <c r="I1315" s="9">
        <v>2</v>
      </c>
      <c r="J1315" s="9"/>
      <c r="K1315" s="9"/>
      <c r="L1315" s="9"/>
      <c r="M1315" s="9">
        <f t="shared" ref="M1315:M1325" si="166">I1315*O1315</f>
        <v>0</v>
      </c>
      <c r="N1315" s="9">
        <f t="shared" ref="N1315:N1325" si="167">I1315*P1315</f>
        <v>0</v>
      </c>
      <c r="O1315" s="9"/>
      <c r="P1315" s="9"/>
      <c r="Q1315" s="9"/>
      <c r="R1315" s="1">
        <v>0</v>
      </c>
      <c r="S1315" s="26"/>
    </row>
    <row r="1316" spans="1:19" ht="16.5" customHeight="1" x14ac:dyDescent="0.25">
      <c r="A1316" s="9"/>
      <c r="B1316" s="51" t="s">
        <v>122</v>
      </c>
      <c r="C1316" s="52"/>
      <c r="D1316" s="52"/>
      <c r="E1316" s="52"/>
      <c r="F1316" s="52"/>
      <c r="G1316" s="53"/>
      <c r="H1316" s="20"/>
      <c r="I1316" s="9">
        <v>2</v>
      </c>
      <c r="J1316" s="9"/>
      <c r="K1316" s="9"/>
      <c r="L1316" s="9"/>
      <c r="M1316" s="9">
        <f t="shared" si="166"/>
        <v>0</v>
      </c>
      <c r="N1316" s="9">
        <f t="shared" si="167"/>
        <v>0</v>
      </c>
      <c r="O1316" s="9"/>
      <c r="P1316" s="9"/>
      <c r="Q1316" s="9"/>
      <c r="R1316" s="1">
        <v>0</v>
      </c>
      <c r="S1316" s="26"/>
    </row>
    <row r="1317" spans="1:19" ht="16.5" customHeight="1" x14ac:dyDescent="0.25">
      <c r="A1317" s="9"/>
      <c r="B1317" s="51" t="s">
        <v>117</v>
      </c>
      <c r="C1317" s="52"/>
      <c r="D1317" s="52"/>
      <c r="E1317" s="52"/>
      <c r="F1317" s="52"/>
      <c r="G1317" s="53"/>
      <c r="H1317" s="20"/>
      <c r="I1317" s="9">
        <v>3</v>
      </c>
      <c r="J1317" s="9"/>
      <c r="K1317" s="9"/>
      <c r="L1317" s="9"/>
      <c r="M1317" s="9">
        <f t="shared" si="166"/>
        <v>0</v>
      </c>
      <c r="N1317" s="9">
        <f t="shared" si="167"/>
        <v>0</v>
      </c>
      <c r="O1317" s="9"/>
      <c r="P1317" s="9"/>
      <c r="Q1317" s="9"/>
      <c r="R1317" s="1">
        <v>0</v>
      </c>
      <c r="S1317" s="26"/>
    </row>
    <row r="1318" spans="1:19" ht="16.5" customHeight="1" x14ac:dyDescent="0.25">
      <c r="A1318" s="9"/>
      <c r="B1318" s="51" t="s">
        <v>123</v>
      </c>
      <c r="C1318" s="52"/>
      <c r="D1318" s="52"/>
      <c r="E1318" s="52"/>
      <c r="F1318" s="52"/>
      <c r="G1318" s="53"/>
      <c r="H1318" s="20"/>
      <c r="I1318" s="9">
        <v>2</v>
      </c>
      <c r="J1318" s="9"/>
      <c r="K1318" s="9"/>
      <c r="L1318" s="9"/>
      <c r="M1318" s="9">
        <f t="shared" si="166"/>
        <v>0</v>
      </c>
      <c r="N1318" s="9">
        <f t="shared" si="167"/>
        <v>0</v>
      </c>
      <c r="O1318" s="9"/>
      <c r="P1318" s="9"/>
      <c r="Q1318" s="9"/>
      <c r="R1318" s="1">
        <v>0</v>
      </c>
      <c r="S1318" s="26"/>
    </row>
    <row r="1319" spans="1:19" ht="16.5" customHeight="1" x14ac:dyDescent="0.25">
      <c r="A1319" s="9"/>
      <c r="B1319" s="51" t="s">
        <v>119</v>
      </c>
      <c r="C1319" s="52"/>
      <c r="D1319" s="52"/>
      <c r="E1319" s="52"/>
      <c r="F1319" s="52"/>
      <c r="G1319" s="53"/>
      <c r="H1319" s="20"/>
      <c r="I1319" s="9">
        <v>4</v>
      </c>
      <c r="J1319" s="9"/>
      <c r="K1319" s="9"/>
      <c r="L1319" s="9"/>
      <c r="M1319" s="9">
        <f t="shared" si="166"/>
        <v>0</v>
      </c>
      <c r="N1319" s="9">
        <f t="shared" si="167"/>
        <v>0</v>
      </c>
      <c r="O1319" s="9"/>
      <c r="P1319" s="9"/>
      <c r="Q1319" s="9"/>
      <c r="R1319" s="1">
        <v>0</v>
      </c>
      <c r="S1319" s="26"/>
    </row>
    <row r="1320" spans="1:19" ht="16.5" customHeight="1" x14ac:dyDescent="0.25">
      <c r="A1320" s="9"/>
      <c r="B1320" s="51" t="s">
        <v>120</v>
      </c>
      <c r="C1320" s="52"/>
      <c r="D1320" s="52"/>
      <c r="E1320" s="52"/>
      <c r="F1320" s="52"/>
      <c r="G1320" s="53"/>
      <c r="H1320" s="20"/>
      <c r="I1320" s="9">
        <v>3</v>
      </c>
      <c r="J1320" s="9"/>
      <c r="K1320" s="9"/>
      <c r="L1320" s="9"/>
      <c r="M1320" s="9">
        <f t="shared" si="166"/>
        <v>22.200000000000003</v>
      </c>
      <c r="N1320" s="9">
        <f t="shared" si="167"/>
        <v>9</v>
      </c>
      <c r="O1320" s="9">
        <v>7.4</v>
      </c>
      <c r="P1320" s="9">
        <v>3</v>
      </c>
      <c r="Q1320" s="9" t="s">
        <v>6</v>
      </c>
      <c r="R1320" s="1">
        <v>0</v>
      </c>
      <c r="S1320" s="26"/>
    </row>
    <row r="1321" spans="1:19" ht="16.5" customHeight="1" x14ac:dyDescent="0.25">
      <c r="A1321" s="9"/>
      <c r="B1321" s="51" t="s">
        <v>121</v>
      </c>
      <c r="C1321" s="52"/>
      <c r="D1321" s="52"/>
      <c r="E1321" s="52"/>
      <c r="F1321" s="52"/>
      <c r="G1321" s="53"/>
      <c r="H1321" s="20"/>
      <c r="I1321" s="9">
        <v>2</v>
      </c>
      <c r="J1321" s="9"/>
      <c r="K1321" s="9"/>
      <c r="L1321" s="9"/>
      <c r="M1321" s="9">
        <f t="shared" si="166"/>
        <v>16.8</v>
      </c>
      <c r="N1321" s="9">
        <f t="shared" si="167"/>
        <v>7</v>
      </c>
      <c r="O1321" s="9">
        <v>8.4</v>
      </c>
      <c r="P1321" s="9">
        <v>3.5</v>
      </c>
      <c r="Q1321" s="9" t="s">
        <v>9</v>
      </c>
      <c r="R1321" s="1">
        <v>0</v>
      </c>
      <c r="S1321" s="26"/>
    </row>
    <row r="1322" spans="1:19" ht="16.5" customHeight="1" x14ac:dyDescent="0.25">
      <c r="A1322" s="9"/>
      <c r="B1322" s="51" t="s">
        <v>116</v>
      </c>
      <c r="C1322" s="52"/>
      <c r="D1322" s="52"/>
      <c r="E1322" s="52"/>
      <c r="F1322" s="52"/>
      <c r="G1322" s="53"/>
      <c r="H1322" s="20"/>
      <c r="I1322" s="9">
        <v>3</v>
      </c>
      <c r="J1322" s="9"/>
      <c r="K1322" s="9"/>
      <c r="L1322" s="9"/>
      <c r="M1322" s="9">
        <f t="shared" si="166"/>
        <v>25.799999999999997</v>
      </c>
      <c r="N1322" s="9">
        <f t="shared" si="167"/>
        <v>11.100000000000001</v>
      </c>
      <c r="O1322" s="9">
        <v>8.6</v>
      </c>
      <c r="P1322" s="9">
        <v>3.7</v>
      </c>
      <c r="Q1322" s="9" t="s">
        <v>10</v>
      </c>
      <c r="R1322" s="1">
        <v>0</v>
      </c>
      <c r="S1322" s="26"/>
    </row>
    <row r="1323" spans="1:19" ht="16.5" customHeight="1" x14ac:dyDescent="0.25">
      <c r="A1323" s="9"/>
      <c r="B1323" s="51" t="s">
        <v>118</v>
      </c>
      <c r="C1323" s="52"/>
      <c r="D1323" s="52"/>
      <c r="E1323" s="52"/>
      <c r="F1323" s="52"/>
      <c r="G1323" s="53"/>
      <c r="H1323" s="20"/>
      <c r="I1323" s="9">
        <v>1</v>
      </c>
      <c r="J1323" s="9"/>
      <c r="K1323" s="9"/>
      <c r="L1323" s="9"/>
      <c r="M1323" s="9">
        <f t="shared" si="166"/>
        <v>7.4</v>
      </c>
      <c r="N1323" s="9">
        <f t="shared" si="167"/>
        <v>3</v>
      </c>
      <c r="O1323" s="9">
        <v>7.4</v>
      </c>
      <c r="P1323" s="9">
        <v>3</v>
      </c>
      <c r="Q1323" s="9" t="s">
        <v>6</v>
      </c>
      <c r="R1323" s="1">
        <v>0</v>
      </c>
      <c r="S1323" s="26"/>
    </row>
    <row r="1324" spans="1:19" ht="16.5" hidden="1" customHeight="1" x14ac:dyDescent="0.25">
      <c r="A1324" s="21"/>
      <c r="H1324" s="21"/>
      <c r="I1324" s="21"/>
      <c r="J1324" s="21"/>
      <c r="K1324" s="21"/>
      <c r="L1324" s="21"/>
      <c r="M1324" s="9">
        <f t="shared" si="166"/>
        <v>0</v>
      </c>
      <c r="N1324" s="9">
        <f t="shared" si="167"/>
        <v>0</v>
      </c>
      <c r="O1324" s="21"/>
      <c r="P1324" s="21"/>
      <c r="Q1324" s="21"/>
      <c r="S1324" s="25"/>
    </row>
    <row r="1325" spans="1:19" ht="16.5" customHeight="1" x14ac:dyDescent="0.25">
      <c r="A1325" s="9"/>
      <c r="B1325" s="39" t="s">
        <v>42</v>
      </c>
      <c r="C1325" s="40"/>
      <c r="D1325" s="40"/>
      <c r="E1325" s="40"/>
      <c r="F1325" s="40"/>
      <c r="G1325" s="41"/>
      <c r="H1325" s="23"/>
      <c r="I1325" s="24">
        <f>SUM(I1315:I1324)</f>
        <v>22</v>
      </c>
      <c r="J1325" s="9"/>
      <c r="K1325" s="9"/>
      <c r="L1325" s="9"/>
      <c r="M1325" s="9">
        <f t="shared" si="166"/>
        <v>72.16</v>
      </c>
      <c r="N1325" s="9">
        <f t="shared" si="167"/>
        <v>30.14</v>
      </c>
      <c r="O1325" s="24">
        <f>ROUND(SUM(M1315:M1324)/I1325,2)</f>
        <v>3.28</v>
      </c>
      <c r="P1325" s="24">
        <f>ROUND(SUM(N1315:N1324)/I1325,2)</f>
        <v>1.37</v>
      </c>
      <c r="Q1325" s="9"/>
      <c r="S1325" s="25"/>
    </row>
    <row r="1326" spans="1:19" ht="16.5" customHeight="1" x14ac:dyDescent="0.25">
      <c r="A1326" s="21"/>
      <c r="B1326" s="22"/>
      <c r="C1326" s="22"/>
      <c r="D1326" s="22"/>
      <c r="E1326" s="22"/>
      <c r="F1326" s="22"/>
      <c r="G1326" s="22"/>
      <c r="H1326" s="21"/>
      <c r="I1326" s="21"/>
      <c r="J1326" s="21"/>
      <c r="K1326" s="21"/>
      <c r="L1326" s="21"/>
      <c r="M1326" s="21"/>
      <c r="N1326" s="21"/>
      <c r="O1326" s="21"/>
      <c r="P1326" s="21"/>
      <c r="Q1326" s="21"/>
    </row>
    <row r="1328" spans="1:19" ht="18" x14ac:dyDescent="0.25">
      <c r="A1328" s="35" t="s">
        <v>186</v>
      </c>
      <c r="B1328" s="35"/>
      <c r="C1328" s="35"/>
      <c r="D1328" s="35"/>
      <c r="E1328" s="35"/>
      <c r="F1328" s="35"/>
      <c r="G1328" s="35"/>
      <c r="H1328" s="35"/>
      <c r="I1328" s="35"/>
      <c r="J1328" s="35"/>
      <c r="K1328" s="35"/>
      <c r="L1328" s="35"/>
      <c r="M1328" s="35"/>
      <c r="N1328" s="35"/>
      <c r="O1328" s="35"/>
      <c r="P1328" s="35"/>
      <c r="Q1328" s="35"/>
      <c r="R1328" s="35"/>
      <c r="S1328" s="35"/>
    </row>
    <row r="1329" spans="1:20" ht="18" x14ac:dyDescent="0.25">
      <c r="A1329" s="35" t="s">
        <v>187</v>
      </c>
      <c r="B1329" s="35"/>
      <c r="C1329" s="35"/>
      <c r="D1329" s="35"/>
      <c r="E1329" s="35"/>
      <c r="F1329" s="35"/>
      <c r="G1329" s="35"/>
      <c r="H1329" s="35"/>
      <c r="I1329" s="35"/>
      <c r="J1329" s="35"/>
      <c r="K1329" s="35"/>
      <c r="L1329" s="35"/>
      <c r="M1329" s="35"/>
      <c r="N1329" s="35"/>
      <c r="O1329" s="35"/>
      <c r="P1329" s="35"/>
      <c r="Q1329" s="35"/>
      <c r="R1329" s="35"/>
      <c r="S1329" s="35"/>
    </row>
    <row r="1330" spans="1:20" ht="18" x14ac:dyDescent="0.25">
      <c r="A1330" s="35" t="s">
        <v>188</v>
      </c>
      <c r="B1330" s="35"/>
      <c r="C1330" s="35"/>
      <c r="D1330" s="35"/>
      <c r="E1330" s="35"/>
      <c r="F1330" s="35"/>
      <c r="G1330" s="35"/>
      <c r="H1330" s="35"/>
      <c r="I1330" s="35"/>
      <c r="J1330" s="35"/>
      <c r="K1330" s="35"/>
      <c r="L1330" s="35"/>
      <c r="M1330" s="35"/>
      <c r="N1330" s="35"/>
      <c r="O1330" s="35"/>
      <c r="P1330" s="35"/>
      <c r="Q1330" s="35"/>
      <c r="R1330" s="35"/>
      <c r="S1330" s="35"/>
    </row>
    <row r="1331" spans="1:20" ht="18" x14ac:dyDescent="0.25">
      <c r="A1331" s="45" t="s">
        <v>53</v>
      </c>
      <c r="B1331" s="45"/>
      <c r="C1331" s="45"/>
      <c r="D1331" s="45"/>
      <c r="E1331" s="45"/>
      <c r="F1331" s="45"/>
      <c r="G1331" s="45"/>
      <c r="H1331" s="45"/>
      <c r="I1331" s="45"/>
      <c r="J1331" s="45"/>
      <c r="K1331" s="45"/>
      <c r="L1331" s="45"/>
      <c r="M1331" s="45"/>
      <c r="N1331" s="45"/>
      <c r="O1331" s="45"/>
      <c r="P1331" s="45"/>
      <c r="Q1331" s="45"/>
      <c r="R1331" s="45"/>
      <c r="S1331" s="45"/>
    </row>
    <row r="1332" spans="1:20" ht="19.5" customHeight="1" x14ac:dyDescent="0.25">
      <c r="A1332" s="17"/>
      <c r="B1332" s="17"/>
      <c r="C1332" s="8"/>
      <c r="D1332" s="18"/>
      <c r="E1332" s="10"/>
      <c r="F1332" s="11"/>
      <c r="G1332" s="46" t="s">
        <v>49</v>
      </c>
      <c r="H1332" s="46"/>
      <c r="I1332" s="46"/>
      <c r="J1332" s="46"/>
      <c r="K1332" s="46"/>
      <c r="L1332" s="46"/>
      <c r="M1332" s="46"/>
      <c r="N1332" s="46"/>
      <c r="O1332" s="46"/>
      <c r="P1332" s="46"/>
      <c r="Q1332" s="46"/>
      <c r="R1332" s="46"/>
      <c r="S1332" s="46"/>
    </row>
    <row r="1333" spans="1:20" ht="31.5" customHeight="1" x14ac:dyDescent="0.3">
      <c r="A1333" s="8"/>
      <c r="B1333" s="8"/>
      <c r="C1333" s="8"/>
      <c r="D1333" s="8"/>
      <c r="E1333" s="8"/>
      <c r="F1333" s="8"/>
      <c r="G1333" s="8"/>
      <c r="H1333" s="12"/>
      <c r="I1333" s="42" t="s">
        <v>40</v>
      </c>
      <c r="J1333" s="43"/>
      <c r="K1333" s="43"/>
      <c r="L1333" s="43"/>
      <c r="M1333" s="43"/>
      <c r="N1333" s="43"/>
      <c r="O1333" s="43"/>
      <c r="P1333" s="43"/>
      <c r="Q1333" s="43"/>
      <c r="R1333" s="43"/>
      <c r="S1333" s="43"/>
    </row>
    <row r="1334" spans="1:20" ht="16.8" x14ac:dyDescent="0.3">
      <c r="A1334" s="8"/>
      <c r="B1334" s="8"/>
      <c r="C1334" s="8"/>
      <c r="D1334" s="8"/>
      <c r="E1334" s="8"/>
      <c r="F1334" s="8"/>
      <c r="G1334" s="8"/>
      <c r="H1334" s="12"/>
      <c r="I1334" s="12"/>
      <c r="J1334" s="12"/>
      <c r="K1334" s="12"/>
      <c r="L1334" s="8"/>
      <c r="M1334" s="8"/>
      <c r="N1334" s="8"/>
      <c r="O1334" s="8"/>
      <c r="P1334" s="8"/>
      <c r="Q1334" s="8"/>
    </row>
    <row r="1335" spans="1:20" ht="33" customHeight="1" x14ac:dyDescent="0.3">
      <c r="A1335" s="8"/>
      <c r="B1335" s="8"/>
      <c r="C1335" s="8"/>
      <c r="D1335" s="8"/>
      <c r="E1335" s="8"/>
      <c r="F1335" s="8"/>
      <c r="G1335" s="8"/>
      <c r="H1335" s="12"/>
      <c r="I1335" s="12"/>
      <c r="J1335" s="12"/>
      <c r="K1335" s="12"/>
      <c r="L1335" s="8"/>
      <c r="M1335" s="8"/>
      <c r="N1335" s="8"/>
      <c r="O1335" s="8"/>
      <c r="P1335" s="8"/>
      <c r="Q1335" s="8"/>
    </row>
    <row r="1336" spans="1:20" ht="11.25" customHeight="1" x14ac:dyDescent="0.3">
      <c r="A1336" s="8"/>
      <c r="B1336" s="8"/>
      <c r="C1336" s="8"/>
      <c r="D1336" s="8"/>
      <c r="E1336" s="8"/>
      <c r="F1336" s="8"/>
      <c r="G1336" s="8"/>
      <c r="H1336" s="12"/>
      <c r="I1336" s="12"/>
      <c r="J1336" s="12"/>
      <c r="K1336" s="12"/>
      <c r="L1336" s="8"/>
      <c r="M1336" s="8"/>
      <c r="N1336" s="8"/>
      <c r="O1336" s="8"/>
      <c r="P1336" s="8"/>
      <c r="Q1336" s="8"/>
    </row>
    <row r="1337" spans="1:20" ht="17.399999999999999" x14ac:dyDescent="0.3">
      <c r="A1337" s="8"/>
      <c r="B1337" s="8"/>
      <c r="C1337" s="8"/>
      <c r="D1337" s="8"/>
      <c r="E1337" s="8"/>
      <c r="F1337" s="8"/>
      <c r="G1337" s="47" t="s">
        <v>41</v>
      </c>
      <c r="H1337" s="47"/>
      <c r="I1337" s="47"/>
      <c r="J1337" s="47"/>
      <c r="K1337" s="47"/>
      <c r="L1337" s="47"/>
      <c r="M1337" s="47"/>
      <c r="N1337" s="47"/>
      <c r="O1337" s="47"/>
      <c r="P1337" s="47"/>
      <c r="Q1337" s="47"/>
      <c r="R1337" s="47"/>
      <c r="S1337" s="47"/>
    </row>
    <row r="1338" spans="1:20" ht="54" customHeight="1" x14ac:dyDescent="0.25">
      <c r="A1338" s="48" t="s">
        <v>33</v>
      </c>
      <c r="B1338" s="48"/>
      <c r="C1338" s="48"/>
      <c r="D1338" s="48"/>
      <c r="E1338" s="48"/>
      <c r="F1338" s="42" t="s">
        <v>24</v>
      </c>
      <c r="G1338" s="42"/>
      <c r="H1338" s="42"/>
      <c r="I1338" s="42"/>
      <c r="J1338" s="42"/>
      <c r="K1338" s="42"/>
      <c r="L1338" s="42"/>
      <c r="M1338" s="42"/>
      <c r="N1338" s="42"/>
      <c r="O1338" s="42"/>
      <c r="P1338" s="42"/>
      <c r="Q1338" s="42"/>
      <c r="R1338" s="42"/>
      <c r="S1338" s="42"/>
    </row>
    <row r="1339" spans="1:20" ht="17.399999999999999" x14ac:dyDescent="0.25">
      <c r="A1339" s="49" t="s">
        <v>34</v>
      </c>
      <c r="B1339" s="49"/>
      <c r="C1339" s="49"/>
      <c r="D1339" s="49"/>
      <c r="E1339" s="49"/>
      <c r="F1339" s="49"/>
      <c r="G1339" s="49"/>
      <c r="H1339" s="49"/>
      <c r="I1339" s="49"/>
      <c r="J1339" s="49"/>
      <c r="K1339" s="49"/>
      <c r="L1339" s="49"/>
      <c r="M1339" s="49"/>
      <c r="N1339" s="49"/>
      <c r="O1339" s="49"/>
      <c r="P1339" s="49"/>
      <c r="Q1339" s="49"/>
    </row>
    <row r="1340" spans="1:20" ht="4.5" customHeight="1" x14ac:dyDescent="0.25">
      <c r="A1340" s="50"/>
      <c r="B1340" s="50"/>
      <c r="C1340" s="50"/>
      <c r="D1340" s="50"/>
      <c r="E1340" s="50"/>
      <c r="F1340" s="50"/>
      <c r="G1340" s="50"/>
      <c r="H1340" s="50"/>
      <c r="I1340" s="50"/>
      <c r="J1340" s="50"/>
      <c r="K1340" s="50"/>
      <c r="L1340" s="50"/>
      <c r="M1340" s="50"/>
      <c r="N1340" s="50"/>
      <c r="O1340" s="50"/>
      <c r="P1340" s="50"/>
      <c r="Q1340" s="50"/>
    </row>
    <row r="1341" spans="1:20" ht="5.25" customHeight="1" x14ac:dyDescent="0.25">
      <c r="A1341" s="50"/>
      <c r="B1341" s="50"/>
      <c r="C1341" s="50"/>
      <c r="D1341" s="50"/>
      <c r="E1341" s="50"/>
      <c r="F1341" s="50"/>
      <c r="G1341" s="50"/>
      <c r="H1341" s="50"/>
      <c r="I1341" s="50"/>
      <c r="J1341" s="50"/>
      <c r="K1341" s="50"/>
      <c r="L1341" s="50"/>
      <c r="M1341" s="50"/>
      <c r="N1341" s="50"/>
      <c r="O1341" s="50"/>
      <c r="P1341" s="50"/>
      <c r="Q1341" s="50"/>
    </row>
    <row r="1342" spans="1:20" ht="16.5" customHeight="1" x14ac:dyDescent="0.25">
      <c r="A1342" s="54" t="s">
        <v>189</v>
      </c>
      <c r="B1342" s="54"/>
      <c r="C1342" s="54"/>
      <c r="D1342" s="54"/>
      <c r="E1342" s="54"/>
      <c r="F1342" s="54"/>
      <c r="G1342" s="58" t="s">
        <v>190</v>
      </c>
      <c r="H1342" s="58"/>
      <c r="I1342" s="58"/>
      <c r="J1342" s="58"/>
      <c r="K1342" s="58"/>
      <c r="L1342" s="58"/>
      <c r="M1342" s="58"/>
      <c r="N1342" s="58"/>
      <c r="O1342" s="58"/>
      <c r="P1342" s="58"/>
      <c r="Q1342" s="58"/>
      <c r="R1342" s="58"/>
      <c r="S1342" s="58"/>
    </row>
    <row r="1343" spans="1:20" ht="16.5" customHeight="1" x14ac:dyDescent="0.25">
      <c r="A1343" s="54" t="s">
        <v>191</v>
      </c>
      <c r="B1343" s="54"/>
      <c r="C1343" s="54"/>
      <c r="D1343" s="54"/>
      <c r="E1343" s="54"/>
      <c r="F1343" s="54"/>
      <c r="G1343" s="8" t="s">
        <v>46</v>
      </c>
      <c r="H1343" s="8"/>
      <c r="I1343" s="8"/>
      <c r="J1343" s="8"/>
      <c r="K1343" s="8"/>
      <c r="L1343" s="8"/>
      <c r="M1343" s="8"/>
      <c r="N1343" s="8"/>
      <c r="O1343" s="8"/>
      <c r="P1343" s="8"/>
      <c r="Q1343" s="8"/>
      <c r="T1343" s="2"/>
    </row>
    <row r="1344" spans="1:20" ht="16.5" customHeight="1" x14ac:dyDescent="0.25">
      <c r="A1344" s="54" t="s">
        <v>47</v>
      </c>
      <c r="B1344" s="54"/>
      <c r="C1344" s="54"/>
      <c r="D1344" s="54"/>
      <c r="E1344" s="54"/>
      <c r="F1344" s="54"/>
      <c r="G1344" s="58" t="s">
        <v>48</v>
      </c>
      <c r="H1344" s="58"/>
      <c r="I1344" s="58"/>
      <c r="J1344" s="58"/>
      <c r="K1344" s="58"/>
      <c r="L1344" s="58"/>
      <c r="M1344" s="58"/>
      <c r="N1344" s="58"/>
      <c r="O1344" s="58"/>
      <c r="P1344" s="58"/>
      <c r="Q1344" s="58"/>
      <c r="R1344" s="58"/>
      <c r="S1344" s="58"/>
    </row>
    <row r="1345" spans="1:19" ht="5.25" customHeight="1" x14ac:dyDescent="0.25">
      <c r="A1345" s="8"/>
      <c r="B1345" s="8"/>
      <c r="C1345" s="8"/>
      <c r="D1345" s="8"/>
      <c r="E1345" s="8"/>
      <c r="F1345" s="8"/>
      <c r="G1345" s="8"/>
      <c r="H1345" s="8"/>
      <c r="I1345" s="8"/>
      <c r="J1345" s="19"/>
      <c r="K1345" s="19"/>
      <c r="L1345" s="19"/>
      <c r="M1345" s="19"/>
      <c r="N1345" s="19"/>
      <c r="O1345" s="19"/>
      <c r="P1345" s="19"/>
      <c r="Q1345" s="19"/>
    </row>
    <row r="1346" spans="1:19" ht="15" customHeight="1" x14ac:dyDescent="0.25">
      <c r="A1346" s="36" t="s">
        <v>0</v>
      </c>
      <c r="B1346" s="29" t="s">
        <v>1</v>
      </c>
      <c r="C1346" s="30"/>
      <c r="D1346" s="30"/>
      <c r="E1346" s="30"/>
      <c r="F1346" s="30"/>
      <c r="G1346" s="31"/>
      <c r="H1346" s="36" t="s">
        <v>32</v>
      </c>
      <c r="I1346" s="36" t="s">
        <v>39</v>
      </c>
      <c r="J1346" s="55" t="s">
        <v>2</v>
      </c>
      <c r="K1346" s="56"/>
      <c r="L1346" s="56"/>
      <c r="M1346" s="56"/>
      <c r="N1346" s="56"/>
      <c r="O1346" s="56"/>
      <c r="P1346" s="56"/>
      <c r="Q1346" s="57"/>
      <c r="S1346" s="36" t="s">
        <v>38</v>
      </c>
    </row>
    <row r="1347" spans="1:19" ht="24" customHeight="1" x14ac:dyDescent="0.25">
      <c r="A1347" s="37"/>
      <c r="B1347" s="32"/>
      <c r="C1347" s="33"/>
      <c r="D1347" s="33"/>
      <c r="E1347" s="33"/>
      <c r="F1347" s="33"/>
      <c r="G1347" s="34"/>
      <c r="H1347" s="37"/>
      <c r="I1347" s="37"/>
      <c r="J1347" s="7" t="s">
        <v>28</v>
      </c>
      <c r="K1347" s="7" t="s">
        <v>29</v>
      </c>
      <c r="L1347" s="7" t="s">
        <v>30</v>
      </c>
      <c r="M1347" s="7"/>
      <c r="N1347" s="7"/>
      <c r="O1347" s="6" t="s">
        <v>35</v>
      </c>
      <c r="P1347" s="6" t="s">
        <v>36</v>
      </c>
      <c r="Q1347" s="6" t="s">
        <v>37</v>
      </c>
      <c r="S1347" s="37"/>
    </row>
    <row r="1348" spans="1:19" ht="20.25" customHeight="1" x14ac:dyDescent="0.25">
      <c r="A1348" s="27" t="s">
        <v>54</v>
      </c>
      <c r="B1348" s="28"/>
      <c r="C1348" s="28"/>
      <c r="D1348" s="28"/>
      <c r="E1348" s="28"/>
      <c r="F1348" s="28"/>
      <c r="G1348" s="28"/>
      <c r="H1348" s="28"/>
      <c r="I1348" s="28"/>
      <c r="J1348" s="28"/>
      <c r="K1348" s="28"/>
      <c r="L1348" s="28"/>
      <c r="M1348" s="28"/>
      <c r="N1348" s="28"/>
      <c r="O1348" s="28"/>
      <c r="P1348" s="28"/>
      <c r="Q1348" s="28"/>
      <c r="R1348" s="28"/>
      <c r="S1348" s="28"/>
    </row>
    <row r="1349" spans="1:19" ht="16.5" customHeight="1" x14ac:dyDescent="0.25">
      <c r="A1349" s="9"/>
      <c r="B1349" s="51" t="s">
        <v>55</v>
      </c>
      <c r="C1349" s="52"/>
      <c r="D1349" s="52"/>
      <c r="E1349" s="52"/>
      <c r="F1349" s="52"/>
      <c r="G1349" s="53"/>
      <c r="H1349" s="20"/>
      <c r="I1349" s="9">
        <v>2</v>
      </c>
      <c r="J1349" s="9"/>
      <c r="K1349" s="9"/>
      <c r="L1349" s="9"/>
      <c r="M1349" s="9">
        <f t="shared" ref="M1349:M1357" si="168">I1349*O1349</f>
        <v>15.4</v>
      </c>
      <c r="N1349" s="9">
        <f t="shared" ref="N1349:N1357" si="169">I1349*P1349</f>
        <v>6</v>
      </c>
      <c r="O1349" s="9">
        <v>7.7</v>
      </c>
      <c r="P1349" s="9">
        <v>3</v>
      </c>
      <c r="Q1349" s="9" t="s">
        <v>6</v>
      </c>
      <c r="R1349" s="1">
        <v>0</v>
      </c>
      <c r="S1349" s="26"/>
    </row>
    <row r="1350" spans="1:19" ht="16.5" customHeight="1" x14ac:dyDescent="0.25">
      <c r="A1350" s="9"/>
      <c r="B1350" s="51" t="s">
        <v>56</v>
      </c>
      <c r="C1350" s="52"/>
      <c r="D1350" s="52"/>
      <c r="E1350" s="52"/>
      <c r="F1350" s="52"/>
      <c r="G1350" s="53"/>
      <c r="H1350" s="20"/>
      <c r="I1350" s="9">
        <v>3</v>
      </c>
      <c r="J1350" s="9"/>
      <c r="K1350" s="9"/>
      <c r="L1350" s="9"/>
      <c r="M1350" s="9">
        <f t="shared" si="168"/>
        <v>19.200000000000003</v>
      </c>
      <c r="N1350" s="9">
        <f t="shared" si="169"/>
        <v>6</v>
      </c>
      <c r="O1350" s="9">
        <v>6.4</v>
      </c>
      <c r="P1350" s="9">
        <v>2</v>
      </c>
      <c r="Q1350" s="9" t="s">
        <v>3</v>
      </c>
      <c r="R1350" s="1">
        <v>0</v>
      </c>
      <c r="S1350" s="26"/>
    </row>
    <row r="1351" spans="1:19" ht="31.2" customHeight="1" x14ac:dyDescent="0.25">
      <c r="A1351" s="9"/>
      <c r="B1351" s="51" t="s">
        <v>57</v>
      </c>
      <c r="C1351" s="52"/>
      <c r="D1351" s="52"/>
      <c r="E1351" s="52"/>
      <c r="F1351" s="52"/>
      <c r="G1351" s="53"/>
      <c r="H1351" s="20"/>
      <c r="I1351" s="9">
        <v>3</v>
      </c>
      <c r="J1351" s="9"/>
      <c r="K1351" s="9"/>
      <c r="L1351" s="9"/>
      <c r="M1351" s="9">
        <f t="shared" si="168"/>
        <v>23.1</v>
      </c>
      <c r="N1351" s="9">
        <f t="shared" si="169"/>
        <v>9</v>
      </c>
      <c r="O1351" s="9">
        <v>7.7</v>
      </c>
      <c r="P1351" s="9">
        <v>3</v>
      </c>
      <c r="Q1351" s="9" t="s">
        <v>6</v>
      </c>
      <c r="R1351" s="1">
        <v>0</v>
      </c>
      <c r="S1351" s="26"/>
    </row>
    <row r="1352" spans="1:19" ht="16.5" customHeight="1" x14ac:dyDescent="0.25">
      <c r="A1352" s="9"/>
      <c r="B1352" s="51" t="s">
        <v>58</v>
      </c>
      <c r="C1352" s="52"/>
      <c r="D1352" s="52"/>
      <c r="E1352" s="52"/>
      <c r="F1352" s="52"/>
      <c r="G1352" s="53"/>
      <c r="H1352" s="20"/>
      <c r="I1352" s="9">
        <v>1</v>
      </c>
      <c r="J1352" s="9"/>
      <c r="K1352" s="9"/>
      <c r="L1352" s="9"/>
      <c r="M1352" s="9">
        <f t="shared" si="168"/>
        <v>7.6</v>
      </c>
      <c r="N1352" s="9">
        <f t="shared" si="169"/>
        <v>3</v>
      </c>
      <c r="O1352" s="9">
        <v>7.6</v>
      </c>
      <c r="P1352" s="9">
        <v>3</v>
      </c>
      <c r="Q1352" s="9" t="s">
        <v>6</v>
      </c>
      <c r="R1352" s="1">
        <v>0</v>
      </c>
      <c r="S1352" s="26"/>
    </row>
    <row r="1353" spans="1:19" ht="16.5" customHeight="1" x14ac:dyDescent="0.25">
      <c r="A1353" s="9"/>
      <c r="B1353" s="51" t="s">
        <v>59</v>
      </c>
      <c r="C1353" s="52"/>
      <c r="D1353" s="52"/>
      <c r="E1353" s="52"/>
      <c r="F1353" s="52"/>
      <c r="G1353" s="53"/>
      <c r="H1353" s="20"/>
      <c r="I1353" s="9">
        <v>1</v>
      </c>
      <c r="J1353" s="9"/>
      <c r="K1353" s="9"/>
      <c r="L1353" s="9"/>
      <c r="M1353" s="9">
        <f t="shared" si="168"/>
        <v>7.7</v>
      </c>
      <c r="N1353" s="9">
        <f t="shared" si="169"/>
        <v>3</v>
      </c>
      <c r="O1353" s="9">
        <v>7.7</v>
      </c>
      <c r="P1353" s="9">
        <v>3</v>
      </c>
      <c r="Q1353" s="9" t="s">
        <v>6</v>
      </c>
      <c r="R1353" s="1">
        <v>0</v>
      </c>
      <c r="S1353" s="26"/>
    </row>
    <row r="1354" spans="1:19" ht="16.5" customHeight="1" x14ac:dyDescent="0.25">
      <c r="A1354" s="9"/>
      <c r="B1354" s="51" t="s">
        <v>60</v>
      </c>
      <c r="C1354" s="52"/>
      <c r="D1354" s="52"/>
      <c r="E1354" s="52"/>
      <c r="F1354" s="52"/>
      <c r="G1354" s="53"/>
      <c r="H1354" s="20"/>
      <c r="I1354" s="9">
        <v>3</v>
      </c>
      <c r="J1354" s="9"/>
      <c r="K1354" s="9"/>
      <c r="L1354" s="9"/>
      <c r="M1354" s="9">
        <f t="shared" si="168"/>
        <v>23.700000000000003</v>
      </c>
      <c r="N1354" s="9">
        <f t="shared" si="169"/>
        <v>9</v>
      </c>
      <c r="O1354" s="9">
        <v>7.9</v>
      </c>
      <c r="P1354" s="9">
        <v>3</v>
      </c>
      <c r="Q1354" s="9" t="s">
        <v>6</v>
      </c>
      <c r="R1354" s="1">
        <v>0</v>
      </c>
      <c r="S1354" s="26"/>
    </row>
    <row r="1355" spans="1:19" ht="16.5" customHeight="1" x14ac:dyDescent="0.25">
      <c r="A1355" s="9"/>
      <c r="B1355" s="51" t="s">
        <v>61</v>
      </c>
      <c r="C1355" s="52"/>
      <c r="D1355" s="52"/>
      <c r="E1355" s="52"/>
      <c r="F1355" s="52"/>
      <c r="G1355" s="53"/>
      <c r="H1355" s="20"/>
      <c r="I1355" s="9">
        <v>1</v>
      </c>
      <c r="J1355" s="9"/>
      <c r="K1355" s="9"/>
      <c r="L1355" s="9"/>
      <c r="M1355" s="9">
        <f t="shared" si="168"/>
        <v>6.9</v>
      </c>
      <c r="N1355" s="9">
        <f t="shared" si="169"/>
        <v>2.5</v>
      </c>
      <c r="O1355" s="9">
        <v>6.9</v>
      </c>
      <c r="P1355" s="9">
        <v>2.5</v>
      </c>
      <c r="Q1355" s="9" t="s">
        <v>5</v>
      </c>
      <c r="R1355" s="1">
        <v>0</v>
      </c>
      <c r="S1355" s="26"/>
    </row>
    <row r="1356" spans="1:19" ht="16.5" hidden="1" customHeight="1" x14ac:dyDescent="0.25">
      <c r="A1356" s="21"/>
      <c r="H1356" s="21"/>
      <c r="I1356" s="21"/>
      <c r="J1356" s="21"/>
      <c r="K1356" s="21"/>
      <c r="L1356" s="21"/>
      <c r="M1356" s="9">
        <f t="shared" si="168"/>
        <v>0</v>
      </c>
      <c r="N1356" s="9">
        <f t="shared" si="169"/>
        <v>0</v>
      </c>
      <c r="O1356" s="21"/>
      <c r="P1356" s="21"/>
      <c r="Q1356" s="21"/>
      <c r="S1356" s="25"/>
    </row>
    <row r="1357" spans="1:19" ht="16.5" customHeight="1" x14ac:dyDescent="0.25">
      <c r="A1357" s="9"/>
      <c r="B1357" s="39" t="s">
        <v>42</v>
      </c>
      <c r="C1357" s="40"/>
      <c r="D1357" s="40"/>
      <c r="E1357" s="40"/>
      <c r="F1357" s="40"/>
      <c r="G1357" s="41"/>
      <c r="H1357" s="23"/>
      <c r="I1357" s="24">
        <f>SUM(I1349:I1356)</f>
        <v>14</v>
      </c>
      <c r="J1357" s="9"/>
      <c r="K1357" s="9"/>
      <c r="L1357" s="9"/>
      <c r="M1357" s="9">
        <f t="shared" si="168"/>
        <v>103.60000000000001</v>
      </c>
      <c r="N1357" s="9">
        <f t="shared" si="169"/>
        <v>38.5</v>
      </c>
      <c r="O1357" s="24">
        <f>ROUND(SUM(M1349:M1356)/I1357,2)</f>
        <v>7.4</v>
      </c>
      <c r="P1357" s="24">
        <f>ROUND(SUM(N1349:N1356)/I1357,2)</f>
        <v>2.75</v>
      </c>
      <c r="Q1357" s="9"/>
      <c r="S1357" s="25"/>
    </row>
    <row r="1358" spans="1:19" ht="20.25" customHeight="1" x14ac:dyDescent="0.25">
      <c r="A1358" s="27" t="s">
        <v>62</v>
      </c>
      <c r="B1358" s="28"/>
      <c r="C1358" s="28"/>
      <c r="D1358" s="28"/>
      <c r="E1358" s="28"/>
      <c r="F1358" s="28"/>
      <c r="G1358" s="28"/>
      <c r="H1358" s="28"/>
      <c r="I1358" s="28"/>
      <c r="J1358" s="28"/>
      <c r="K1358" s="28"/>
      <c r="L1358" s="28"/>
      <c r="M1358" s="28"/>
      <c r="N1358" s="28"/>
      <c r="O1358" s="28"/>
      <c r="P1358" s="28"/>
      <c r="Q1358" s="28"/>
      <c r="R1358" s="28"/>
      <c r="S1358" s="28"/>
    </row>
    <row r="1359" spans="1:19" ht="16.5" customHeight="1" x14ac:dyDescent="0.25">
      <c r="A1359" s="9"/>
      <c r="B1359" s="51" t="s">
        <v>63</v>
      </c>
      <c r="C1359" s="52"/>
      <c r="D1359" s="52"/>
      <c r="E1359" s="52"/>
      <c r="F1359" s="52"/>
      <c r="G1359" s="53"/>
      <c r="H1359" s="20"/>
      <c r="I1359" s="9">
        <v>4</v>
      </c>
      <c r="J1359" s="9"/>
      <c r="K1359" s="9"/>
      <c r="L1359" s="9"/>
      <c r="M1359" s="9">
        <f t="shared" ref="M1359:M1367" si="170">I1359*O1359</f>
        <v>29.6</v>
      </c>
      <c r="N1359" s="9">
        <f t="shared" ref="N1359:N1367" si="171">I1359*P1359</f>
        <v>12</v>
      </c>
      <c r="O1359" s="9">
        <v>7.4</v>
      </c>
      <c r="P1359" s="9">
        <v>3</v>
      </c>
      <c r="Q1359" s="9" t="s">
        <v>6</v>
      </c>
      <c r="R1359" s="1">
        <v>0</v>
      </c>
      <c r="S1359" s="26"/>
    </row>
    <row r="1360" spans="1:19" ht="16.5" customHeight="1" x14ac:dyDescent="0.25">
      <c r="A1360" s="9"/>
      <c r="B1360" s="51" t="s">
        <v>64</v>
      </c>
      <c r="C1360" s="52"/>
      <c r="D1360" s="52"/>
      <c r="E1360" s="52"/>
      <c r="F1360" s="52"/>
      <c r="G1360" s="53"/>
      <c r="H1360" s="20"/>
      <c r="I1360" s="9">
        <v>4</v>
      </c>
      <c r="J1360" s="9"/>
      <c r="K1360" s="9"/>
      <c r="L1360" s="9"/>
      <c r="M1360" s="9">
        <f t="shared" si="170"/>
        <v>26</v>
      </c>
      <c r="N1360" s="9">
        <f t="shared" si="171"/>
        <v>10</v>
      </c>
      <c r="O1360" s="9">
        <v>6.5</v>
      </c>
      <c r="P1360" s="9">
        <v>2.5</v>
      </c>
      <c r="Q1360" s="9" t="s">
        <v>5</v>
      </c>
      <c r="R1360" s="1">
        <v>0</v>
      </c>
      <c r="S1360" s="26"/>
    </row>
    <row r="1361" spans="1:19" ht="16.5" customHeight="1" x14ac:dyDescent="0.25">
      <c r="A1361" s="9"/>
      <c r="B1361" s="51" t="s">
        <v>65</v>
      </c>
      <c r="C1361" s="52"/>
      <c r="D1361" s="52"/>
      <c r="E1361" s="52"/>
      <c r="F1361" s="52"/>
      <c r="G1361" s="53"/>
      <c r="H1361" s="20"/>
      <c r="I1361" s="9">
        <v>4</v>
      </c>
      <c r="J1361" s="9"/>
      <c r="K1361" s="9"/>
      <c r="L1361" s="9"/>
      <c r="M1361" s="9">
        <f t="shared" si="170"/>
        <v>30.4</v>
      </c>
      <c r="N1361" s="9">
        <f t="shared" si="171"/>
        <v>12</v>
      </c>
      <c r="O1361" s="9">
        <v>7.6</v>
      </c>
      <c r="P1361" s="9">
        <v>3</v>
      </c>
      <c r="Q1361" s="9" t="s">
        <v>6</v>
      </c>
      <c r="R1361" s="1">
        <v>0</v>
      </c>
      <c r="S1361" s="26"/>
    </row>
    <row r="1362" spans="1:19" ht="16.5" customHeight="1" x14ac:dyDescent="0.25">
      <c r="A1362" s="9"/>
      <c r="B1362" s="51" t="s">
        <v>66</v>
      </c>
      <c r="C1362" s="52"/>
      <c r="D1362" s="52"/>
      <c r="E1362" s="52"/>
      <c r="F1362" s="52"/>
      <c r="G1362" s="53"/>
      <c r="H1362" s="20"/>
      <c r="I1362" s="9">
        <v>1</v>
      </c>
      <c r="J1362" s="9"/>
      <c r="K1362" s="9"/>
      <c r="L1362" s="9"/>
      <c r="M1362" s="9">
        <f t="shared" si="170"/>
        <v>7.4</v>
      </c>
      <c r="N1362" s="9">
        <f t="shared" si="171"/>
        <v>3</v>
      </c>
      <c r="O1362" s="9">
        <v>7.4</v>
      </c>
      <c r="P1362" s="9">
        <v>3</v>
      </c>
      <c r="Q1362" s="9" t="s">
        <v>6</v>
      </c>
      <c r="R1362" s="1">
        <v>0</v>
      </c>
      <c r="S1362" s="26"/>
    </row>
    <row r="1363" spans="1:19" ht="16.5" customHeight="1" x14ac:dyDescent="0.25">
      <c r="A1363" s="9"/>
      <c r="B1363" s="51" t="s">
        <v>67</v>
      </c>
      <c r="C1363" s="52"/>
      <c r="D1363" s="52"/>
      <c r="E1363" s="52"/>
      <c r="F1363" s="52"/>
      <c r="G1363" s="53"/>
      <c r="H1363" s="20"/>
      <c r="I1363" s="9">
        <v>1</v>
      </c>
      <c r="J1363" s="9"/>
      <c r="K1363" s="9"/>
      <c r="L1363" s="9"/>
      <c r="M1363" s="9">
        <f t="shared" si="170"/>
        <v>8.1999999999999993</v>
      </c>
      <c r="N1363" s="9">
        <f t="shared" si="171"/>
        <v>3.5</v>
      </c>
      <c r="O1363" s="9">
        <v>8.1999999999999993</v>
      </c>
      <c r="P1363" s="9">
        <v>3.5</v>
      </c>
      <c r="Q1363" s="9" t="s">
        <v>9</v>
      </c>
      <c r="R1363" s="1">
        <v>0</v>
      </c>
      <c r="S1363" s="26"/>
    </row>
    <row r="1364" spans="1:19" ht="16.5" customHeight="1" x14ac:dyDescent="0.25">
      <c r="A1364" s="9"/>
      <c r="B1364" s="51" t="s">
        <v>69</v>
      </c>
      <c r="C1364" s="52"/>
      <c r="D1364" s="52"/>
      <c r="E1364" s="52"/>
      <c r="F1364" s="52"/>
      <c r="G1364" s="53"/>
      <c r="H1364" s="20"/>
      <c r="I1364" s="9">
        <v>1</v>
      </c>
      <c r="J1364" s="9"/>
      <c r="K1364" s="9"/>
      <c r="L1364" s="9"/>
      <c r="M1364" s="9">
        <f t="shared" si="170"/>
        <v>7.6</v>
      </c>
      <c r="N1364" s="9">
        <f t="shared" si="171"/>
        <v>3</v>
      </c>
      <c r="O1364" s="9">
        <v>7.6</v>
      </c>
      <c r="P1364" s="9">
        <v>3</v>
      </c>
      <c r="Q1364" s="9" t="s">
        <v>6</v>
      </c>
      <c r="R1364" s="1">
        <v>0</v>
      </c>
      <c r="S1364" s="26"/>
    </row>
    <row r="1365" spans="1:19" ht="16.5" customHeight="1" x14ac:dyDescent="0.25">
      <c r="A1365" s="9"/>
      <c r="B1365" s="51" t="s">
        <v>68</v>
      </c>
      <c r="C1365" s="52"/>
      <c r="D1365" s="52"/>
      <c r="E1365" s="52"/>
      <c r="F1365" s="52"/>
      <c r="G1365" s="53"/>
      <c r="H1365" s="20"/>
      <c r="I1365" s="9">
        <v>1</v>
      </c>
      <c r="J1365" s="9"/>
      <c r="K1365" s="9"/>
      <c r="L1365" s="9"/>
      <c r="M1365" s="9">
        <f t="shared" si="170"/>
        <v>7.6</v>
      </c>
      <c r="N1365" s="9">
        <f t="shared" si="171"/>
        <v>3</v>
      </c>
      <c r="O1365" s="9">
        <v>7.6</v>
      </c>
      <c r="P1365" s="9">
        <v>3</v>
      </c>
      <c r="Q1365" s="9" t="s">
        <v>6</v>
      </c>
      <c r="R1365" s="1">
        <v>0</v>
      </c>
      <c r="S1365" s="26"/>
    </row>
    <row r="1366" spans="1:19" ht="16.5" hidden="1" customHeight="1" x14ac:dyDescent="0.25">
      <c r="A1366" s="21"/>
      <c r="H1366" s="21"/>
      <c r="I1366" s="21"/>
      <c r="J1366" s="21"/>
      <c r="K1366" s="21"/>
      <c r="L1366" s="21"/>
      <c r="M1366" s="9">
        <f t="shared" si="170"/>
        <v>0</v>
      </c>
      <c r="N1366" s="9">
        <f t="shared" si="171"/>
        <v>0</v>
      </c>
      <c r="O1366" s="21"/>
      <c r="P1366" s="21"/>
      <c r="Q1366" s="21"/>
      <c r="S1366" s="25"/>
    </row>
    <row r="1367" spans="1:19" ht="16.5" customHeight="1" x14ac:dyDescent="0.25">
      <c r="A1367" s="9"/>
      <c r="B1367" s="39" t="s">
        <v>42</v>
      </c>
      <c r="C1367" s="40"/>
      <c r="D1367" s="40"/>
      <c r="E1367" s="40"/>
      <c r="F1367" s="40"/>
      <c r="G1367" s="41"/>
      <c r="H1367" s="23"/>
      <c r="I1367" s="24">
        <f>SUM(I1359:I1366)</f>
        <v>16</v>
      </c>
      <c r="J1367" s="9"/>
      <c r="K1367" s="9"/>
      <c r="L1367" s="9"/>
      <c r="M1367" s="9">
        <f t="shared" si="170"/>
        <v>116.8</v>
      </c>
      <c r="N1367" s="9">
        <f t="shared" si="171"/>
        <v>46.56</v>
      </c>
      <c r="O1367" s="24">
        <f>ROUND(SUM(M1359:M1366)/I1367,2)</f>
        <v>7.3</v>
      </c>
      <c r="P1367" s="24">
        <f>ROUND(SUM(N1359:N1366)/I1367,2)</f>
        <v>2.91</v>
      </c>
      <c r="Q1367" s="9"/>
      <c r="S1367" s="25"/>
    </row>
    <row r="1368" spans="1:19" ht="20.25" customHeight="1" x14ac:dyDescent="0.25">
      <c r="A1368" s="27" t="s">
        <v>70</v>
      </c>
      <c r="B1368" s="28"/>
      <c r="C1368" s="28"/>
      <c r="D1368" s="28"/>
      <c r="E1368" s="28"/>
      <c r="F1368" s="28"/>
      <c r="G1368" s="28"/>
      <c r="H1368" s="28"/>
      <c r="I1368" s="28"/>
      <c r="J1368" s="28"/>
      <c r="K1368" s="28"/>
      <c r="L1368" s="28"/>
      <c r="M1368" s="28"/>
      <c r="N1368" s="28"/>
      <c r="O1368" s="28"/>
      <c r="P1368" s="28"/>
      <c r="Q1368" s="28"/>
      <c r="R1368" s="28"/>
      <c r="S1368" s="28"/>
    </row>
    <row r="1369" spans="1:19" ht="16.5" customHeight="1" x14ac:dyDescent="0.25">
      <c r="A1369" s="9"/>
      <c r="B1369" s="51" t="s">
        <v>71</v>
      </c>
      <c r="C1369" s="52"/>
      <c r="D1369" s="52"/>
      <c r="E1369" s="52"/>
      <c r="F1369" s="52"/>
      <c r="G1369" s="53"/>
      <c r="H1369" s="20"/>
      <c r="I1369" s="9">
        <v>4</v>
      </c>
      <c r="J1369" s="9"/>
      <c r="K1369" s="9"/>
      <c r="L1369" s="9"/>
      <c r="M1369" s="9">
        <f t="shared" ref="M1369:M1378" si="172">I1369*O1369</f>
        <v>22.8</v>
      </c>
      <c r="N1369" s="9">
        <f t="shared" ref="N1369:N1378" si="173">I1369*P1369</f>
        <v>8</v>
      </c>
      <c r="O1369" s="9">
        <v>5.7</v>
      </c>
      <c r="P1369" s="9">
        <v>2</v>
      </c>
      <c r="Q1369" s="9" t="s">
        <v>3</v>
      </c>
      <c r="R1369" s="1">
        <v>0</v>
      </c>
      <c r="S1369" s="26"/>
    </row>
    <row r="1370" spans="1:19" ht="16.5" customHeight="1" x14ac:dyDescent="0.25">
      <c r="A1370" s="9"/>
      <c r="B1370" s="51" t="s">
        <v>72</v>
      </c>
      <c r="C1370" s="52"/>
      <c r="D1370" s="52"/>
      <c r="E1370" s="52"/>
      <c r="F1370" s="52"/>
      <c r="G1370" s="53"/>
      <c r="H1370" s="20"/>
      <c r="I1370" s="9">
        <v>4</v>
      </c>
      <c r="J1370" s="9"/>
      <c r="K1370" s="9"/>
      <c r="L1370" s="9"/>
      <c r="M1370" s="9">
        <f t="shared" si="172"/>
        <v>29.6</v>
      </c>
      <c r="N1370" s="9">
        <f t="shared" si="173"/>
        <v>12</v>
      </c>
      <c r="O1370" s="9">
        <v>7.4</v>
      </c>
      <c r="P1370" s="9">
        <v>3</v>
      </c>
      <c r="Q1370" s="9" t="s">
        <v>6</v>
      </c>
      <c r="R1370" s="1">
        <v>0</v>
      </c>
      <c r="S1370" s="26"/>
    </row>
    <row r="1371" spans="1:19" ht="16.5" customHeight="1" x14ac:dyDescent="0.25">
      <c r="A1371" s="9"/>
      <c r="B1371" s="51" t="s">
        <v>73</v>
      </c>
      <c r="C1371" s="52"/>
      <c r="D1371" s="52"/>
      <c r="E1371" s="52"/>
      <c r="F1371" s="52"/>
      <c r="G1371" s="53"/>
      <c r="H1371" s="20"/>
      <c r="I1371" s="9">
        <v>2</v>
      </c>
      <c r="J1371" s="9"/>
      <c r="K1371" s="9"/>
      <c r="L1371" s="9"/>
      <c r="M1371" s="9">
        <f t="shared" si="172"/>
        <v>14.8</v>
      </c>
      <c r="N1371" s="9">
        <f t="shared" si="173"/>
        <v>6</v>
      </c>
      <c r="O1371" s="9">
        <v>7.4</v>
      </c>
      <c r="P1371" s="9">
        <v>3</v>
      </c>
      <c r="Q1371" s="9" t="s">
        <v>6</v>
      </c>
      <c r="R1371" s="1">
        <v>0</v>
      </c>
      <c r="S1371" s="26"/>
    </row>
    <row r="1372" spans="1:19" ht="16.5" customHeight="1" x14ac:dyDescent="0.25">
      <c r="A1372" s="9"/>
      <c r="B1372" s="51" t="s">
        <v>74</v>
      </c>
      <c r="C1372" s="52"/>
      <c r="D1372" s="52"/>
      <c r="E1372" s="52"/>
      <c r="F1372" s="52"/>
      <c r="G1372" s="53"/>
      <c r="H1372" s="20"/>
      <c r="I1372" s="9">
        <v>2</v>
      </c>
      <c r="J1372" s="9"/>
      <c r="K1372" s="9"/>
      <c r="L1372" s="9"/>
      <c r="M1372" s="9">
        <f t="shared" si="172"/>
        <v>14.8</v>
      </c>
      <c r="N1372" s="9">
        <f t="shared" si="173"/>
        <v>6</v>
      </c>
      <c r="O1372" s="9">
        <v>7.4</v>
      </c>
      <c r="P1372" s="9">
        <v>3</v>
      </c>
      <c r="Q1372" s="9" t="s">
        <v>6</v>
      </c>
      <c r="R1372" s="1">
        <v>0</v>
      </c>
      <c r="S1372" s="26"/>
    </row>
    <row r="1373" spans="1:19" ht="16.5" customHeight="1" x14ac:dyDescent="0.25">
      <c r="A1373" s="9"/>
      <c r="B1373" s="51" t="s">
        <v>75</v>
      </c>
      <c r="C1373" s="52"/>
      <c r="D1373" s="52"/>
      <c r="E1373" s="52"/>
      <c r="F1373" s="52"/>
      <c r="G1373" s="53"/>
      <c r="H1373" s="20"/>
      <c r="I1373" s="9">
        <v>1</v>
      </c>
      <c r="J1373" s="9"/>
      <c r="K1373" s="9"/>
      <c r="L1373" s="9"/>
      <c r="M1373" s="9">
        <f t="shared" si="172"/>
        <v>6.7</v>
      </c>
      <c r="N1373" s="9">
        <f t="shared" si="173"/>
        <v>2.5</v>
      </c>
      <c r="O1373" s="9">
        <v>6.7</v>
      </c>
      <c r="P1373" s="9">
        <v>2.5</v>
      </c>
      <c r="Q1373" s="9" t="s">
        <v>5</v>
      </c>
      <c r="R1373" s="1">
        <v>0</v>
      </c>
      <c r="S1373" s="26"/>
    </row>
    <row r="1374" spans="1:19" ht="16.5" customHeight="1" x14ac:dyDescent="0.25">
      <c r="A1374" s="9"/>
      <c r="B1374" s="51" t="s">
        <v>76</v>
      </c>
      <c r="C1374" s="52"/>
      <c r="D1374" s="52"/>
      <c r="E1374" s="52"/>
      <c r="F1374" s="52"/>
      <c r="G1374" s="53"/>
      <c r="H1374" s="20"/>
      <c r="I1374" s="9">
        <v>4</v>
      </c>
      <c r="J1374" s="9"/>
      <c r="K1374" s="9"/>
      <c r="L1374" s="9"/>
      <c r="M1374" s="9">
        <f t="shared" si="172"/>
        <v>34</v>
      </c>
      <c r="N1374" s="9">
        <f t="shared" si="173"/>
        <v>14.8</v>
      </c>
      <c r="O1374" s="9">
        <v>8.5</v>
      </c>
      <c r="P1374" s="9">
        <v>3.7</v>
      </c>
      <c r="Q1374" s="9" t="s">
        <v>10</v>
      </c>
      <c r="R1374" s="1">
        <v>0</v>
      </c>
      <c r="S1374" s="26"/>
    </row>
    <row r="1375" spans="1:19" ht="16.5" customHeight="1" x14ac:dyDescent="0.25">
      <c r="A1375" s="9"/>
      <c r="B1375" s="51" t="s">
        <v>77</v>
      </c>
      <c r="C1375" s="52"/>
      <c r="D1375" s="52"/>
      <c r="E1375" s="52"/>
      <c r="F1375" s="52"/>
      <c r="G1375" s="53"/>
      <c r="H1375" s="20"/>
      <c r="I1375" s="9">
        <v>1</v>
      </c>
      <c r="J1375" s="9"/>
      <c r="K1375" s="9"/>
      <c r="L1375" s="9"/>
      <c r="M1375" s="9">
        <f t="shared" si="172"/>
        <v>6.3</v>
      </c>
      <c r="N1375" s="9">
        <f t="shared" si="173"/>
        <v>2</v>
      </c>
      <c r="O1375" s="9">
        <v>6.3</v>
      </c>
      <c r="P1375" s="9">
        <v>2</v>
      </c>
      <c r="Q1375" s="9" t="s">
        <v>3</v>
      </c>
      <c r="R1375" s="1">
        <v>0</v>
      </c>
      <c r="S1375" s="26"/>
    </row>
    <row r="1376" spans="1:19" ht="16.5" customHeight="1" x14ac:dyDescent="0.25">
      <c r="A1376" s="9"/>
      <c r="B1376" s="51" t="s">
        <v>78</v>
      </c>
      <c r="C1376" s="52"/>
      <c r="D1376" s="52"/>
      <c r="E1376" s="52"/>
      <c r="F1376" s="52"/>
      <c r="G1376" s="53"/>
      <c r="H1376" s="20"/>
      <c r="I1376" s="9">
        <v>3</v>
      </c>
      <c r="J1376" s="9"/>
      <c r="K1376" s="9"/>
      <c r="L1376" s="9"/>
      <c r="M1376" s="9">
        <f t="shared" si="172"/>
        <v>13.5</v>
      </c>
      <c r="N1376" s="9">
        <f t="shared" si="173"/>
        <v>3</v>
      </c>
      <c r="O1376" s="9">
        <v>4.5</v>
      </c>
      <c r="P1376" s="9">
        <v>1</v>
      </c>
      <c r="Q1376" s="9" t="s">
        <v>8</v>
      </c>
      <c r="R1376" s="1">
        <v>0</v>
      </c>
      <c r="S1376" s="26"/>
    </row>
    <row r="1377" spans="1:19" ht="16.5" hidden="1" customHeight="1" x14ac:dyDescent="0.25">
      <c r="A1377" s="21"/>
      <c r="H1377" s="21"/>
      <c r="I1377" s="21"/>
      <c r="J1377" s="21"/>
      <c r="K1377" s="21"/>
      <c r="L1377" s="21"/>
      <c r="M1377" s="9">
        <f t="shared" si="172"/>
        <v>0</v>
      </c>
      <c r="N1377" s="9">
        <f t="shared" si="173"/>
        <v>0</v>
      </c>
      <c r="O1377" s="21"/>
      <c r="P1377" s="21"/>
      <c r="Q1377" s="21"/>
      <c r="S1377" s="25"/>
    </row>
    <row r="1378" spans="1:19" ht="16.5" customHeight="1" x14ac:dyDescent="0.25">
      <c r="A1378" s="9"/>
      <c r="B1378" s="39" t="s">
        <v>42</v>
      </c>
      <c r="C1378" s="40"/>
      <c r="D1378" s="40"/>
      <c r="E1378" s="40"/>
      <c r="F1378" s="40"/>
      <c r="G1378" s="41"/>
      <c r="H1378" s="23"/>
      <c r="I1378" s="24">
        <f>SUM(I1369:I1377)</f>
        <v>21</v>
      </c>
      <c r="J1378" s="9"/>
      <c r="K1378" s="9"/>
      <c r="L1378" s="9"/>
      <c r="M1378" s="9">
        <f t="shared" si="172"/>
        <v>142.59</v>
      </c>
      <c r="N1378" s="9">
        <f t="shared" si="173"/>
        <v>54.39</v>
      </c>
      <c r="O1378" s="24">
        <f>ROUND(SUM(M1369:M1377)/I1378,2)</f>
        <v>6.79</v>
      </c>
      <c r="P1378" s="24">
        <f>ROUND(SUM(N1369:N1377)/I1378,2)</f>
        <v>2.59</v>
      </c>
      <c r="Q1378" s="9"/>
      <c r="S1378" s="25"/>
    </row>
    <row r="1379" spans="1:19" ht="20.25" customHeight="1" x14ac:dyDescent="0.25">
      <c r="A1379" s="27" t="s">
        <v>79</v>
      </c>
      <c r="B1379" s="28"/>
      <c r="C1379" s="28"/>
      <c r="D1379" s="28"/>
      <c r="E1379" s="28"/>
      <c r="F1379" s="28"/>
      <c r="G1379" s="28"/>
      <c r="H1379" s="28"/>
      <c r="I1379" s="28"/>
      <c r="J1379" s="28"/>
      <c r="K1379" s="28"/>
      <c r="L1379" s="28"/>
      <c r="M1379" s="28"/>
      <c r="N1379" s="28"/>
      <c r="O1379" s="28"/>
      <c r="P1379" s="28"/>
      <c r="Q1379" s="28"/>
      <c r="R1379" s="28"/>
      <c r="S1379" s="28"/>
    </row>
    <row r="1380" spans="1:19" ht="16.5" customHeight="1" x14ac:dyDescent="0.25">
      <c r="A1380" s="9"/>
      <c r="B1380" s="51" t="s">
        <v>80</v>
      </c>
      <c r="C1380" s="52"/>
      <c r="D1380" s="52"/>
      <c r="E1380" s="52"/>
      <c r="F1380" s="52"/>
      <c r="G1380" s="53"/>
      <c r="H1380" s="20"/>
      <c r="I1380" s="9">
        <v>3</v>
      </c>
      <c r="J1380" s="9"/>
      <c r="K1380" s="9"/>
      <c r="L1380" s="9"/>
      <c r="M1380" s="9">
        <f t="shared" ref="M1380:M1385" si="174">I1380*O1380</f>
        <v>21.6</v>
      </c>
      <c r="N1380" s="9">
        <f t="shared" ref="N1380:N1385" si="175">I1380*P1380</f>
        <v>9</v>
      </c>
      <c r="O1380" s="9">
        <v>7.2</v>
      </c>
      <c r="P1380" s="9">
        <v>3</v>
      </c>
      <c r="Q1380" s="9" t="s">
        <v>6</v>
      </c>
      <c r="R1380" s="1">
        <v>0</v>
      </c>
      <c r="S1380" s="26"/>
    </row>
    <row r="1381" spans="1:19" ht="16.5" customHeight="1" x14ac:dyDescent="0.25">
      <c r="A1381" s="9"/>
      <c r="B1381" s="51" t="s">
        <v>81</v>
      </c>
      <c r="C1381" s="52"/>
      <c r="D1381" s="52"/>
      <c r="E1381" s="52"/>
      <c r="F1381" s="52"/>
      <c r="G1381" s="53"/>
      <c r="H1381" s="20"/>
      <c r="I1381" s="9">
        <v>4</v>
      </c>
      <c r="J1381" s="9"/>
      <c r="K1381" s="9"/>
      <c r="L1381" s="9"/>
      <c r="M1381" s="9">
        <f t="shared" si="174"/>
        <v>26</v>
      </c>
      <c r="N1381" s="9">
        <f t="shared" si="175"/>
        <v>10</v>
      </c>
      <c r="O1381" s="9">
        <v>6.5</v>
      </c>
      <c r="P1381" s="9">
        <v>2.5</v>
      </c>
      <c r="Q1381" s="9" t="s">
        <v>5</v>
      </c>
      <c r="R1381" s="1">
        <v>0</v>
      </c>
      <c r="S1381" s="26"/>
    </row>
    <row r="1382" spans="1:19" ht="16.5" customHeight="1" x14ac:dyDescent="0.25">
      <c r="A1382" s="9"/>
      <c r="B1382" s="51" t="s">
        <v>82</v>
      </c>
      <c r="C1382" s="52"/>
      <c r="D1382" s="52"/>
      <c r="E1382" s="52"/>
      <c r="F1382" s="52"/>
      <c r="G1382" s="53"/>
      <c r="H1382" s="20"/>
      <c r="I1382" s="9">
        <v>3</v>
      </c>
      <c r="J1382" s="9"/>
      <c r="K1382" s="9"/>
      <c r="L1382" s="9"/>
      <c r="M1382" s="9">
        <f t="shared" si="174"/>
        <v>22.799999999999997</v>
      </c>
      <c r="N1382" s="9">
        <f t="shared" si="175"/>
        <v>9</v>
      </c>
      <c r="O1382" s="9">
        <v>7.6</v>
      </c>
      <c r="P1382" s="9">
        <v>3</v>
      </c>
      <c r="Q1382" s="9" t="s">
        <v>6</v>
      </c>
      <c r="R1382" s="1">
        <v>0</v>
      </c>
      <c r="S1382" s="26"/>
    </row>
    <row r="1383" spans="1:19" ht="16.5" customHeight="1" x14ac:dyDescent="0.25">
      <c r="A1383" s="9"/>
      <c r="B1383" s="51" t="s">
        <v>83</v>
      </c>
      <c r="C1383" s="52"/>
      <c r="D1383" s="52"/>
      <c r="E1383" s="52"/>
      <c r="F1383" s="52"/>
      <c r="G1383" s="53"/>
      <c r="H1383" s="20"/>
      <c r="I1383" s="9">
        <v>1</v>
      </c>
      <c r="J1383" s="9"/>
      <c r="K1383" s="9"/>
      <c r="L1383" s="9"/>
      <c r="M1383" s="9">
        <f t="shared" si="174"/>
        <v>7.5</v>
      </c>
      <c r="N1383" s="9">
        <f t="shared" si="175"/>
        <v>3</v>
      </c>
      <c r="O1383" s="9">
        <v>7.5</v>
      </c>
      <c r="P1383" s="9">
        <v>3</v>
      </c>
      <c r="Q1383" s="9" t="s">
        <v>6</v>
      </c>
      <c r="R1383" s="1">
        <v>0</v>
      </c>
      <c r="S1383" s="26"/>
    </row>
    <row r="1384" spans="1:19" ht="16.5" customHeight="1" x14ac:dyDescent="0.25">
      <c r="A1384" s="9"/>
      <c r="B1384" s="51" t="s">
        <v>84</v>
      </c>
      <c r="C1384" s="52"/>
      <c r="D1384" s="52"/>
      <c r="E1384" s="52"/>
      <c r="F1384" s="52"/>
      <c r="G1384" s="53"/>
      <c r="H1384" s="20"/>
      <c r="I1384" s="9">
        <v>2</v>
      </c>
      <c r="J1384" s="9"/>
      <c r="K1384" s="9"/>
      <c r="L1384" s="9"/>
      <c r="M1384" s="9">
        <f t="shared" si="174"/>
        <v>12.6</v>
      </c>
      <c r="N1384" s="9">
        <f t="shared" si="175"/>
        <v>4</v>
      </c>
      <c r="O1384" s="9">
        <v>6.3</v>
      </c>
      <c r="P1384" s="9">
        <v>2</v>
      </c>
      <c r="Q1384" s="9" t="s">
        <v>3</v>
      </c>
      <c r="R1384" s="1">
        <v>0</v>
      </c>
      <c r="S1384" s="26"/>
    </row>
    <row r="1385" spans="1:19" ht="16.5" customHeight="1" x14ac:dyDescent="0.25">
      <c r="A1385" s="9"/>
      <c r="B1385" s="51" t="s">
        <v>85</v>
      </c>
      <c r="C1385" s="52"/>
      <c r="D1385" s="52"/>
      <c r="E1385" s="52"/>
      <c r="F1385" s="52"/>
      <c r="G1385" s="53"/>
      <c r="H1385" s="20"/>
      <c r="I1385" s="9">
        <v>2</v>
      </c>
      <c r="J1385" s="9"/>
      <c r="K1385" s="9"/>
      <c r="L1385" s="9"/>
      <c r="M1385" s="9">
        <f t="shared" si="174"/>
        <v>14.2</v>
      </c>
      <c r="N1385" s="9">
        <f t="shared" si="175"/>
        <v>6</v>
      </c>
      <c r="O1385" s="9">
        <v>7.1</v>
      </c>
      <c r="P1385" s="9">
        <v>3</v>
      </c>
      <c r="Q1385" s="9" t="s">
        <v>6</v>
      </c>
      <c r="R1385" s="1">
        <v>0</v>
      </c>
      <c r="S1385" s="26"/>
    </row>
    <row r="1386" spans="1:19" ht="15" customHeight="1" x14ac:dyDescent="0.25">
      <c r="A1386" s="36" t="s">
        <v>0</v>
      </c>
      <c r="B1386" s="29" t="s">
        <v>1</v>
      </c>
      <c r="C1386" s="30"/>
      <c r="D1386" s="30"/>
      <c r="E1386" s="30"/>
      <c r="F1386" s="30"/>
      <c r="G1386" s="31"/>
      <c r="H1386" s="36" t="s">
        <v>32</v>
      </c>
      <c r="I1386" s="36" t="s">
        <v>39</v>
      </c>
      <c r="J1386" s="55" t="s">
        <v>2</v>
      </c>
      <c r="K1386" s="56"/>
      <c r="L1386" s="56"/>
      <c r="M1386" s="56"/>
      <c r="N1386" s="56"/>
      <c r="O1386" s="56"/>
      <c r="P1386" s="56"/>
      <c r="Q1386" s="57"/>
      <c r="S1386" s="36" t="s">
        <v>38</v>
      </c>
    </row>
    <row r="1387" spans="1:19" ht="24" customHeight="1" x14ac:dyDescent="0.25">
      <c r="A1387" s="37"/>
      <c r="B1387" s="32"/>
      <c r="C1387" s="33"/>
      <c r="D1387" s="33"/>
      <c r="E1387" s="33"/>
      <c r="F1387" s="33"/>
      <c r="G1387" s="34"/>
      <c r="H1387" s="37"/>
      <c r="I1387" s="37"/>
      <c r="J1387" s="7" t="s">
        <v>28</v>
      </c>
      <c r="K1387" s="7" t="s">
        <v>29</v>
      </c>
      <c r="L1387" s="7" t="s">
        <v>30</v>
      </c>
      <c r="M1387" s="7"/>
      <c r="N1387" s="7"/>
      <c r="O1387" s="6" t="s">
        <v>35</v>
      </c>
      <c r="P1387" s="6" t="s">
        <v>36</v>
      </c>
      <c r="Q1387" s="6" t="s">
        <v>37</v>
      </c>
      <c r="S1387" s="37"/>
    </row>
    <row r="1388" spans="1:19" ht="16.5" customHeight="1" x14ac:dyDescent="0.25">
      <c r="A1388" s="9"/>
      <c r="B1388" s="51" t="s">
        <v>86</v>
      </c>
      <c r="C1388" s="52"/>
      <c r="D1388" s="52"/>
      <c r="E1388" s="52"/>
      <c r="F1388" s="52"/>
      <c r="G1388" s="53"/>
      <c r="H1388" s="20"/>
      <c r="I1388" s="9">
        <v>2</v>
      </c>
      <c r="J1388" s="9"/>
      <c r="K1388" s="9"/>
      <c r="L1388" s="9"/>
      <c r="M1388" s="9">
        <f>I1388*O1388</f>
        <v>13.8</v>
      </c>
      <c r="N1388" s="9">
        <f>I1388*P1388</f>
        <v>5</v>
      </c>
      <c r="O1388" s="9">
        <v>6.9</v>
      </c>
      <c r="P1388" s="9">
        <v>2.5</v>
      </c>
      <c r="Q1388" s="9" t="s">
        <v>5</v>
      </c>
      <c r="R1388" s="1">
        <v>0</v>
      </c>
      <c r="S1388" s="26"/>
    </row>
    <row r="1389" spans="1:19" ht="16.5" customHeight="1" x14ac:dyDescent="0.25">
      <c r="A1389" s="9"/>
      <c r="B1389" s="51" t="s">
        <v>87</v>
      </c>
      <c r="C1389" s="52"/>
      <c r="D1389" s="52"/>
      <c r="E1389" s="52"/>
      <c r="F1389" s="52"/>
      <c r="G1389" s="53"/>
      <c r="H1389" s="20"/>
      <c r="I1389" s="9">
        <v>3</v>
      </c>
      <c r="J1389" s="9"/>
      <c r="K1389" s="9"/>
      <c r="L1389" s="9"/>
      <c r="M1389" s="9">
        <f>I1389*O1389</f>
        <v>21</v>
      </c>
      <c r="N1389" s="9">
        <f>I1389*P1389</f>
        <v>9</v>
      </c>
      <c r="O1389" s="9">
        <v>7</v>
      </c>
      <c r="P1389" s="9">
        <v>3</v>
      </c>
      <c r="Q1389" s="9" t="s">
        <v>6</v>
      </c>
      <c r="R1389" s="1">
        <v>0</v>
      </c>
      <c r="S1389" s="26"/>
    </row>
    <row r="1390" spans="1:19" ht="16.5" customHeight="1" x14ac:dyDescent="0.25">
      <c r="A1390" s="9"/>
      <c r="B1390" s="51" t="s">
        <v>88</v>
      </c>
      <c r="C1390" s="52"/>
      <c r="D1390" s="52"/>
      <c r="E1390" s="52"/>
      <c r="F1390" s="52"/>
      <c r="G1390" s="53"/>
      <c r="H1390" s="20"/>
      <c r="I1390" s="9">
        <v>3</v>
      </c>
      <c r="J1390" s="9"/>
      <c r="K1390" s="9"/>
      <c r="L1390" s="9"/>
      <c r="M1390" s="9">
        <f>I1390*O1390</f>
        <v>26.700000000000003</v>
      </c>
      <c r="N1390" s="9">
        <f>I1390*P1390</f>
        <v>11.100000000000001</v>
      </c>
      <c r="O1390" s="9">
        <v>8.9</v>
      </c>
      <c r="P1390" s="9">
        <v>3.7</v>
      </c>
      <c r="Q1390" s="9" t="s">
        <v>10</v>
      </c>
      <c r="R1390" s="1">
        <v>0</v>
      </c>
      <c r="S1390" s="26"/>
    </row>
    <row r="1391" spans="1:19" ht="16.5" hidden="1" customHeight="1" x14ac:dyDescent="0.25">
      <c r="A1391" s="21"/>
      <c r="H1391" s="21"/>
      <c r="I1391" s="21"/>
      <c r="J1391" s="21"/>
      <c r="K1391" s="21"/>
      <c r="L1391" s="21"/>
      <c r="M1391" s="9">
        <f>I1391*O1391</f>
        <v>0</v>
      </c>
      <c r="N1391" s="9">
        <f>I1391*P1391</f>
        <v>0</v>
      </c>
      <c r="O1391" s="21"/>
      <c r="P1391" s="21"/>
      <c r="Q1391" s="21"/>
      <c r="S1391" s="25"/>
    </row>
    <row r="1392" spans="1:19" ht="16.5" customHeight="1" x14ac:dyDescent="0.25">
      <c r="A1392" s="9"/>
      <c r="B1392" s="39" t="s">
        <v>42</v>
      </c>
      <c r="C1392" s="40"/>
      <c r="D1392" s="40"/>
      <c r="E1392" s="40"/>
      <c r="F1392" s="40"/>
      <c r="G1392" s="41"/>
      <c r="H1392" s="23"/>
      <c r="I1392" s="24">
        <f>SUM(I1380:I1391)</f>
        <v>23</v>
      </c>
      <c r="J1392" s="9"/>
      <c r="K1392" s="9"/>
      <c r="L1392" s="9"/>
      <c r="M1392" s="9">
        <f>I1392*O1392</f>
        <v>166.29000000000002</v>
      </c>
      <c r="N1392" s="9">
        <f>I1392*P1392</f>
        <v>66.010000000000005</v>
      </c>
      <c r="O1392" s="24">
        <f>ROUND(SUM(M1380:M1391)/I1392,2)</f>
        <v>7.23</v>
      </c>
      <c r="P1392" s="24">
        <f>ROUND(SUM(N1380:N1391)/I1392,2)</f>
        <v>2.87</v>
      </c>
      <c r="Q1392" s="9"/>
      <c r="S1392" s="25"/>
    </row>
    <row r="1393" spans="1:19" ht="20.25" customHeight="1" x14ac:dyDescent="0.25">
      <c r="A1393" s="27" t="s">
        <v>89</v>
      </c>
      <c r="B1393" s="28"/>
      <c r="C1393" s="28"/>
      <c r="D1393" s="28"/>
      <c r="E1393" s="28"/>
      <c r="F1393" s="28"/>
      <c r="G1393" s="28"/>
      <c r="H1393" s="28"/>
      <c r="I1393" s="28"/>
      <c r="J1393" s="28"/>
      <c r="K1393" s="28"/>
      <c r="L1393" s="28"/>
      <c r="M1393" s="28"/>
      <c r="N1393" s="28"/>
      <c r="O1393" s="28"/>
      <c r="P1393" s="28"/>
      <c r="Q1393" s="28"/>
      <c r="R1393" s="28"/>
      <c r="S1393" s="28"/>
    </row>
    <row r="1394" spans="1:19" ht="16.5" customHeight="1" x14ac:dyDescent="0.25">
      <c r="A1394" s="9"/>
      <c r="B1394" s="51" t="s">
        <v>90</v>
      </c>
      <c r="C1394" s="52"/>
      <c r="D1394" s="52"/>
      <c r="E1394" s="52"/>
      <c r="F1394" s="52"/>
      <c r="G1394" s="53"/>
      <c r="H1394" s="20"/>
      <c r="I1394" s="9">
        <v>1</v>
      </c>
      <c r="J1394" s="9"/>
      <c r="K1394" s="9"/>
      <c r="L1394" s="9"/>
      <c r="M1394" s="9">
        <f t="shared" ref="M1394:M1406" si="176">I1394*O1394</f>
        <v>7.4</v>
      </c>
      <c r="N1394" s="9">
        <f t="shared" ref="N1394:N1406" si="177">I1394*P1394</f>
        <v>3</v>
      </c>
      <c r="O1394" s="9">
        <v>7.4</v>
      </c>
      <c r="P1394" s="9">
        <v>3</v>
      </c>
      <c r="Q1394" s="9" t="s">
        <v>6</v>
      </c>
      <c r="R1394" s="1">
        <v>0</v>
      </c>
      <c r="S1394" s="26"/>
    </row>
    <row r="1395" spans="1:19" ht="16.5" customHeight="1" x14ac:dyDescent="0.25">
      <c r="A1395" s="9"/>
      <c r="B1395" s="51" t="s">
        <v>91</v>
      </c>
      <c r="C1395" s="52"/>
      <c r="D1395" s="52"/>
      <c r="E1395" s="52"/>
      <c r="F1395" s="52"/>
      <c r="G1395" s="53"/>
      <c r="H1395" s="20"/>
      <c r="I1395" s="9">
        <v>3</v>
      </c>
      <c r="J1395" s="9"/>
      <c r="K1395" s="9"/>
      <c r="L1395" s="9"/>
      <c r="M1395" s="9">
        <f t="shared" si="176"/>
        <v>9</v>
      </c>
      <c r="N1395" s="9">
        <f t="shared" si="177"/>
        <v>0</v>
      </c>
      <c r="O1395" s="9">
        <v>3</v>
      </c>
      <c r="P1395" s="9">
        <v>0</v>
      </c>
      <c r="Q1395" s="9" t="s">
        <v>7</v>
      </c>
      <c r="R1395" s="1">
        <v>0</v>
      </c>
      <c r="S1395" s="26"/>
    </row>
    <row r="1396" spans="1:19" ht="16.5" customHeight="1" x14ac:dyDescent="0.25">
      <c r="A1396" s="9"/>
      <c r="B1396" s="51" t="s">
        <v>92</v>
      </c>
      <c r="C1396" s="52"/>
      <c r="D1396" s="52"/>
      <c r="E1396" s="52"/>
      <c r="F1396" s="52"/>
      <c r="G1396" s="53"/>
      <c r="H1396" s="20"/>
      <c r="I1396" s="9">
        <v>1</v>
      </c>
      <c r="J1396" s="9"/>
      <c r="K1396" s="9"/>
      <c r="L1396" s="9"/>
      <c r="M1396" s="9">
        <f t="shared" si="176"/>
        <v>9</v>
      </c>
      <c r="N1396" s="9">
        <f t="shared" si="177"/>
        <v>4</v>
      </c>
      <c r="O1396" s="9">
        <v>9</v>
      </c>
      <c r="P1396" s="9">
        <v>4</v>
      </c>
      <c r="Q1396" s="9" t="s">
        <v>12</v>
      </c>
      <c r="R1396" s="1">
        <v>0</v>
      </c>
      <c r="S1396" s="26"/>
    </row>
    <row r="1397" spans="1:19" ht="16.5" customHeight="1" x14ac:dyDescent="0.25">
      <c r="A1397" s="9"/>
      <c r="B1397" s="51" t="s">
        <v>93</v>
      </c>
      <c r="C1397" s="52"/>
      <c r="D1397" s="52"/>
      <c r="E1397" s="52"/>
      <c r="F1397" s="52"/>
      <c r="G1397" s="53"/>
      <c r="H1397" s="20"/>
      <c r="I1397" s="9">
        <v>2</v>
      </c>
      <c r="J1397" s="9"/>
      <c r="K1397" s="9"/>
      <c r="L1397" s="9"/>
      <c r="M1397" s="9">
        <f t="shared" si="176"/>
        <v>14.4</v>
      </c>
      <c r="N1397" s="9">
        <f t="shared" si="177"/>
        <v>6</v>
      </c>
      <c r="O1397" s="9">
        <v>7.2</v>
      </c>
      <c r="P1397" s="9">
        <v>3</v>
      </c>
      <c r="Q1397" s="9" t="s">
        <v>6</v>
      </c>
      <c r="R1397" s="1">
        <v>0</v>
      </c>
      <c r="S1397" s="26"/>
    </row>
    <row r="1398" spans="1:19" ht="16.5" customHeight="1" x14ac:dyDescent="0.25">
      <c r="A1398" s="9"/>
      <c r="B1398" s="51" t="s">
        <v>94</v>
      </c>
      <c r="C1398" s="52"/>
      <c r="D1398" s="52"/>
      <c r="E1398" s="52"/>
      <c r="F1398" s="52"/>
      <c r="G1398" s="53"/>
      <c r="H1398" s="20"/>
      <c r="I1398" s="9">
        <v>1</v>
      </c>
      <c r="J1398" s="9"/>
      <c r="K1398" s="9"/>
      <c r="L1398" s="9"/>
      <c r="M1398" s="9">
        <f t="shared" si="176"/>
        <v>5.5</v>
      </c>
      <c r="N1398" s="9">
        <f t="shared" si="177"/>
        <v>2</v>
      </c>
      <c r="O1398" s="9">
        <v>5.5</v>
      </c>
      <c r="P1398" s="9">
        <v>2</v>
      </c>
      <c r="Q1398" s="9" t="s">
        <v>3</v>
      </c>
      <c r="R1398" s="1">
        <v>0</v>
      </c>
      <c r="S1398" s="26"/>
    </row>
    <row r="1399" spans="1:19" ht="16.5" customHeight="1" x14ac:dyDescent="0.25">
      <c r="A1399" s="9"/>
      <c r="B1399" s="51" t="s">
        <v>95</v>
      </c>
      <c r="C1399" s="52"/>
      <c r="D1399" s="52"/>
      <c r="E1399" s="52"/>
      <c r="F1399" s="52"/>
      <c r="G1399" s="53"/>
      <c r="H1399" s="20"/>
      <c r="I1399" s="9">
        <v>2</v>
      </c>
      <c r="J1399" s="9"/>
      <c r="K1399" s="9"/>
      <c r="L1399" s="9"/>
      <c r="M1399" s="9">
        <f t="shared" si="176"/>
        <v>13.4</v>
      </c>
      <c r="N1399" s="9">
        <f t="shared" si="177"/>
        <v>5</v>
      </c>
      <c r="O1399" s="9">
        <v>6.7</v>
      </c>
      <c r="P1399" s="9">
        <v>2.5</v>
      </c>
      <c r="Q1399" s="9" t="s">
        <v>5</v>
      </c>
      <c r="R1399" s="1">
        <v>0</v>
      </c>
      <c r="S1399" s="26"/>
    </row>
    <row r="1400" spans="1:19" ht="16.5" customHeight="1" x14ac:dyDescent="0.25">
      <c r="A1400" s="9"/>
      <c r="B1400" s="51" t="s">
        <v>96</v>
      </c>
      <c r="C1400" s="52"/>
      <c r="D1400" s="52"/>
      <c r="E1400" s="52"/>
      <c r="F1400" s="52"/>
      <c r="G1400" s="53"/>
      <c r="H1400" s="20"/>
      <c r="I1400" s="9">
        <v>2</v>
      </c>
      <c r="J1400" s="9"/>
      <c r="K1400" s="9"/>
      <c r="L1400" s="9"/>
      <c r="M1400" s="9">
        <f t="shared" si="176"/>
        <v>12.4</v>
      </c>
      <c r="N1400" s="9">
        <f t="shared" si="177"/>
        <v>4</v>
      </c>
      <c r="O1400" s="9">
        <v>6.2</v>
      </c>
      <c r="P1400" s="9">
        <v>2</v>
      </c>
      <c r="Q1400" s="9" t="s">
        <v>3</v>
      </c>
      <c r="R1400" s="1">
        <v>0</v>
      </c>
      <c r="S1400" s="26"/>
    </row>
    <row r="1401" spans="1:19" ht="16.5" customHeight="1" x14ac:dyDescent="0.25">
      <c r="A1401" s="9"/>
      <c r="B1401" s="51" t="s">
        <v>97</v>
      </c>
      <c r="C1401" s="52"/>
      <c r="D1401" s="52"/>
      <c r="E1401" s="52"/>
      <c r="F1401" s="52"/>
      <c r="G1401" s="53"/>
      <c r="H1401" s="20"/>
      <c r="I1401" s="9">
        <v>3</v>
      </c>
      <c r="J1401" s="9"/>
      <c r="K1401" s="9"/>
      <c r="L1401" s="9"/>
      <c r="M1401" s="9">
        <f t="shared" si="176"/>
        <v>18.899999999999999</v>
      </c>
      <c r="N1401" s="9">
        <f t="shared" si="177"/>
        <v>6</v>
      </c>
      <c r="O1401" s="9">
        <v>6.3</v>
      </c>
      <c r="P1401" s="9">
        <v>2</v>
      </c>
      <c r="Q1401" s="9" t="s">
        <v>3</v>
      </c>
      <c r="R1401" s="1">
        <v>0</v>
      </c>
      <c r="S1401" s="26"/>
    </row>
    <row r="1402" spans="1:19" ht="16.5" customHeight="1" x14ac:dyDescent="0.25">
      <c r="A1402" s="9"/>
      <c r="B1402" s="51" t="s">
        <v>98</v>
      </c>
      <c r="C1402" s="52"/>
      <c r="D1402" s="52"/>
      <c r="E1402" s="52"/>
      <c r="F1402" s="52"/>
      <c r="G1402" s="53"/>
      <c r="H1402" s="20"/>
      <c r="I1402" s="9">
        <v>4</v>
      </c>
      <c r="J1402" s="9"/>
      <c r="K1402" s="9"/>
      <c r="L1402" s="9"/>
      <c r="M1402" s="9">
        <f t="shared" si="176"/>
        <v>12</v>
      </c>
      <c r="N1402" s="9">
        <f t="shared" si="177"/>
        <v>0</v>
      </c>
      <c r="O1402" s="9">
        <v>3</v>
      </c>
      <c r="P1402" s="9">
        <v>0</v>
      </c>
      <c r="Q1402" s="9" t="s">
        <v>7</v>
      </c>
      <c r="R1402" s="1">
        <v>0</v>
      </c>
      <c r="S1402" s="26"/>
    </row>
    <row r="1403" spans="1:19" ht="16.5" customHeight="1" x14ac:dyDescent="0.25">
      <c r="A1403" s="9"/>
      <c r="B1403" s="51" t="s">
        <v>99</v>
      </c>
      <c r="C1403" s="52"/>
      <c r="D1403" s="52"/>
      <c r="E1403" s="52"/>
      <c r="F1403" s="52"/>
      <c r="G1403" s="53"/>
      <c r="H1403" s="20"/>
      <c r="I1403" s="9">
        <v>1</v>
      </c>
      <c r="J1403" s="9"/>
      <c r="K1403" s="9"/>
      <c r="L1403" s="9"/>
      <c r="M1403" s="9">
        <f t="shared" si="176"/>
        <v>7.4</v>
      </c>
      <c r="N1403" s="9">
        <f t="shared" si="177"/>
        <v>3</v>
      </c>
      <c r="O1403" s="9">
        <v>7.4</v>
      </c>
      <c r="P1403" s="9">
        <v>3</v>
      </c>
      <c r="Q1403" s="9" t="s">
        <v>6</v>
      </c>
      <c r="R1403" s="1">
        <v>0</v>
      </c>
      <c r="S1403" s="26"/>
    </row>
    <row r="1404" spans="1:19" ht="16.5" customHeight="1" x14ac:dyDescent="0.25">
      <c r="A1404" s="9"/>
      <c r="B1404" s="51" t="s">
        <v>100</v>
      </c>
      <c r="C1404" s="52"/>
      <c r="D1404" s="52"/>
      <c r="E1404" s="52"/>
      <c r="F1404" s="52"/>
      <c r="G1404" s="53"/>
      <c r="H1404" s="20"/>
      <c r="I1404" s="9">
        <v>2</v>
      </c>
      <c r="J1404" s="9"/>
      <c r="K1404" s="9"/>
      <c r="L1404" s="9"/>
      <c r="M1404" s="9">
        <f t="shared" si="176"/>
        <v>13.6</v>
      </c>
      <c r="N1404" s="9">
        <f t="shared" si="177"/>
        <v>5</v>
      </c>
      <c r="O1404" s="9">
        <v>6.8</v>
      </c>
      <c r="P1404" s="9">
        <v>2.5</v>
      </c>
      <c r="Q1404" s="9" t="s">
        <v>5</v>
      </c>
      <c r="R1404" s="1">
        <v>0</v>
      </c>
      <c r="S1404" s="26"/>
    </row>
    <row r="1405" spans="1:19" ht="16.5" hidden="1" customHeight="1" x14ac:dyDescent="0.25">
      <c r="A1405" s="21"/>
      <c r="H1405" s="21"/>
      <c r="I1405" s="21"/>
      <c r="J1405" s="21"/>
      <c r="K1405" s="21"/>
      <c r="L1405" s="21"/>
      <c r="M1405" s="9">
        <f t="shared" si="176"/>
        <v>0</v>
      </c>
      <c r="N1405" s="9">
        <f t="shared" si="177"/>
        <v>0</v>
      </c>
      <c r="O1405" s="21"/>
      <c r="P1405" s="21"/>
      <c r="Q1405" s="21"/>
      <c r="S1405" s="25"/>
    </row>
    <row r="1406" spans="1:19" ht="16.5" customHeight="1" x14ac:dyDescent="0.25">
      <c r="A1406" s="9"/>
      <c r="B1406" s="39" t="s">
        <v>42</v>
      </c>
      <c r="C1406" s="40"/>
      <c r="D1406" s="40"/>
      <c r="E1406" s="40"/>
      <c r="F1406" s="40"/>
      <c r="G1406" s="41"/>
      <c r="H1406" s="23"/>
      <c r="I1406" s="24">
        <f>SUM(I1394:I1405)</f>
        <v>22</v>
      </c>
      <c r="J1406" s="9"/>
      <c r="K1406" s="9"/>
      <c r="L1406" s="9"/>
      <c r="M1406" s="9">
        <f t="shared" si="176"/>
        <v>122.97999999999999</v>
      </c>
      <c r="N1406" s="9">
        <f t="shared" si="177"/>
        <v>38.06</v>
      </c>
      <c r="O1406" s="24">
        <f>ROUND(SUM(M1394:M1405)/I1406,2)</f>
        <v>5.59</v>
      </c>
      <c r="P1406" s="24">
        <f>ROUND(SUM(N1394:N1405)/I1406,2)</f>
        <v>1.73</v>
      </c>
      <c r="Q1406" s="9"/>
      <c r="S1406" s="25"/>
    </row>
    <row r="1407" spans="1:19" ht="20.25" customHeight="1" x14ac:dyDescent="0.25">
      <c r="A1407" s="27" t="s">
        <v>135</v>
      </c>
      <c r="B1407" s="28"/>
      <c r="C1407" s="28"/>
      <c r="D1407" s="28"/>
      <c r="E1407" s="28"/>
      <c r="F1407" s="28"/>
      <c r="G1407" s="28"/>
      <c r="H1407" s="28"/>
      <c r="I1407" s="28"/>
      <c r="J1407" s="28"/>
      <c r="K1407" s="28"/>
      <c r="L1407" s="28"/>
      <c r="M1407" s="28"/>
      <c r="N1407" s="28"/>
      <c r="O1407" s="28"/>
      <c r="P1407" s="28"/>
      <c r="Q1407" s="28"/>
      <c r="R1407" s="28"/>
      <c r="S1407" s="28"/>
    </row>
    <row r="1408" spans="1:19" ht="16.5" customHeight="1" x14ac:dyDescent="0.25">
      <c r="A1408" s="9"/>
      <c r="B1408" s="51" t="s">
        <v>91</v>
      </c>
      <c r="C1408" s="52"/>
      <c r="D1408" s="52"/>
      <c r="E1408" s="52"/>
      <c r="F1408" s="52"/>
      <c r="G1408" s="53"/>
      <c r="H1408" s="20"/>
      <c r="I1408" s="9">
        <v>3</v>
      </c>
      <c r="J1408" s="9"/>
      <c r="K1408" s="9"/>
      <c r="L1408" s="9"/>
      <c r="M1408" s="9">
        <f>I1408*O1408</f>
        <v>15.600000000000001</v>
      </c>
      <c r="N1408" s="9">
        <f>I1408*P1408</f>
        <v>4.5</v>
      </c>
      <c r="O1408" s="9">
        <v>5.2</v>
      </c>
      <c r="P1408" s="9">
        <v>1.5</v>
      </c>
      <c r="Q1408" s="9" t="s">
        <v>4</v>
      </c>
      <c r="R1408" s="1">
        <v>6</v>
      </c>
      <c r="S1408" s="26" t="s">
        <v>132</v>
      </c>
    </row>
    <row r="1409" spans="1:19" ht="16.5" customHeight="1" x14ac:dyDescent="0.25">
      <c r="A1409" s="9"/>
      <c r="B1409" s="51" t="s">
        <v>98</v>
      </c>
      <c r="C1409" s="52"/>
      <c r="D1409" s="52"/>
      <c r="E1409" s="52"/>
      <c r="F1409" s="52"/>
      <c r="G1409" s="53"/>
      <c r="H1409" s="20"/>
      <c r="I1409" s="9">
        <v>4</v>
      </c>
      <c r="J1409" s="9"/>
      <c r="K1409" s="9"/>
      <c r="L1409" s="9"/>
      <c r="M1409" s="9">
        <f>I1409*O1409</f>
        <v>27.2</v>
      </c>
      <c r="N1409" s="9">
        <f>I1409*P1409</f>
        <v>10</v>
      </c>
      <c r="O1409" s="9">
        <v>6.8</v>
      </c>
      <c r="P1409" s="9">
        <v>2.5</v>
      </c>
      <c r="Q1409" s="9" t="s">
        <v>5</v>
      </c>
      <c r="R1409" s="1">
        <v>6</v>
      </c>
      <c r="S1409" s="26" t="s">
        <v>132</v>
      </c>
    </row>
    <row r="1410" spans="1:19" ht="16.5" hidden="1" customHeight="1" x14ac:dyDescent="0.25">
      <c r="A1410" s="21"/>
      <c r="H1410" s="21"/>
      <c r="I1410" s="21"/>
      <c r="J1410" s="21"/>
      <c r="K1410" s="21"/>
      <c r="L1410" s="21"/>
      <c r="M1410" s="9">
        <f>I1410*O1410</f>
        <v>0</v>
      </c>
      <c r="N1410" s="9">
        <f>I1410*P1410</f>
        <v>0</v>
      </c>
      <c r="O1410" s="21"/>
      <c r="P1410" s="21"/>
      <c r="Q1410" s="21"/>
      <c r="S1410" s="25"/>
    </row>
    <row r="1411" spans="1:19" ht="16.5" customHeight="1" x14ac:dyDescent="0.25">
      <c r="A1411" s="9"/>
      <c r="B1411" s="39" t="s">
        <v>42</v>
      </c>
      <c r="C1411" s="40"/>
      <c r="D1411" s="40"/>
      <c r="E1411" s="40"/>
      <c r="F1411" s="40"/>
      <c r="G1411" s="41"/>
      <c r="H1411" s="23"/>
      <c r="I1411" s="24">
        <f>SUM(I1408:I1410)</f>
        <v>7</v>
      </c>
      <c r="J1411" s="9"/>
      <c r="K1411" s="9"/>
      <c r="L1411" s="9"/>
      <c r="M1411" s="9">
        <f>I1411*O1411</f>
        <v>42.77</v>
      </c>
      <c r="N1411" s="9">
        <f>I1411*P1411</f>
        <v>14.489999999999998</v>
      </c>
      <c r="O1411" s="24">
        <f>ROUND(SUM(M1408:M1410)/I1411,2)</f>
        <v>6.11</v>
      </c>
      <c r="P1411" s="24">
        <f>ROUND(SUM(N1408:N1410)/I1411,2)</f>
        <v>2.0699999999999998</v>
      </c>
      <c r="Q1411" s="9"/>
      <c r="S1411" s="25"/>
    </row>
    <row r="1412" spans="1:19" ht="20.25" customHeight="1" x14ac:dyDescent="0.25">
      <c r="A1412" s="27" t="s">
        <v>101</v>
      </c>
      <c r="B1412" s="28"/>
      <c r="C1412" s="28"/>
      <c r="D1412" s="28"/>
      <c r="E1412" s="28"/>
      <c r="F1412" s="28"/>
      <c r="G1412" s="28"/>
      <c r="H1412" s="28"/>
      <c r="I1412" s="28"/>
      <c r="J1412" s="28"/>
      <c r="K1412" s="28"/>
      <c r="L1412" s="28"/>
      <c r="M1412" s="28"/>
      <c r="N1412" s="28"/>
      <c r="O1412" s="28"/>
      <c r="P1412" s="28"/>
      <c r="Q1412" s="28"/>
      <c r="R1412" s="28"/>
      <c r="S1412" s="28"/>
    </row>
    <row r="1413" spans="1:19" ht="16.5" customHeight="1" x14ac:dyDescent="0.25">
      <c r="A1413" s="9"/>
      <c r="B1413" s="51" t="s">
        <v>102</v>
      </c>
      <c r="C1413" s="52"/>
      <c r="D1413" s="52"/>
      <c r="E1413" s="52"/>
      <c r="F1413" s="52"/>
      <c r="G1413" s="53"/>
      <c r="H1413" s="20"/>
      <c r="I1413" s="9">
        <v>1</v>
      </c>
      <c r="J1413" s="9"/>
      <c r="K1413" s="9"/>
      <c r="L1413" s="9"/>
      <c r="M1413" s="9">
        <f t="shared" ref="M1413:M1426" si="178">I1413*O1413</f>
        <v>7.9</v>
      </c>
      <c r="N1413" s="9">
        <f t="shared" ref="N1413:N1426" si="179">I1413*P1413</f>
        <v>3</v>
      </c>
      <c r="O1413" s="9">
        <v>7.9</v>
      </c>
      <c r="P1413" s="9">
        <v>3</v>
      </c>
      <c r="Q1413" s="9" t="s">
        <v>6</v>
      </c>
      <c r="R1413" s="1">
        <v>0</v>
      </c>
      <c r="S1413" s="26"/>
    </row>
    <row r="1414" spans="1:19" ht="16.5" customHeight="1" x14ac:dyDescent="0.25">
      <c r="A1414" s="9"/>
      <c r="B1414" s="51" t="s">
        <v>113</v>
      </c>
      <c r="C1414" s="52"/>
      <c r="D1414" s="52"/>
      <c r="E1414" s="52"/>
      <c r="F1414" s="52"/>
      <c r="G1414" s="53"/>
      <c r="H1414" s="20"/>
      <c r="I1414" s="9">
        <v>1</v>
      </c>
      <c r="J1414" s="9"/>
      <c r="K1414" s="9"/>
      <c r="L1414" s="9"/>
      <c r="M1414" s="9">
        <f t="shared" si="178"/>
        <v>7.4</v>
      </c>
      <c r="N1414" s="9">
        <f t="shared" si="179"/>
        <v>3</v>
      </c>
      <c r="O1414" s="9">
        <v>7.4</v>
      </c>
      <c r="P1414" s="9">
        <v>3</v>
      </c>
      <c r="Q1414" s="9" t="s">
        <v>6</v>
      </c>
      <c r="R1414" s="1">
        <v>0</v>
      </c>
      <c r="S1414" s="26"/>
    </row>
    <row r="1415" spans="1:19" ht="16.5" customHeight="1" x14ac:dyDescent="0.25">
      <c r="A1415" s="9"/>
      <c r="B1415" s="51" t="s">
        <v>104</v>
      </c>
      <c r="C1415" s="52"/>
      <c r="D1415" s="52"/>
      <c r="E1415" s="52"/>
      <c r="F1415" s="52"/>
      <c r="G1415" s="53"/>
      <c r="H1415" s="20"/>
      <c r="I1415" s="9">
        <v>4</v>
      </c>
      <c r="J1415" s="9"/>
      <c r="K1415" s="9"/>
      <c r="L1415" s="9"/>
      <c r="M1415" s="9">
        <f t="shared" si="178"/>
        <v>28</v>
      </c>
      <c r="N1415" s="9">
        <f t="shared" si="179"/>
        <v>12</v>
      </c>
      <c r="O1415" s="9">
        <v>7</v>
      </c>
      <c r="P1415" s="9">
        <v>3</v>
      </c>
      <c r="Q1415" s="9" t="s">
        <v>6</v>
      </c>
      <c r="R1415" s="1">
        <v>0</v>
      </c>
      <c r="S1415" s="26"/>
    </row>
    <row r="1416" spans="1:19" ht="16.5" customHeight="1" x14ac:dyDescent="0.25">
      <c r="A1416" s="9"/>
      <c r="B1416" s="51" t="s">
        <v>109</v>
      </c>
      <c r="C1416" s="52"/>
      <c r="D1416" s="52"/>
      <c r="E1416" s="52"/>
      <c r="F1416" s="52"/>
      <c r="G1416" s="53"/>
      <c r="H1416" s="20"/>
      <c r="I1416" s="9">
        <v>2</v>
      </c>
      <c r="J1416" s="9"/>
      <c r="K1416" s="9"/>
      <c r="L1416" s="9"/>
      <c r="M1416" s="9">
        <f t="shared" si="178"/>
        <v>12.4</v>
      </c>
      <c r="N1416" s="9">
        <f t="shared" si="179"/>
        <v>4</v>
      </c>
      <c r="O1416" s="9">
        <v>6.2</v>
      </c>
      <c r="P1416" s="9">
        <v>2</v>
      </c>
      <c r="Q1416" s="9" t="s">
        <v>3</v>
      </c>
      <c r="R1416" s="1">
        <v>0</v>
      </c>
      <c r="S1416" s="26"/>
    </row>
    <row r="1417" spans="1:19" ht="16.5" customHeight="1" x14ac:dyDescent="0.25">
      <c r="A1417" s="9"/>
      <c r="B1417" s="51" t="s">
        <v>106</v>
      </c>
      <c r="C1417" s="52"/>
      <c r="D1417" s="52"/>
      <c r="E1417" s="52"/>
      <c r="F1417" s="52"/>
      <c r="G1417" s="53"/>
      <c r="H1417" s="20"/>
      <c r="I1417" s="9">
        <v>2</v>
      </c>
      <c r="J1417" s="9"/>
      <c r="K1417" s="9"/>
      <c r="L1417" s="9"/>
      <c r="M1417" s="9">
        <f t="shared" si="178"/>
        <v>15.4</v>
      </c>
      <c r="N1417" s="9">
        <f t="shared" si="179"/>
        <v>6</v>
      </c>
      <c r="O1417" s="9">
        <v>7.7</v>
      </c>
      <c r="P1417" s="9">
        <v>3</v>
      </c>
      <c r="Q1417" s="9" t="s">
        <v>6</v>
      </c>
      <c r="R1417" s="1">
        <v>0</v>
      </c>
      <c r="S1417" s="26"/>
    </row>
    <row r="1418" spans="1:19" ht="16.5" customHeight="1" x14ac:dyDescent="0.25">
      <c r="A1418" s="9"/>
      <c r="B1418" s="51" t="s">
        <v>107</v>
      </c>
      <c r="C1418" s="52"/>
      <c r="D1418" s="52"/>
      <c r="E1418" s="52"/>
      <c r="F1418" s="52"/>
      <c r="G1418" s="53"/>
      <c r="H1418" s="20"/>
      <c r="I1418" s="9">
        <v>2</v>
      </c>
      <c r="J1418" s="9"/>
      <c r="K1418" s="9"/>
      <c r="L1418" s="9"/>
      <c r="M1418" s="9">
        <f t="shared" si="178"/>
        <v>14.4</v>
      </c>
      <c r="N1418" s="9">
        <f t="shared" si="179"/>
        <v>6</v>
      </c>
      <c r="O1418" s="9">
        <v>7.2</v>
      </c>
      <c r="P1418" s="9">
        <v>3</v>
      </c>
      <c r="Q1418" s="9" t="s">
        <v>6</v>
      </c>
      <c r="R1418" s="1">
        <v>0</v>
      </c>
      <c r="S1418" s="26"/>
    </row>
    <row r="1419" spans="1:19" ht="16.5" customHeight="1" x14ac:dyDescent="0.25">
      <c r="A1419" s="9"/>
      <c r="B1419" s="51" t="s">
        <v>108</v>
      </c>
      <c r="C1419" s="52"/>
      <c r="D1419" s="52"/>
      <c r="E1419" s="52"/>
      <c r="F1419" s="52"/>
      <c r="G1419" s="53"/>
      <c r="H1419" s="20"/>
      <c r="I1419" s="9">
        <v>4</v>
      </c>
      <c r="J1419" s="9"/>
      <c r="K1419" s="9"/>
      <c r="L1419" s="9"/>
      <c r="M1419" s="9">
        <f t="shared" si="178"/>
        <v>31.6</v>
      </c>
      <c r="N1419" s="9">
        <f t="shared" si="179"/>
        <v>12</v>
      </c>
      <c r="O1419" s="9">
        <v>7.9</v>
      </c>
      <c r="P1419" s="9">
        <v>3</v>
      </c>
      <c r="Q1419" s="9" t="s">
        <v>6</v>
      </c>
      <c r="R1419" s="1">
        <v>0</v>
      </c>
      <c r="S1419" s="26"/>
    </row>
    <row r="1420" spans="1:19" ht="16.5" customHeight="1" x14ac:dyDescent="0.25">
      <c r="A1420" s="9"/>
      <c r="B1420" s="51" t="s">
        <v>105</v>
      </c>
      <c r="C1420" s="52"/>
      <c r="D1420" s="52"/>
      <c r="E1420" s="52"/>
      <c r="F1420" s="52"/>
      <c r="G1420" s="53"/>
      <c r="H1420" s="20"/>
      <c r="I1420" s="9">
        <v>3</v>
      </c>
      <c r="J1420" s="9"/>
      <c r="K1420" s="9"/>
      <c r="L1420" s="9"/>
      <c r="M1420" s="9">
        <f t="shared" si="178"/>
        <v>18.600000000000001</v>
      </c>
      <c r="N1420" s="9">
        <f t="shared" si="179"/>
        <v>6</v>
      </c>
      <c r="O1420" s="9">
        <v>6.2</v>
      </c>
      <c r="P1420" s="9">
        <v>2</v>
      </c>
      <c r="Q1420" s="9" t="s">
        <v>3</v>
      </c>
      <c r="R1420" s="1">
        <v>0</v>
      </c>
      <c r="S1420" s="26"/>
    </row>
    <row r="1421" spans="1:19" ht="16.5" customHeight="1" x14ac:dyDescent="0.25">
      <c r="A1421" s="9"/>
      <c r="B1421" s="51" t="s">
        <v>110</v>
      </c>
      <c r="C1421" s="52"/>
      <c r="D1421" s="52"/>
      <c r="E1421" s="52"/>
      <c r="F1421" s="52"/>
      <c r="G1421" s="53"/>
      <c r="H1421" s="20"/>
      <c r="I1421" s="9">
        <v>2</v>
      </c>
      <c r="J1421" s="9"/>
      <c r="K1421" s="9"/>
      <c r="L1421" s="9"/>
      <c r="M1421" s="9">
        <f t="shared" si="178"/>
        <v>16.2</v>
      </c>
      <c r="N1421" s="9">
        <f t="shared" si="179"/>
        <v>7</v>
      </c>
      <c r="O1421" s="9">
        <v>8.1</v>
      </c>
      <c r="P1421" s="9">
        <v>3.5</v>
      </c>
      <c r="Q1421" s="9" t="s">
        <v>9</v>
      </c>
      <c r="R1421" s="1">
        <v>0</v>
      </c>
      <c r="S1421" s="26"/>
    </row>
    <row r="1422" spans="1:19" ht="16.5" customHeight="1" x14ac:dyDescent="0.25">
      <c r="A1422" s="9"/>
      <c r="B1422" s="51" t="s">
        <v>111</v>
      </c>
      <c r="C1422" s="52"/>
      <c r="D1422" s="52"/>
      <c r="E1422" s="52"/>
      <c r="F1422" s="52"/>
      <c r="G1422" s="53"/>
      <c r="H1422" s="20"/>
      <c r="I1422" s="9">
        <v>4</v>
      </c>
      <c r="J1422" s="9"/>
      <c r="K1422" s="9"/>
      <c r="L1422" s="9"/>
      <c r="M1422" s="9">
        <f t="shared" si="178"/>
        <v>29.6</v>
      </c>
      <c r="N1422" s="9">
        <f t="shared" si="179"/>
        <v>12</v>
      </c>
      <c r="O1422" s="9">
        <v>7.4</v>
      </c>
      <c r="P1422" s="9">
        <v>3</v>
      </c>
      <c r="Q1422" s="9" t="s">
        <v>6</v>
      </c>
      <c r="R1422" s="1">
        <v>0</v>
      </c>
      <c r="S1422" s="26"/>
    </row>
    <row r="1423" spans="1:19" ht="16.5" customHeight="1" x14ac:dyDescent="0.25">
      <c r="A1423" s="9"/>
      <c r="B1423" s="51" t="s">
        <v>112</v>
      </c>
      <c r="C1423" s="52"/>
      <c r="D1423" s="52"/>
      <c r="E1423" s="52"/>
      <c r="F1423" s="52"/>
      <c r="G1423" s="53"/>
      <c r="H1423" s="20"/>
      <c r="I1423" s="9">
        <v>2</v>
      </c>
      <c r="J1423" s="9"/>
      <c r="K1423" s="9"/>
      <c r="L1423" s="9"/>
      <c r="M1423" s="9">
        <f t="shared" si="178"/>
        <v>11.2</v>
      </c>
      <c r="N1423" s="9">
        <f t="shared" si="179"/>
        <v>4</v>
      </c>
      <c r="O1423" s="9">
        <v>5.6</v>
      </c>
      <c r="P1423" s="9">
        <v>2</v>
      </c>
      <c r="Q1423" s="9" t="s">
        <v>3</v>
      </c>
      <c r="R1423" s="1">
        <v>0</v>
      </c>
      <c r="S1423" s="26"/>
    </row>
    <row r="1424" spans="1:19" ht="16.5" customHeight="1" x14ac:dyDescent="0.25">
      <c r="A1424" s="9"/>
      <c r="B1424" s="51" t="s">
        <v>103</v>
      </c>
      <c r="C1424" s="52"/>
      <c r="D1424" s="52"/>
      <c r="E1424" s="52"/>
      <c r="F1424" s="52"/>
      <c r="G1424" s="53"/>
      <c r="H1424" s="20"/>
      <c r="I1424" s="9">
        <v>2</v>
      </c>
      <c r="J1424" s="9"/>
      <c r="K1424" s="9"/>
      <c r="L1424" s="9"/>
      <c r="M1424" s="9">
        <f t="shared" si="178"/>
        <v>15.8</v>
      </c>
      <c r="N1424" s="9">
        <f t="shared" si="179"/>
        <v>6</v>
      </c>
      <c r="O1424" s="9">
        <v>7.9</v>
      </c>
      <c r="P1424" s="9">
        <v>3</v>
      </c>
      <c r="Q1424" s="9" t="s">
        <v>6</v>
      </c>
      <c r="R1424" s="1">
        <v>0</v>
      </c>
      <c r="S1424" s="26"/>
    </row>
    <row r="1425" spans="1:19" ht="16.5" hidden="1" customHeight="1" x14ac:dyDescent="0.25">
      <c r="A1425" s="21"/>
      <c r="H1425" s="21"/>
      <c r="I1425" s="21"/>
      <c r="J1425" s="21"/>
      <c r="K1425" s="21"/>
      <c r="L1425" s="21"/>
      <c r="M1425" s="9">
        <f t="shared" si="178"/>
        <v>0</v>
      </c>
      <c r="N1425" s="9">
        <f t="shared" si="179"/>
        <v>0</v>
      </c>
      <c r="O1425" s="21"/>
      <c r="P1425" s="21"/>
      <c r="Q1425" s="21"/>
      <c r="S1425" s="25"/>
    </row>
    <row r="1426" spans="1:19" ht="16.5" customHeight="1" x14ac:dyDescent="0.25">
      <c r="A1426" s="9"/>
      <c r="B1426" s="39" t="s">
        <v>42</v>
      </c>
      <c r="C1426" s="40"/>
      <c r="D1426" s="40"/>
      <c r="E1426" s="40"/>
      <c r="F1426" s="40"/>
      <c r="G1426" s="41"/>
      <c r="H1426" s="23"/>
      <c r="I1426" s="24">
        <f>SUM(I1413:I1425)</f>
        <v>29</v>
      </c>
      <c r="J1426" s="9"/>
      <c r="K1426" s="9"/>
      <c r="L1426" s="9"/>
      <c r="M1426" s="9">
        <f t="shared" si="178"/>
        <v>208.51000000000002</v>
      </c>
      <c r="N1426" s="9">
        <f t="shared" si="179"/>
        <v>80.91</v>
      </c>
      <c r="O1426" s="24">
        <f>ROUND(SUM(M1413:M1425)/I1426,2)</f>
        <v>7.19</v>
      </c>
      <c r="P1426" s="24">
        <f>ROUND(SUM(N1413:N1425)/I1426,2)</f>
        <v>2.79</v>
      </c>
      <c r="Q1426" s="9"/>
      <c r="S1426" s="25"/>
    </row>
    <row r="1427" spans="1:19" ht="20.25" customHeight="1" x14ac:dyDescent="0.25">
      <c r="A1427" s="27" t="s">
        <v>114</v>
      </c>
      <c r="B1427" s="28"/>
      <c r="C1427" s="28"/>
      <c r="D1427" s="28"/>
      <c r="E1427" s="28"/>
      <c r="F1427" s="28"/>
      <c r="G1427" s="28"/>
      <c r="H1427" s="28"/>
      <c r="I1427" s="28"/>
      <c r="J1427" s="28"/>
      <c r="K1427" s="28"/>
      <c r="L1427" s="28"/>
      <c r="M1427" s="28"/>
      <c r="N1427" s="28"/>
      <c r="O1427" s="28"/>
      <c r="P1427" s="28"/>
      <c r="Q1427" s="28"/>
      <c r="R1427" s="28"/>
      <c r="S1427" s="28"/>
    </row>
    <row r="1428" spans="1:19" ht="16.5" customHeight="1" x14ac:dyDescent="0.25">
      <c r="A1428" s="9"/>
      <c r="B1428" s="51" t="s">
        <v>115</v>
      </c>
      <c r="C1428" s="52"/>
      <c r="D1428" s="52"/>
      <c r="E1428" s="52"/>
      <c r="F1428" s="52"/>
      <c r="G1428" s="53"/>
      <c r="H1428" s="20"/>
      <c r="I1428" s="9">
        <v>2</v>
      </c>
      <c r="J1428" s="9"/>
      <c r="K1428" s="9"/>
      <c r="L1428" s="9"/>
      <c r="M1428" s="9">
        <f t="shared" ref="M1428:M1439" si="180">I1428*O1428</f>
        <v>0</v>
      </c>
      <c r="N1428" s="9">
        <f t="shared" ref="N1428:N1439" si="181">I1428*P1428</f>
        <v>0</v>
      </c>
      <c r="O1428" s="9"/>
      <c r="P1428" s="9"/>
      <c r="Q1428" s="9"/>
      <c r="R1428" s="1">
        <v>0</v>
      </c>
      <c r="S1428" s="26"/>
    </row>
    <row r="1429" spans="1:19" ht="16.5" customHeight="1" x14ac:dyDescent="0.25">
      <c r="A1429" s="9"/>
      <c r="B1429" s="51" t="s">
        <v>116</v>
      </c>
      <c r="C1429" s="52"/>
      <c r="D1429" s="52"/>
      <c r="E1429" s="52"/>
      <c r="F1429" s="52"/>
      <c r="G1429" s="53"/>
      <c r="H1429" s="20"/>
      <c r="I1429" s="9">
        <v>3</v>
      </c>
      <c r="J1429" s="9"/>
      <c r="K1429" s="9"/>
      <c r="L1429" s="9"/>
      <c r="M1429" s="9">
        <f t="shared" si="180"/>
        <v>21.9</v>
      </c>
      <c r="N1429" s="9">
        <f t="shared" si="181"/>
        <v>9</v>
      </c>
      <c r="O1429" s="9">
        <v>7.3</v>
      </c>
      <c r="P1429" s="9">
        <v>3</v>
      </c>
      <c r="Q1429" s="9" t="s">
        <v>6</v>
      </c>
      <c r="R1429" s="1">
        <v>0</v>
      </c>
      <c r="S1429" s="26"/>
    </row>
    <row r="1430" spans="1:19" ht="16.5" customHeight="1" x14ac:dyDescent="0.25">
      <c r="A1430" s="9"/>
      <c r="B1430" s="51" t="s">
        <v>117</v>
      </c>
      <c r="C1430" s="52"/>
      <c r="D1430" s="52"/>
      <c r="E1430" s="52"/>
      <c r="F1430" s="52"/>
      <c r="G1430" s="53"/>
      <c r="H1430" s="20"/>
      <c r="I1430" s="9">
        <v>3</v>
      </c>
      <c r="J1430" s="9"/>
      <c r="K1430" s="9"/>
      <c r="L1430" s="9"/>
      <c r="M1430" s="9">
        <f t="shared" si="180"/>
        <v>0</v>
      </c>
      <c r="N1430" s="9">
        <f t="shared" si="181"/>
        <v>0</v>
      </c>
      <c r="O1430" s="9"/>
      <c r="P1430" s="9"/>
      <c r="Q1430" s="9"/>
      <c r="R1430" s="1">
        <v>0</v>
      </c>
      <c r="S1430" s="26"/>
    </row>
    <row r="1431" spans="1:19" ht="16.5" customHeight="1" x14ac:dyDescent="0.25">
      <c r="A1431" s="9"/>
      <c r="B1431" s="51" t="s">
        <v>118</v>
      </c>
      <c r="C1431" s="52"/>
      <c r="D1431" s="52"/>
      <c r="E1431" s="52"/>
      <c r="F1431" s="52"/>
      <c r="G1431" s="53"/>
      <c r="H1431" s="20"/>
      <c r="I1431" s="9">
        <v>1</v>
      </c>
      <c r="J1431" s="9"/>
      <c r="K1431" s="9"/>
      <c r="L1431" s="9"/>
      <c r="M1431" s="9">
        <f t="shared" si="180"/>
        <v>8</v>
      </c>
      <c r="N1431" s="9">
        <f t="shared" si="181"/>
        <v>3.5</v>
      </c>
      <c r="O1431" s="9">
        <v>8</v>
      </c>
      <c r="P1431" s="9">
        <v>3.5</v>
      </c>
      <c r="Q1431" s="9" t="s">
        <v>9</v>
      </c>
      <c r="R1431" s="1">
        <v>0</v>
      </c>
      <c r="S1431" s="26"/>
    </row>
    <row r="1432" spans="1:19" ht="16.5" customHeight="1" x14ac:dyDescent="0.25">
      <c r="A1432" s="9"/>
      <c r="B1432" s="51" t="s">
        <v>142</v>
      </c>
      <c r="C1432" s="52"/>
      <c r="D1432" s="52"/>
      <c r="E1432" s="52"/>
      <c r="F1432" s="52"/>
      <c r="G1432" s="53"/>
      <c r="H1432" s="20"/>
      <c r="I1432" s="9">
        <v>3</v>
      </c>
      <c r="J1432" s="9"/>
      <c r="K1432" s="9"/>
      <c r="L1432" s="9"/>
      <c r="M1432" s="9">
        <f t="shared" si="180"/>
        <v>19.5</v>
      </c>
      <c r="N1432" s="9">
        <f t="shared" si="181"/>
        <v>7.5</v>
      </c>
      <c r="O1432" s="9">
        <v>6.5</v>
      </c>
      <c r="P1432" s="9">
        <v>2.5</v>
      </c>
      <c r="Q1432" s="9" t="s">
        <v>5</v>
      </c>
      <c r="R1432" s="1">
        <v>0</v>
      </c>
      <c r="S1432" s="26"/>
    </row>
    <row r="1433" spans="1:19" ht="16.5" customHeight="1" x14ac:dyDescent="0.25">
      <c r="A1433" s="9"/>
      <c r="B1433" s="51" t="s">
        <v>120</v>
      </c>
      <c r="C1433" s="52"/>
      <c r="D1433" s="52"/>
      <c r="E1433" s="52"/>
      <c r="F1433" s="52"/>
      <c r="G1433" s="53"/>
      <c r="H1433" s="20"/>
      <c r="I1433" s="9">
        <v>3</v>
      </c>
      <c r="J1433" s="9"/>
      <c r="K1433" s="9"/>
      <c r="L1433" s="9"/>
      <c r="M1433" s="9">
        <f t="shared" si="180"/>
        <v>21.9</v>
      </c>
      <c r="N1433" s="9">
        <f t="shared" si="181"/>
        <v>9</v>
      </c>
      <c r="O1433" s="9">
        <v>7.3</v>
      </c>
      <c r="P1433" s="9">
        <v>3</v>
      </c>
      <c r="Q1433" s="9" t="s">
        <v>6</v>
      </c>
      <c r="R1433" s="1">
        <v>0</v>
      </c>
      <c r="S1433" s="26"/>
    </row>
    <row r="1434" spans="1:19" ht="16.5" customHeight="1" x14ac:dyDescent="0.25">
      <c r="A1434" s="9"/>
      <c r="B1434" s="51" t="s">
        <v>119</v>
      </c>
      <c r="C1434" s="52"/>
      <c r="D1434" s="52"/>
      <c r="E1434" s="52"/>
      <c r="F1434" s="52"/>
      <c r="G1434" s="53"/>
      <c r="H1434" s="20"/>
      <c r="I1434" s="9">
        <v>4</v>
      </c>
      <c r="J1434" s="9"/>
      <c r="K1434" s="9"/>
      <c r="L1434" s="9"/>
      <c r="M1434" s="9">
        <f t="shared" si="180"/>
        <v>0</v>
      </c>
      <c r="N1434" s="9">
        <f t="shared" si="181"/>
        <v>0</v>
      </c>
      <c r="O1434" s="9"/>
      <c r="P1434" s="9"/>
      <c r="Q1434" s="9"/>
      <c r="R1434" s="1">
        <v>0</v>
      </c>
      <c r="S1434" s="26"/>
    </row>
    <row r="1435" spans="1:19" ht="16.5" customHeight="1" x14ac:dyDescent="0.25">
      <c r="A1435" s="9"/>
      <c r="B1435" s="51" t="s">
        <v>121</v>
      </c>
      <c r="C1435" s="52"/>
      <c r="D1435" s="52"/>
      <c r="E1435" s="52"/>
      <c r="F1435" s="52"/>
      <c r="G1435" s="53"/>
      <c r="H1435" s="20"/>
      <c r="I1435" s="9">
        <v>2</v>
      </c>
      <c r="J1435" s="9"/>
      <c r="K1435" s="9"/>
      <c r="L1435" s="9"/>
      <c r="M1435" s="9">
        <f t="shared" si="180"/>
        <v>14.8</v>
      </c>
      <c r="N1435" s="9">
        <f t="shared" si="181"/>
        <v>6</v>
      </c>
      <c r="O1435" s="9">
        <v>7.4</v>
      </c>
      <c r="P1435" s="9">
        <v>3</v>
      </c>
      <c r="Q1435" s="9" t="s">
        <v>6</v>
      </c>
      <c r="R1435" s="1">
        <v>0</v>
      </c>
      <c r="S1435" s="26"/>
    </row>
    <row r="1436" spans="1:19" ht="16.5" customHeight="1" x14ac:dyDescent="0.25">
      <c r="A1436" s="9"/>
      <c r="B1436" s="51" t="s">
        <v>122</v>
      </c>
      <c r="C1436" s="52"/>
      <c r="D1436" s="52"/>
      <c r="E1436" s="52"/>
      <c r="F1436" s="52"/>
      <c r="G1436" s="53"/>
      <c r="H1436" s="20"/>
      <c r="I1436" s="9">
        <v>2</v>
      </c>
      <c r="J1436" s="9"/>
      <c r="K1436" s="9"/>
      <c r="L1436" s="9"/>
      <c r="M1436" s="9">
        <f t="shared" si="180"/>
        <v>0</v>
      </c>
      <c r="N1436" s="9">
        <f t="shared" si="181"/>
        <v>0</v>
      </c>
      <c r="O1436" s="9"/>
      <c r="P1436" s="9"/>
      <c r="Q1436" s="9"/>
      <c r="R1436" s="1">
        <v>0</v>
      </c>
      <c r="S1436" s="26"/>
    </row>
    <row r="1437" spans="1:19" ht="16.5" customHeight="1" x14ac:dyDescent="0.25">
      <c r="A1437" s="9"/>
      <c r="B1437" s="51" t="s">
        <v>123</v>
      </c>
      <c r="C1437" s="52"/>
      <c r="D1437" s="52"/>
      <c r="E1437" s="52"/>
      <c r="F1437" s="52"/>
      <c r="G1437" s="53"/>
      <c r="H1437" s="20"/>
      <c r="I1437" s="9">
        <v>2</v>
      </c>
      <c r="J1437" s="9"/>
      <c r="K1437" s="9"/>
      <c r="L1437" s="9"/>
      <c r="M1437" s="9">
        <f t="shared" si="180"/>
        <v>0</v>
      </c>
      <c r="N1437" s="9">
        <f t="shared" si="181"/>
        <v>0</v>
      </c>
      <c r="O1437" s="9"/>
      <c r="P1437" s="9"/>
      <c r="Q1437" s="9"/>
      <c r="R1437" s="1">
        <v>0</v>
      </c>
      <c r="S1437" s="26"/>
    </row>
    <row r="1438" spans="1:19" ht="16.5" hidden="1" customHeight="1" x14ac:dyDescent="0.25">
      <c r="A1438" s="21"/>
      <c r="H1438" s="21"/>
      <c r="I1438" s="21"/>
      <c r="J1438" s="21"/>
      <c r="K1438" s="21"/>
      <c r="L1438" s="21"/>
      <c r="M1438" s="9">
        <f t="shared" si="180"/>
        <v>0</v>
      </c>
      <c r="N1438" s="9">
        <f t="shared" si="181"/>
        <v>0</v>
      </c>
      <c r="O1438" s="21"/>
      <c r="P1438" s="21"/>
      <c r="Q1438" s="21"/>
      <c r="S1438" s="25"/>
    </row>
    <row r="1439" spans="1:19" ht="16.5" customHeight="1" x14ac:dyDescent="0.25">
      <c r="A1439" s="9"/>
      <c r="B1439" s="39" t="s">
        <v>42</v>
      </c>
      <c r="C1439" s="40"/>
      <c r="D1439" s="40"/>
      <c r="E1439" s="40"/>
      <c r="F1439" s="40"/>
      <c r="G1439" s="41"/>
      <c r="H1439" s="23"/>
      <c r="I1439" s="24">
        <f>SUM(I1428:I1438)</f>
        <v>25</v>
      </c>
      <c r="J1439" s="9"/>
      <c r="K1439" s="9"/>
      <c r="L1439" s="9"/>
      <c r="M1439" s="9">
        <f t="shared" si="180"/>
        <v>86</v>
      </c>
      <c r="N1439" s="9">
        <f t="shared" si="181"/>
        <v>35</v>
      </c>
      <c r="O1439" s="24">
        <f>ROUND(SUM(M1428:M1438)/I1439,2)</f>
        <v>3.44</v>
      </c>
      <c r="P1439" s="24">
        <f>ROUND(SUM(N1428:N1438)/I1439,2)</f>
        <v>1.4</v>
      </c>
      <c r="Q1439" s="9"/>
      <c r="S1439" s="25"/>
    </row>
    <row r="1440" spans="1:19" ht="16.5" customHeight="1" x14ac:dyDescent="0.25">
      <c r="A1440" s="21"/>
      <c r="B1440" s="22"/>
      <c r="C1440" s="22"/>
      <c r="D1440" s="22"/>
      <c r="E1440" s="22"/>
      <c r="F1440" s="22"/>
      <c r="G1440" s="22"/>
      <c r="H1440" s="21"/>
      <c r="I1440" s="21"/>
      <c r="J1440" s="21"/>
      <c r="K1440" s="21"/>
      <c r="L1440" s="21"/>
      <c r="M1440" s="21"/>
      <c r="N1440" s="21"/>
      <c r="O1440" s="21"/>
      <c r="P1440" s="21"/>
      <c r="Q1440" s="21"/>
    </row>
    <row r="1442" spans="1:19" ht="18" x14ac:dyDescent="0.25">
      <c r="A1442" s="35" t="s">
        <v>192</v>
      </c>
      <c r="B1442" s="35"/>
      <c r="C1442" s="35"/>
      <c r="D1442" s="35"/>
      <c r="E1442" s="35"/>
      <c r="F1442" s="35"/>
      <c r="G1442" s="35"/>
      <c r="H1442" s="35"/>
      <c r="I1442" s="35"/>
      <c r="J1442" s="35"/>
      <c r="K1442" s="35"/>
      <c r="L1442" s="35"/>
      <c r="M1442" s="35"/>
      <c r="N1442" s="35"/>
      <c r="O1442" s="35"/>
      <c r="P1442" s="35"/>
      <c r="Q1442" s="35"/>
      <c r="R1442" s="35"/>
      <c r="S1442" s="35"/>
    </row>
    <row r="1443" spans="1:19" ht="18" x14ac:dyDescent="0.25">
      <c r="A1443" s="35" t="s">
        <v>193</v>
      </c>
      <c r="B1443" s="35"/>
      <c r="C1443" s="35"/>
      <c r="D1443" s="35"/>
      <c r="E1443" s="35"/>
      <c r="F1443" s="35"/>
      <c r="G1443" s="35"/>
      <c r="H1443" s="35"/>
      <c r="I1443" s="35"/>
      <c r="J1443" s="35"/>
      <c r="K1443" s="35"/>
      <c r="L1443" s="35"/>
      <c r="M1443" s="35"/>
      <c r="N1443" s="35"/>
      <c r="O1443" s="35"/>
      <c r="P1443" s="35"/>
      <c r="Q1443" s="35"/>
      <c r="R1443" s="35"/>
      <c r="S1443" s="35"/>
    </row>
    <row r="1444" spans="1:19" ht="18" x14ac:dyDescent="0.25">
      <c r="A1444" s="35" t="s">
        <v>194</v>
      </c>
      <c r="B1444" s="35"/>
      <c r="C1444" s="35"/>
      <c r="D1444" s="35"/>
      <c r="E1444" s="35"/>
      <c r="F1444" s="35"/>
      <c r="G1444" s="35"/>
      <c r="H1444" s="35"/>
      <c r="I1444" s="35"/>
      <c r="J1444" s="35"/>
      <c r="K1444" s="35"/>
      <c r="L1444" s="35"/>
      <c r="M1444" s="35"/>
      <c r="N1444" s="35"/>
      <c r="O1444" s="35"/>
      <c r="P1444" s="35"/>
      <c r="Q1444" s="35"/>
      <c r="R1444" s="35"/>
      <c r="S1444" s="35"/>
    </row>
    <row r="1445" spans="1:19" ht="18" x14ac:dyDescent="0.25">
      <c r="A1445" s="45" t="s">
        <v>149</v>
      </c>
      <c r="B1445" s="45"/>
      <c r="C1445" s="45"/>
      <c r="D1445" s="45"/>
      <c r="E1445" s="45"/>
      <c r="F1445" s="45"/>
      <c r="G1445" s="45"/>
      <c r="H1445" s="45"/>
      <c r="I1445" s="45"/>
      <c r="J1445" s="45"/>
      <c r="K1445" s="45"/>
      <c r="L1445" s="45"/>
      <c r="M1445" s="45"/>
      <c r="N1445" s="45"/>
      <c r="O1445" s="45"/>
      <c r="P1445" s="45"/>
      <c r="Q1445" s="45"/>
      <c r="R1445" s="45"/>
      <c r="S1445" s="45"/>
    </row>
    <row r="1446" spans="1:19" ht="19.5" customHeight="1" x14ac:dyDescent="0.25">
      <c r="A1446" s="17"/>
      <c r="B1446" s="17"/>
      <c r="C1446" s="8"/>
      <c r="D1446" s="18"/>
      <c r="E1446" s="10"/>
      <c r="F1446" s="11"/>
      <c r="G1446" s="46" t="s">
        <v>49</v>
      </c>
      <c r="H1446" s="46"/>
      <c r="I1446" s="46"/>
      <c r="J1446" s="46"/>
      <c r="K1446" s="46"/>
      <c r="L1446" s="46"/>
      <c r="M1446" s="46"/>
      <c r="N1446" s="46"/>
      <c r="O1446" s="46"/>
      <c r="P1446" s="46"/>
      <c r="Q1446" s="46"/>
      <c r="R1446" s="46"/>
      <c r="S1446" s="46"/>
    </row>
    <row r="1447" spans="1:19" ht="31.5" customHeight="1" x14ac:dyDescent="0.3">
      <c r="A1447" s="8"/>
      <c r="B1447" s="8"/>
      <c r="C1447" s="8"/>
      <c r="D1447" s="8"/>
      <c r="E1447" s="8"/>
      <c r="F1447" s="8"/>
      <c r="G1447" s="8"/>
      <c r="H1447" s="12"/>
      <c r="I1447" s="42" t="s">
        <v>40</v>
      </c>
      <c r="J1447" s="43"/>
      <c r="K1447" s="43"/>
      <c r="L1447" s="43"/>
      <c r="M1447" s="43"/>
      <c r="N1447" s="43"/>
      <c r="O1447" s="43"/>
      <c r="P1447" s="43"/>
      <c r="Q1447" s="43"/>
      <c r="R1447" s="43"/>
      <c r="S1447" s="43"/>
    </row>
    <row r="1448" spans="1:19" ht="16.8" x14ac:dyDescent="0.3">
      <c r="A1448" s="8"/>
      <c r="B1448" s="8"/>
      <c r="C1448" s="8"/>
      <c r="D1448" s="8"/>
      <c r="E1448" s="8"/>
      <c r="F1448" s="8"/>
      <c r="G1448" s="8"/>
      <c r="H1448" s="12"/>
      <c r="I1448" s="12"/>
      <c r="J1448" s="12"/>
      <c r="K1448" s="12"/>
      <c r="L1448" s="8"/>
      <c r="M1448" s="8"/>
      <c r="N1448" s="8"/>
      <c r="O1448" s="8"/>
      <c r="P1448" s="8"/>
      <c r="Q1448" s="8"/>
    </row>
    <row r="1449" spans="1:19" ht="33" customHeight="1" x14ac:dyDescent="0.3">
      <c r="A1449" s="8"/>
      <c r="B1449" s="8"/>
      <c r="C1449" s="8"/>
      <c r="D1449" s="8"/>
      <c r="E1449" s="8"/>
      <c r="F1449" s="8"/>
      <c r="G1449" s="8"/>
      <c r="H1449" s="12"/>
      <c r="I1449" s="12"/>
      <c r="J1449" s="12"/>
      <c r="K1449" s="12"/>
      <c r="L1449" s="8"/>
      <c r="M1449" s="8"/>
      <c r="N1449" s="8"/>
      <c r="O1449" s="8"/>
      <c r="P1449" s="8"/>
      <c r="Q1449" s="8"/>
    </row>
    <row r="1450" spans="1:19" ht="11.25" customHeight="1" x14ac:dyDescent="0.3">
      <c r="A1450" s="8"/>
      <c r="B1450" s="8"/>
      <c r="C1450" s="8"/>
      <c r="D1450" s="8"/>
      <c r="E1450" s="8"/>
      <c r="F1450" s="8"/>
      <c r="G1450" s="8"/>
      <c r="H1450" s="12"/>
      <c r="I1450" s="12"/>
      <c r="J1450" s="12"/>
      <c r="K1450" s="12"/>
      <c r="L1450" s="8"/>
      <c r="M1450" s="8"/>
      <c r="N1450" s="8"/>
      <c r="O1450" s="8"/>
      <c r="P1450" s="8"/>
      <c r="Q1450" s="8"/>
    </row>
    <row r="1451" spans="1:19" ht="17.399999999999999" x14ac:dyDescent="0.3">
      <c r="A1451" s="8"/>
      <c r="B1451" s="8"/>
      <c r="C1451" s="8"/>
      <c r="D1451" s="8"/>
      <c r="E1451" s="8"/>
      <c r="F1451" s="8"/>
      <c r="G1451" s="47" t="s">
        <v>41</v>
      </c>
      <c r="H1451" s="47"/>
      <c r="I1451" s="47"/>
      <c r="J1451" s="47"/>
      <c r="K1451" s="47"/>
      <c r="L1451" s="47"/>
      <c r="M1451" s="47"/>
      <c r="N1451" s="47"/>
      <c r="O1451" s="47"/>
      <c r="P1451" s="47"/>
      <c r="Q1451" s="47"/>
      <c r="R1451" s="47"/>
      <c r="S1451" s="47"/>
    </row>
    <row r="1452" spans="1:19" ht="54" customHeight="1" x14ac:dyDescent="0.25">
      <c r="A1452" s="48" t="s">
        <v>33</v>
      </c>
      <c r="B1452" s="48"/>
      <c r="C1452" s="48"/>
      <c r="D1452" s="48"/>
      <c r="E1452" s="48"/>
      <c r="F1452" s="42" t="s">
        <v>24</v>
      </c>
      <c r="G1452" s="42"/>
      <c r="H1452" s="42"/>
      <c r="I1452" s="42"/>
      <c r="J1452" s="42"/>
      <c r="K1452" s="42"/>
      <c r="L1452" s="42"/>
      <c r="M1452" s="42"/>
      <c r="N1452" s="42"/>
      <c r="O1452" s="42"/>
      <c r="P1452" s="42"/>
      <c r="Q1452" s="42"/>
      <c r="R1452" s="42"/>
      <c r="S1452" s="42"/>
    </row>
    <row r="1453" spans="1:19" ht="17.399999999999999" x14ac:dyDescent="0.25">
      <c r="A1453" s="49" t="s">
        <v>34</v>
      </c>
      <c r="B1453" s="49"/>
      <c r="C1453" s="49"/>
      <c r="D1453" s="49"/>
      <c r="E1453" s="49"/>
      <c r="F1453" s="49"/>
      <c r="G1453" s="49"/>
      <c r="H1453" s="49"/>
      <c r="I1453" s="49"/>
      <c r="J1453" s="49"/>
      <c r="K1453" s="49"/>
      <c r="L1453" s="49"/>
      <c r="M1453" s="49"/>
      <c r="N1453" s="49"/>
      <c r="O1453" s="49"/>
      <c r="P1453" s="49"/>
      <c r="Q1453" s="49"/>
    </row>
    <row r="1454" spans="1:19" ht="4.5" customHeight="1" x14ac:dyDescent="0.25">
      <c r="A1454" s="50"/>
      <c r="B1454" s="50"/>
      <c r="C1454" s="50"/>
      <c r="D1454" s="50"/>
      <c r="E1454" s="50"/>
      <c r="F1454" s="50"/>
      <c r="G1454" s="50"/>
      <c r="H1454" s="50"/>
      <c r="I1454" s="50"/>
      <c r="J1454" s="50"/>
      <c r="K1454" s="50"/>
      <c r="L1454" s="50"/>
      <c r="M1454" s="50"/>
      <c r="N1454" s="50"/>
      <c r="O1454" s="50"/>
      <c r="P1454" s="50"/>
      <c r="Q1454" s="50"/>
    </row>
    <row r="1455" spans="1:19" ht="5.25" customHeight="1" x14ac:dyDescent="0.25">
      <c r="A1455" s="50"/>
      <c r="B1455" s="50"/>
      <c r="C1455" s="50"/>
      <c r="D1455" s="50"/>
      <c r="E1455" s="50"/>
      <c r="F1455" s="50"/>
      <c r="G1455" s="50"/>
      <c r="H1455" s="50"/>
      <c r="I1455" s="50"/>
      <c r="J1455" s="50"/>
      <c r="K1455" s="50"/>
      <c r="L1455" s="50"/>
      <c r="M1455" s="50"/>
      <c r="N1455" s="50"/>
      <c r="O1455" s="50"/>
      <c r="P1455" s="50"/>
      <c r="Q1455" s="50"/>
    </row>
    <row r="1456" spans="1:19" ht="16.5" customHeight="1" x14ac:dyDescent="0.25">
      <c r="A1456" s="54" t="s">
        <v>195</v>
      </c>
      <c r="B1456" s="54"/>
      <c r="C1456" s="54"/>
      <c r="D1456" s="54"/>
      <c r="E1456" s="54"/>
      <c r="F1456" s="54"/>
      <c r="G1456" s="58" t="s">
        <v>125</v>
      </c>
      <c r="H1456" s="58"/>
      <c r="I1456" s="58"/>
      <c r="J1456" s="58"/>
      <c r="K1456" s="58"/>
      <c r="L1456" s="58"/>
      <c r="M1456" s="58"/>
      <c r="N1456" s="58"/>
      <c r="O1456" s="58"/>
      <c r="P1456" s="58"/>
      <c r="Q1456" s="58"/>
      <c r="R1456" s="58"/>
      <c r="S1456" s="58"/>
    </row>
    <row r="1457" spans="1:20" ht="16.5" customHeight="1" x14ac:dyDescent="0.25">
      <c r="A1457" s="54" t="s">
        <v>196</v>
      </c>
      <c r="B1457" s="54"/>
      <c r="C1457" s="54"/>
      <c r="D1457" s="54"/>
      <c r="E1457" s="54"/>
      <c r="F1457" s="54"/>
      <c r="G1457" s="8" t="s">
        <v>46</v>
      </c>
      <c r="H1457" s="8"/>
      <c r="I1457" s="8"/>
      <c r="J1457" s="8"/>
      <c r="K1457" s="8"/>
      <c r="L1457" s="8"/>
      <c r="M1457" s="8"/>
      <c r="N1457" s="8"/>
      <c r="O1457" s="8"/>
      <c r="P1457" s="8"/>
      <c r="Q1457" s="8"/>
      <c r="T1457" s="2"/>
    </row>
    <row r="1458" spans="1:20" ht="16.5" customHeight="1" x14ac:dyDescent="0.25">
      <c r="A1458" s="54" t="s">
        <v>47</v>
      </c>
      <c r="B1458" s="54"/>
      <c r="C1458" s="54"/>
      <c r="D1458" s="54"/>
      <c r="E1458" s="54"/>
      <c r="F1458" s="54"/>
      <c r="G1458" s="58" t="s">
        <v>48</v>
      </c>
      <c r="H1458" s="58"/>
      <c r="I1458" s="58"/>
      <c r="J1458" s="58"/>
      <c r="K1458" s="58"/>
      <c r="L1458" s="58"/>
      <c r="M1458" s="58"/>
      <c r="N1458" s="58"/>
      <c r="O1458" s="58"/>
      <c r="P1458" s="58"/>
      <c r="Q1458" s="58"/>
      <c r="R1458" s="58"/>
      <c r="S1458" s="58"/>
    </row>
    <row r="1459" spans="1:20" ht="5.25" customHeight="1" x14ac:dyDescent="0.25">
      <c r="A1459" s="8"/>
      <c r="B1459" s="8"/>
      <c r="C1459" s="8"/>
      <c r="D1459" s="8"/>
      <c r="E1459" s="8"/>
      <c r="F1459" s="8"/>
      <c r="G1459" s="8"/>
      <c r="H1459" s="8"/>
      <c r="I1459" s="8"/>
      <c r="J1459" s="19"/>
      <c r="K1459" s="19"/>
      <c r="L1459" s="19"/>
      <c r="M1459" s="19"/>
      <c r="N1459" s="19"/>
      <c r="O1459" s="19"/>
      <c r="P1459" s="19"/>
      <c r="Q1459" s="19"/>
    </row>
    <row r="1460" spans="1:20" ht="15" customHeight="1" x14ac:dyDescent="0.25">
      <c r="A1460" s="36" t="s">
        <v>0</v>
      </c>
      <c r="B1460" s="29" t="s">
        <v>1</v>
      </c>
      <c r="C1460" s="30"/>
      <c r="D1460" s="30"/>
      <c r="E1460" s="30"/>
      <c r="F1460" s="30"/>
      <c r="G1460" s="31"/>
      <c r="H1460" s="36" t="s">
        <v>32</v>
      </c>
      <c r="I1460" s="36" t="s">
        <v>39</v>
      </c>
      <c r="J1460" s="55" t="s">
        <v>2</v>
      </c>
      <c r="K1460" s="56"/>
      <c r="L1460" s="56"/>
      <c r="M1460" s="56"/>
      <c r="N1460" s="56"/>
      <c r="O1460" s="56"/>
      <c r="P1460" s="56"/>
      <c r="Q1460" s="57"/>
      <c r="S1460" s="36" t="s">
        <v>38</v>
      </c>
    </row>
    <row r="1461" spans="1:20" ht="24" customHeight="1" x14ac:dyDescent="0.25">
      <c r="A1461" s="37"/>
      <c r="B1461" s="32"/>
      <c r="C1461" s="33"/>
      <c r="D1461" s="33"/>
      <c r="E1461" s="33"/>
      <c r="F1461" s="33"/>
      <c r="G1461" s="34"/>
      <c r="H1461" s="37"/>
      <c r="I1461" s="37"/>
      <c r="J1461" s="7" t="s">
        <v>28</v>
      </c>
      <c r="K1461" s="7" t="s">
        <v>29</v>
      </c>
      <c r="L1461" s="7" t="s">
        <v>30</v>
      </c>
      <c r="M1461" s="7"/>
      <c r="N1461" s="7"/>
      <c r="O1461" s="6" t="s">
        <v>35</v>
      </c>
      <c r="P1461" s="6" t="s">
        <v>36</v>
      </c>
      <c r="Q1461" s="6" t="s">
        <v>37</v>
      </c>
      <c r="S1461" s="37"/>
    </row>
    <row r="1462" spans="1:20" ht="20.25" customHeight="1" x14ac:dyDescent="0.25">
      <c r="A1462" s="27" t="s">
        <v>54</v>
      </c>
      <c r="B1462" s="28"/>
      <c r="C1462" s="28"/>
      <c r="D1462" s="28"/>
      <c r="E1462" s="28"/>
      <c r="F1462" s="28"/>
      <c r="G1462" s="28"/>
      <c r="H1462" s="28"/>
      <c r="I1462" s="28"/>
      <c r="J1462" s="28"/>
      <c r="K1462" s="28"/>
      <c r="L1462" s="28"/>
      <c r="M1462" s="28"/>
      <c r="N1462" s="28"/>
      <c r="O1462" s="28"/>
      <c r="P1462" s="28"/>
      <c r="Q1462" s="28"/>
      <c r="R1462" s="28"/>
      <c r="S1462" s="28"/>
    </row>
    <row r="1463" spans="1:20" ht="16.5" customHeight="1" x14ac:dyDescent="0.25">
      <c r="A1463" s="9"/>
      <c r="B1463" s="51" t="s">
        <v>55</v>
      </c>
      <c r="C1463" s="52"/>
      <c r="D1463" s="52"/>
      <c r="E1463" s="52"/>
      <c r="F1463" s="52"/>
      <c r="G1463" s="53"/>
      <c r="H1463" s="20"/>
      <c r="I1463" s="9">
        <v>2</v>
      </c>
      <c r="J1463" s="9"/>
      <c r="K1463" s="9"/>
      <c r="L1463" s="9"/>
      <c r="M1463" s="9">
        <f t="shared" ref="M1463:M1471" si="182">I1463*O1463</f>
        <v>13.6</v>
      </c>
      <c r="N1463" s="9">
        <f t="shared" ref="N1463:N1471" si="183">I1463*P1463</f>
        <v>5</v>
      </c>
      <c r="O1463" s="9">
        <v>6.8</v>
      </c>
      <c r="P1463" s="9">
        <v>2.5</v>
      </c>
      <c r="Q1463" s="9" t="s">
        <v>5</v>
      </c>
      <c r="R1463" s="1">
        <v>0</v>
      </c>
      <c r="S1463" s="26"/>
    </row>
    <row r="1464" spans="1:20" ht="16.5" customHeight="1" x14ac:dyDescent="0.25">
      <c r="A1464" s="9"/>
      <c r="B1464" s="51" t="s">
        <v>56</v>
      </c>
      <c r="C1464" s="52"/>
      <c r="D1464" s="52"/>
      <c r="E1464" s="52"/>
      <c r="F1464" s="52"/>
      <c r="G1464" s="53"/>
      <c r="H1464" s="20"/>
      <c r="I1464" s="9">
        <v>3</v>
      </c>
      <c r="J1464" s="9"/>
      <c r="K1464" s="9"/>
      <c r="L1464" s="9"/>
      <c r="M1464" s="9">
        <f t="shared" si="182"/>
        <v>22.200000000000003</v>
      </c>
      <c r="N1464" s="9">
        <f t="shared" si="183"/>
        <v>9</v>
      </c>
      <c r="O1464" s="9">
        <v>7.4</v>
      </c>
      <c r="P1464" s="9">
        <v>3</v>
      </c>
      <c r="Q1464" s="9" t="s">
        <v>6</v>
      </c>
      <c r="R1464" s="1">
        <v>0</v>
      </c>
      <c r="S1464" s="26"/>
    </row>
    <row r="1465" spans="1:20" ht="31.2" customHeight="1" x14ac:dyDescent="0.25">
      <c r="A1465" s="9"/>
      <c r="B1465" s="51" t="s">
        <v>57</v>
      </c>
      <c r="C1465" s="52"/>
      <c r="D1465" s="52"/>
      <c r="E1465" s="52"/>
      <c r="F1465" s="52"/>
      <c r="G1465" s="53"/>
      <c r="H1465" s="20"/>
      <c r="I1465" s="9">
        <v>3</v>
      </c>
      <c r="J1465" s="9"/>
      <c r="K1465" s="9"/>
      <c r="L1465" s="9"/>
      <c r="M1465" s="9">
        <f t="shared" si="182"/>
        <v>22.799999999999997</v>
      </c>
      <c r="N1465" s="9">
        <f t="shared" si="183"/>
        <v>9</v>
      </c>
      <c r="O1465" s="9">
        <v>7.6</v>
      </c>
      <c r="P1465" s="9">
        <v>3</v>
      </c>
      <c r="Q1465" s="9" t="s">
        <v>6</v>
      </c>
      <c r="R1465" s="1">
        <v>0</v>
      </c>
      <c r="S1465" s="26"/>
    </row>
    <row r="1466" spans="1:20" ht="16.5" customHeight="1" x14ac:dyDescent="0.25">
      <c r="A1466" s="9"/>
      <c r="B1466" s="51" t="s">
        <v>58</v>
      </c>
      <c r="C1466" s="52"/>
      <c r="D1466" s="52"/>
      <c r="E1466" s="52"/>
      <c r="F1466" s="52"/>
      <c r="G1466" s="53"/>
      <c r="H1466" s="20"/>
      <c r="I1466" s="9">
        <v>1</v>
      </c>
      <c r="J1466" s="9"/>
      <c r="K1466" s="9"/>
      <c r="L1466" s="9"/>
      <c r="M1466" s="9">
        <f t="shared" si="182"/>
        <v>7.3</v>
      </c>
      <c r="N1466" s="9">
        <f t="shared" si="183"/>
        <v>3</v>
      </c>
      <c r="O1466" s="9">
        <v>7.3</v>
      </c>
      <c r="P1466" s="9">
        <v>3</v>
      </c>
      <c r="Q1466" s="9" t="s">
        <v>6</v>
      </c>
      <c r="R1466" s="1">
        <v>0</v>
      </c>
      <c r="S1466" s="26"/>
    </row>
    <row r="1467" spans="1:20" ht="16.5" customHeight="1" x14ac:dyDescent="0.25">
      <c r="A1467" s="9"/>
      <c r="B1467" s="51" t="s">
        <v>59</v>
      </c>
      <c r="C1467" s="52"/>
      <c r="D1467" s="52"/>
      <c r="E1467" s="52"/>
      <c r="F1467" s="52"/>
      <c r="G1467" s="53"/>
      <c r="H1467" s="20"/>
      <c r="I1467" s="9">
        <v>1</v>
      </c>
      <c r="J1467" s="9"/>
      <c r="K1467" s="9"/>
      <c r="L1467" s="9"/>
      <c r="M1467" s="9">
        <f t="shared" si="182"/>
        <v>6.2</v>
      </c>
      <c r="N1467" s="9">
        <f t="shared" si="183"/>
        <v>2</v>
      </c>
      <c r="O1467" s="9">
        <v>6.2</v>
      </c>
      <c r="P1467" s="9">
        <v>2</v>
      </c>
      <c r="Q1467" s="9" t="s">
        <v>3</v>
      </c>
      <c r="R1467" s="1">
        <v>0</v>
      </c>
      <c r="S1467" s="26"/>
    </row>
    <row r="1468" spans="1:20" ht="16.5" customHeight="1" x14ac:dyDescent="0.25">
      <c r="A1468" s="9"/>
      <c r="B1468" s="51" t="s">
        <v>60</v>
      </c>
      <c r="C1468" s="52"/>
      <c r="D1468" s="52"/>
      <c r="E1468" s="52"/>
      <c r="F1468" s="52"/>
      <c r="G1468" s="53"/>
      <c r="H1468" s="20"/>
      <c r="I1468" s="9">
        <v>3</v>
      </c>
      <c r="J1468" s="9"/>
      <c r="K1468" s="9"/>
      <c r="L1468" s="9"/>
      <c r="M1468" s="9">
        <f t="shared" si="182"/>
        <v>22.799999999999997</v>
      </c>
      <c r="N1468" s="9">
        <f t="shared" si="183"/>
        <v>9</v>
      </c>
      <c r="O1468" s="9">
        <v>7.6</v>
      </c>
      <c r="P1468" s="9">
        <v>3</v>
      </c>
      <c r="Q1468" s="9" t="s">
        <v>6</v>
      </c>
      <c r="R1468" s="1">
        <v>0</v>
      </c>
      <c r="S1468" s="26"/>
    </row>
    <row r="1469" spans="1:20" ht="16.5" customHeight="1" x14ac:dyDescent="0.25">
      <c r="A1469" s="9"/>
      <c r="B1469" s="51" t="s">
        <v>61</v>
      </c>
      <c r="C1469" s="52"/>
      <c r="D1469" s="52"/>
      <c r="E1469" s="52"/>
      <c r="F1469" s="52"/>
      <c r="G1469" s="53"/>
      <c r="H1469" s="20"/>
      <c r="I1469" s="9">
        <v>1</v>
      </c>
      <c r="J1469" s="9"/>
      <c r="K1469" s="9"/>
      <c r="L1469" s="9"/>
      <c r="M1469" s="9">
        <f t="shared" si="182"/>
        <v>9</v>
      </c>
      <c r="N1469" s="9">
        <f t="shared" si="183"/>
        <v>4</v>
      </c>
      <c r="O1469" s="9">
        <v>9</v>
      </c>
      <c r="P1469" s="9">
        <v>4</v>
      </c>
      <c r="Q1469" s="9" t="s">
        <v>12</v>
      </c>
      <c r="R1469" s="1">
        <v>0</v>
      </c>
      <c r="S1469" s="26"/>
    </row>
    <row r="1470" spans="1:20" ht="16.5" hidden="1" customHeight="1" x14ac:dyDescent="0.25">
      <c r="A1470" s="21"/>
      <c r="H1470" s="21"/>
      <c r="I1470" s="21"/>
      <c r="J1470" s="21"/>
      <c r="K1470" s="21"/>
      <c r="L1470" s="21"/>
      <c r="M1470" s="9">
        <f t="shared" si="182"/>
        <v>0</v>
      </c>
      <c r="N1470" s="9">
        <f t="shared" si="183"/>
        <v>0</v>
      </c>
      <c r="O1470" s="21"/>
      <c r="P1470" s="21"/>
      <c r="Q1470" s="21"/>
      <c r="S1470" s="25"/>
    </row>
    <row r="1471" spans="1:20" ht="16.5" customHeight="1" x14ac:dyDescent="0.25">
      <c r="A1471" s="9"/>
      <c r="B1471" s="39" t="s">
        <v>42</v>
      </c>
      <c r="C1471" s="40"/>
      <c r="D1471" s="40"/>
      <c r="E1471" s="40"/>
      <c r="F1471" s="40"/>
      <c r="G1471" s="41"/>
      <c r="H1471" s="23"/>
      <c r="I1471" s="24">
        <f>SUM(I1463:I1470)</f>
        <v>14</v>
      </c>
      <c r="J1471" s="9"/>
      <c r="K1471" s="9"/>
      <c r="L1471" s="9"/>
      <c r="M1471" s="9">
        <f t="shared" si="182"/>
        <v>103.88</v>
      </c>
      <c r="N1471" s="9">
        <f t="shared" si="183"/>
        <v>41.02</v>
      </c>
      <c r="O1471" s="24">
        <f>ROUND(SUM(M1463:M1470)/I1471,2)</f>
        <v>7.42</v>
      </c>
      <c r="P1471" s="24">
        <f>ROUND(SUM(N1463:N1470)/I1471,2)</f>
        <v>2.93</v>
      </c>
      <c r="Q1471" s="9"/>
      <c r="S1471" s="25"/>
    </row>
    <row r="1472" spans="1:20" ht="20.25" customHeight="1" x14ac:dyDescent="0.25">
      <c r="A1472" s="27" t="s">
        <v>62</v>
      </c>
      <c r="B1472" s="28"/>
      <c r="C1472" s="28"/>
      <c r="D1472" s="28"/>
      <c r="E1472" s="28"/>
      <c r="F1472" s="28"/>
      <c r="G1472" s="28"/>
      <c r="H1472" s="28"/>
      <c r="I1472" s="28"/>
      <c r="J1472" s="28"/>
      <c r="K1472" s="28"/>
      <c r="L1472" s="28"/>
      <c r="M1472" s="28"/>
      <c r="N1472" s="28"/>
      <c r="O1472" s="28"/>
      <c r="P1472" s="28"/>
      <c r="Q1472" s="28"/>
      <c r="R1472" s="28"/>
      <c r="S1472" s="28"/>
    </row>
    <row r="1473" spans="1:19" ht="16.5" customHeight="1" x14ac:dyDescent="0.25">
      <c r="A1473" s="9"/>
      <c r="B1473" s="51" t="s">
        <v>63</v>
      </c>
      <c r="C1473" s="52"/>
      <c r="D1473" s="52"/>
      <c r="E1473" s="52"/>
      <c r="F1473" s="52"/>
      <c r="G1473" s="53"/>
      <c r="H1473" s="20"/>
      <c r="I1473" s="9">
        <v>4</v>
      </c>
      <c r="J1473" s="9"/>
      <c r="K1473" s="9"/>
      <c r="L1473" s="9"/>
      <c r="M1473" s="9">
        <f t="shared" ref="M1473:M1481" si="184">I1473*O1473</f>
        <v>22</v>
      </c>
      <c r="N1473" s="9">
        <f t="shared" ref="N1473:N1481" si="185">I1473*P1473</f>
        <v>8</v>
      </c>
      <c r="O1473" s="9">
        <v>5.5</v>
      </c>
      <c r="P1473" s="9">
        <v>2</v>
      </c>
      <c r="Q1473" s="9" t="s">
        <v>3</v>
      </c>
      <c r="R1473" s="1">
        <v>0</v>
      </c>
      <c r="S1473" s="26"/>
    </row>
    <row r="1474" spans="1:19" ht="16.5" customHeight="1" x14ac:dyDescent="0.25">
      <c r="A1474" s="9"/>
      <c r="B1474" s="51" t="s">
        <v>64</v>
      </c>
      <c r="C1474" s="52"/>
      <c r="D1474" s="52"/>
      <c r="E1474" s="52"/>
      <c r="F1474" s="52"/>
      <c r="G1474" s="53"/>
      <c r="H1474" s="20"/>
      <c r="I1474" s="9">
        <v>4</v>
      </c>
      <c r="J1474" s="9"/>
      <c r="K1474" s="9"/>
      <c r="L1474" s="9"/>
      <c r="M1474" s="9">
        <f t="shared" si="184"/>
        <v>27.2</v>
      </c>
      <c r="N1474" s="9">
        <f t="shared" si="185"/>
        <v>10</v>
      </c>
      <c r="O1474" s="9">
        <v>6.8</v>
      </c>
      <c r="P1474" s="9">
        <v>2.5</v>
      </c>
      <c r="Q1474" s="9" t="s">
        <v>5</v>
      </c>
      <c r="R1474" s="1">
        <v>0</v>
      </c>
      <c r="S1474" s="26"/>
    </row>
    <row r="1475" spans="1:19" ht="16.5" customHeight="1" x14ac:dyDescent="0.25">
      <c r="A1475" s="9"/>
      <c r="B1475" s="51" t="s">
        <v>65</v>
      </c>
      <c r="C1475" s="52"/>
      <c r="D1475" s="52"/>
      <c r="E1475" s="52"/>
      <c r="F1475" s="52"/>
      <c r="G1475" s="53"/>
      <c r="H1475" s="20"/>
      <c r="I1475" s="9">
        <v>4</v>
      </c>
      <c r="J1475" s="9"/>
      <c r="K1475" s="9"/>
      <c r="L1475" s="9"/>
      <c r="M1475" s="9">
        <f t="shared" si="184"/>
        <v>31.2</v>
      </c>
      <c r="N1475" s="9">
        <f t="shared" si="185"/>
        <v>12</v>
      </c>
      <c r="O1475" s="9">
        <v>7.8</v>
      </c>
      <c r="P1475" s="9">
        <v>3</v>
      </c>
      <c r="Q1475" s="9" t="s">
        <v>6</v>
      </c>
      <c r="R1475" s="1">
        <v>0</v>
      </c>
      <c r="S1475" s="26"/>
    </row>
    <row r="1476" spans="1:19" ht="16.5" customHeight="1" x14ac:dyDescent="0.25">
      <c r="A1476" s="9"/>
      <c r="B1476" s="51" t="s">
        <v>66</v>
      </c>
      <c r="C1476" s="52"/>
      <c r="D1476" s="52"/>
      <c r="E1476" s="52"/>
      <c r="F1476" s="52"/>
      <c r="G1476" s="53"/>
      <c r="H1476" s="20"/>
      <c r="I1476" s="9">
        <v>1</v>
      </c>
      <c r="J1476" s="9"/>
      <c r="K1476" s="9"/>
      <c r="L1476" s="9"/>
      <c r="M1476" s="9">
        <f t="shared" si="184"/>
        <v>7.4</v>
      </c>
      <c r="N1476" s="9">
        <f t="shared" si="185"/>
        <v>3</v>
      </c>
      <c r="O1476" s="9">
        <v>7.4</v>
      </c>
      <c r="P1476" s="9">
        <v>3</v>
      </c>
      <c r="Q1476" s="9" t="s">
        <v>6</v>
      </c>
      <c r="R1476" s="1">
        <v>0</v>
      </c>
      <c r="S1476" s="26"/>
    </row>
    <row r="1477" spans="1:19" ht="16.5" customHeight="1" x14ac:dyDescent="0.25">
      <c r="A1477" s="9"/>
      <c r="B1477" s="51" t="s">
        <v>67</v>
      </c>
      <c r="C1477" s="52"/>
      <c r="D1477" s="52"/>
      <c r="E1477" s="52"/>
      <c r="F1477" s="52"/>
      <c r="G1477" s="53"/>
      <c r="H1477" s="20"/>
      <c r="I1477" s="9">
        <v>1</v>
      </c>
      <c r="J1477" s="9"/>
      <c r="K1477" s="9"/>
      <c r="L1477" s="9"/>
      <c r="M1477" s="9">
        <f t="shared" si="184"/>
        <v>7.4</v>
      </c>
      <c r="N1477" s="9">
        <f t="shared" si="185"/>
        <v>3</v>
      </c>
      <c r="O1477" s="9">
        <v>7.4</v>
      </c>
      <c r="P1477" s="9">
        <v>3</v>
      </c>
      <c r="Q1477" s="9" t="s">
        <v>6</v>
      </c>
      <c r="R1477" s="1">
        <v>0</v>
      </c>
      <c r="S1477" s="26"/>
    </row>
    <row r="1478" spans="1:19" ht="16.5" customHeight="1" x14ac:dyDescent="0.25">
      <c r="A1478" s="9"/>
      <c r="B1478" s="51" t="s">
        <v>68</v>
      </c>
      <c r="C1478" s="52"/>
      <c r="D1478" s="52"/>
      <c r="E1478" s="52"/>
      <c r="F1478" s="52"/>
      <c r="G1478" s="53"/>
      <c r="H1478" s="20"/>
      <c r="I1478" s="9">
        <v>1</v>
      </c>
      <c r="J1478" s="9"/>
      <c r="K1478" s="9"/>
      <c r="L1478" s="9"/>
      <c r="M1478" s="9">
        <f t="shared" si="184"/>
        <v>7.6</v>
      </c>
      <c r="N1478" s="9">
        <f t="shared" si="185"/>
        <v>3</v>
      </c>
      <c r="O1478" s="9">
        <v>7.6</v>
      </c>
      <c r="P1478" s="9">
        <v>3</v>
      </c>
      <c r="Q1478" s="9" t="s">
        <v>6</v>
      </c>
      <c r="R1478" s="1">
        <v>0</v>
      </c>
      <c r="S1478" s="26"/>
    </row>
    <row r="1479" spans="1:19" ht="16.5" customHeight="1" x14ac:dyDescent="0.25">
      <c r="A1479" s="9"/>
      <c r="B1479" s="51" t="s">
        <v>69</v>
      </c>
      <c r="C1479" s="52"/>
      <c r="D1479" s="52"/>
      <c r="E1479" s="52"/>
      <c r="F1479" s="52"/>
      <c r="G1479" s="53"/>
      <c r="H1479" s="20"/>
      <c r="I1479" s="9">
        <v>1</v>
      </c>
      <c r="J1479" s="9"/>
      <c r="K1479" s="9"/>
      <c r="L1479" s="9"/>
      <c r="M1479" s="9">
        <f t="shared" si="184"/>
        <v>7.3</v>
      </c>
      <c r="N1479" s="9">
        <f t="shared" si="185"/>
        <v>3</v>
      </c>
      <c r="O1479" s="9">
        <v>7.3</v>
      </c>
      <c r="P1479" s="9">
        <v>3</v>
      </c>
      <c r="Q1479" s="9" t="s">
        <v>6</v>
      </c>
      <c r="R1479" s="1">
        <v>0</v>
      </c>
      <c r="S1479" s="26"/>
    </row>
    <row r="1480" spans="1:19" ht="16.5" hidden="1" customHeight="1" x14ac:dyDescent="0.25">
      <c r="A1480" s="21"/>
      <c r="H1480" s="21"/>
      <c r="I1480" s="21"/>
      <c r="J1480" s="21"/>
      <c r="K1480" s="21"/>
      <c r="L1480" s="21"/>
      <c r="M1480" s="9">
        <f t="shared" si="184"/>
        <v>0</v>
      </c>
      <c r="N1480" s="9">
        <f t="shared" si="185"/>
        <v>0</v>
      </c>
      <c r="O1480" s="21"/>
      <c r="P1480" s="21"/>
      <c r="Q1480" s="21"/>
      <c r="S1480" s="25"/>
    </row>
    <row r="1481" spans="1:19" ht="16.5" customHeight="1" x14ac:dyDescent="0.25">
      <c r="A1481" s="9"/>
      <c r="B1481" s="39" t="s">
        <v>42</v>
      </c>
      <c r="C1481" s="40"/>
      <c r="D1481" s="40"/>
      <c r="E1481" s="40"/>
      <c r="F1481" s="40"/>
      <c r="G1481" s="41"/>
      <c r="H1481" s="23"/>
      <c r="I1481" s="24">
        <f>SUM(I1473:I1480)</f>
        <v>16</v>
      </c>
      <c r="J1481" s="9"/>
      <c r="K1481" s="9"/>
      <c r="L1481" s="9"/>
      <c r="M1481" s="9">
        <f t="shared" si="184"/>
        <v>110.08</v>
      </c>
      <c r="N1481" s="9">
        <f t="shared" si="185"/>
        <v>42.08</v>
      </c>
      <c r="O1481" s="24">
        <f>ROUND(SUM(M1473:M1480)/I1481,2)</f>
        <v>6.88</v>
      </c>
      <c r="P1481" s="24">
        <f>ROUND(SUM(N1473:N1480)/I1481,2)</f>
        <v>2.63</v>
      </c>
      <c r="Q1481" s="9"/>
      <c r="S1481" s="25"/>
    </row>
    <row r="1482" spans="1:19" ht="20.25" customHeight="1" x14ac:dyDescent="0.25">
      <c r="A1482" s="27" t="s">
        <v>70</v>
      </c>
      <c r="B1482" s="28"/>
      <c r="C1482" s="28"/>
      <c r="D1482" s="28"/>
      <c r="E1482" s="28"/>
      <c r="F1482" s="28"/>
      <c r="G1482" s="28"/>
      <c r="H1482" s="28"/>
      <c r="I1482" s="28"/>
      <c r="J1482" s="28"/>
      <c r="K1482" s="28"/>
      <c r="L1482" s="28"/>
      <c r="M1482" s="28"/>
      <c r="N1482" s="28"/>
      <c r="O1482" s="28"/>
      <c r="P1482" s="28"/>
      <c r="Q1482" s="28"/>
      <c r="R1482" s="28"/>
      <c r="S1482" s="28"/>
    </row>
    <row r="1483" spans="1:19" ht="16.5" customHeight="1" x14ac:dyDescent="0.25">
      <c r="A1483" s="9"/>
      <c r="B1483" s="51" t="s">
        <v>71</v>
      </c>
      <c r="C1483" s="52"/>
      <c r="D1483" s="52"/>
      <c r="E1483" s="52"/>
      <c r="F1483" s="52"/>
      <c r="G1483" s="53"/>
      <c r="H1483" s="20"/>
      <c r="I1483" s="9">
        <v>4</v>
      </c>
      <c r="J1483" s="9"/>
      <c r="K1483" s="9"/>
      <c r="L1483" s="9"/>
      <c r="M1483" s="9">
        <f t="shared" ref="M1483:M1492" si="186">I1483*O1483</f>
        <v>25.6</v>
      </c>
      <c r="N1483" s="9">
        <f t="shared" ref="N1483:N1492" si="187">I1483*P1483</f>
        <v>8</v>
      </c>
      <c r="O1483" s="9">
        <v>6.4</v>
      </c>
      <c r="P1483" s="9">
        <v>2</v>
      </c>
      <c r="Q1483" s="9" t="s">
        <v>3</v>
      </c>
      <c r="R1483" s="1">
        <v>0</v>
      </c>
      <c r="S1483" s="26"/>
    </row>
    <row r="1484" spans="1:19" ht="16.5" customHeight="1" x14ac:dyDescent="0.25">
      <c r="A1484" s="9"/>
      <c r="B1484" s="51" t="s">
        <v>72</v>
      </c>
      <c r="C1484" s="52"/>
      <c r="D1484" s="52"/>
      <c r="E1484" s="52"/>
      <c r="F1484" s="52"/>
      <c r="G1484" s="53"/>
      <c r="H1484" s="20"/>
      <c r="I1484" s="9">
        <v>4</v>
      </c>
      <c r="J1484" s="9"/>
      <c r="K1484" s="9"/>
      <c r="L1484" s="9"/>
      <c r="M1484" s="9">
        <f t="shared" si="186"/>
        <v>28.8</v>
      </c>
      <c r="N1484" s="9">
        <f t="shared" si="187"/>
        <v>12</v>
      </c>
      <c r="O1484" s="9">
        <v>7.2</v>
      </c>
      <c r="P1484" s="9">
        <v>3</v>
      </c>
      <c r="Q1484" s="9" t="s">
        <v>6</v>
      </c>
      <c r="R1484" s="1">
        <v>0</v>
      </c>
      <c r="S1484" s="26"/>
    </row>
    <row r="1485" spans="1:19" ht="16.5" customHeight="1" x14ac:dyDescent="0.25">
      <c r="A1485" s="9"/>
      <c r="B1485" s="51" t="s">
        <v>73</v>
      </c>
      <c r="C1485" s="52"/>
      <c r="D1485" s="52"/>
      <c r="E1485" s="52"/>
      <c r="F1485" s="52"/>
      <c r="G1485" s="53"/>
      <c r="H1485" s="20"/>
      <c r="I1485" s="9">
        <v>2</v>
      </c>
      <c r="J1485" s="9"/>
      <c r="K1485" s="9"/>
      <c r="L1485" s="9"/>
      <c r="M1485" s="9">
        <f t="shared" si="186"/>
        <v>16.399999999999999</v>
      </c>
      <c r="N1485" s="9">
        <f t="shared" si="187"/>
        <v>7</v>
      </c>
      <c r="O1485" s="9">
        <v>8.1999999999999993</v>
      </c>
      <c r="P1485" s="9">
        <v>3.5</v>
      </c>
      <c r="Q1485" s="9" t="s">
        <v>9</v>
      </c>
      <c r="R1485" s="1">
        <v>0</v>
      </c>
      <c r="S1485" s="26"/>
    </row>
    <row r="1486" spans="1:19" ht="16.5" customHeight="1" x14ac:dyDescent="0.25">
      <c r="A1486" s="9"/>
      <c r="B1486" s="51" t="s">
        <v>74</v>
      </c>
      <c r="C1486" s="52"/>
      <c r="D1486" s="52"/>
      <c r="E1486" s="52"/>
      <c r="F1486" s="52"/>
      <c r="G1486" s="53"/>
      <c r="H1486" s="20"/>
      <c r="I1486" s="9">
        <v>2</v>
      </c>
      <c r="J1486" s="9"/>
      <c r="K1486" s="9"/>
      <c r="L1486" s="9"/>
      <c r="M1486" s="9">
        <f t="shared" si="186"/>
        <v>15.4</v>
      </c>
      <c r="N1486" s="9">
        <f t="shared" si="187"/>
        <v>6</v>
      </c>
      <c r="O1486" s="9">
        <v>7.7</v>
      </c>
      <c r="P1486" s="9">
        <v>3</v>
      </c>
      <c r="Q1486" s="9" t="s">
        <v>6</v>
      </c>
      <c r="R1486" s="1">
        <v>0</v>
      </c>
      <c r="S1486" s="26"/>
    </row>
    <row r="1487" spans="1:19" ht="16.5" customHeight="1" x14ac:dyDescent="0.25">
      <c r="A1487" s="9"/>
      <c r="B1487" s="51" t="s">
        <v>75</v>
      </c>
      <c r="C1487" s="52"/>
      <c r="D1487" s="52"/>
      <c r="E1487" s="52"/>
      <c r="F1487" s="52"/>
      <c r="G1487" s="53"/>
      <c r="H1487" s="20"/>
      <c r="I1487" s="9">
        <v>1</v>
      </c>
      <c r="J1487" s="9"/>
      <c r="K1487" s="9"/>
      <c r="L1487" s="9"/>
      <c r="M1487" s="9">
        <f t="shared" si="186"/>
        <v>6.9</v>
      </c>
      <c r="N1487" s="9">
        <f t="shared" si="187"/>
        <v>2.5</v>
      </c>
      <c r="O1487" s="9">
        <v>6.9</v>
      </c>
      <c r="P1487" s="9">
        <v>2.5</v>
      </c>
      <c r="Q1487" s="9" t="s">
        <v>5</v>
      </c>
      <c r="R1487" s="1">
        <v>0</v>
      </c>
      <c r="S1487" s="26"/>
    </row>
    <row r="1488" spans="1:19" ht="16.5" customHeight="1" x14ac:dyDescent="0.25">
      <c r="A1488" s="9"/>
      <c r="B1488" s="51" t="s">
        <v>76</v>
      </c>
      <c r="C1488" s="52"/>
      <c r="D1488" s="52"/>
      <c r="E1488" s="52"/>
      <c r="F1488" s="52"/>
      <c r="G1488" s="53"/>
      <c r="H1488" s="20"/>
      <c r="I1488" s="9">
        <v>4</v>
      </c>
      <c r="J1488" s="9"/>
      <c r="K1488" s="9"/>
      <c r="L1488" s="9"/>
      <c r="M1488" s="9">
        <f t="shared" si="186"/>
        <v>30.8</v>
      </c>
      <c r="N1488" s="9">
        <f t="shared" si="187"/>
        <v>12</v>
      </c>
      <c r="O1488" s="9">
        <v>7.7</v>
      </c>
      <c r="P1488" s="9">
        <v>3</v>
      </c>
      <c r="Q1488" s="9" t="s">
        <v>6</v>
      </c>
      <c r="R1488" s="1">
        <v>0</v>
      </c>
      <c r="S1488" s="26"/>
    </row>
    <row r="1489" spans="1:19" ht="16.5" customHeight="1" x14ac:dyDescent="0.25">
      <c r="A1489" s="9"/>
      <c r="B1489" s="51" t="s">
        <v>77</v>
      </c>
      <c r="C1489" s="52"/>
      <c r="D1489" s="52"/>
      <c r="E1489" s="52"/>
      <c r="F1489" s="52"/>
      <c r="G1489" s="53"/>
      <c r="H1489" s="20"/>
      <c r="I1489" s="9">
        <v>1</v>
      </c>
      <c r="J1489" s="9"/>
      <c r="K1489" s="9"/>
      <c r="L1489" s="9"/>
      <c r="M1489" s="9">
        <f t="shared" si="186"/>
        <v>8.1</v>
      </c>
      <c r="N1489" s="9">
        <f t="shared" si="187"/>
        <v>3.5</v>
      </c>
      <c r="O1489" s="9">
        <v>8.1</v>
      </c>
      <c r="P1489" s="9">
        <v>3.5</v>
      </c>
      <c r="Q1489" s="9" t="s">
        <v>9</v>
      </c>
      <c r="R1489" s="1">
        <v>0</v>
      </c>
      <c r="S1489" s="26"/>
    </row>
    <row r="1490" spans="1:19" ht="16.5" customHeight="1" x14ac:dyDescent="0.25">
      <c r="A1490" s="9"/>
      <c r="B1490" s="51" t="s">
        <v>78</v>
      </c>
      <c r="C1490" s="52"/>
      <c r="D1490" s="52"/>
      <c r="E1490" s="52"/>
      <c r="F1490" s="52"/>
      <c r="G1490" s="53"/>
      <c r="H1490" s="20"/>
      <c r="I1490" s="9">
        <v>3</v>
      </c>
      <c r="J1490" s="9"/>
      <c r="K1490" s="9"/>
      <c r="L1490" s="9"/>
      <c r="M1490" s="9">
        <f t="shared" si="186"/>
        <v>16.5</v>
      </c>
      <c r="N1490" s="9">
        <f t="shared" si="187"/>
        <v>6</v>
      </c>
      <c r="O1490" s="9">
        <v>5.5</v>
      </c>
      <c r="P1490" s="9">
        <v>2</v>
      </c>
      <c r="Q1490" s="9" t="s">
        <v>3</v>
      </c>
      <c r="R1490" s="1">
        <v>0</v>
      </c>
      <c r="S1490" s="26"/>
    </row>
    <row r="1491" spans="1:19" ht="16.5" hidden="1" customHeight="1" x14ac:dyDescent="0.25">
      <c r="A1491" s="21"/>
      <c r="H1491" s="21"/>
      <c r="I1491" s="21"/>
      <c r="J1491" s="21"/>
      <c r="K1491" s="21"/>
      <c r="L1491" s="21"/>
      <c r="M1491" s="9">
        <f t="shared" si="186"/>
        <v>0</v>
      </c>
      <c r="N1491" s="9">
        <f t="shared" si="187"/>
        <v>0</v>
      </c>
      <c r="O1491" s="21"/>
      <c r="P1491" s="21"/>
      <c r="Q1491" s="21"/>
      <c r="S1491" s="25"/>
    </row>
    <row r="1492" spans="1:19" ht="16.5" customHeight="1" x14ac:dyDescent="0.25">
      <c r="A1492" s="9"/>
      <c r="B1492" s="39" t="s">
        <v>42</v>
      </c>
      <c r="C1492" s="40"/>
      <c r="D1492" s="40"/>
      <c r="E1492" s="40"/>
      <c r="F1492" s="40"/>
      <c r="G1492" s="41"/>
      <c r="H1492" s="23"/>
      <c r="I1492" s="24">
        <f>SUM(I1483:I1491)</f>
        <v>21</v>
      </c>
      <c r="J1492" s="9"/>
      <c r="K1492" s="9"/>
      <c r="L1492" s="9"/>
      <c r="M1492" s="9">
        <f t="shared" si="186"/>
        <v>148.47</v>
      </c>
      <c r="N1492" s="9">
        <f t="shared" si="187"/>
        <v>56.91</v>
      </c>
      <c r="O1492" s="24">
        <f>ROUND(SUM(M1483:M1491)/I1492,2)</f>
        <v>7.07</v>
      </c>
      <c r="P1492" s="24">
        <f>ROUND(SUM(N1483:N1491)/I1492,2)</f>
        <v>2.71</v>
      </c>
      <c r="Q1492" s="9"/>
      <c r="S1492" s="25"/>
    </row>
    <row r="1493" spans="1:19" ht="20.25" customHeight="1" x14ac:dyDescent="0.25">
      <c r="A1493" s="27" t="s">
        <v>79</v>
      </c>
      <c r="B1493" s="28"/>
      <c r="C1493" s="28"/>
      <c r="D1493" s="28"/>
      <c r="E1493" s="28"/>
      <c r="F1493" s="28"/>
      <c r="G1493" s="28"/>
      <c r="H1493" s="28"/>
      <c r="I1493" s="28"/>
      <c r="J1493" s="28"/>
      <c r="K1493" s="28"/>
      <c r="L1493" s="28"/>
      <c r="M1493" s="28"/>
      <c r="N1493" s="28"/>
      <c r="O1493" s="28"/>
      <c r="P1493" s="28"/>
      <c r="Q1493" s="28"/>
      <c r="R1493" s="28"/>
      <c r="S1493" s="28"/>
    </row>
    <row r="1494" spans="1:19" ht="16.5" customHeight="1" x14ac:dyDescent="0.25">
      <c r="A1494" s="9"/>
      <c r="B1494" s="51" t="s">
        <v>80</v>
      </c>
      <c r="C1494" s="52"/>
      <c r="D1494" s="52"/>
      <c r="E1494" s="52"/>
      <c r="F1494" s="52"/>
      <c r="G1494" s="53"/>
      <c r="H1494" s="20"/>
      <c r="I1494" s="9">
        <v>3</v>
      </c>
      <c r="J1494" s="9"/>
      <c r="K1494" s="9"/>
      <c r="L1494" s="9"/>
      <c r="M1494" s="9">
        <f t="shared" ref="M1494:M1499" si="188">I1494*O1494</f>
        <v>20.399999999999999</v>
      </c>
      <c r="N1494" s="9">
        <f t="shared" ref="N1494:N1499" si="189">I1494*P1494</f>
        <v>7.5</v>
      </c>
      <c r="O1494" s="9">
        <v>6.8</v>
      </c>
      <c r="P1494" s="9">
        <v>2.5</v>
      </c>
      <c r="Q1494" s="9" t="s">
        <v>5</v>
      </c>
      <c r="R1494" s="1">
        <v>0</v>
      </c>
      <c r="S1494" s="26"/>
    </row>
    <row r="1495" spans="1:19" ht="16.5" customHeight="1" x14ac:dyDescent="0.25">
      <c r="A1495" s="9"/>
      <c r="B1495" s="51" t="s">
        <v>87</v>
      </c>
      <c r="C1495" s="52"/>
      <c r="D1495" s="52"/>
      <c r="E1495" s="52"/>
      <c r="F1495" s="52"/>
      <c r="G1495" s="53"/>
      <c r="H1495" s="20"/>
      <c r="I1495" s="9">
        <v>3</v>
      </c>
      <c r="J1495" s="9"/>
      <c r="K1495" s="9"/>
      <c r="L1495" s="9"/>
      <c r="M1495" s="9">
        <f t="shared" si="188"/>
        <v>22.799999999999997</v>
      </c>
      <c r="N1495" s="9">
        <f t="shared" si="189"/>
        <v>9</v>
      </c>
      <c r="O1495" s="9">
        <v>7.6</v>
      </c>
      <c r="P1495" s="9">
        <v>3</v>
      </c>
      <c r="Q1495" s="9" t="s">
        <v>6</v>
      </c>
      <c r="R1495" s="1">
        <v>0</v>
      </c>
      <c r="S1495" s="26"/>
    </row>
    <row r="1496" spans="1:19" ht="16.5" customHeight="1" x14ac:dyDescent="0.25">
      <c r="A1496" s="9"/>
      <c r="B1496" s="51" t="s">
        <v>82</v>
      </c>
      <c r="C1496" s="52"/>
      <c r="D1496" s="52"/>
      <c r="E1496" s="52"/>
      <c r="F1496" s="52"/>
      <c r="G1496" s="53"/>
      <c r="H1496" s="20"/>
      <c r="I1496" s="9">
        <v>3</v>
      </c>
      <c r="J1496" s="9"/>
      <c r="K1496" s="9"/>
      <c r="L1496" s="9"/>
      <c r="M1496" s="9">
        <f t="shared" si="188"/>
        <v>23.700000000000003</v>
      </c>
      <c r="N1496" s="9">
        <f t="shared" si="189"/>
        <v>9</v>
      </c>
      <c r="O1496" s="9">
        <v>7.9</v>
      </c>
      <c r="P1496" s="9">
        <v>3</v>
      </c>
      <c r="Q1496" s="9" t="s">
        <v>6</v>
      </c>
      <c r="R1496" s="1">
        <v>0</v>
      </c>
      <c r="S1496" s="26"/>
    </row>
    <row r="1497" spans="1:19" ht="16.5" customHeight="1" x14ac:dyDescent="0.25">
      <c r="A1497" s="9"/>
      <c r="B1497" s="51" t="s">
        <v>83</v>
      </c>
      <c r="C1497" s="52"/>
      <c r="D1497" s="52"/>
      <c r="E1497" s="52"/>
      <c r="F1497" s="52"/>
      <c r="G1497" s="53"/>
      <c r="H1497" s="20"/>
      <c r="I1497" s="9">
        <v>1</v>
      </c>
      <c r="J1497" s="9"/>
      <c r="K1497" s="9"/>
      <c r="L1497" s="9"/>
      <c r="M1497" s="9">
        <f t="shared" si="188"/>
        <v>7.5</v>
      </c>
      <c r="N1497" s="9">
        <f t="shared" si="189"/>
        <v>3</v>
      </c>
      <c r="O1497" s="9">
        <v>7.5</v>
      </c>
      <c r="P1497" s="9">
        <v>3</v>
      </c>
      <c r="Q1497" s="9" t="s">
        <v>6</v>
      </c>
      <c r="R1497" s="1">
        <v>0</v>
      </c>
      <c r="S1497" s="26"/>
    </row>
    <row r="1498" spans="1:19" ht="16.5" customHeight="1" x14ac:dyDescent="0.25">
      <c r="A1498" s="9"/>
      <c r="B1498" s="51" t="s">
        <v>84</v>
      </c>
      <c r="C1498" s="52"/>
      <c r="D1498" s="52"/>
      <c r="E1498" s="52"/>
      <c r="F1498" s="52"/>
      <c r="G1498" s="53"/>
      <c r="H1498" s="20"/>
      <c r="I1498" s="9">
        <v>2</v>
      </c>
      <c r="J1498" s="9"/>
      <c r="K1498" s="9"/>
      <c r="L1498" s="9"/>
      <c r="M1498" s="9">
        <f t="shared" si="188"/>
        <v>15.4</v>
      </c>
      <c r="N1498" s="9">
        <f t="shared" si="189"/>
        <v>6</v>
      </c>
      <c r="O1498" s="9">
        <v>7.7</v>
      </c>
      <c r="P1498" s="9">
        <v>3</v>
      </c>
      <c r="Q1498" s="9" t="s">
        <v>6</v>
      </c>
      <c r="R1498" s="1">
        <v>0</v>
      </c>
      <c r="S1498" s="26"/>
    </row>
    <row r="1499" spans="1:19" ht="16.5" customHeight="1" x14ac:dyDescent="0.25">
      <c r="A1499" s="9"/>
      <c r="B1499" s="51" t="s">
        <v>85</v>
      </c>
      <c r="C1499" s="52"/>
      <c r="D1499" s="52"/>
      <c r="E1499" s="52"/>
      <c r="F1499" s="52"/>
      <c r="G1499" s="53"/>
      <c r="H1499" s="20"/>
      <c r="I1499" s="9">
        <v>2</v>
      </c>
      <c r="J1499" s="9"/>
      <c r="K1499" s="9"/>
      <c r="L1499" s="9"/>
      <c r="M1499" s="9">
        <f t="shared" si="188"/>
        <v>14.8</v>
      </c>
      <c r="N1499" s="9">
        <f t="shared" si="189"/>
        <v>6</v>
      </c>
      <c r="O1499" s="9">
        <v>7.4</v>
      </c>
      <c r="P1499" s="9">
        <v>3</v>
      </c>
      <c r="Q1499" s="9" t="s">
        <v>6</v>
      </c>
      <c r="R1499" s="1">
        <v>0</v>
      </c>
      <c r="S1499" s="26"/>
    </row>
    <row r="1500" spans="1:19" ht="15" customHeight="1" x14ac:dyDescent="0.25">
      <c r="A1500" s="36" t="s">
        <v>0</v>
      </c>
      <c r="B1500" s="29" t="s">
        <v>1</v>
      </c>
      <c r="C1500" s="30"/>
      <c r="D1500" s="30"/>
      <c r="E1500" s="30"/>
      <c r="F1500" s="30"/>
      <c r="G1500" s="31"/>
      <c r="H1500" s="36" t="s">
        <v>32</v>
      </c>
      <c r="I1500" s="36" t="s">
        <v>39</v>
      </c>
      <c r="J1500" s="55" t="s">
        <v>2</v>
      </c>
      <c r="K1500" s="56"/>
      <c r="L1500" s="56"/>
      <c r="M1500" s="56"/>
      <c r="N1500" s="56"/>
      <c r="O1500" s="56"/>
      <c r="P1500" s="56"/>
      <c r="Q1500" s="57"/>
      <c r="S1500" s="36" t="s">
        <v>38</v>
      </c>
    </row>
    <row r="1501" spans="1:19" ht="24" customHeight="1" x14ac:dyDescent="0.25">
      <c r="A1501" s="37"/>
      <c r="B1501" s="32"/>
      <c r="C1501" s="33"/>
      <c r="D1501" s="33"/>
      <c r="E1501" s="33"/>
      <c r="F1501" s="33"/>
      <c r="G1501" s="34"/>
      <c r="H1501" s="37"/>
      <c r="I1501" s="37"/>
      <c r="J1501" s="7" t="s">
        <v>28</v>
      </c>
      <c r="K1501" s="7" t="s">
        <v>29</v>
      </c>
      <c r="L1501" s="7" t="s">
        <v>30</v>
      </c>
      <c r="M1501" s="7"/>
      <c r="N1501" s="7"/>
      <c r="O1501" s="6" t="s">
        <v>35</v>
      </c>
      <c r="P1501" s="6" t="s">
        <v>36</v>
      </c>
      <c r="Q1501" s="6" t="s">
        <v>37</v>
      </c>
      <c r="S1501" s="37"/>
    </row>
    <row r="1502" spans="1:19" ht="16.5" customHeight="1" x14ac:dyDescent="0.25">
      <c r="A1502" s="9"/>
      <c r="B1502" s="51" t="s">
        <v>86</v>
      </c>
      <c r="C1502" s="52"/>
      <c r="D1502" s="52"/>
      <c r="E1502" s="52"/>
      <c r="F1502" s="52"/>
      <c r="G1502" s="53"/>
      <c r="H1502" s="20"/>
      <c r="I1502" s="9">
        <v>2</v>
      </c>
      <c r="J1502" s="9"/>
      <c r="K1502" s="9"/>
      <c r="L1502" s="9"/>
      <c r="M1502" s="9">
        <f>I1502*O1502</f>
        <v>15.8</v>
      </c>
      <c r="N1502" s="9">
        <f>I1502*P1502</f>
        <v>6</v>
      </c>
      <c r="O1502" s="9">
        <v>7.9</v>
      </c>
      <c r="P1502" s="9">
        <v>3</v>
      </c>
      <c r="Q1502" s="9" t="s">
        <v>6</v>
      </c>
      <c r="R1502" s="1">
        <v>0</v>
      </c>
      <c r="S1502" s="26"/>
    </row>
    <row r="1503" spans="1:19" ht="16.5" customHeight="1" x14ac:dyDescent="0.25">
      <c r="A1503" s="9"/>
      <c r="B1503" s="51" t="s">
        <v>81</v>
      </c>
      <c r="C1503" s="52"/>
      <c r="D1503" s="52"/>
      <c r="E1503" s="52"/>
      <c r="F1503" s="52"/>
      <c r="G1503" s="53"/>
      <c r="H1503" s="20"/>
      <c r="I1503" s="9">
        <v>4</v>
      </c>
      <c r="J1503" s="9"/>
      <c r="K1503" s="9"/>
      <c r="L1503" s="9"/>
      <c r="M1503" s="9">
        <f>I1503*O1503</f>
        <v>34.799999999999997</v>
      </c>
      <c r="N1503" s="9">
        <f>I1503*P1503</f>
        <v>14.8</v>
      </c>
      <c r="O1503" s="9">
        <v>8.6999999999999993</v>
      </c>
      <c r="P1503" s="9">
        <v>3.7</v>
      </c>
      <c r="Q1503" s="9" t="s">
        <v>10</v>
      </c>
      <c r="R1503" s="1">
        <v>0</v>
      </c>
      <c r="S1503" s="26"/>
    </row>
    <row r="1504" spans="1:19" ht="16.5" customHeight="1" x14ac:dyDescent="0.25">
      <c r="A1504" s="9"/>
      <c r="B1504" s="51" t="s">
        <v>88</v>
      </c>
      <c r="C1504" s="52"/>
      <c r="D1504" s="52"/>
      <c r="E1504" s="52"/>
      <c r="F1504" s="52"/>
      <c r="G1504" s="53"/>
      <c r="H1504" s="20"/>
      <c r="I1504" s="9">
        <v>3</v>
      </c>
      <c r="J1504" s="9"/>
      <c r="K1504" s="9"/>
      <c r="L1504" s="9"/>
      <c r="M1504" s="9">
        <f>I1504*O1504</f>
        <v>26.099999999999998</v>
      </c>
      <c r="N1504" s="9">
        <f>I1504*P1504</f>
        <v>11.100000000000001</v>
      </c>
      <c r="O1504" s="9">
        <v>8.6999999999999993</v>
      </c>
      <c r="P1504" s="9">
        <v>3.7</v>
      </c>
      <c r="Q1504" s="9" t="s">
        <v>10</v>
      </c>
      <c r="R1504" s="1">
        <v>0</v>
      </c>
      <c r="S1504" s="26"/>
    </row>
    <row r="1505" spans="1:19" ht="16.5" hidden="1" customHeight="1" x14ac:dyDescent="0.25">
      <c r="A1505" s="21"/>
      <c r="H1505" s="21"/>
      <c r="I1505" s="21"/>
      <c r="J1505" s="21"/>
      <c r="K1505" s="21"/>
      <c r="L1505" s="21"/>
      <c r="M1505" s="9">
        <f>I1505*O1505</f>
        <v>0</v>
      </c>
      <c r="N1505" s="9">
        <f>I1505*P1505</f>
        <v>0</v>
      </c>
      <c r="O1505" s="21"/>
      <c r="P1505" s="21"/>
      <c r="Q1505" s="21"/>
      <c r="S1505" s="25"/>
    </row>
    <row r="1506" spans="1:19" ht="16.5" customHeight="1" x14ac:dyDescent="0.25">
      <c r="A1506" s="9"/>
      <c r="B1506" s="39" t="s">
        <v>42</v>
      </c>
      <c r="C1506" s="40"/>
      <c r="D1506" s="40"/>
      <c r="E1506" s="40"/>
      <c r="F1506" s="40"/>
      <c r="G1506" s="41"/>
      <c r="H1506" s="23"/>
      <c r="I1506" s="24">
        <f>SUM(I1494:I1505)</f>
        <v>23</v>
      </c>
      <c r="J1506" s="9"/>
      <c r="K1506" s="9"/>
      <c r="L1506" s="9"/>
      <c r="M1506" s="9">
        <f>I1506*O1506</f>
        <v>181.24</v>
      </c>
      <c r="N1506" s="9">
        <f>I1506*P1506</f>
        <v>72.45</v>
      </c>
      <c r="O1506" s="24">
        <f>ROUND(SUM(M1494:M1505)/I1506,2)</f>
        <v>7.88</v>
      </c>
      <c r="P1506" s="24">
        <f>ROUND(SUM(N1494:N1505)/I1506,2)</f>
        <v>3.15</v>
      </c>
      <c r="Q1506" s="9"/>
      <c r="S1506" s="25"/>
    </row>
    <row r="1507" spans="1:19" ht="20.25" customHeight="1" x14ac:dyDescent="0.25">
      <c r="A1507" s="27" t="s">
        <v>89</v>
      </c>
      <c r="B1507" s="28"/>
      <c r="C1507" s="28"/>
      <c r="D1507" s="28"/>
      <c r="E1507" s="28"/>
      <c r="F1507" s="28"/>
      <c r="G1507" s="28"/>
      <c r="H1507" s="28"/>
      <c r="I1507" s="28"/>
      <c r="J1507" s="28"/>
      <c r="K1507" s="28"/>
      <c r="L1507" s="28"/>
      <c r="M1507" s="28"/>
      <c r="N1507" s="28"/>
      <c r="O1507" s="28"/>
      <c r="P1507" s="28"/>
      <c r="Q1507" s="28"/>
      <c r="R1507" s="28"/>
      <c r="S1507" s="28"/>
    </row>
    <row r="1508" spans="1:19" ht="16.5" customHeight="1" x14ac:dyDescent="0.25">
      <c r="A1508" s="9"/>
      <c r="B1508" s="51" t="s">
        <v>90</v>
      </c>
      <c r="C1508" s="52"/>
      <c r="D1508" s="52"/>
      <c r="E1508" s="52"/>
      <c r="F1508" s="52"/>
      <c r="G1508" s="53"/>
      <c r="H1508" s="20"/>
      <c r="I1508" s="9">
        <v>1</v>
      </c>
      <c r="J1508" s="9"/>
      <c r="K1508" s="9"/>
      <c r="L1508" s="9"/>
      <c r="M1508" s="9">
        <f t="shared" ref="M1508:M1520" si="190">I1508*O1508</f>
        <v>7.8</v>
      </c>
      <c r="N1508" s="9">
        <f t="shared" ref="N1508:N1520" si="191">I1508*P1508</f>
        <v>3</v>
      </c>
      <c r="O1508" s="9">
        <v>7.8</v>
      </c>
      <c r="P1508" s="9">
        <v>3</v>
      </c>
      <c r="Q1508" s="9" t="s">
        <v>6</v>
      </c>
      <c r="R1508" s="1">
        <v>0</v>
      </c>
      <c r="S1508" s="26"/>
    </row>
    <row r="1509" spans="1:19" ht="16.5" customHeight="1" x14ac:dyDescent="0.25">
      <c r="A1509" s="9"/>
      <c r="B1509" s="51" t="s">
        <v>91</v>
      </c>
      <c r="C1509" s="52"/>
      <c r="D1509" s="52"/>
      <c r="E1509" s="52"/>
      <c r="F1509" s="52"/>
      <c r="G1509" s="53"/>
      <c r="H1509" s="20"/>
      <c r="I1509" s="9">
        <v>3</v>
      </c>
      <c r="J1509" s="9"/>
      <c r="K1509" s="9"/>
      <c r="L1509" s="9"/>
      <c r="M1509" s="9">
        <f t="shared" si="190"/>
        <v>18.600000000000001</v>
      </c>
      <c r="N1509" s="9">
        <f t="shared" si="191"/>
        <v>6</v>
      </c>
      <c r="O1509" s="9">
        <v>6.2</v>
      </c>
      <c r="P1509" s="9">
        <v>2</v>
      </c>
      <c r="Q1509" s="9" t="s">
        <v>3</v>
      </c>
      <c r="R1509" s="1">
        <v>0</v>
      </c>
      <c r="S1509" s="26"/>
    </row>
    <row r="1510" spans="1:19" ht="16.5" customHeight="1" x14ac:dyDescent="0.25">
      <c r="A1510" s="9"/>
      <c r="B1510" s="51" t="s">
        <v>92</v>
      </c>
      <c r="C1510" s="52"/>
      <c r="D1510" s="52"/>
      <c r="E1510" s="52"/>
      <c r="F1510" s="52"/>
      <c r="G1510" s="53"/>
      <c r="H1510" s="20"/>
      <c r="I1510" s="9">
        <v>1</v>
      </c>
      <c r="J1510" s="9"/>
      <c r="K1510" s="9"/>
      <c r="L1510" s="9"/>
      <c r="M1510" s="9">
        <f t="shared" si="190"/>
        <v>9</v>
      </c>
      <c r="N1510" s="9">
        <f t="shared" si="191"/>
        <v>4</v>
      </c>
      <c r="O1510" s="9">
        <v>9</v>
      </c>
      <c r="P1510" s="9">
        <v>4</v>
      </c>
      <c r="Q1510" s="9" t="s">
        <v>12</v>
      </c>
      <c r="R1510" s="1">
        <v>0</v>
      </c>
      <c r="S1510" s="26"/>
    </row>
    <row r="1511" spans="1:19" ht="16.5" customHeight="1" x14ac:dyDescent="0.25">
      <c r="A1511" s="9"/>
      <c r="B1511" s="51" t="s">
        <v>93</v>
      </c>
      <c r="C1511" s="52"/>
      <c r="D1511" s="52"/>
      <c r="E1511" s="52"/>
      <c r="F1511" s="52"/>
      <c r="G1511" s="53"/>
      <c r="H1511" s="20"/>
      <c r="I1511" s="9">
        <v>2</v>
      </c>
      <c r="J1511" s="9"/>
      <c r="K1511" s="9"/>
      <c r="L1511" s="9"/>
      <c r="M1511" s="9">
        <f t="shared" si="190"/>
        <v>15.2</v>
      </c>
      <c r="N1511" s="9">
        <f t="shared" si="191"/>
        <v>6</v>
      </c>
      <c r="O1511" s="9">
        <v>7.6</v>
      </c>
      <c r="P1511" s="9">
        <v>3</v>
      </c>
      <c r="Q1511" s="9" t="s">
        <v>6</v>
      </c>
      <c r="R1511" s="1">
        <v>0</v>
      </c>
      <c r="S1511" s="26"/>
    </row>
    <row r="1512" spans="1:19" ht="16.5" customHeight="1" x14ac:dyDescent="0.25">
      <c r="A1512" s="9"/>
      <c r="B1512" s="51" t="s">
        <v>94</v>
      </c>
      <c r="C1512" s="52"/>
      <c r="D1512" s="52"/>
      <c r="E1512" s="52"/>
      <c r="F1512" s="52"/>
      <c r="G1512" s="53"/>
      <c r="H1512" s="20"/>
      <c r="I1512" s="9">
        <v>1</v>
      </c>
      <c r="J1512" s="9"/>
      <c r="K1512" s="9"/>
      <c r="L1512" s="9"/>
      <c r="M1512" s="9">
        <f t="shared" si="190"/>
        <v>9.1</v>
      </c>
      <c r="N1512" s="9">
        <f t="shared" si="191"/>
        <v>4</v>
      </c>
      <c r="O1512" s="9">
        <v>9.1</v>
      </c>
      <c r="P1512" s="9">
        <v>4</v>
      </c>
      <c r="Q1512" s="9" t="s">
        <v>12</v>
      </c>
      <c r="R1512" s="1">
        <v>0</v>
      </c>
      <c r="S1512" s="26"/>
    </row>
    <row r="1513" spans="1:19" ht="16.5" customHeight="1" x14ac:dyDescent="0.25">
      <c r="A1513" s="9"/>
      <c r="B1513" s="51" t="s">
        <v>97</v>
      </c>
      <c r="C1513" s="52"/>
      <c r="D1513" s="52"/>
      <c r="E1513" s="52"/>
      <c r="F1513" s="52"/>
      <c r="G1513" s="53"/>
      <c r="H1513" s="20"/>
      <c r="I1513" s="9">
        <v>3</v>
      </c>
      <c r="J1513" s="9"/>
      <c r="K1513" s="9"/>
      <c r="L1513" s="9"/>
      <c r="M1513" s="9">
        <f t="shared" si="190"/>
        <v>19.799999999999997</v>
      </c>
      <c r="N1513" s="9">
        <f t="shared" si="191"/>
        <v>7.5</v>
      </c>
      <c r="O1513" s="9">
        <v>6.6</v>
      </c>
      <c r="P1513" s="9">
        <v>2.5</v>
      </c>
      <c r="Q1513" s="9" t="s">
        <v>5</v>
      </c>
      <c r="R1513" s="1">
        <v>0</v>
      </c>
      <c r="S1513" s="26"/>
    </row>
    <row r="1514" spans="1:19" ht="16.5" customHeight="1" x14ac:dyDescent="0.25">
      <c r="A1514" s="9"/>
      <c r="B1514" s="51" t="s">
        <v>100</v>
      </c>
      <c r="C1514" s="52"/>
      <c r="D1514" s="52"/>
      <c r="E1514" s="52"/>
      <c r="F1514" s="52"/>
      <c r="G1514" s="53"/>
      <c r="H1514" s="20"/>
      <c r="I1514" s="9">
        <v>2</v>
      </c>
      <c r="J1514" s="9"/>
      <c r="K1514" s="9"/>
      <c r="L1514" s="9"/>
      <c r="M1514" s="9">
        <f t="shared" si="190"/>
        <v>15</v>
      </c>
      <c r="N1514" s="9">
        <f t="shared" si="191"/>
        <v>6</v>
      </c>
      <c r="O1514" s="9">
        <v>7.5</v>
      </c>
      <c r="P1514" s="9">
        <v>3</v>
      </c>
      <c r="Q1514" s="9" t="s">
        <v>6</v>
      </c>
      <c r="R1514" s="1">
        <v>0</v>
      </c>
      <c r="S1514" s="26"/>
    </row>
    <row r="1515" spans="1:19" ht="16.5" customHeight="1" x14ac:dyDescent="0.25">
      <c r="A1515" s="9"/>
      <c r="B1515" s="51" t="s">
        <v>95</v>
      </c>
      <c r="C1515" s="52"/>
      <c r="D1515" s="52"/>
      <c r="E1515" s="52"/>
      <c r="F1515" s="52"/>
      <c r="G1515" s="53"/>
      <c r="H1515" s="20"/>
      <c r="I1515" s="9">
        <v>2</v>
      </c>
      <c r="J1515" s="9"/>
      <c r="K1515" s="9"/>
      <c r="L1515" s="9"/>
      <c r="M1515" s="9">
        <f t="shared" si="190"/>
        <v>15.2</v>
      </c>
      <c r="N1515" s="9">
        <f t="shared" si="191"/>
        <v>6</v>
      </c>
      <c r="O1515" s="9">
        <v>7.6</v>
      </c>
      <c r="P1515" s="9">
        <v>3</v>
      </c>
      <c r="Q1515" s="9" t="s">
        <v>6</v>
      </c>
      <c r="R1515" s="1">
        <v>0</v>
      </c>
      <c r="S1515" s="26"/>
    </row>
    <row r="1516" spans="1:19" ht="16.5" customHeight="1" x14ac:dyDescent="0.25">
      <c r="A1516" s="9"/>
      <c r="B1516" s="51" t="s">
        <v>98</v>
      </c>
      <c r="C1516" s="52"/>
      <c r="D1516" s="52"/>
      <c r="E1516" s="52"/>
      <c r="F1516" s="52"/>
      <c r="G1516" s="53"/>
      <c r="H1516" s="20"/>
      <c r="I1516" s="9">
        <v>4</v>
      </c>
      <c r="J1516" s="9"/>
      <c r="K1516" s="9"/>
      <c r="L1516" s="9"/>
      <c r="M1516" s="9">
        <f t="shared" si="190"/>
        <v>27.2</v>
      </c>
      <c r="N1516" s="9">
        <f t="shared" si="191"/>
        <v>10</v>
      </c>
      <c r="O1516" s="9">
        <v>6.8</v>
      </c>
      <c r="P1516" s="9">
        <v>2.5</v>
      </c>
      <c r="Q1516" s="9" t="s">
        <v>5</v>
      </c>
      <c r="R1516" s="1">
        <v>0</v>
      </c>
      <c r="S1516" s="26"/>
    </row>
    <row r="1517" spans="1:19" ht="16.5" customHeight="1" x14ac:dyDescent="0.25">
      <c r="A1517" s="9"/>
      <c r="B1517" s="51" t="s">
        <v>99</v>
      </c>
      <c r="C1517" s="52"/>
      <c r="D1517" s="52"/>
      <c r="E1517" s="52"/>
      <c r="F1517" s="52"/>
      <c r="G1517" s="53"/>
      <c r="H1517" s="20"/>
      <c r="I1517" s="9">
        <v>1</v>
      </c>
      <c r="J1517" s="9"/>
      <c r="K1517" s="9"/>
      <c r="L1517" s="9"/>
      <c r="M1517" s="9">
        <f t="shared" si="190"/>
        <v>7.7</v>
      </c>
      <c r="N1517" s="9">
        <f t="shared" si="191"/>
        <v>3</v>
      </c>
      <c r="O1517" s="9">
        <v>7.7</v>
      </c>
      <c r="P1517" s="9">
        <v>3</v>
      </c>
      <c r="Q1517" s="9" t="s">
        <v>6</v>
      </c>
      <c r="R1517" s="1">
        <v>0</v>
      </c>
      <c r="S1517" s="26"/>
    </row>
    <row r="1518" spans="1:19" ht="16.5" customHeight="1" x14ac:dyDescent="0.25">
      <c r="A1518" s="9"/>
      <c r="B1518" s="51" t="s">
        <v>96</v>
      </c>
      <c r="C1518" s="52"/>
      <c r="D1518" s="52"/>
      <c r="E1518" s="52"/>
      <c r="F1518" s="52"/>
      <c r="G1518" s="53"/>
      <c r="H1518" s="20"/>
      <c r="I1518" s="9">
        <v>2</v>
      </c>
      <c r="J1518" s="9"/>
      <c r="K1518" s="9"/>
      <c r="L1518" s="9"/>
      <c r="M1518" s="9">
        <f t="shared" si="190"/>
        <v>14.2</v>
      </c>
      <c r="N1518" s="9">
        <f t="shared" si="191"/>
        <v>6</v>
      </c>
      <c r="O1518" s="9">
        <v>7.1</v>
      </c>
      <c r="P1518" s="9">
        <v>3</v>
      </c>
      <c r="Q1518" s="9" t="s">
        <v>6</v>
      </c>
      <c r="R1518" s="1">
        <v>0</v>
      </c>
      <c r="S1518" s="26"/>
    </row>
    <row r="1519" spans="1:19" ht="16.5" hidden="1" customHeight="1" x14ac:dyDescent="0.25">
      <c r="A1519" s="21"/>
      <c r="H1519" s="21"/>
      <c r="I1519" s="21"/>
      <c r="J1519" s="21"/>
      <c r="K1519" s="21"/>
      <c r="L1519" s="21"/>
      <c r="M1519" s="9">
        <f t="shared" si="190"/>
        <v>0</v>
      </c>
      <c r="N1519" s="9">
        <f t="shared" si="191"/>
        <v>0</v>
      </c>
      <c r="O1519" s="21"/>
      <c r="P1519" s="21"/>
      <c r="Q1519" s="21"/>
      <c r="S1519" s="25"/>
    </row>
    <row r="1520" spans="1:19" ht="16.5" customHeight="1" x14ac:dyDescent="0.25">
      <c r="A1520" s="9"/>
      <c r="B1520" s="39" t="s">
        <v>42</v>
      </c>
      <c r="C1520" s="40"/>
      <c r="D1520" s="40"/>
      <c r="E1520" s="40"/>
      <c r="F1520" s="40"/>
      <c r="G1520" s="41"/>
      <c r="H1520" s="23"/>
      <c r="I1520" s="24">
        <f>SUM(I1508:I1519)</f>
        <v>22</v>
      </c>
      <c r="J1520" s="9"/>
      <c r="K1520" s="9"/>
      <c r="L1520" s="9"/>
      <c r="M1520" s="9">
        <f t="shared" si="190"/>
        <v>158.84</v>
      </c>
      <c r="N1520" s="9">
        <f t="shared" si="191"/>
        <v>61.599999999999994</v>
      </c>
      <c r="O1520" s="24">
        <f>ROUND(SUM(M1508:M1519)/I1520,2)</f>
        <v>7.22</v>
      </c>
      <c r="P1520" s="24">
        <f>ROUND(SUM(N1508:N1519)/I1520,2)</f>
        <v>2.8</v>
      </c>
      <c r="Q1520" s="9"/>
      <c r="S1520" s="25"/>
    </row>
    <row r="1521" spans="1:19" ht="20.25" customHeight="1" x14ac:dyDescent="0.25">
      <c r="A1521" s="27" t="s">
        <v>101</v>
      </c>
      <c r="B1521" s="28"/>
      <c r="C1521" s="28"/>
      <c r="D1521" s="28"/>
      <c r="E1521" s="28"/>
      <c r="F1521" s="28"/>
      <c r="G1521" s="28"/>
      <c r="H1521" s="28"/>
      <c r="I1521" s="28"/>
      <c r="J1521" s="28"/>
      <c r="K1521" s="28"/>
      <c r="L1521" s="28"/>
      <c r="M1521" s="28"/>
      <c r="N1521" s="28"/>
      <c r="O1521" s="28"/>
      <c r="P1521" s="28"/>
      <c r="Q1521" s="28"/>
      <c r="R1521" s="28"/>
      <c r="S1521" s="28"/>
    </row>
    <row r="1522" spans="1:19" ht="16.5" customHeight="1" x14ac:dyDescent="0.25">
      <c r="A1522" s="9"/>
      <c r="B1522" s="51" t="s">
        <v>102</v>
      </c>
      <c r="C1522" s="52"/>
      <c r="D1522" s="52"/>
      <c r="E1522" s="52"/>
      <c r="F1522" s="52"/>
      <c r="G1522" s="53"/>
      <c r="H1522" s="20"/>
      <c r="I1522" s="9">
        <v>1</v>
      </c>
      <c r="J1522" s="9"/>
      <c r="K1522" s="9"/>
      <c r="L1522" s="9"/>
      <c r="M1522" s="9">
        <f t="shared" ref="M1522:M1535" si="192">I1522*O1522</f>
        <v>7.4</v>
      </c>
      <c r="N1522" s="9">
        <f t="shared" ref="N1522:N1535" si="193">I1522*P1522</f>
        <v>3</v>
      </c>
      <c r="O1522" s="9">
        <v>7.4</v>
      </c>
      <c r="P1522" s="9">
        <v>3</v>
      </c>
      <c r="Q1522" s="9" t="s">
        <v>6</v>
      </c>
      <c r="R1522" s="1">
        <v>0</v>
      </c>
      <c r="S1522" s="26"/>
    </row>
    <row r="1523" spans="1:19" ht="16.5" customHeight="1" x14ac:dyDescent="0.25">
      <c r="A1523" s="9"/>
      <c r="B1523" s="51" t="s">
        <v>103</v>
      </c>
      <c r="C1523" s="52"/>
      <c r="D1523" s="52"/>
      <c r="E1523" s="52"/>
      <c r="F1523" s="52"/>
      <c r="G1523" s="53"/>
      <c r="H1523" s="20"/>
      <c r="I1523" s="9">
        <v>2</v>
      </c>
      <c r="J1523" s="9"/>
      <c r="K1523" s="9"/>
      <c r="L1523" s="9"/>
      <c r="M1523" s="9">
        <f t="shared" si="192"/>
        <v>16.399999999999999</v>
      </c>
      <c r="N1523" s="9">
        <f t="shared" si="193"/>
        <v>7</v>
      </c>
      <c r="O1523" s="9">
        <v>8.1999999999999993</v>
      </c>
      <c r="P1523" s="9">
        <v>3.5</v>
      </c>
      <c r="Q1523" s="9" t="s">
        <v>9</v>
      </c>
      <c r="R1523" s="1">
        <v>0</v>
      </c>
      <c r="S1523" s="26"/>
    </row>
    <row r="1524" spans="1:19" ht="16.5" customHeight="1" x14ac:dyDescent="0.25">
      <c r="A1524" s="9"/>
      <c r="B1524" s="51" t="s">
        <v>104</v>
      </c>
      <c r="C1524" s="52"/>
      <c r="D1524" s="52"/>
      <c r="E1524" s="52"/>
      <c r="F1524" s="52"/>
      <c r="G1524" s="53"/>
      <c r="H1524" s="20"/>
      <c r="I1524" s="9">
        <v>4</v>
      </c>
      <c r="J1524" s="9"/>
      <c r="K1524" s="9"/>
      <c r="L1524" s="9"/>
      <c r="M1524" s="9">
        <f t="shared" si="192"/>
        <v>33.6</v>
      </c>
      <c r="N1524" s="9">
        <f t="shared" si="193"/>
        <v>14</v>
      </c>
      <c r="O1524" s="9">
        <v>8.4</v>
      </c>
      <c r="P1524" s="9">
        <v>3.5</v>
      </c>
      <c r="Q1524" s="9" t="s">
        <v>9</v>
      </c>
      <c r="R1524" s="1">
        <v>0</v>
      </c>
      <c r="S1524" s="26"/>
    </row>
    <row r="1525" spans="1:19" ht="16.5" customHeight="1" x14ac:dyDescent="0.25">
      <c r="A1525" s="9"/>
      <c r="B1525" s="51" t="s">
        <v>105</v>
      </c>
      <c r="C1525" s="52"/>
      <c r="D1525" s="52"/>
      <c r="E1525" s="52"/>
      <c r="F1525" s="52"/>
      <c r="G1525" s="53"/>
      <c r="H1525" s="20"/>
      <c r="I1525" s="9">
        <v>3</v>
      </c>
      <c r="J1525" s="9"/>
      <c r="K1525" s="9"/>
      <c r="L1525" s="9"/>
      <c r="M1525" s="9">
        <f t="shared" si="192"/>
        <v>27</v>
      </c>
      <c r="N1525" s="9">
        <f t="shared" si="193"/>
        <v>12</v>
      </c>
      <c r="O1525" s="9">
        <v>9</v>
      </c>
      <c r="P1525" s="9">
        <v>4</v>
      </c>
      <c r="Q1525" s="9" t="s">
        <v>12</v>
      </c>
      <c r="R1525" s="1">
        <v>0</v>
      </c>
      <c r="S1525" s="26"/>
    </row>
    <row r="1526" spans="1:19" ht="16.5" customHeight="1" x14ac:dyDescent="0.25">
      <c r="A1526" s="9"/>
      <c r="B1526" s="51" t="s">
        <v>106</v>
      </c>
      <c r="C1526" s="52"/>
      <c r="D1526" s="52"/>
      <c r="E1526" s="52"/>
      <c r="F1526" s="52"/>
      <c r="G1526" s="53"/>
      <c r="H1526" s="20"/>
      <c r="I1526" s="9">
        <v>2</v>
      </c>
      <c r="J1526" s="9"/>
      <c r="K1526" s="9"/>
      <c r="L1526" s="9"/>
      <c r="M1526" s="9">
        <f t="shared" si="192"/>
        <v>14.2</v>
      </c>
      <c r="N1526" s="9">
        <f t="shared" si="193"/>
        <v>6</v>
      </c>
      <c r="O1526" s="9">
        <v>7.1</v>
      </c>
      <c r="P1526" s="9">
        <v>3</v>
      </c>
      <c r="Q1526" s="9" t="s">
        <v>6</v>
      </c>
      <c r="R1526" s="1">
        <v>0</v>
      </c>
      <c r="S1526" s="26"/>
    </row>
    <row r="1527" spans="1:19" ht="16.5" customHeight="1" x14ac:dyDescent="0.25">
      <c r="A1527" s="9"/>
      <c r="B1527" s="51" t="s">
        <v>107</v>
      </c>
      <c r="C1527" s="52"/>
      <c r="D1527" s="52"/>
      <c r="E1527" s="52"/>
      <c r="F1527" s="52"/>
      <c r="G1527" s="53"/>
      <c r="H1527" s="20"/>
      <c r="I1527" s="9">
        <v>2</v>
      </c>
      <c r="J1527" s="9"/>
      <c r="K1527" s="9"/>
      <c r="L1527" s="9"/>
      <c r="M1527" s="9">
        <f t="shared" si="192"/>
        <v>14.2</v>
      </c>
      <c r="N1527" s="9">
        <f t="shared" si="193"/>
        <v>6</v>
      </c>
      <c r="O1527" s="9">
        <v>7.1</v>
      </c>
      <c r="P1527" s="9">
        <v>3</v>
      </c>
      <c r="Q1527" s="9" t="s">
        <v>6</v>
      </c>
      <c r="R1527" s="1">
        <v>0</v>
      </c>
      <c r="S1527" s="26"/>
    </row>
    <row r="1528" spans="1:19" ht="16.5" customHeight="1" x14ac:dyDescent="0.25">
      <c r="A1528" s="9"/>
      <c r="B1528" s="51" t="s">
        <v>108</v>
      </c>
      <c r="C1528" s="52"/>
      <c r="D1528" s="52"/>
      <c r="E1528" s="52"/>
      <c r="F1528" s="52"/>
      <c r="G1528" s="53"/>
      <c r="H1528" s="20"/>
      <c r="I1528" s="9">
        <v>4</v>
      </c>
      <c r="J1528" s="9"/>
      <c r="K1528" s="9"/>
      <c r="L1528" s="9"/>
      <c r="M1528" s="9">
        <f t="shared" si="192"/>
        <v>33.200000000000003</v>
      </c>
      <c r="N1528" s="9">
        <f t="shared" si="193"/>
        <v>14</v>
      </c>
      <c r="O1528" s="9">
        <v>8.3000000000000007</v>
      </c>
      <c r="P1528" s="9">
        <v>3.5</v>
      </c>
      <c r="Q1528" s="9" t="s">
        <v>9</v>
      </c>
      <c r="R1528" s="1">
        <v>0</v>
      </c>
      <c r="S1528" s="26"/>
    </row>
    <row r="1529" spans="1:19" ht="16.5" customHeight="1" x14ac:dyDescent="0.25">
      <c r="A1529" s="9"/>
      <c r="B1529" s="51" t="s">
        <v>109</v>
      </c>
      <c r="C1529" s="52"/>
      <c r="D1529" s="52"/>
      <c r="E1529" s="52"/>
      <c r="F1529" s="52"/>
      <c r="G1529" s="53"/>
      <c r="H1529" s="20"/>
      <c r="I1529" s="9">
        <v>2</v>
      </c>
      <c r="J1529" s="9"/>
      <c r="K1529" s="9"/>
      <c r="L1529" s="9"/>
      <c r="M1529" s="9">
        <f t="shared" si="192"/>
        <v>16.8</v>
      </c>
      <c r="N1529" s="9">
        <f t="shared" si="193"/>
        <v>7</v>
      </c>
      <c r="O1529" s="9">
        <v>8.4</v>
      </c>
      <c r="P1529" s="9">
        <v>3.5</v>
      </c>
      <c r="Q1529" s="9" t="s">
        <v>9</v>
      </c>
      <c r="R1529" s="1">
        <v>0</v>
      </c>
      <c r="S1529" s="26"/>
    </row>
    <row r="1530" spans="1:19" ht="16.5" customHeight="1" x14ac:dyDescent="0.25">
      <c r="A1530" s="9"/>
      <c r="B1530" s="51" t="s">
        <v>110</v>
      </c>
      <c r="C1530" s="52"/>
      <c r="D1530" s="52"/>
      <c r="E1530" s="52"/>
      <c r="F1530" s="52"/>
      <c r="G1530" s="53"/>
      <c r="H1530" s="20"/>
      <c r="I1530" s="9">
        <v>2</v>
      </c>
      <c r="J1530" s="9"/>
      <c r="K1530" s="9"/>
      <c r="L1530" s="9"/>
      <c r="M1530" s="9">
        <f t="shared" si="192"/>
        <v>14.4</v>
      </c>
      <c r="N1530" s="9">
        <f t="shared" si="193"/>
        <v>6</v>
      </c>
      <c r="O1530" s="9">
        <v>7.2</v>
      </c>
      <c r="P1530" s="9">
        <v>3</v>
      </c>
      <c r="Q1530" s="9" t="s">
        <v>6</v>
      </c>
      <c r="R1530" s="1">
        <v>0</v>
      </c>
      <c r="S1530" s="26"/>
    </row>
    <row r="1531" spans="1:19" ht="16.5" customHeight="1" x14ac:dyDescent="0.25">
      <c r="A1531" s="9"/>
      <c r="B1531" s="51" t="s">
        <v>111</v>
      </c>
      <c r="C1531" s="52"/>
      <c r="D1531" s="52"/>
      <c r="E1531" s="52"/>
      <c r="F1531" s="52"/>
      <c r="G1531" s="53"/>
      <c r="H1531" s="20"/>
      <c r="I1531" s="9">
        <v>4</v>
      </c>
      <c r="J1531" s="9"/>
      <c r="K1531" s="9"/>
      <c r="L1531" s="9"/>
      <c r="M1531" s="9">
        <f t="shared" si="192"/>
        <v>34.4</v>
      </c>
      <c r="N1531" s="9">
        <f t="shared" si="193"/>
        <v>14.8</v>
      </c>
      <c r="O1531" s="9">
        <v>8.6</v>
      </c>
      <c r="P1531" s="9">
        <v>3.7</v>
      </c>
      <c r="Q1531" s="9" t="s">
        <v>10</v>
      </c>
      <c r="R1531" s="1">
        <v>0</v>
      </c>
      <c r="S1531" s="26"/>
    </row>
    <row r="1532" spans="1:19" ht="16.5" customHeight="1" x14ac:dyDescent="0.25">
      <c r="A1532" s="9"/>
      <c r="B1532" s="51" t="s">
        <v>112</v>
      </c>
      <c r="C1532" s="52"/>
      <c r="D1532" s="52"/>
      <c r="E1532" s="52"/>
      <c r="F1532" s="52"/>
      <c r="G1532" s="53"/>
      <c r="H1532" s="20"/>
      <c r="I1532" s="9">
        <v>2</v>
      </c>
      <c r="J1532" s="9"/>
      <c r="K1532" s="9"/>
      <c r="L1532" s="9"/>
      <c r="M1532" s="9">
        <f t="shared" si="192"/>
        <v>12.8</v>
      </c>
      <c r="N1532" s="9">
        <f t="shared" si="193"/>
        <v>4</v>
      </c>
      <c r="O1532" s="9">
        <v>6.4</v>
      </c>
      <c r="P1532" s="9">
        <v>2</v>
      </c>
      <c r="Q1532" s="9" t="s">
        <v>3</v>
      </c>
      <c r="R1532" s="1">
        <v>0</v>
      </c>
      <c r="S1532" s="26"/>
    </row>
    <row r="1533" spans="1:19" ht="16.5" customHeight="1" x14ac:dyDescent="0.25">
      <c r="A1533" s="9"/>
      <c r="B1533" s="51" t="s">
        <v>113</v>
      </c>
      <c r="C1533" s="52"/>
      <c r="D1533" s="52"/>
      <c r="E1533" s="52"/>
      <c r="F1533" s="52"/>
      <c r="G1533" s="53"/>
      <c r="H1533" s="20"/>
      <c r="I1533" s="9">
        <v>1</v>
      </c>
      <c r="J1533" s="9"/>
      <c r="K1533" s="9"/>
      <c r="L1533" s="9"/>
      <c r="M1533" s="9">
        <f t="shared" si="192"/>
        <v>7.4</v>
      </c>
      <c r="N1533" s="9">
        <f t="shared" si="193"/>
        <v>3</v>
      </c>
      <c r="O1533" s="9">
        <v>7.4</v>
      </c>
      <c r="P1533" s="9">
        <v>3</v>
      </c>
      <c r="Q1533" s="9" t="s">
        <v>6</v>
      </c>
      <c r="R1533" s="1">
        <v>0</v>
      </c>
      <c r="S1533" s="26"/>
    </row>
    <row r="1534" spans="1:19" ht="16.5" hidden="1" customHeight="1" x14ac:dyDescent="0.25">
      <c r="A1534" s="21"/>
      <c r="H1534" s="21"/>
      <c r="I1534" s="21"/>
      <c r="J1534" s="21"/>
      <c r="K1534" s="21"/>
      <c r="L1534" s="21"/>
      <c r="M1534" s="9">
        <f t="shared" si="192"/>
        <v>0</v>
      </c>
      <c r="N1534" s="9">
        <f t="shared" si="193"/>
        <v>0</v>
      </c>
      <c r="O1534" s="21"/>
      <c r="P1534" s="21"/>
      <c r="Q1534" s="21"/>
      <c r="S1534" s="25"/>
    </row>
    <row r="1535" spans="1:19" ht="16.5" customHeight="1" x14ac:dyDescent="0.25">
      <c r="A1535" s="9"/>
      <c r="B1535" s="39" t="s">
        <v>42</v>
      </c>
      <c r="C1535" s="40"/>
      <c r="D1535" s="40"/>
      <c r="E1535" s="40"/>
      <c r="F1535" s="40"/>
      <c r="G1535" s="41"/>
      <c r="H1535" s="23"/>
      <c r="I1535" s="24">
        <f>SUM(I1522:I1534)</f>
        <v>29</v>
      </c>
      <c r="J1535" s="9"/>
      <c r="K1535" s="9"/>
      <c r="L1535" s="9"/>
      <c r="M1535" s="9">
        <f t="shared" si="192"/>
        <v>231.71</v>
      </c>
      <c r="N1535" s="9">
        <f t="shared" si="193"/>
        <v>96.86</v>
      </c>
      <c r="O1535" s="24">
        <f>ROUND(SUM(M1522:M1534)/I1535,2)</f>
        <v>7.99</v>
      </c>
      <c r="P1535" s="24">
        <f>ROUND(SUM(N1522:N1534)/I1535,2)</f>
        <v>3.34</v>
      </c>
      <c r="Q1535" s="9"/>
      <c r="S1535" s="25"/>
    </row>
    <row r="1536" spans="1:19" ht="20.25" customHeight="1" x14ac:dyDescent="0.25">
      <c r="A1536" s="27" t="s">
        <v>114</v>
      </c>
      <c r="B1536" s="28"/>
      <c r="C1536" s="28"/>
      <c r="D1536" s="28"/>
      <c r="E1536" s="28"/>
      <c r="F1536" s="28"/>
      <c r="G1536" s="28"/>
      <c r="H1536" s="28"/>
      <c r="I1536" s="28"/>
      <c r="J1536" s="28"/>
      <c r="K1536" s="28"/>
      <c r="L1536" s="28"/>
      <c r="M1536" s="28"/>
      <c r="N1536" s="28"/>
      <c r="O1536" s="28"/>
      <c r="P1536" s="28"/>
      <c r="Q1536" s="28"/>
      <c r="R1536" s="28"/>
      <c r="S1536" s="28"/>
    </row>
    <row r="1537" spans="1:19" ht="16.5" customHeight="1" x14ac:dyDescent="0.25">
      <c r="A1537" s="9"/>
      <c r="B1537" s="51" t="s">
        <v>115</v>
      </c>
      <c r="C1537" s="52"/>
      <c r="D1537" s="52"/>
      <c r="E1537" s="52"/>
      <c r="F1537" s="52"/>
      <c r="G1537" s="53"/>
      <c r="H1537" s="20"/>
      <c r="I1537" s="9">
        <v>2</v>
      </c>
      <c r="J1537" s="9"/>
      <c r="K1537" s="9"/>
      <c r="L1537" s="9"/>
      <c r="M1537" s="9">
        <f t="shared" ref="M1537:M1547" si="194">I1537*O1537</f>
        <v>0</v>
      </c>
      <c r="N1537" s="9">
        <f t="shared" ref="N1537:N1547" si="195">I1537*P1537</f>
        <v>0</v>
      </c>
      <c r="O1537" s="9"/>
      <c r="P1537" s="9"/>
      <c r="Q1537" s="9"/>
      <c r="R1537" s="1">
        <v>0</v>
      </c>
      <c r="S1537" s="26"/>
    </row>
    <row r="1538" spans="1:19" ht="16.5" customHeight="1" x14ac:dyDescent="0.25">
      <c r="A1538" s="9"/>
      <c r="B1538" s="51" t="s">
        <v>116</v>
      </c>
      <c r="C1538" s="52"/>
      <c r="D1538" s="52"/>
      <c r="E1538" s="52"/>
      <c r="F1538" s="52"/>
      <c r="G1538" s="53"/>
      <c r="H1538" s="20"/>
      <c r="I1538" s="9">
        <v>3</v>
      </c>
      <c r="J1538" s="9"/>
      <c r="K1538" s="9"/>
      <c r="L1538" s="9"/>
      <c r="M1538" s="9">
        <f t="shared" si="194"/>
        <v>22.799999999999997</v>
      </c>
      <c r="N1538" s="9">
        <f t="shared" si="195"/>
        <v>9</v>
      </c>
      <c r="O1538" s="9">
        <v>7.6</v>
      </c>
      <c r="P1538" s="9">
        <v>3</v>
      </c>
      <c r="Q1538" s="9" t="s">
        <v>6</v>
      </c>
      <c r="R1538" s="1">
        <v>0</v>
      </c>
      <c r="S1538" s="26"/>
    </row>
    <row r="1539" spans="1:19" ht="16.5" customHeight="1" x14ac:dyDescent="0.25">
      <c r="A1539" s="9"/>
      <c r="B1539" s="51" t="s">
        <v>117</v>
      </c>
      <c r="C1539" s="52"/>
      <c r="D1539" s="52"/>
      <c r="E1539" s="52"/>
      <c r="F1539" s="52"/>
      <c r="G1539" s="53"/>
      <c r="H1539" s="20"/>
      <c r="I1539" s="9">
        <v>3</v>
      </c>
      <c r="J1539" s="9"/>
      <c r="K1539" s="9"/>
      <c r="L1539" s="9"/>
      <c r="M1539" s="9">
        <f t="shared" si="194"/>
        <v>0</v>
      </c>
      <c r="N1539" s="9">
        <f t="shared" si="195"/>
        <v>0</v>
      </c>
      <c r="O1539" s="9"/>
      <c r="P1539" s="9"/>
      <c r="Q1539" s="9"/>
      <c r="R1539" s="1">
        <v>0</v>
      </c>
      <c r="S1539" s="26"/>
    </row>
    <row r="1540" spans="1:19" ht="16.5" customHeight="1" x14ac:dyDescent="0.25">
      <c r="A1540" s="9"/>
      <c r="B1540" s="51" t="s">
        <v>118</v>
      </c>
      <c r="C1540" s="52"/>
      <c r="D1540" s="52"/>
      <c r="E1540" s="52"/>
      <c r="F1540" s="52"/>
      <c r="G1540" s="53"/>
      <c r="H1540" s="20"/>
      <c r="I1540" s="9">
        <v>1</v>
      </c>
      <c r="J1540" s="9"/>
      <c r="K1540" s="9"/>
      <c r="L1540" s="9"/>
      <c r="M1540" s="9">
        <f t="shared" si="194"/>
        <v>6.9</v>
      </c>
      <c r="N1540" s="9">
        <f t="shared" si="195"/>
        <v>2.5</v>
      </c>
      <c r="O1540" s="9">
        <v>6.9</v>
      </c>
      <c r="P1540" s="9">
        <v>2.5</v>
      </c>
      <c r="Q1540" s="9" t="s">
        <v>5</v>
      </c>
      <c r="R1540" s="1">
        <v>0</v>
      </c>
      <c r="S1540" s="26"/>
    </row>
    <row r="1541" spans="1:19" ht="16.5" customHeight="1" x14ac:dyDescent="0.25">
      <c r="A1541" s="9"/>
      <c r="B1541" s="51" t="s">
        <v>119</v>
      </c>
      <c r="C1541" s="52"/>
      <c r="D1541" s="52"/>
      <c r="E1541" s="52"/>
      <c r="F1541" s="52"/>
      <c r="G1541" s="53"/>
      <c r="H1541" s="20"/>
      <c r="I1541" s="9">
        <v>4</v>
      </c>
      <c r="J1541" s="9"/>
      <c r="K1541" s="9"/>
      <c r="L1541" s="9"/>
      <c r="M1541" s="9">
        <f t="shared" si="194"/>
        <v>0</v>
      </c>
      <c r="N1541" s="9">
        <f t="shared" si="195"/>
        <v>0</v>
      </c>
      <c r="O1541" s="9"/>
      <c r="P1541" s="9"/>
      <c r="Q1541" s="9"/>
      <c r="R1541" s="1">
        <v>0</v>
      </c>
      <c r="S1541" s="26"/>
    </row>
    <row r="1542" spans="1:19" ht="16.5" customHeight="1" x14ac:dyDescent="0.25">
      <c r="A1542" s="9"/>
      <c r="B1542" s="51" t="s">
        <v>120</v>
      </c>
      <c r="C1542" s="52"/>
      <c r="D1542" s="52"/>
      <c r="E1542" s="52"/>
      <c r="F1542" s="52"/>
      <c r="G1542" s="53"/>
      <c r="H1542" s="20"/>
      <c r="I1542" s="9">
        <v>3</v>
      </c>
      <c r="J1542" s="9"/>
      <c r="K1542" s="9"/>
      <c r="L1542" s="9"/>
      <c r="M1542" s="9">
        <f t="shared" si="194"/>
        <v>21</v>
      </c>
      <c r="N1542" s="9">
        <f t="shared" si="195"/>
        <v>9</v>
      </c>
      <c r="O1542" s="9">
        <v>7</v>
      </c>
      <c r="P1542" s="9">
        <v>3</v>
      </c>
      <c r="Q1542" s="9" t="s">
        <v>6</v>
      </c>
      <c r="R1542" s="1">
        <v>0</v>
      </c>
      <c r="S1542" s="26"/>
    </row>
    <row r="1543" spans="1:19" ht="16.5" customHeight="1" x14ac:dyDescent="0.25">
      <c r="A1543" s="9"/>
      <c r="B1543" s="51" t="s">
        <v>121</v>
      </c>
      <c r="C1543" s="52"/>
      <c r="D1543" s="52"/>
      <c r="E1543" s="52"/>
      <c r="F1543" s="52"/>
      <c r="G1543" s="53"/>
      <c r="H1543" s="20"/>
      <c r="I1543" s="9">
        <v>2</v>
      </c>
      <c r="J1543" s="9"/>
      <c r="K1543" s="9"/>
      <c r="L1543" s="9"/>
      <c r="M1543" s="9">
        <f t="shared" si="194"/>
        <v>17</v>
      </c>
      <c r="N1543" s="9">
        <f t="shared" si="195"/>
        <v>7.4</v>
      </c>
      <c r="O1543" s="9">
        <v>8.5</v>
      </c>
      <c r="P1543" s="9">
        <v>3.7</v>
      </c>
      <c r="Q1543" s="9" t="s">
        <v>10</v>
      </c>
      <c r="R1543" s="1">
        <v>0</v>
      </c>
      <c r="S1543" s="26"/>
    </row>
    <row r="1544" spans="1:19" ht="16.5" customHeight="1" x14ac:dyDescent="0.25">
      <c r="A1544" s="9"/>
      <c r="B1544" s="51" t="s">
        <v>122</v>
      </c>
      <c r="C1544" s="52"/>
      <c r="D1544" s="52"/>
      <c r="E1544" s="52"/>
      <c r="F1544" s="52"/>
      <c r="G1544" s="53"/>
      <c r="H1544" s="20"/>
      <c r="I1544" s="9">
        <v>2</v>
      </c>
      <c r="J1544" s="9"/>
      <c r="K1544" s="9"/>
      <c r="L1544" s="9"/>
      <c r="M1544" s="9">
        <f t="shared" si="194"/>
        <v>0</v>
      </c>
      <c r="N1544" s="9">
        <f t="shared" si="195"/>
        <v>0</v>
      </c>
      <c r="O1544" s="9"/>
      <c r="P1544" s="9"/>
      <c r="Q1544" s="9"/>
      <c r="R1544" s="1">
        <v>0</v>
      </c>
      <c r="S1544" s="26"/>
    </row>
    <row r="1545" spans="1:19" ht="16.5" customHeight="1" x14ac:dyDescent="0.25">
      <c r="A1545" s="9"/>
      <c r="B1545" s="51" t="s">
        <v>123</v>
      </c>
      <c r="C1545" s="52"/>
      <c r="D1545" s="52"/>
      <c r="E1545" s="52"/>
      <c r="F1545" s="52"/>
      <c r="G1545" s="53"/>
      <c r="H1545" s="20"/>
      <c r="I1545" s="9">
        <v>2</v>
      </c>
      <c r="J1545" s="9"/>
      <c r="K1545" s="9"/>
      <c r="L1545" s="9"/>
      <c r="M1545" s="9">
        <f t="shared" si="194"/>
        <v>0</v>
      </c>
      <c r="N1545" s="9">
        <f t="shared" si="195"/>
        <v>0</v>
      </c>
      <c r="O1545" s="9"/>
      <c r="P1545" s="9"/>
      <c r="Q1545" s="9"/>
      <c r="R1545" s="1">
        <v>0</v>
      </c>
      <c r="S1545" s="26"/>
    </row>
    <row r="1546" spans="1:19" ht="16.5" hidden="1" customHeight="1" x14ac:dyDescent="0.25">
      <c r="A1546" s="21"/>
      <c r="H1546" s="21"/>
      <c r="I1546" s="21"/>
      <c r="J1546" s="21"/>
      <c r="K1546" s="21"/>
      <c r="L1546" s="21"/>
      <c r="M1546" s="9">
        <f t="shared" si="194"/>
        <v>0</v>
      </c>
      <c r="N1546" s="9">
        <f t="shared" si="195"/>
        <v>0</v>
      </c>
      <c r="O1546" s="21"/>
      <c r="P1546" s="21"/>
      <c r="Q1546" s="21"/>
      <c r="S1546" s="25"/>
    </row>
    <row r="1547" spans="1:19" ht="16.5" customHeight="1" x14ac:dyDescent="0.25">
      <c r="A1547" s="9"/>
      <c r="B1547" s="39" t="s">
        <v>42</v>
      </c>
      <c r="C1547" s="40"/>
      <c r="D1547" s="40"/>
      <c r="E1547" s="40"/>
      <c r="F1547" s="40"/>
      <c r="G1547" s="41"/>
      <c r="H1547" s="23"/>
      <c r="I1547" s="24">
        <f>SUM(I1537:I1546)</f>
        <v>22</v>
      </c>
      <c r="J1547" s="9"/>
      <c r="K1547" s="9"/>
      <c r="L1547" s="9"/>
      <c r="M1547" s="9">
        <f t="shared" si="194"/>
        <v>67.760000000000005</v>
      </c>
      <c r="N1547" s="9">
        <f t="shared" si="195"/>
        <v>27.94</v>
      </c>
      <c r="O1547" s="24">
        <f>ROUND(SUM(M1537:M1546)/I1547,2)</f>
        <v>3.08</v>
      </c>
      <c r="P1547" s="24">
        <f>ROUND(SUM(N1537:N1546)/I1547,2)</f>
        <v>1.27</v>
      </c>
      <c r="Q1547" s="9"/>
      <c r="S1547" s="25"/>
    </row>
    <row r="1548" spans="1:19" ht="16.5" customHeight="1" x14ac:dyDescent="0.25">
      <c r="A1548" s="21"/>
      <c r="B1548" s="22"/>
      <c r="C1548" s="22"/>
      <c r="D1548" s="22"/>
      <c r="E1548" s="22"/>
      <c r="F1548" s="22"/>
      <c r="G1548" s="22"/>
      <c r="H1548" s="21"/>
      <c r="I1548" s="21"/>
      <c r="J1548" s="21"/>
      <c r="K1548" s="21"/>
      <c r="L1548" s="21"/>
      <c r="M1548" s="21"/>
      <c r="N1548" s="21"/>
      <c r="O1548" s="21"/>
      <c r="P1548" s="21"/>
      <c r="Q1548" s="21"/>
    </row>
    <row r="1550" spans="1:19" ht="18" x14ac:dyDescent="0.25">
      <c r="A1550" s="35" t="s">
        <v>50</v>
      </c>
      <c r="B1550" s="35"/>
      <c r="C1550" s="35"/>
      <c r="D1550" s="35"/>
      <c r="E1550" s="35"/>
      <c r="F1550" s="35"/>
      <c r="G1550" s="35"/>
      <c r="H1550" s="35"/>
      <c r="I1550" s="35"/>
      <c r="J1550" s="35"/>
      <c r="K1550" s="35"/>
      <c r="L1550" s="35"/>
      <c r="M1550" s="35"/>
      <c r="N1550" s="35"/>
      <c r="O1550" s="35"/>
      <c r="P1550" s="35"/>
      <c r="Q1550" s="35"/>
      <c r="R1550" s="35"/>
      <c r="S1550" s="35"/>
    </row>
    <row r="1551" spans="1:19" ht="18" x14ac:dyDescent="0.25">
      <c r="A1551" s="35" t="s">
        <v>197</v>
      </c>
      <c r="B1551" s="35"/>
      <c r="C1551" s="35"/>
      <c r="D1551" s="35"/>
      <c r="E1551" s="35"/>
      <c r="F1551" s="35"/>
      <c r="G1551" s="35"/>
      <c r="H1551" s="35"/>
      <c r="I1551" s="35"/>
      <c r="J1551" s="35"/>
      <c r="K1551" s="35"/>
      <c r="L1551" s="35"/>
      <c r="M1551" s="35"/>
      <c r="N1551" s="35"/>
      <c r="O1551" s="35"/>
      <c r="P1551" s="35"/>
      <c r="Q1551" s="35"/>
      <c r="R1551" s="35"/>
      <c r="S1551" s="35"/>
    </row>
    <row r="1552" spans="1:19" ht="18" x14ac:dyDescent="0.25">
      <c r="A1552" s="35" t="s">
        <v>198</v>
      </c>
      <c r="B1552" s="35"/>
      <c r="C1552" s="35"/>
      <c r="D1552" s="35"/>
      <c r="E1552" s="35"/>
      <c r="F1552" s="35"/>
      <c r="G1552" s="35"/>
      <c r="H1552" s="35"/>
      <c r="I1552" s="35"/>
      <c r="J1552" s="35"/>
      <c r="K1552" s="35"/>
      <c r="L1552" s="35"/>
      <c r="M1552" s="35"/>
      <c r="N1552" s="35"/>
      <c r="O1552" s="35"/>
      <c r="P1552" s="35"/>
      <c r="Q1552" s="35"/>
      <c r="R1552" s="35"/>
      <c r="S1552" s="35"/>
    </row>
    <row r="1553" spans="1:20" ht="18" x14ac:dyDescent="0.25">
      <c r="A1553" s="45" t="s">
        <v>53</v>
      </c>
      <c r="B1553" s="45"/>
      <c r="C1553" s="45"/>
      <c r="D1553" s="45"/>
      <c r="E1553" s="45"/>
      <c r="F1553" s="45"/>
      <c r="G1553" s="45"/>
      <c r="H1553" s="45"/>
      <c r="I1553" s="45"/>
      <c r="J1553" s="45"/>
      <c r="K1553" s="45"/>
      <c r="L1553" s="45"/>
      <c r="M1553" s="45"/>
      <c r="N1553" s="45"/>
      <c r="O1553" s="45"/>
      <c r="P1553" s="45"/>
      <c r="Q1553" s="45"/>
      <c r="R1553" s="45"/>
      <c r="S1553" s="45"/>
    </row>
    <row r="1554" spans="1:20" ht="19.5" customHeight="1" x14ac:dyDescent="0.25">
      <c r="A1554" s="17"/>
      <c r="B1554" s="17"/>
      <c r="C1554" s="8"/>
      <c r="D1554" s="18"/>
      <c r="E1554" s="10"/>
      <c r="F1554" s="11"/>
      <c r="G1554" s="46" t="s">
        <v>49</v>
      </c>
      <c r="H1554" s="46"/>
      <c r="I1554" s="46"/>
      <c r="J1554" s="46"/>
      <c r="K1554" s="46"/>
      <c r="L1554" s="46"/>
      <c r="M1554" s="46"/>
      <c r="N1554" s="46"/>
      <c r="O1554" s="46"/>
      <c r="P1554" s="46"/>
      <c r="Q1554" s="46"/>
      <c r="R1554" s="46"/>
      <c r="S1554" s="46"/>
    </row>
    <row r="1555" spans="1:20" ht="31.5" customHeight="1" x14ac:dyDescent="0.3">
      <c r="A1555" s="8"/>
      <c r="B1555" s="8"/>
      <c r="C1555" s="8"/>
      <c r="D1555" s="8"/>
      <c r="E1555" s="8"/>
      <c r="F1555" s="8"/>
      <c r="G1555" s="8"/>
      <c r="H1555" s="12"/>
      <c r="I1555" s="42" t="s">
        <v>40</v>
      </c>
      <c r="J1555" s="43"/>
      <c r="K1555" s="43"/>
      <c r="L1555" s="43"/>
      <c r="M1555" s="43"/>
      <c r="N1555" s="43"/>
      <c r="O1555" s="43"/>
      <c r="P1555" s="43"/>
      <c r="Q1555" s="43"/>
      <c r="R1555" s="43"/>
      <c r="S1555" s="43"/>
    </row>
    <row r="1556" spans="1:20" ht="16.8" x14ac:dyDescent="0.3">
      <c r="A1556" s="8"/>
      <c r="B1556" s="8"/>
      <c r="C1556" s="8"/>
      <c r="D1556" s="8"/>
      <c r="E1556" s="8"/>
      <c r="F1556" s="8"/>
      <c r="G1556" s="8"/>
      <c r="H1556" s="12"/>
      <c r="I1556" s="12"/>
      <c r="J1556" s="12"/>
      <c r="K1556" s="12"/>
      <c r="L1556" s="8"/>
      <c r="M1556" s="8"/>
      <c r="N1556" s="8"/>
      <c r="O1556" s="8"/>
      <c r="P1556" s="8"/>
      <c r="Q1556" s="8"/>
    </row>
    <row r="1557" spans="1:20" ht="33" customHeight="1" x14ac:dyDescent="0.3">
      <c r="A1557" s="8"/>
      <c r="B1557" s="8"/>
      <c r="C1557" s="8"/>
      <c r="D1557" s="8"/>
      <c r="E1557" s="8"/>
      <c r="F1557" s="8"/>
      <c r="G1557" s="8"/>
      <c r="H1557" s="12"/>
      <c r="I1557" s="12"/>
      <c r="J1557" s="12"/>
      <c r="K1557" s="12"/>
      <c r="L1557" s="8"/>
      <c r="M1557" s="8"/>
      <c r="N1557" s="8"/>
      <c r="O1557" s="8"/>
      <c r="P1557" s="8"/>
      <c r="Q1557" s="8"/>
    </row>
    <row r="1558" spans="1:20" ht="11.25" customHeight="1" x14ac:dyDescent="0.3">
      <c r="A1558" s="8"/>
      <c r="B1558" s="8"/>
      <c r="C1558" s="8"/>
      <c r="D1558" s="8"/>
      <c r="E1558" s="8"/>
      <c r="F1558" s="8"/>
      <c r="G1558" s="8"/>
      <c r="H1558" s="12"/>
      <c r="I1558" s="12"/>
      <c r="J1558" s="12"/>
      <c r="K1558" s="12"/>
      <c r="L1558" s="8"/>
      <c r="M1558" s="8"/>
      <c r="N1558" s="8"/>
      <c r="O1558" s="8"/>
      <c r="P1558" s="8"/>
      <c r="Q1558" s="8"/>
    </row>
    <row r="1559" spans="1:20" ht="17.399999999999999" x14ac:dyDescent="0.3">
      <c r="A1559" s="8"/>
      <c r="B1559" s="8"/>
      <c r="C1559" s="8"/>
      <c r="D1559" s="8"/>
      <c r="E1559" s="8"/>
      <c r="F1559" s="8"/>
      <c r="G1559" s="47" t="s">
        <v>41</v>
      </c>
      <c r="H1559" s="47"/>
      <c r="I1559" s="47"/>
      <c r="J1559" s="47"/>
      <c r="K1559" s="47"/>
      <c r="L1559" s="47"/>
      <c r="M1559" s="47"/>
      <c r="N1559" s="47"/>
      <c r="O1559" s="47"/>
      <c r="P1559" s="47"/>
      <c r="Q1559" s="47"/>
      <c r="R1559" s="47"/>
      <c r="S1559" s="47"/>
    </row>
    <row r="1560" spans="1:20" ht="54" customHeight="1" x14ac:dyDescent="0.25">
      <c r="A1560" s="48" t="s">
        <v>33</v>
      </c>
      <c r="B1560" s="48"/>
      <c r="C1560" s="48"/>
      <c r="D1560" s="48"/>
      <c r="E1560" s="48"/>
      <c r="F1560" s="42" t="s">
        <v>24</v>
      </c>
      <c r="G1560" s="42"/>
      <c r="H1560" s="42"/>
      <c r="I1560" s="42"/>
      <c r="J1560" s="42"/>
      <c r="K1560" s="42"/>
      <c r="L1560" s="42"/>
      <c r="M1560" s="42"/>
      <c r="N1560" s="42"/>
      <c r="O1560" s="42"/>
      <c r="P1560" s="42"/>
      <c r="Q1560" s="42"/>
      <c r="R1560" s="42"/>
      <c r="S1560" s="42"/>
    </row>
    <row r="1561" spans="1:20" ht="17.399999999999999" x14ac:dyDescent="0.25">
      <c r="A1561" s="49" t="s">
        <v>34</v>
      </c>
      <c r="B1561" s="49"/>
      <c r="C1561" s="49"/>
      <c r="D1561" s="49"/>
      <c r="E1561" s="49"/>
      <c r="F1561" s="49"/>
      <c r="G1561" s="49"/>
      <c r="H1561" s="49"/>
      <c r="I1561" s="49"/>
      <c r="J1561" s="49"/>
      <c r="K1561" s="49"/>
      <c r="L1561" s="49"/>
      <c r="M1561" s="49"/>
      <c r="N1561" s="49"/>
      <c r="O1561" s="49"/>
      <c r="P1561" s="49"/>
      <c r="Q1561" s="49"/>
    </row>
    <row r="1562" spans="1:20" ht="4.5" customHeight="1" x14ac:dyDescent="0.25">
      <c r="A1562" s="50"/>
      <c r="B1562" s="50"/>
      <c r="C1562" s="50"/>
      <c r="D1562" s="50"/>
      <c r="E1562" s="50"/>
      <c r="F1562" s="50"/>
      <c r="G1562" s="50"/>
      <c r="H1562" s="50"/>
      <c r="I1562" s="50"/>
      <c r="J1562" s="50"/>
      <c r="K1562" s="50"/>
      <c r="L1562" s="50"/>
      <c r="M1562" s="50"/>
      <c r="N1562" s="50"/>
      <c r="O1562" s="50"/>
      <c r="P1562" s="50"/>
      <c r="Q1562" s="50"/>
    </row>
    <row r="1563" spans="1:20" ht="5.25" customHeight="1" x14ac:dyDescent="0.25">
      <c r="A1563" s="50"/>
      <c r="B1563" s="50"/>
      <c r="C1563" s="50"/>
      <c r="D1563" s="50"/>
      <c r="E1563" s="50"/>
      <c r="F1563" s="50"/>
      <c r="G1563" s="50"/>
      <c r="H1563" s="50"/>
      <c r="I1563" s="50"/>
      <c r="J1563" s="50"/>
      <c r="K1563" s="50"/>
      <c r="L1563" s="50"/>
      <c r="M1563" s="50"/>
      <c r="N1563" s="50"/>
      <c r="O1563" s="50"/>
      <c r="P1563" s="50"/>
      <c r="Q1563" s="50"/>
    </row>
    <row r="1564" spans="1:20" ht="16.5" customHeight="1" x14ac:dyDescent="0.25">
      <c r="A1564" s="54" t="s">
        <v>199</v>
      </c>
      <c r="B1564" s="54"/>
      <c r="C1564" s="54"/>
      <c r="D1564" s="54"/>
      <c r="E1564" s="54"/>
      <c r="F1564" s="54"/>
      <c r="G1564" s="58" t="s">
        <v>200</v>
      </c>
      <c r="H1564" s="58"/>
      <c r="I1564" s="58"/>
      <c r="J1564" s="58"/>
      <c r="K1564" s="58"/>
      <c r="L1564" s="58"/>
      <c r="M1564" s="58"/>
      <c r="N1564" s="58"/>
      <c r="O1564" s="58"/>
      <c r="P1564" s="58"/>
      <c r="Q1564" s="58"/>
      <c r="R1564" s="58"/>
      <c r="S1564" s="58"/>
    </row>
    <row r="1565" spans="1:20" ht="16.5" customHeight="1" x14ac:dyDescent="0.25">
      <c r="A1565" s="54" t="s">
        <v>201</v>
      </c>
      <c r="B1565" s="54"/>
      <c r="C1565" s="54"/>
      <c r="D1565" s="54"/>
      <c r="E1565" s="54"/>
      <c r="F1565" s="54"/>
      <c r="G1565" s="8" t="s">
        <v>46</v>
      </c>
      <c r="H1565" s="8"/>
      <c r="I1565" s="8"/>
      <c r="J1565" s="8"/>
      <c r="K1565" s="8"/>
      <c r="L1565" s="8"/>
      <c r="M1565" s="8"/>
      <c r="N1565" s="8"/>
      <c r="O1565" s="8"/>
      <c r="P1565" s="8"/>
      <c r="Q1565" s="8"/>
      <c r="T1565" s="2"/>
    </row>
    <row r="1566" spans="1:20" ht="16.5" customHeight="1" x14ac:dyDescent="0.25">
      <c r="A1566" s="54" t="s">
        <v>47</v>
      </c>
      <c r="B1566" s="54"/>
      <c r="C1566" s="54"/>
      <c r="D1566" s="54"/>
      <c r="E1566" s="54"/>
      <c r="F1566" s="54"/>
      <c r="G1566" s="58" t="s">
        <v>48</v>
      </c>
      <c r="H1566" s="58"/>
      <c r="I1566" s="58"/>
      <c r="J1566" s="58"/>
      <c r="K1566" s="58"/>
      <c r="L1566" s="58"/>
      <c r="M1566" s="58"/>
      <c r="N1566" s="58"/>
      <c r="O1566" s="58"/>
      <c r="P1566" s="58"/>
      <c r="Q1566" s="58"/>
      <c r="R1566" s="58"/>
      <c r="S1566" s="58"/>
    </row>
    <row r="1567" spans="1:20" ht="5.25" customHeight="1" x14ac:dyDescent="0.25">
      <c r="A1567" s="8"/>
      <c r="B1567" s="8"/>
      <c r="C1567" s="8"/>
      <c r="D1567" s="8"/>
      <c r="E1567" s="8"/>
      <c r="F1567" s="8"/>
      <c r="G1567" s="8"/>
      <c r="H1567" s="8"/>
      <c r="I1567" s="8"/>
      <c r="J1567" s="19"/>
      <c r="K1567" s="19"/>
      <c r="L1567" s="19"/>
      <c r="M1567" s="19"/>
      <c r="N1567" s="19"/>
      <c r="O1567" s="19"/>
      <c r="P1567" s="19"/>
      <c r="Q1567" s="19"/>
    </row>
    <row r="1568" spans="1:20" ht="15" customHeight="1" x14ac:dyDescent="0.25">
      <c r="A1568" s="36" t="s">
        <v>0</v>
      </c>
      <c r="B1568" s="29" t="s">
        <v>1</v>
      </c>
      <c r="C1568" s="30"/>
      <c r="D1568" s="30"/>
      <c r="E1568" s="30"/>
      <c r="F1568" s="30"/>
      <c r="G1568" s="31"/>
      <c r="H1568" s="36" t="s">
        <v>32</v>
      </c>
      <c r="I1568" s="36" t="s">
        <v>39</v>
      </c>
      <c r="J1568" s="55" t="s">
        <v>2</v>
      </c>
      <c r="K1568" s="56"/>
      <c r="L1568" s="56"/>
      <c r="M1568" s="56"/>
      <c r="N1568" s="56"/>
      <c r="O1568" s="56"/>
      <c r="P1568" s="56"/>
      <c r="Q1568" s="57"/>
      <c r="S1568" s="36" t="s">
        <v>38</v>
      </c>
    </row>
    <row r="1569" spans="1:19" ht="24" customHeight="1" x14ac:dyDescent="0.25">
      <c r="A1569" s="37"/>
      <c r="B1569" s="32"/>
      <c r="C1569" s="33"/>
      <c r="D1569" s="33"/>
      <c r="E1569" s="33"/>
      <c r="F1569" s="33"/>
      <c r="G1569" s="34"/>
      <c r="H1569" s="37"/>
      <c r="I1569" s="37"/>
      <c r="J1569" s="7" t="s">
        <v>28</v>
      </c>
      <c r="K1569" s="7" t="s">
        <v>29</v>
      </c>
      <c r="L1569" s="7" t="s">
        <v>30</v>
      </c>
      <c r="M1569" s="7"/>
      <c r="N1569" s="7"/>
      <c r="O1569" s="6" t="s">
        <v>35</v>
      </c>
      <c r="P1569" s="6" t="s">
        <v>36</v>
      </c>
      <c r="Q1569" s="6" t="s">
        <v>37</v>
      </c>
      <c r="S1569" s="37"/>
    </row>
    <row r="1570" spans="1:19" ht="20.25" customHeight="1" x14ac:dyDescent="0.25">
      <c r="A1570" s="27" t="s">
        <v>54</v>
      </c>
      <c r="B1570" s="28"/>
      <c r="C1570" s="28"/>
      <c r="D1570" s="28"/>
      <c r="E1570" s="28"/>
      <c r="F1570" s="28"/>
      <c r="G1570" s="28"/>
      <c r="H1570" s="28"/>
      <c r="I1570" s="28"/>
      <c r="J1570" s="28"/>
      <c r="K1570" s="28"/>
      <c r="L1570" s="28"/>
      <c r="M1570" s="28"/>
      <c r="N1570" s="28"/>
      <c r="O1570" s="28"/>
      <c r="P1570" s="28"/>
      <c r="Q1570" s="28"/>
      <c r="R1570" s="28"/>
      <c r="S1570" s="28"/>
    </row>
    <row r="1571" spans="1:19" ht="16.5" customHeight="1" x14ac:dyDescent="0.25">
      <c r="A1571" s="9"/>
      <c r="B1571" s="51" t="s">
        <v>61</v>
      </c>
      <c r="C1571" s="52"/>
      <c r="D1571" s="52"/>
      <c r="E1571" s="52"/>
      <c r="F1571" s="52"/>
      <c r="G1571" s="53"/>
      <c r="H1571" s="20"/>
      <c r="I1571" s="9">
        <v>1</v>
      </c>
      <c r="J1571" s="9"/>
      <c r="K1571" s="9"/>
      <c r="L1571" s="9"/>
      <c r="M1571" s="9">
        <f t="shared" ref="M1571:M1579" si="196">I1571*O1571</f>
        <v>8.1999999999999993</v>
      </c>
      <c r="N1571" s="9">
        <f t="shared" ref="N1571:N1579" si="197">I1571*P1571</f>
        <v>3.5</v>
      </c>
      <c r="O1571" s="9">
        <v>8.1999999999999993</v>
      </c>
      <c r="P1571" s="9">
        <v>3.5</v>
      </c>
      <c r="Q1571" s="9" t="s">
        <v>9</v>
      </c>
      <c r="R1571" s="1">
        <v>0</v>
      </c>
      <c r="S1571" s="26"/>
    </row>
    <row r="1572" spans="1:19" ht="16.5" customHeight="1" x14ac:dyDescent="0.25">
      <c r="A1572" s="9"/>
      <c r="B1572" s="51" t="s">
        <v>56</v>
      </c>
      <c r="C1572" s="52"/>
      <c r="D1572" s="52"/>
      <c r="E1572" s="52"/>
      <c r="F1572" s="52"/>
      <c r="G1572" s="53"/>
      <c r="H1572" s="20"/>
      <c r="I1572" s="9">
        <v>3</v>
      </c>
      <c r="J1572" s="9"/>
      <c r="K1572" s="9"/>
      <c r="L1572" s="9"/>
      <c r="M1572" s="9">
        <f t="shared" si="196"/>
        <v>19.200000000000003</v>
      </c>
      <c r="N1572" s="9">
        <f t="shared" si="197"/>
        <v>6</v>
      </c>
      <c r="O1572" s="9">
        <v>6.4</v>
      </c>
      <c r="P1572" s="9">
        <v>2</v>
      </c>
      <c r="Q1572" s="9" t="s">
        <v>3</v>
      </c>
      <c r="R1572" s="1">
        <v>0</v>
      </c>
      <c r="S1572" s="26"/>
    </row>
    <row r="1573" spans="1:19" ht="31.2" customHeight="1" x14ac:dyDescent="0.25">
      <c r="A1573" s="9"/>
      <c r="B1573" s="51" t="s">
        <v>57</v>
      </c>
      <c r="C1573" s="52"/>
      <c r="D1573" s="52"/>
      <c r="E1573" s="52"/>
      <c r="F1573" s="52"/>
      <c r="G1573" s="53"/>
      <c r="H1573" s="20"/>
      <c r="I1573" s="9">
        <v>3</v>
      </c>
      <c r="J1573" s="9"/>
      <c r="K1573" s="9"/>
      <c r="L1573" s="9"/>
      <c r="M1573" s="9">
        <f t="shared" si="196"/>
        <v>23.1</v>
      </c>
      <c r="N1573" s="9">
        <f t="shared" si="197"/>
        <v>9</v>
      </c>
      <c r="O1573" s="9">
        <v>7.7</v>
      </c>
      <c r="P1573" s="9">
        <v>3</v>
      </c>
      <c r="Q1573" s="9" t="s">
        <v>6</v>
      </c>
      <c r="R1573" s="1">
        <v>0</v>
      </c>
      <c r="S1573" s="26"/>
    </row>
    <row r="1574" spans="1:19" ht="16.5" customHeight="1" x14ac:dyDescent="0.25">
      <c r="A1574" s="9"/>
      <c r="B1574" s="51" t="s">
        <v>58</v>
      </c>
      <c r="C1574" s="52"/>
      <c r="D1574" s="52"/>
      <c r="E1574" s="52"/>
      <c r="F1574" s="52"/>
      <c r="G1574" s="53"/>
      <c r="H1574" s="20"/>
      <c r="I1574" s="9">
        <v>1</v>
      </c>
      <c r="J1574" s="9"/>
      <c r="K1574" s="9"/>
      <c r="L1574" s="9"/>
      <c r="M1574" s="9">
        <f t="shared" si="196"/>
        <v>7.3</v>
      </c>
      <c r="N1574" s="9">
        <f t="shared" si="197"/>
        <v>3</v>
      </c>
      <c r="O1574" s="9">
        <v>7.3</v>
      </c>
      <c r="P1574" s="9">
        <v>3</v>
      </c>
      <c r="Q1574" s="9" t="s">
        <v>6</v>
      </c>
      <c r="R1574" s="1">
        <v>0</v>
      </c>
      <c r="S1574" s="26"/>
    </row>
    <row r="1575" spans="1:19" ht="16.5" customHeight="1" x14ac:dyDescent="0.25">
      <c r="A1575" s="9"/>
      <c r="B1575" s="51" t="s">
        <v>59</v>
      </c>
      <c r="C1575" s="52"/>
      <c r="D1575" s="52"/>
      <c r="E1575" s="52"/>
      <c r="F1575" s="52"/>
      <c r="G1575" s="53"/>
      <c r="H1575" s="20"/>
      <c r="I1575" s="9">
        <v>1</v>
      </c>
      <c r="J1575" s="9"/>
      <c r="K1575" s="9"/>
      <c r="L1575" s="9"/>
      <c r="M1575" s="9">
        <f t="shared" si="196"/>
        <v>8.3000000000000007</v>
      </c>
      <c r="N1575" s="9">
        <f t="shared" si="197"/>
        <v>3.5</v>
      </c>
      <c r="O1575" s="9">
        <v>8.3000000000000007</v>
      </c>
      <c r="P1575" s="9">
        <v>3.5</v>
      </c>
      <c r="Q1575" s="9" t="s">
        <v>9</v>
      </c>
      <c r="R1575" s="1">
        <v>0</v>
      </c>
      <c r="S1575" s="26"/>
    </row>
    <row r="1576" spans="1:19" ht="16.5" customHeight="1" x14ac:dyDescent="0.25">
      <c r="A1576" s="9"/>
      <c r="B1576" s="51" t="s">
        <v>60</v>
      </c>
      <c r="C1576" s="52"/>
      <c r="D1576" s="52"/>
      <c r="E1576" s="52"/>
      <c r="F1576" s="52"/>
      <c r="G1576" s="53"/>
      <c r="H1576" s="20"/>
      <c r="I1576" s="9">
        <v>3</v>
      </c>
      <c r="J1576" s="9"/>
      <c r="K1576" s="9"/>
      <c r="L1576" s="9"/>
      <c r="M1576" s="9">
        <f t="shared" si="196"/>
        <v>24.900000000000002</v>
      </c>
      <c r="N1576" s="9">
        <f t="shared" si="197"/>
        <v>10.5</v>
      </c>
      <c r="O1576" s="9">
        <v>8.3000000000000007</v>
      </c>
      <c r="P1576" s="9">
        <v>3.5</v>
      </c>
      <c r="Q1576" s="9" t="s">
        <v>9</v>
      </c>
      <c r="R1576" s="1">
        <v>0</v>
      </c>
      <c r="S1576" s="26"/>
    </row>
    <row r="1577" spans="1:19" ht="16.5" customHeight="1" x14ac:dyDescent="0.25">
      <c r="A1577" s="9"/>
      <c r="B1577" s="51" t="s">
        <v>55</v>
      </c>
      <c r="C1577" s="52"/>
      <c r="D1577" s="52"/>
      <c r="E1577" s="52"/>
      <c r="F1577" s="52"/>
      <c r="G1577" s="53"/>
      <c r="H1577" s="20"/>
      <c r="I1577" s="9">
        <v>2</v>
      </c>
      <c r="J1577" s="9"/>
      <c r="K1577" s="9"/>
      <c r="L1577" s="9"/>
      <c r="M1577" s="9">
        <f t="shared" si="196"/>
        <v>15.2</v>
      </c>
      <c r="N1577" s="9">
        <f t="shared" si="197"/>
        <v>6</v>
      </c>
      <c r="O1577" s="9">
        <v>7.6</v>
      </c>
      <c r="P1577" s="9">
        <v>3</v>
      </c>
      <c r="Q1577" s="9" t="s">
        <v>6</v>
      </c>
      <c r="R1577" s="1">
        <v>0</v>
      </c>
      <c r="S1577" s="26"/>
    </row>
    <row r="1578" spans="1:19" ht="16.5" hidden="1" customHeight="1" x14ac:dyDescent="0.25">
      <c r="A1578" s="21"/>
      <c r="H1578" s="21"/>
      <c r="I1578" s="21"/>
      <c r="J1578" s="21"/>
      <c r="K1578" s="21"/>
      <c r="L1578" s="21"/>
      <c r="M1578" s="9">
        <f t="shared" si="196"/>
        <v>0</v>
      </c>
      <c r="N1578" s="9">
        <f t="shared" si="197"/>
        <v>0</v>
      </c>
      <c r="O1578" s="21"/>
      <c r="P1578" s="21"/>
      <c r="Q1578" s="21"/>
      <c r="S1578" s="25"/>
    </row>
    <row r="1579" spans="1:19" ht="16.5" customHeight="1" x14ac:dyDescent="0.25">
      <c r="A1579" s="9"/>
      <c r="B1579" s="39" t="s">
        <v>42</v>
      </c>
      <c r="C1579" s="40"/>
      <c r="D1579" s="40"/>
      <c r="E1579" s="40"/>
      <c r="F1579" s="40"/>
      <c r="G1579" s="41"/>
      <c r="H1579" s="23"/>
      <c r="I1579" s="24">
        <f>SUM(I1571:I1578)</f>
        <v>14</v>
      </c>
      <c r="J1579" s="9"/>
      <c r="K1579" s="9"/>
      <c r="L1579" s="9"/>
      <c r="M1579" s="9">
        <f t="shared" si="196"/>
        <v>106.25999999999999</v>
      </c>
      <c r="N1579" s="9">
        <f t="shared" si="197"/>
        <v>41.44</v>
      </c>
      <c r="O1579" s="24">
        <f>ROUND(SUM(M1571:M1578)/I1579,2)</f>
        <v>7.59</v>
      </c>
      <c r="P1579" s="24">
        <f>ROUND(SUM(N1571:N1578)/I1579,2)</f>
        <v>2.96</v>
      </c>
      <c r="Q1579" s="9"/>
      <c r="S1579" s="25"/>
    </row>
    <row r="1580" spans="1:19" ht="20.25" customHeight="1" x14ac:dyDescent="0.25">
      <c r="A1580" s="27" t="s">
        <v>62</v>
      </c>
      <c r="B1580" s="28"/>
      <c r="C1580" s="28"/>
      <c r="D1580" s="28"/>
      <c r="E1580" s="28"/>
      <c r="F1580" s="28"/>
      <c r="G1580" s="28"/>
      <c r="H1580" s="28"/>
      <c r="I1580" s="28"/>
      <c r="J1580" s="28"/>
      <c r="K1580" s="28"/>
      <c r="L1580" s="28"/>
      <c r="M1580" s="28"/>
      <c r="N1580" s="28"/>
      <c r="O1580" s="28"/>
      <c r="P1580" s="28"/>
      <c r="Q1580" s="28"/>
      <c r="R1580" s="28"/>
      <c r="S1580" s="28"/>
    </row>
    <row r="1581" spans="1:19" ht="16.5" customHeight="1" x14ac:dyDescent="0.25">
      <c r="A1581" s="9"/>
      <c r="B1581" s="51" t="s">
        <v>63</v>
      </c>
      <c r="C1581" s="52"/>
      <c r="D1581" s="52"/>
      <c r="E1581" s="52"/>
      <c r="F1581" s="52"/>
      <c r="G1581" s="53"/>
      <c r="H1581" s="20"/>
      <c r="I1581" s="9">
        <v>4</v>
      </c>
      <c r="J1581" s="9"/>
      <c r="K1581" s="9"/>
      <c r="L1581" s="9"/>
      <c r="M1581" s="9">
        <f t="shared" ref="M1581:M1589" si="198">I1581*O1581</f>
        <v>33.200000000000003</v>
      </c>
      <c r="N1581" s="9">
        <f t="shared" ref="N1581:N1589" si="199">I1581*P1581</f>
        <v>14</v>
      </c>
      <c r="O1581" s="9">
        <v>8.3000000000000007</v>
      </c>
      <c r="P1581" s="9">
        <v>3.5</v>
      </c>
      <c r="Q1581" s="9" t="s">
        <v>9</v>
      </c>
      <c r="R1581" s="1">
        <v>0</v>
      </c>
      <c r="S1581" s="26"/>
    </row>
    <row r="1582" spans="1:19" ht="16.5" customHeight="1" x14ac:dyDescent="0.25">
      <c r="A1582" s="9"/>
      <c r="B1582" s="51" t="s">
        <v>64</v>
      </c>
      <c r="C1582" s="52"/>
      <c r="D1582" s="52"/>
      <c r="E1582" s="52"/>
      <c r="F1582" s="52"/>
      <c r="G1582" s="53"/>
      <c r="H1582" s="20"/>
      <c r="I1582" s="9">
        <v>4</v>
      </c>
      <c r="J1582" s="9"/>
      <c r="K1582" s="9"/>
      <c r="L1582" s="9"/>
      <c r="M1582" s="9">
        <f t="shared" si="198"/>
        <v>22.8</v>
      </c>
      <c r="N1582" s="9">
        <f t="shared" si="199"/>
        <v>8</v>
      </c>
      <c r="O1582" s="9">
        <v>5.7</v>
      </c>
      <c r="P1582" s="9">
        <v>2</v>
      </c>
      <c r="Q1582" s="9" t="s">
        <v>3</v>
      </c>
      <c r="R1582" s="1">
        <v>0</v>
      </c>
      <c r="S1582" s="26"/>
    </row>
    <row r="1583" spans="1:19" ht="16.5" customHeight="1" x14ac:dyDescent="0.25">
      <c r="A1583" s="9"/>
      <c r="B1583" s="51" t="s">
        <v>65</v>
      </c>
      <c r="C1583" s="52"/>
      <c r="D1583" s="52"/>
      <c r="E1583" s="52"/>
      <c r="F1583" s="52"/>
      <c r="G1583" s="53"/>
      <c r="H1583" s="20"/>
      <c r="I1583" s="9">
        <v>4</v>
      </c>
      <c r="J1583" s="9"/>
      <c r="K1583" s="9"/>
      <c r="L1583" s="9"/>
      <c r="M1583" s="9">
        <f t="shared" si="198"/>
        <v>30.8</v>
      </c>
      <c r="N1583" s="9">
        <f t="shared" si="199"/>
        <v>12</v>
      </c>
      <c r="O1583" s="9">
        <v>7.7</v>
      </c>
      <c r="P1583" s="9">
        <v>3</v>
      </c>
      <c r="Q1583" s="9" t="s">
        <v>6</v>
      </c>
      <c r="R1583" s="1">
        <v>0</v>
      </c>
      <c r="S1583" s="26"/>
    </row>
    <row r="1584" spans="1:19" ht="16.5" customHeight="1" x14ac:dyDescent="0.25">
      <c r="A1584" s="9"/>
      <c r="B1584" s="51" t="s">
        <v>66</v>
      </c>
      <c r="C1584" s="52"/>
      <c r="D1584" s="52"/>
      <c r="E1584" s="52"/>
      <c r="F1584" s="52"/>
      <c r="G1584" s="53"/>
      <c r="H1584" s="20"/>
      <c r="I1584" s="9">
        <v>1</v>
      </c>
      <c r="J1584" s="9"/>
      <c r="K1584" s="9"/>
      <c r="L1584" s="9"/>
      <c r="M1584" s="9">
        <f t="shared" si="198"/>
        <v>8.1999999999999993</v>
      </c>
      <c r="N1584" s="9">
        <f t="shared" si="199"/>
        <v>3.5</v>
      </c>
      <c r="O1584" s="9">
        <v>8.1999999999999993</v>
      </c>
      <c r="P1584" s="9">
        <v>3.5</v>
      </c>
      <c r="Q1584" s="9" t="s">
        <v>9</v>
      </c>
      <c r="R1584" s="1">
        <v>0</v>
      </c>
      <c r="S1584" s="26"/>
    </row>
    <row r="1585" spans="1:19" ht="16.5" customHeight="1" x14ac:dyDescent="0.25">
      <c r="A1585" s="9"/>
      <c r="B1585" s="51" t="s">
        <v>67</v>
      </c>
      <c r="C1585" s="52"/>
      <c r="D1585" s="52"/>
      <c r="E1585" s="52"/>
      <c r="F1585" s="52"/>
      <c r="G1585" s="53"/>
      <c r="H1585" s="20"/>
      <c r="I1585" s="9">
        <v>1</v>
      </c>
      <c r="J1585" s="9"/>
      <c r="K1585" s="9"/>
      <c r="L1585" s="9"/>
      <c r="M1585" s="9">
        <f t="shared" si="198"/>
        <v>8</v>
      </c>
      <c r="N1585" s="9">
        <f t="shared" si="199"/>
        <v>3.5</v>
      </c>
      <c r="O1585" s="9">
        <v>8</v>
      </c>
      <c r="P1585" s="9">
        <v>3.5</v>
      </c>
      <c r="Q1585" s="9" t="s">
        <v>9</v>
      </c>
      <c r="R1585" s="1">
        <v>0</v>
      </c>
      <c r="S1585" s="26"/>
    </row>
    <row r="1586" spans="1:19" ht="16.5" customHeight="1" x14ac:dyDescent="0.25">
      <c r="A1586" s="9"/>
      <c r="B1586" s="51" t="s">
        <v>68</v>
      </c>
      <c r="C1586" s="52"/>
      <c r="D1586" s="52"/>
      <c r="E1586" s="52"/>
      <c r="F1586" s="52"/>
      <c r="G1586" s="53"/>
      <c r="H1586" s="20"/>
      <c r="I1586" s="9">
        <v>1</v>
      </c>
      <c r="J1586" s="9"/>
      <c r="K1586" s="9"/>
      <c r="L1586" s="9"/>
      <c r="M1586" s="9">
        <f t="shared" si="198"/>
        <v>7.8</v>
      </c>
      <c r="N1586" s="9">
        <f t="shared" si="199"/>
        <v>3</v>
      </c>
      <c r="O1586" s="9">
        <v>7.8</v>
      </c>
      <c r="P1586" s="9">
        <v>3</v>
      </c>
      <c r="Q1586" s="9" t="s">
        <v>6</v>
      </c>
      <c r="R1586" s="1">
        <v>0</v>
      </c>
      <c r="S1586" s="26"/>
    </row>
    <row r="1587" spans="1:19" ht="16.5" customHeight="1" x14ac:dyDescent="0.25">
      <c r="A1587" s="9"/>
      <c r="B1587" s="51" t="s">
        <v>69</v>
      </c>
      <c r="C1587" s="52"/>
      <c r="D1587" s="52"/>
      <c r="E1587" s="52"/>
      <c r="F1587" s="52"/>
      <c r="G1587" s="53"/>
      <c r="H1587" s="20"/>
      <c r="I1587" s="9">
        <v>1</v>
      </c>
      <c r="J1587" s="9"/>
      <c r="K1587" s="9"/>
      <c r="L1587" s="9"/>
      <c r="M1587" s="9">
        <f t="shared" si="198"/>
        <v>8</v>
      </c>
      <c r="N1587" s="9">
        <f t="shared" si="199"/>
        <v>3.5</v>
      </c>
      <c r="O1587" s="9">
        <v>8</v>
      </c>
      <c r="P1587" s="9">
        <v>3.5</v>
      </c>
      <c r="Q1587" s="9" t="s">
        <v>9</v>
      </c>
      <c r="R1587" s="1">
        <v>0</v>
      </c>
      <c r="S1587" s="26"/>
    </row>
    <row r="1588" spans="1:19" ht="16.5" hidden="1" customHeight="1" x14ac:dyDescent="0.25">
      <c r="A1588" s="21"/>
      <c r="H1588" s="21"/>
      <c r="I1588" s="21"/>
      <c r="J1588" s="21"/>
      <c r="K1588" s="21"/>
      <c r="L1588" s="21"/>
      <c r="M1588" s="9">
        <f t="shared" si="198"/>
        <v>0</v>
      </c>
      <c r="N1588" s="9">
        <f t="shared" si="199"/>
        <v>0</v>
      </c>
      <c r="O1588" s="21"/>
      <c r="P1588" s="21"/>
      <c r="Q1588" s="21"/>
      <c r="S1588" s="25"/>
    </row>
    <row r="1589" spans="1:19" ht="16.5" customHeight="1" x14ac:dyDescent="0.25">
      <c r="A1589" s="9"/>
      <c r="B1589" s="39" t="s">
        <v>42</v>
      </c>
      <c r="C1589" s="40"/>
      <c r="D1589" s="40"/>
      <c r="E1589" s="40"/>
      <c r="F1589" s="40"/>
      <c r="G1589" s="41"/>
      <c r="H1589" s="23"/>
      <c r="I1589" s="24">
        <f>SUM(I1581:I1588)</f>
        <v>16</v>
      </c>
      <c r="J1589" s="9"/>
      <c r="K1589" s="9"/>
      <c r="L1589" s="9"/>
      <c r="M1589" s="9">
        <f t="shared" si="198"/>
        <v>118.88</v>
      </c>
      <c r="N1589" s="9">
        <f t="shared" si="199"/>
        <v>47.52</v>
      </c>
      <c r="O1589" s="24">
        <f>ROUND(SUM(M1581:M1588)/I1589,2)</f>
        <v>7.43</v>
      </c>
      <c r="P1589" s="24">
        <f>ROUND(SUM(N1581:N1588)/I1589,2)</f>
        <v>2.97</v>
      </c>
      <c r="Q1589" s="9"/>
      <c r="S1589" s="25"/>
    </row>
    <row r="1590" spans="1:19" ht="20.25" customHeight="1" x14ac:dyDescent="0.25">
      <c r="A1590" s="27" t="s">
        <v>70</v>
      </c>
      <c r="B1590" s="28"/>
      <c r="C1590" s="28"/>
      <c r="D1590" s="28"/>
      <c r="E1590" s="28"/>
      <c r="F1590" s="28"/>
      <c r="G1590" s="28"/>
      <c r="H1590" s="28"/>
      <c r="I1590" s="28"/>
      <c r="J1590" s="28"/>
      <c r="K1590" s="28"/>
      <c r="L1590" s="28"/>
      <c r="M1590" s="28"/>
      <c r="N1590" s="28"/>
      <c r="O1590" s="28"/>
      <c r="P1590" s="28"/>
      <c r="Q1590" s="28"/>
      <c r="R1590" s="28"/>
      <c r="S1590" s="28"/>
    </row>
    <row r="1591" spans="1:19" ht="16.5" customHeight="1" x14ac:dyDescent="0.25">
      <c r="A1591" s="9"/>
      <c r="B1591" s="51" t="s">
        <v>71</v>
      </c>
      <c r="C1591" s="52"/>
      <c r="D1591" s="52"/>
      <c r="E1591" s="52"/>
      <c r="F1591" s="52"/>
      <c r="G1591" s="53"/>
      <c r="H1591" s="20"/>
      <c r="I1591" s="9">
        <v>4</v>
      </c>
      <c r="J1591" s="9"/>
      <c r="K1591" s="9"/>
      <c r="L1591" s="9"/>
      <c r="M1591" s="9">
        <f t="shared" ref="M1591:M1600" si="200">I1591*O1591</f>
        <v>24.8</v>
      </c>
      <c r="N1591" s="9">
        <f t="shared" ref="N1591:N1600" si="201">I1591*P1591</f>
        <v>8</v>
      </c>
      <c r="O1591" s="9">
        <v>6.2</v>
      </c>
      <c r="P1591" s="9">
        <v>2</v>
      </c>
      <c r="Q1591" s="9" t="s">
        <v>3</v>
      </c>
      <c r="R1591" s="1">
        <v>0</v>
      </c>
      <c r="S1591" s="26"/>
    </row>
    <row r="1592" spans="1:19" ht="16.5" customHeight="1" x14ac:dyDescent="0.25">
      <c r="A1592" s="9"/>
      <c r="B1592" s="51" t="s">
        <v>72</v>
      </c>
      <c r="C1592" s="52"/>
      <c r="D1592" s="52"/>
      <c r="E1592" s="52"/>
      <c r="F1592" s="52"/>
      <c r="G1592" s="53"/>
      <c r="H1592" s="20"/>
      <c r="I1592" s="9">
        <v>4</v>
      </c>
      <c r="J1592" s="9"/>
      <c r="K1592" s="9"/>
      <c r="L1592" s="9"/>
      <c r="M1592" s="9">
        <f t="shared" si="200"/>
        <v>28.8</v>
      </c>
      <c r="N1592" s="9">
        <f t="shared" si="201"/>
        <v>12</v>
      </c>
      <c r="O1592" s="9">
        <v>7.2</v>
      </c>
      <c r="P1592" s="9">
        <v>3</v>
      </c>
      <c r="Q1592" s="9" t="s">
        <v>6</v>
      </c>
      <c r="R1592" s="1">
        <v>0</v>
      </c>
      <c r="S1592" s="26"/>
    </row>
    <row r="1593" spans="1:19" ht="16.5" customHeight="1" x14ac:dyDescent="0.25">
      <c r="A1593" s="9"/>
      <c r="B1593" s="51" t="s">
        <v>73</v>
      </c>
      <c r="C1593" s="52"/>
      <c r="D1593" s="52"/>
      <c r="E1593" s="52"/>
      <c r="F1593" s="52"/>
      <c r="G1593" s="53"/>
      <c r="H1593" s="20"/>
      <c r="I1593" s="9">
        <v>2</v>
      </c>
      <c r="J1593" s="9"/>
      <c r="K1593" s="9"/>
      <c r="L1593" s="9"/>
      <c r="M1593" s="9">
        <f t="shared" si="200"/>
        <v>18</v>
      </c>
      <c r="N1593" s="9">
        <f t="shared" si="201"/>
        <v>8</v>
      </c>
      <c r="O1593" s="9">
        <v>9</v>
      </c>
      <c r="P1593" s="9">
        <v>4</v>
      </c>
      <c r="Q1593" s="9" t="s">
        <v>12</v>
      </c>
      <c r="R1593" s="1">
        <v>0</v>
      </c>
      <c r="S1593" s="26"/>
    </row>
    <row r="1594" spans="1:19" ht="16.5" customHeight="1" x14ac:dyDescent="0.25">
      <c r="A1594" s="9"/>
      <c r="B1594" s="51" t="s">
        <v>74</v>
      </c>
      <c r="C1594" s="52"/>
      <c r="D1594" s="52"/>
      <c r="E1594" s="52"/>
      <c r="F1594" s="52"/>
      <c r="G1594" s="53"/>
      <c r="H1594" s="20"/>
      <c r="I1594" s="9">
        <v>2</v>
      </c>
      <c r="J1594" s="9"/>
      <c r="K1594" s="9"/>
      <c r="L1594" s="9"/>
      <c r="M1594" s="9">
        <f t="shared" si="200"/>
        <v>13.6</v>
      </c>
      <c r="N1594" s="9">
        <f t="shared" si="201"/>
        <v>5</v>
      </c>
      <c r="O1594" s="9">
        <v>6.8</v>
      </c>
      <c r="P1594" s="9">
        <v>2.5</v>
      </c>
      <c r="Q1594" s="9" t="s">
        <v>5</v>
      </c>
      <c r="R1594" s="1">
        <v>0</v>
      </c>
      <c r="S1594" s="26"/>
    </row>
    <row r="1595" spans="1:19" ht="16.5" customHeight="1" x14ac:dyDescent="0.25">
      <c r="A1595" s="9"/>
      <c r="B1595" s="51" t="s">
        <v>75</v>
      </c>
      <c r="C1595" s="52"/>
      <c r="D1595" s="52"/>
      <c r="E1595" s="52"/>
      <c r="F1595" s="52"/>
      <c r="G1595" s="53"/>
      <c r="H1595" s="20"/>
      <c r="I1595" s="9">
        <v>1</v>
      </c>
      <c r="J1595" s="9"/>
      <c r="K1595" s="9"/>
      <c r="L1595" s="9"/>
      <c r="M1595" s="9">
        <f t="shared" si="200"/>
        <v>7.6</v>
      </c>
      <c r="N1595" s="9">
        <f t="shared" si="201"/>
        <v>3</v>
      </c>
      <c r="O1595" s="9">
        <v>7.6</v>
      </c>
      <c r="P1595" s="9">
        <v>3</v>
      </c>
      <c r="Q1595" s="9" t="s">
        <v>6</v>
      </c>
      <c r="R1595" s="1">
        <v>0</v>
      </c>
      <c r="S1595" s="26"/>
    </row>
    <row r="1596" spans="1:19" ht="16.5" customHeight="1" x14ac:dyDescent="0.25">
      <c r="A1596" s="9"/>
      <c r="B1596" s="51" t="s">
        <v>76</v>
      </c>
      <c r="C1596" s="52"/>
      <c r="D1596" s="52"/>
      <c r="E1596" s="52"/>
      <c r="F1596" s="52"/>
      <c r="G1596" s="53"/>
      <c r="H1596" s="20"/>
      <c r="I1596" s="9">
        <v>4</v>
      </c>
      <c r="J1596" s="9"/>
      <c r="K1596" s="9"/>
      <c r="L1596" s="9"/>
      <c r="M1596" s="9">
        <f t="shared" si="200"/>
        <v>31.6</v>
      </c>
      <c r="N1596" s="9">
        <f t="shared" si="201"/>
        <v>12</v>
      </c>
      <c r="O1596" s="9">
        <v>7.9</v>
      </c>
      <c r="P1596" s="9">
        <v>3</v>
      </c>
      <c r="Q1596" s="9" t="s">
        <v>6</v>
      </c>
      <c r="R1596" s="1">
        <v>0</v>
      </c>
      <c r="S1596" s="26"/>
    </row>
    <row r="1597" spans="1:19" ht="16.5" customHeight="1" x14ac:dyDescent="0.25">
      <c r="A1597" s="9"/>
      <c r="B1597" s="51" t="s">
        <v>77</v>
      </c>
      <c r="C1597" s="52"/>
      <c r="D1597" s="52"/>
      <c r="E1597" s="52"/>
      <c r="F1597" s="52"/>
      <c r="G1597" s="53"/>
      <c r="H1597" s="20"/>
      <c r="I1597" s="9">
        <v>1</v>
      </c>
      <c r="J1597" s="9"/>
      <c r="K1597" s="9"/>
      <c r="L1597" s="9"/>
      <c r="M1597" s="9">
        <f t="shared" si="200"/>
        <v>7.2</v>
      </c>
      <c r="N1597" s="9">
        <f t="shared" si="201"/>
        <v>3</v>
      </c>
      <c r="O1597" s="9">
        <v>7.2</v>
      </c>
      <c r="P1597" s="9">
        <v>3</v>
      </c>
      <c r="Q1597" s="9" t="s">
        <v>6</v>
      </c>
      <c r="R1597" s="1">
        <v>0</v>
      </c>
      <c r="S1597" s="26"/>
    </row>
    <row r="1598" spans="1:19" ht="16.5" customHeight="1" x14ac:dyDescent="0.25">
      <c r="A1598" s="9"/>
      <c r="B1598" s="51" t="s">
        <v>78</v>
      </c>
      <c r="C1598" s="52"/>
      <c r="D1598" s="52"/>
      <c r="E1598" s="52"/>
      <c r="F1598" s="52"/>
      <c r="G1598" s="53"/>
      <c r="H1598" s="20"/>
      <c r="I1598" s="9">
        <v>3</v>
      </c>
      <c r="J1598" s="9"/>
      <c r="K1598" s="9"/>
      <c r="L1598" s="9"/>
      <c r="M1598" s="9">
        <f t="shared" si="200"/>
        <v>20.100000000000001</v>
      </c>
      <c r="N1598" s="9">
        <f t="shared" si="201"/>
        <v>7.5</v>
      </c>
      <c r="O1598" s="9">
        <v>6.7</v>
      </c>
      <c r="P1598" s="9">
        <v>2.5</v>
      </c>
      <c r="Q1598" s="9" t="s">
        <v>5</v>
      </c>
      <c r="R1598" s="1">
        <v>0</v>
      </c>
      <c r="S1598" s="26"/>
    </row>
    <row r="1599" spans="1:19" ht="16.5" hidden="1" customHeight="1" x14ac:dyDescent="0.25">
      <c r="A1599" s="21"/>
      <c r="H1599" s="21"/>
      <c r="I1599" s="21"/>
      <c r="J1599" s="21"/>
      <c r="K1599" s="21"/>
      <c r="L1599" s="21"/>
      <c r="M1599" s="9">
        <f t="shared" si="200"/>
        <v>0</v>
      </c>
      <c r="N1599" s="9">
        <f t="shared" si="201"/>
        <v>0</v>
      </c>
      <c r="O1599" s="21"/>
      <c r="P1599" s="21"/>
      <c r="Q1599" s="21"/>
      <c r="S1599" s="25"/>
    </row>
    <row r="1600" spans="1:19" ht="16.5" customHeight="1" x14ac:dyDescent="0.25">
      <c r="A1600" s="9"/>
      <c r="B1600" s="39" t="s">
        <v>42</v>
      </c>
      <c r="C1600" s="40"/>
      <c r="D1600" s="40"/>
      <c r="E1600" s="40"/>
      <c r="F1600" s="40"/>
      <c r="G1600" s="41"/>
      <c r="H1600" s="23"/>
      <c r="I1600" s="24">
        <f>SUM(I1591:I1599)</f>
        <v>21</v>
      </c>
      <c r="J1600" s="9"/>
      <c r="K1600" s="9"/>
      <c r="L1600" s="9"/>
      <c r="M1600" s="9">
        <f t="shared" si="200"/>
        <v>151.62</v>
      </c>
      <c r="N1600" s="9">
        <f t="shared" si="201"/>
        <v>58.59</v>
      </c>
      <c r="O1600" s="24">
        <f>ROUND(SUM(M1591:M1599)/I1600,2)</f>
        <v>7.22</v>
      </c>
      <c r="P1600" s="24">
        <f>ROUND(SUM(N1591:N1599)/I1600,2)</f>
        <v>2.79</v>
      </c>
      <c r="Q1600" s="9"/>
      <c r="S1600" s="25"/>
    </row>
    <row r="1601" spans="1:19" ht="20.25" customHeight="1" x14ac:dyDescent="0.25">
      <c r="A1601" s="27" t="s">
        <v>79</v>
      </c>
      <c r="B1601" s="28"/>
      <c r="C1601" s="28"/>
      <c r="D1601" s="28"/>
      <c r="E1601" s="28"/>
      <c r="F1601" s="28"/>
      <c r="G1601" s="28"/>
      <c r="H1601" s="28"/>
      <c r="I1601" s="28"/>
      <c r="J1601" s="28"/>
      <c r="K1601" s="28"/>
      <c r="L1601" s="28"/>
      <c r="M1601" s="28"/>
      <c r="N1601" s="28"/>
      <c r="O1601" s="28"/>
      <c r="P1601" s="28"/>
      <c r="Q1601" s="28"/>
      <c r="R1601" s="28"/>
      <c r="S1601" s="28"/>
    </row>
    <row r="1602" spans="1:19" ht="16.5" customHeight="1" x14ac:dyDescent="0.25">
      <c r="A1602" s="9"/>
      <c r="B1602" s="51" t="s">
        <v>80</v>
      </c>
      <c r="C1602" s="52"/>
      <c r="D1602" s="52"/>
      <c r="E1602" s="52"/>
      <c r="F1602" s="52"/>
      <c r="G1602" s="53"/>
      <c r="H1602" s="20"/>
      <c r="I1602" s="9">
        <v>3</v>
      </c>
      <c r="J1602" s="9"/>
      <c r="K1602" s="9"/>
      <c r="L1602" s="9"/>
      <c r="M1602" s="9">
        <f t="shared" ref="M1602:M1607" si="202">I1602*O1602</f>
        <v>19.799999999999997</v>
      </c>
      <c r="N1602" s="9">
        <f t="shared" ref="N1602:N1607" si="203">I1602*P1602</f>
        <v>7.5</v>
      </c>
      <c r="O1602" s="9">
        <v>6.6</v>
      </c>
      <c r="P1602" s="9">
        <v>2.5</v>
      </c>
      <c r="Q1602" s="9" t="s">
        <v>5</v>
      </c>
      <c r="R1602" s="1">
        <v>0</v>
      </c>
      <c r="S1602" s="26"/>
    </row>
    <row r="1603" spans="1:19" ht="16.5" customHeight="1" x14ac:dyDescent="0.25">
      <c r="A1603" s="9"/>
      <c r="B1603" s="51" t="s">
        <v>81</v>
      </c>
      <c r="C1603" s="52"/>
      <c r="D1603" s="52"/>
      <c r="E1603" s="52"/>
      <c r="F1603" s="52"/>
      <c r="G1603" s="53"/>
      <c r="H1603" s="20"/>
      <c r="I1603" s="9">
        <v>4</v>
      </c>
      <c r="J1603" s="9"/>
      <c r="K1603" s="9"/>
      <c r="L1603" s="9"/>
      <c r="M1603" s="9">
        <f t="shared" si="202"/>
        <v>34</v>
      </c>
      <c r="N1603" s="9">
        <f t="shared" si="203"/>
        <v>14.8</v>
      </c>
      <c r="O1603" s="9">
        <v>8.5</v>
      </c>
      <c r="P1603" s="9">
        <v>3.7</v>
      </c>
      <c r="Q1603" s="9" t="s">
        <v>10</v>
      </c>
      <c r="R1603" s="1">
        <v>0</v>
      </c>
      <c r="S1603" s="26"/>
    </row>
    <row r="1604" spans="1:19" ht="16.5" customHeight="1" x14ac:dyDescent="0.25">
      <c r="A1604" s="9"/>
      <c r="B1604" s="51" t="s">
        <v>82</v>
      </c>
      <c r="C1604" s="52"/>
      <c r="D1604" s="52"/>
      <c r="E1604" s="52"/>
      <c r="F1604" s="52"/>
      <c r="G1604" s="53"/>
      <c r="H1604" s="20"/>
      <c r="I1604" s="9">
        <v>3</v>
      </c>
      <c r="J1604" s="9"/>
      <c r="K1604" s="9"/>
      <c r="L1604" s="9"/>
      <c r="M1604" s="9">
        <f t="shared" si="202"/>
        <v>21.299999999999997</v>
      </c>
      <c r="N1604" s="9">
        <f t="shared" si="203"/>
        <v>9</v>
      </c>
      <c r="O1604" s="9">
        <v>7.1</v>
      </c>
      <c r="P1604" s="9">
        <v>3</v>
      </c>
      <c r="Q1604" s="9" t="s">
        <v>6</v>
      </c>
      <c r="R1604" s="1">
        <v>0</v>
      </c>
      <c r="S1604" s="26"/>
    </row>
    <row r="1605" spans="1:19" ht="16.5" customHeight="1" x14ac:dyDescent="0.25">
      <c r="A1605" s="9"/>
      <c r="B1605" s="51" t="s">
        <v>83</v>
      </c>
      <c r="C1605" s="52"/>
      <c r="D1605" s="52"/>
      <c r="E1605" s="52"/>
      <c r="F1605" s="52"/>
      <c r="G1605" s="53"/>
      <c r="H1605" s="20"/>
      <c r="I1605" s="9">
        <v>1</v>
      </c>
      <c r="J1605" s="9"/>
      <c r="K1605" s="9"/>
      <c r="L1605" s="9"/>
      <c r="M1605" s="9">
        <f t="shared" si="202"/>
        <v>8</v>
      </c>
      <c r="N1605" s="9">
        <f t="shared" si="203"/>
        <v>3.5</v>
      </c>
      <c r="O1605" s="9">
        <v>8</v>
      </c>
      <c r="P1605" s="9">
        <v>3.5</v>
      </c>
      <c r="Q1605" s="9" t="s">
        <v>9</v>
      </c>
      <c r="R1605" s="1">
        <v>0</v>
      </c>
      <c r="S1605" s="26"/>
    </row>
    <row r="1606" spans="1:19" ht="16.5" customHeight="1" x14ac:dyDescent="0.25">
      <c r="A1606" s="9"/>
      <c r="B1606" s="51" t="s">
        <v>84</v>
      </c>
      <c r="C1606" s="52"/>
      <c r="D1606" s="52"/>
      <c r="E1606" s="52"/>
      <c r="F1606" s="52"/>
      <c r="G1606" s="53"/>
      <c r="H1606" s="20"/>
      <c r="I1606" s="9">
        <v>2</v>
      </c>
      <c r="J1606" s="9"/>
      <c r="K1606" s="9"/>
      <c r="L1606" s="9"/>
      <c r="M1606" s="9">
        <f t="shared" si="202"/>
        <v>15.2</v>
      </c>
      <c r="N1606" s="9">
        <f t="shared" si="203"/>
        <v>6</v>
      </c>
      <c r="O1606" s="9">
        <v>7.6</v>
      </c>
      <c r="P1606" s="9">
        <v>3</v>
      </c>
      <c r="Q1606" s="9" t="s">
        <v>6</v>
      </c>
      <c r="R1606" s="1">
        <v>0</v>
      </c>
      <c r="S1606" s="26"/>
    </row>
    <row r="1607" spans="1:19" ht="16.5" customHeight="1" x14ac:dyDescent="0.25">
      <c r="A1607" s="9"/>
      <c r="B1607" s="51" t="s">
        <v>85</v>
      </c>
      <c r="C1607" s="52"/>
      <c r="D1607" s="52"/>
      <c r="E1607" s="52"/>
      <c r="F1607" s="52"/>
      <c r="G1607" s="53"/>
      <c r="H1607" s="20"/>
      <c r="I1607" s="9">
        <v>2</v>
      </c>
      <c r="J1607" s="9"/>
      <c r="K1607" s="9"/>
      <c r="L1607" s="9"/>
      <c r="M1607" s="9">
        <f t="shared" si="202"/>
        <v>15.8</v>
      </c>
      <c r="N1607" s="9">
        <f t="shared" si="203"/>
        <v>6</v>
      </c>
      <c r="O1607" s="9">
        <v>7.9</v>
      </c>
      <c r="P1607" s="9">
        <v>3</v>
      </c>
      <c r="Q1607" s="9" t="s">
        <v>6</v>
      </c>
      <c r="R1607" s="1">
        <v>0</v>
      </c>
      <c r="S1607" s="26"/>
    </row>
    <row r="1608" spans="1:19" ht="15" customHeight="1" x14ac:dyDescent="0.25">
      <c r="A1608" s="36" t="s">
        <v>0</v>
      </c>
      <c r="B1608" s="29" t="s">
        <v>1</v>
      </c>
      <c r="C1608" s="30"/>
      <c r="D1608" s="30"/>
      <c r="E1608" s="30"/>
      <c r="F1608" s="30"/>
      <c r="G1608" s="31"/>
      <c r="H1608" s="36" t="s">
        <v>32</v>
      </c>
      <c r="I1608" s="36" t="s">
        <v>39</v>
      </c>
      <c r="J1608" s="55" t="s">
        <v>2</v>
      </c>
      <c r="K1608" s="56"/>
      <c r="L1608" s="56"/>
      <c r="M1608" s="56"/>
      <c r="N1608" s="56"/>
      <c r="O1608" s="56"/>
      <c r="P1608" s="56"/>
      <c r="Q1608" s="57"/>
      <c r="S1608" s="36" t="s">
        <v>38</v>
      </c>
    </row>
    <row r="1609" spans="1:19" ht="24" customHeight="1" x14ac:dyDescent="0.25">
      <c r="A1609" s="37"/>
      <c r="B1609" s="32"/>
      <c r="C1609" s="33"/>
      <c r="D1609" s="33"/>
      <c r="E1609" s="33"/>
      <c r="F1609" s="33"/>
      <c r="G1609" s="34"/>
      <c r="H1609" s="37"/>
      <c r="I1609" s="37"/>
      <c r="J1609" s="7" t="s">
        <v>28</v>
      </c>
      <c r="K1609" s="7" t="s">
        <v>29</v>
      </c>
      <c r="L1609" s="7" t="s">
        <v>30</v>
      </c>
      <c r="M1609" s="7"/>
      <c r="N1609" s="7"/>
      <c r="O1609" s="6" t="s">
        <v>35</v>
      </c>
      <c r="P1609" s="6" t="s">
        <v>36</v>
      </c>
      <c r="Q1609" s="6" t="s">
        <v>37</v>
      </c>
      <c r="S1609" s="37"/>
    </row>
    <row r="1610" spans="1:19" ht="16.5" customHeight="1" x14ac:dyDescent="0.25">
      <c r="A1610" s="9"/>
      <c r="B1610" s="51" t="s">
        <v>86</v>
      </c>
      <c r="C1610" s="52"/>
      <c r="D1610" s="52"/>
      <c r="E1610" s="52"/>
      <c r="F1610" s="52"/>
      <c r="G1610" s="53"/>
      <c r="H1610" s="20"/>
      <c r="I1610" s="9">
        <v>2</v>
      </c>
      <c r="J1610" s="9"/>
      <c r="K1610" s="9"/>
      <c r="L1610" s="9"/>
      <c r="M1610" s="9">
        <f>I1610*O1610</f>
        <v>14.6</v>
      </c>
      <c r="N1610" s="9">
        <f>I1610*P1610</f>
        <v>6</v>
      </c>
      <c r="O1610" s="9">
        <v>7.3</v>
      </c>
      <c r="P1610" s="9">
        <v>3</v>
      </c>
      <c r="Q1610" s="9" t="s">
        <v>6</v>
      </c>
      <c r="R1610" s="1">
        <v>0</v>
      </c>
      <c r="S1610" s="26"/>
    </row>
    <row r="1611" spans="1:19" ht="16.5" customHeight="1" x14ac:dyDescent="0.25">
      <c r="A1611" s="9"/>
      <c r="B1611" s="51" t="s">
        <v>87</v>
      </c>
      <c r="C1611" s="52"/>
      <c r="D1611" s="52"/>
      <c r="E1611" s="52"/>
      <c r="F1611" s="52"/>
      <c r="G1611" s="53"/>
      <c r="H1611" s="20"/>
      <c r="I1611" s="9">
        <v>3</v>
      </c>
      <c r="J1611" s="9"/>
      <c r="K1611" s="9"/>
      <c r="L1611" s="9"/>
      <c r="M1611" s="9">
        <f>I1611*O1611</f>
        <v>24.299999999999997</v>
      </c>
      <c r="N1611" s="9">
        <f>I1611*P1611</f>
        <v>10.5</v>
      </c>
      <c r="O1611" s="9">
        <v>8.1</v>
      </c>
      <c r="P1611" s="9">
        <v>3.5</v>
      </c>
      <c r="Q1611" s="9" t="s">
        <v>9</v>
      </c>
      <c r="R1611" s="1">
        <v>0</v>
      </c>
      <c r="S1611" s="26"/>
    </row>
    <row r="1612" spans="1:19" ht="16.5" customHeight="1" x14ac:dyDescent="0.25">
      <c r="A1612" s="9"/>
      <c r="B1612" s="51" t="s">
        <v>88</v>
      </c>
      <c r="C1612" s="52"/>
      <c r="D1612" s="52"/>
      <c r="E1612" s="52"/>
      <c r="F1612" s="52"/>
      <c r="G1612" s="53"/>
      <c r="H1612" s="20"/>
      <c r="I1612" s="9">
        <v>3</v>
      </c>
      <c r="J1612" s="9"/>
      <c r="K1612" s="9"/>
      <c r="L1612" s="9"/>
      <c r="M1612" s="9">
        <f>I1612*O1612</f>
        <v>24</v>
      </c>
      <c r="N1612" s="9">
        <f>I1612*P1612</f>
        <v>10.5</v>
      </c>
      <c r="O1612" s="9">
        <v>8</v>
      </c>
      <c r="P1612" s="9">
        <v>3.5</v>
      </c>
      <c r="Q1612" s="9" t="s">
        <v>9</v>
      </c>
      <c r="R1612" s="1">
        <v>0</v>
      </c>
      <c r="S1612" s="26"/>
    </row>
    <row r="1613" spans="1:19" ht="16.5" hidden="1" customHeight="1" x14ac:dyDescent="0.25">
      <c r="A1613" s="21"/>
      <c r="H1613" s="21"/>
      <c r="I1613" s="21"/>
      <c r="J1613" s="21"/>
      <c r="K1613" s="21"/>
      <c r="L1613" s="21"/>
      <c r="M1613" s="9">
        <f>I1613*O1613</f>
        <v>0</v>
      </c>
      <c r="N1613" s="9">
        <f>I1613*P1613</f>
        <v>0</v>
      </c>
      <c r="O1613" s="21"/>
      <c r="P1613" s="21"/>
      <c r="Q1613" s="21"/>
      <c r="S1613" s="25"/>
    </row>
    <row r="1614" spans="1:19" ht="16.5" customHeight="1" x14ac:dyDescent="0.25">
      <c r="A1614" s="9"/>
      <c r="B1614" s="39" t="s">
        <v>42</v>
      </c>
      <c r="C1614" s="40"/>
      <c r="D1614" s="40"/>
      <c r="E1614" s="40"/>
      <c r="F1614" s="40"/>
      <c r="G1614" s="41"/>
      <c r="H1614" s="23"/>
      <c r="I1614" s="24">
        <f>SUM(I1602:I1613)</f>
        <v>23</v>
      </c>
      <c r="J1614" s="9"/>
      <c r="K1614" s="9"/>
      <c r="L1614" s="9"/>
      <c r="M1614" s="9">
        <f>I1614*O1614</f>
        <v>177.1</v>
      </c>
      <c r="N1614" s="9">
        <f>I1614*P1614</f>
        <v>73.83</v>
      </c>
      <c r="O1614" s="24">
        <f>ROUND(SUM(M1602:M1613)/I1614,2)</f>
        <v>7.7</v>
      </c>
      <c r="P1614" s="24">
        <f>ROUND(SUM(N1602:N1613)/I1614,2)</f>
        <v>3.21</v>
      </c>
      <c r="Q1614" s="9"/>
      <c r="S1614" s="25"/>
    </row>
    <row r="1615" spans="1:19" ht="20.25" customHeight="1" x14ac:dyDescent="0.25">
      <c r="A1615" s="27" t="s">
        <v>89</v>
      </c>
      <c r="B1615" s="28"/>
      <c r="C1615" s="28"/>
      <c r="D1615" s="28"/>
      <c r="E1615" s="28"/>
      <c r="F1615" s="28"/>
      <c r="G1615" s="28"/>
      <c r="H1615" s="28"/>
      <c r="I1615" s="28"/>
      <c r="J1615" s="28"/>
      <c r="K1615" s="28"/>
      <c r="L1615" s="28"/>
      <c r="M1615" s="28"/>
      <c r="N1615" s="28"/>
      <c r="O1615" s="28"/>
      <c r="P1615" s="28"/>
      <c r="Q1615" s="28"/>
      <c r="R1615" s="28"/>
      <c r="S1615" s="28"/>
    </row>
    <row r="1616" spans="1:19" ht="16.5" customHeight="1" x14ac:dyDescent="0.25">
      <c r="A1616" s="9"/>
      <c r="B1616" s="51" t="s">
        <v>90</v>
      </c>
      <c r="C1616" s="52"/>
      <c r="D1616" s="52"/>
      <c r="E1616" s="52"/>
      <c r="F1616" s="52"/>
      <c r="G1616" s="53"/>
      <c r="H1616" s="20"/>
      <c r="I1616" s="9">
        <v>1</v>
      </c>
      <c r="J1616" s="9"/>
      <c r="K1616" s="9"/>
      <c r="L1616" s="9"/>
      <c r="M1616" s="9">
        <f t="shared" ref="M1616:M1628" si="204">I1616*O1616</f>
        <v>7.7</v>
      </c>
      <c r="N1616" s="9">
        <f t="shared" ref="N1616:N1628" si="205">I1616*P1616</f>
        <v>3</v>
      </c>
      <c r="O1616" s="9">
        <v>7.7</v>
      </c>
      <c r="P1616" s="9">
        <v>3</v>
      </c>
      <c r="Q1616" s="9" t="s">
        <v>6</v>
      </c>
      <c r="R1616" s="1">
        <v>0</v>
      </c>
      <c r="S1616" s="26"/>
    </row>
    <row r="1617" spans="1:19" ht="16.5" customHeight="1" x14ac:dyDescent="0.25">
      <c r="A1617" s="9"/>
      <c r="B1617" s="51" t="s">
        <v>91</v>
      </c>
      <c r="C1617" s="52"/>
      <c r="D1617" s="52"/>
      <c r="E1617" s="52"/>
      <c r="F1617" s="52"/>
      <c r="G1617" s="53"/>
      <c r="H1617" s="20"/>
      <c r="I1617" s="9">
        <v>3</v>
      </c>
      <c r="J1617" s="9"/>
      <c r="K1617" s="9"/>
      <c r="L1617" s="9"/>
      <c r="M1617" s="9">
        <f t="shared" si="204"/>
        <v>21.9</v>
      </c>
      <c r="N1617" s="9">
        <f t="shared" si="205"/>
        <v>9</v>
      </c>
      <c r="O1617" s="9">
        <v>7.3</v>
      </c>
      <c r="P1617" s="9">
        <v>3</v>
      </c>
      <c r="Q1617" s="9" t="s">
        <v>6</v>
      </c>
      <c r="R1617" s="1">
        <v>0</v>
      </c>
      <c r="S1617" s="26"/>
    </row>
    <row r="1618" spans="1:19" ht="16.5" customHeight="1" x14ac:dyDescent="0.25">
      <c r="A1618" s="9"/>
      <c r="B1618" s="51" t="s">
        <v>92</v>
      </c>
      <c r="C1618" s="52"/>
      <c r="D1618" s="52"/>
      <c r="E1618" s="52"/>
      <c r="F1618" s="52"/>
      <c r="G1618" s="53"/>
      <c r="H1618" s="20"/>
      <c r="I1618" s="9">
        <v>1</v>
      </c>
      <c r="J1618" s="9"/>
      <c r="K1618" s="9"/>
      <c r="L1618" s="9"/>
      <c r="M1618" s="9">
        <f t="shared" si="204"/>
        <v>8.5</v>
      </c>
      <c r="N1618" s="9">
        <f t="shared" si="205"/>
        <v>3.7</v>
      </c>
      <c r="O1618" s="9">
        <v>8.5</v>
      </c>
      <c r="P1618" s="9">
        <v>3.7</v>
      </c>
      <c r="Q1618" s="9" t="s">
        <v>10</v>
      </c>
      <c r="R1618" s="1">
        <v>0</v>
      </c>
      <c r="S1618" s="26"/>
    </row>
    <row r="1619" spans="1:19" ht="16.5" customHeight="1" x14ac:dyDescent="0.25">
      <c r="A1619" s="9"/>
      <c r="B1619" s="51" t="s">
        <v>93</v>
      </c>
      <c r="C1619" s="52"/>
      <c r="D1619" s="52"/>
      <c r="E1619" s="52"/>
      <c r="F1619" s="52"/>
      <c r="G1619" s="53"/>
      <c r="H1619" s="20"/>
      <c r="I1619" s="9">
        <v>2</v>
      </c>
      <c r="J1619" s="9"/>
      <c r="K1619" s="9"/>
      <c r="L1619" s="9"/>
      <c r="M1619" s="9">
        <f t="shared" si="204"/>
        <v>12.6</v>
      </c>
      <c r="N1619" s="9">
        <f t="shared" si="205"/>
        <v>4</v>
      </c>
      <c r="O1619" s="9">
        <v>6.3</v>
      </c>
      <c r="P1619" s="9">
        <v>2</v>
      </c>
      <c r="Q1619" s="9" t="s">
        <v>3</v>
      </c>
      <c r="R1619" s="1">
        <v>0</v>
      </c>
      <c r="S1619" s="26"/>
    </row>
    <row r="1620" spans="1:19" ht="16.5" customHeight="1" x14ac:dyDescent="0.25">
      <c r="A1620" s="9"/>
      <c r="B1620" s="51" t="s">
        <v>98</v>
      </c>
      <c r="C1620" s="52"/>
      <c r="D1620" s="52"/>
      <c r="E1620" s="52"/>
      <c r="F1620" s="52"/>
      <c r="G1620" s="53"/>
      <c r="H1620" s="20"/>
      <c r="I1620" s="9">
        <v>4</v>
      </c>
      <c r="J1620" s="9"/>
      <c r="K1620" s="9"/>
      <c r="L1620" s="9"/>
      <c r="M1620" s="9">
        <f t="shared" si="204"/>
        <v>31.2</v>
      </c>
      <c r="N1620" s="9">
        <f t="shared" si="205"/>
        <v>12</v>
      </c>
      <c r="O1620" s="9">
        <v>7.8</v>
      </c>
      <c r="P1620" s="9">
        <v>3</v>
      </c>
      <c r="Q1620" s="9" t="s">
        <v>6</v>
      </c>
      <c r="R1620" s="1">
        <v>0</v>
      </c>
      <c r="S1620" s="26"/>
    </row>
    <row r="1621" spans="1:19" ht="16.5" customHeight="1" x14ac:dyDescent="0.25">
      <c r="A1621" s="9"/>
      <c r="B1621" s="51" t="s">
        <v>95</v>
      </c>
      <c r="C1621" s="52"/>
      <c r="D1621" s="52"/>
      <c r="E1621" s="52"/>
      <c r="F1621" s="52"/>
      <c r="G1621" s="53"/>
      <c r="H1621" s="20"/>
      <c r="I1621" s="9">
        <v>2</v>
      </c>
      <c r="J1621" s="9"/>
      <c r="K1621" s="9"/>
      <c r="L1621" s="9"/>
      <c r="M1621" s="9">
        <f t="shared" si="204"/>
        <v>14.4</v>
      </c>
      <c r="N1621" s="9">
        <f t="shared" si="205"/>
        <v>6</v>
      </c>
      <c r="O1621" s="9">
        <v>7.2</v>
      </c>
      <c r="P1621" s="9">
        <v>3</v>
      </c>
      <c r="Q1621" s="9" t="s">
        <v>6</v>
      </c>
      <c r="R1621" s="1">
        <v>0</v>
      </c>
      <c r="S1621" s="26"/>
    </row>
    <row r="1622" spans="1:19" ht="16.5" customHeight="1" x14ac:dyDescent="0.25">
      <c r="A1622" s="9"/>
      <c r="B1622" s="51" t="s">
        <v>100</v>
      </c>
      <c r="C1622" s="52"/>
      <c r="D1622" s="52"/>
      <c r="E1622" s="52"/>
      <c r="F1622" s="52"/>
      <c r="G1622" s="53"/>
      <c r="H1622" s="20"/>
      <c r="I1622" s="9">
        <v>2</v>
      </c>
      <c r="J1622" s="9"/>
      <c r="K1622" s="9"/>
      <c r="L1622" s="9"/>
      <c r="M1622" s="9">
        <f t="shared" si="204"/>
        <v>15.4</v>
      </c>
      <c r="N1622" s="9">
        <f t="shared" si="205"/>
        <v>6</v>
      </c>
      <c r="O1622" s="9">
        <v>7.7</v>
      </c>
      <c r="P1622" s="9">
        <v>3</v>
      </c>
      <c r="Q1622" s="9" t="s">
        <v>6</v>
      </c>
      <c r="R1622" s="1">
        <v>0</v>
      </c>
      <c r="S1622" s="26"/>
    </row>
    <row r="1623" spans="1:19" ht="16.5" customHeight="1" x14ac:dyDescent="0.25">
      <c r="A1623" s="9"/>
      <c r="B1623" s="51" t="s">
        <v>97</v>
      </c>
      <c r="C1623" s="52"/>
      <c r="D1623" s="52"/>
      <c r="E1623" s="52"/>
      <c r="F1623" s="52"/>
      <c r="G1623" s="53"/>
      <c r="H1623" s="20"/>
      <c r="I1623" s="9">
        <v>3</v>
      </c>
      <c r="J1623" s="9"/>
      <c r="K1623" s="9"/>
      <c r="L1623" s="9"/>
      <c r="M1623" s="9">
        <f t="shared" si="204"/>
        <v>26.700000000000003</v>
      </c>
      <c r="N1623" s="9">
        <f t="shared" si="205"/>
        <v>11.100000000000001</v>
      </c>
      <c r="O1623" s="9">
        <v>8.9</v>
      </c>
      <c r="P1623" s="9">
        <v>3.7</v>
      </c>
      <c r="Q1623" s="9" t="s">
        <v>10</v>
      </c>
      <c r="R1623" s="1">
        <v>0</v>
      </c>
      <c r="S1623" s="26"/>
    </row>
    <row r="1624" spans="1:19" ht="16.5" customHeight="1" x14ac:dyDescent="0.25">
      <c r="A1624" s="9"/>
      <c r="B1624" s="51" t="s">
        <v>94</v>
      </c>
      <c r="C1624" s="52"/>
      <c r="D1624" s="52"/>
      <c r="E1624" s="52"/>
      <c r="F1624" s="52"/>
      <c r="G1624" s="53"/>
      <c r="H1624" s="20"/>
      <c r="I1624" s="9">
        <v>1</v>
      </c>
      <c r="J1624" s="9"/>
      <c r="K1624" s="9"/>
      <c r="L1624" s="9"/>
      <c r="M1624" s="9">
        <f t="shared" si="204"/>
        <v>7.6</v>
      </c>
      <c r="N1624" s="9">
        <f t="shared" si="205"/>
        <v>3</v>
      </c>
      <c r="O1624" s="9">
        <v>7.6</v>
      </c>
      <c r="P1624" s="9">
        <v>3</v>
      </c>
      <c r="Q1624" s="9" t="s">
        <v>6</v>
      </c>
      <c r="R1624" s="1">
        <v>0</v>
      </c>
      <c r="S1624" s="26"/>
    </row>
    <row r="1625" spans="1:19" ht="16.5" customHeight="1" x14ac:dyDescent="0.25">
      <c r="A1625" s="9"/>
      <c r="B1625" s="51" t="s">
        <v>99</v>
      </c>
      <c r="C1625" s="52"/>
      <c r="D1625" s="52"/>
      <c r="E1625" s="52"/>
      <c r="F1625" s="52"/>
      <c r="G1625" s="53"/>
      <c r="H1625" s="20"/>
      <c r="I1625" s="9">
        <v>1</v>
      </c>
      <c r="J1625" s="9"/>
      <c r="K1625" s="9"/>
      <c r="L1625" s="9"/>
      <c r="M1625" s="9">
        <f t="shared" si="204"/>
        <v>8.9</v>
      </c>
      <c r="N1625" s="9">
        <f t="shared" si="205"/>
        <v>3.7</v>
      </c>
      <c r="O1625" s="9">
        <v>8.9</v>
      </c>
      <c r="P1625" s="9">
        <v>3.7</v>
      </c>
      <c r="Q1625" s="9" t="s">
        <v>10</v>
      </c>
      <c r="R1625" s="1">
        <v>0</v>
      </c>
      <c r="S1625" s="26"/>
    </row>
    <row r="1626" spans="1:19" ht="16.5" customHeight="1" x14ac:dyDescent="0.25">
      <c r="A1626" s="9"/>
      <c r="B1626" s="51" t="s">
        <v>96</v>
      </c>
      <c r="C1626" s="52"/>
      <c r="D1626" s="52"/>
      <c r="E1626" s="52"/>
      <c r="F1626" s="52"/>
      <c r="G1626" s="53"/>
      <c r="H1626" s="20"/>
      <c r="I1626" s="9">
        <v>2</v>
      </c>
      <c r="J1626" s="9"/>
      <c r="K1626" s="9"/>
      <c r="L1626" s="9"/>
      <c r="M1626" s="9">
        <f t="shared" si="204"/>
        <v>14.8</v>
      </c>
      <c r="N1626" s="9">
        <f t="shared" si="205"/>
        <v>6</v>
      </c>
      <c r="O1626" s="9">
        <v>7.4</v>
      </c>
      <c r="P1626" s="9">
        <v>3</v>
      </c>
      <c r="Q1626" s="9" t="s">
        <v>6</v>
      </c>
      <c r="R1626" s="1">
        <v>0</v>
      </c>
      <c r="S1626" s="26"/>
    </row>
    <row r="1627" spans="1:19" ht="16.5" hidden="1" customHeight="1" x14ac:dyDescent="0.25">
      <c r="A1627" s="21"/>
      <c r="H1627" s="21"/>
      <c r="I1627" s="21"/>
      <c r="J1627" s="21"/>
      <c r="K1627" s="21"/>
      <c r="L1627" s="21"/>
      <c r="M1627" s="9">
        <f t="shared" si="204"/>
        <v>0</v>
      </c>
      <c r="N1627" s="9">
        <f t="shared" si="205"/>
        <v>0</v>
      </c>
      <c r="O1627" s="21"/>
      <c r="P1627" s="21"/>
      <c r="Q1627" s="21"/>
      <c r="S1627" s="25"/>
    </row>
    <row r="1628" spans="1:19" ht="16.5" customHeight="1" x14ac:dyDescent="0.25">
      <c r="A1628" s="9"/>
      <c r="B1628" s="39" t="s">
        <v>42</v>
      </c>
      <c r="C1628" s="40"/>
      <c r="D1628" s="40"/>
      <c r="E1628" s="40"/>
      <c r="F1628" s="40"/>
      <c r="G1628" s="41"/>
      <c r="H1628" s="23"/>
      <c r="I1628" s="24">
        <f>SUM(I1616:I1627)</f>
        <v>22</v>
      </c>
      <c r="J1628" s="9"/>
      <c r="K1628" s="9"/>
      <c r="L1628" s="9"/>
      <c r="M1628" s="9">
        <f t="shared" si="204"/>
        <v>169.62</v>
      </c>
      <c r="N1628" s="9">
        <f t="shared" si="205"/>
        <v>67.539999999999992</v>
      </c>
      <c r="O1628" s="24">
        <f>ROUND(SUM(M1616:M1627)/I1628,2)</f>
        <v>7.71</v>
      </c>
      <c r="P1628" s="24">
        <f>ROUND(SUM(N1616:N1627)/I1628,2)</f>
        <v>3.07</v>
      </c>
      <c r="Q1628" s="9"/>
      <c r="S1628" s="25"/>
    </row>
    <row r="1629" spans="1:19" ht="20.25" customHeight="1" x14ac:dyDescent="0.25">
      <c r="A1629" s="27" t="s">
        <v>101</v>
      </c>
      <c r="B1629" s="28"/>
      <c r="C1629" s="28"/>
      <c r="D1629" s="28"/>
      <c r="E1629" s="28"/>
      <c r="F1629" s="28"/>
      <c r="G1629" s="28"/>
      <c r="H1629" s="28"/>
      <c r="I1629" s="28"/>
      <c r="J1629" s="28"/>
      <c r="K1629" s="28"/>
      <c r="L1629" s="28"/>
      <c r="M1629" s="28"/>
      <c r="N1629" s="28"/>
      <c r="O1629" s="28"/>
      <c r="P1629" s="28"/>
      <c r="Q1629" s="28"/>
      <c r="R1629" s="28"/>
      <c r="S1629" s="28"/>
    </row>
    <row r="1630" spans="1:19" ht="16.5" customHeight="1" x14ac:dyDescent="0.25">
      <c r="A1630" s="9"/>
      <c r="B1630" s="51" t="s">
        <v>102</v>
      </c>
      <c r="C1630" s="52"/>
      <c r="D1630" s="52"/>
      <c r="E1630" s="52"/>
      <c r="F1630" s="52"/>
      <c r="G1630" s="53"/>
      <c r="H1630" s="20"/>
      <c r="I1630" s="9">
        <v>1</v>
      </c>
      <c r="J1630" s="9"/>
      <c r="K1630" s="9"/>
      <c r="L1630" s="9"/>
      <c r="M1630" s="9">
        <f t="shared" ref="M1630:M1642" si="206">I1630*O1630</f>
        <v>7.7</v>
      </c>
      <c r="N1630" s="9">
        <f t="shared" ref="N1630:N1642" si="207">I1630*P1630</f>
        <v>3</v>
      </c>
      <c r="O1630" s="9">
        <v>7.7</v>
      </c>
      <c r="P1630" s="9">
        <v>3</v>
      </c>
      <c r="Q1630" s="9" t="s">
        <v>6</v>
      </c>
      <c r="R1630" s="1">
        <v>0</v>
      </c>
      <c r="S1630" s="26"/>
    </row>
    <row r="1631" spans="1:19" ht="16.5" customHeight="1" x14ac:dyDescent="0.25">
      <c r="A1631" s="9"/>
      <c r="B1631" s="51" t="s">
        <v>113</v>
      </c>
      <c r="C1631" s="52"/>
      <c r="D1631" s="52"/>
      <c r="E1631" s="52"/>
      <c r="F1631" s="52"/>
      <c r="G1631" s="53"/>
      <c r="H1631" s="20"/>
      <c r="I1631" s="9">
        <v>1</v>
      </c>
      <c r="J1631" s="9"/>
      <c r="K1631" s="9"/>
      <c r="L1631" s="9"/>
      <c r="M1631" s="9">
        <f t="shared" si="206"/>
        <v>7.3</v>
      </c>
      <c r="N1631" s="9">
        <f t="shared" si="207"/>
        <v>3</v>
      </c>
      <c r="O1631" s="9">
        <v>7.3</v>
      </c>
      <c r="P1631" s="9">
        <v>3</v>
      </c>
      <c r="Q1631" s="9" t="s">
        <v>6</v>
      </c>
      <c r="R1631" s="1">
        <v>0</v>
      </c>
      <c r="S1631" s="26"/>
    </row>
    <row r="1632" spans="1:19" ht="16.5" customHeight="1" x14ac:dyDescent="0.25">
      <c r="A1632" s="9"/>
      <c r="B1632" s="51" t="s">
        <v>104</v>
      </c>
      <c r="C1632" s="52"/>
      <c r="D1632" s="52"/>
      <c r="E1632" s="52"/>
      <c r="F1632" s="52"/>
      <c r="G1632" s="53"/>
      <c r="H1632" s="20"/>
      <c r="I1632" s="9">
        <v>4</v>
      </c>
      <c r="J1632" s="9"/>
      <c r="K1632" s="9"/>
      <c r="L1632" s="9"/>
      <c r="M1632" s="9">
        <f t="shared" si="206"/>
        <v>30.4</v>
      </c>
      <c r="N1632" s="9">
        <f t="shared" si="207"/>
        <v>12</v>
      </c>
      <c r="O1632" s="9">
        <v>7.6</v>
      </c>
      <c r="P1632" s="9">
        <v>3</v>
      </c>
      <c r="Q1632" s="9" t="s">
        <v>6</v>
      </c>
      <c r="R1632" s="1">
        <v>0</v>
      </c>
      <c r="S1632" s="26"/>
    </row>
    <row r="1633" spans="1:19" ht="16.5" customHeight="1" x14ac:dyDescent="0.25">
      <c r="A1633" s="9"/>
      <c r="B1633" s="51" t="s">
        <v>112</v>
      </c>
      <c r="C1633" s="52"/>
      <c r="D1633" s="52"/>
      <c r="E1633" s="52"/>
      <c r="F1633" s="52"/>
      <c r="G1633" s="53"/>
      <c r="H1633" s="20"/>
      <c r="I1633" s="9">
        <v>2</v>
      </c>
      <c r="J1633" s="9"/>
      <c r="K1633" s="9"/>
      <c r="L1633" s="9"/>
      <c r="M1633" s="9">
        <f t="shared" si="206"/>
        <v>14.8</v>
      </c>
      <c r="N1633" s="9">
        <f t="shared" si="207"/>
        <v>6</v>
      </c>
      <c r="O1633" s="9">
        <v>7.4</v>
      </c>
      <c r="P1633" s="9">
        <v>3</v>
      </c>
      <c r="Q1633" s="9" t="s">
        <v>6</v>
      </c>
      <c r="R1633" s="1">
        <v>0</v>
      </c>
      <c r="S1633" s="26"/>
    </row>
    <row r="1634" spans="1:19" ht="16.5" customHeight="1" x14ac:dyDescent="0.25">
      <c r="A1634" s="9"/>
      <c r="B1634" s="51" t="s">
        <v>106</v>
      </c>
      <c r="C1634" s="52"/>
      <c r="D1634" s="52"/>
      <c r="E1634" s="52"/>
      <c r="F1634" s="52"/>
      <c r="G1634" s="53"/>
      <c r="H1634" s="20"/>
      <c r="I1634" s="9">
        <v>2</v>
      </c>
      <c r="J1634" s="9"/>
      <c r="K1634" s="9"/>
      <c r="L1634" s="9"/>
      <c r="M1634" s="9">
        <f t="shared" si="206"/>
        <v>14.8</v>
      </c>
      <c r="N1634" s="9">
        <f t="shared" si="207"/>
        <v>6</v>
      </c>
      <c r="O1634" s="9">
        <v>7.4</v>
      </c>
      <c r="P1634" s="9">
        <v>3</v>
      </c>
      <c r="Q1634" s="9" t="s">
        <v>6</v>
      </c>
      <c r="R1634" s="1">
        <v>0</v>
      </c>
      <c r="S1634" s="26"/>
    </row>
    <row r="1635" spans="1:19" ht="16.5" customHeight="1" x14ac:dyDescent="0.25">
      <c r="A1635" s="9"/>
      <c r="B1635" s="51" t="s">
        <v>107</v>
      </c>
      <c r="C1635" s="52"/>
      <c r="D1635" s="52"/>
      <c r="E1635" s="52"/>
      <c r="F1635" s="52"/>
      <c r="G1635" s="53"/>
      <c r="H1635" s="20"/>
      <c r="I1635" s="9">
        <v>2</v>
      </c>
      <c r="J1635" s="9"/>
      <c r="K1635" s="9"/>
      <c r="L1635" s="9"/>
      <c r="M1635" s="9">
        <f t="shared" si="206"/>
        <v>14.4</v>
      </c>
      <c r="N1635" s="9">
        <f t="shared" si="207"/>
        <v>6</v>
      </c>
      <c r="O1635" s="9">
        <v>7.2</v>
      </c>
      <c r="P1635" s="9">
        <v>3</v>
      </c>
      <c r="Q1635" s="9" t="s">
        <v>6</v>
      </c>
      <c r="R1635" s="1">
        <v>0</v>
      </c>
      <c r="S1635" s="26"/>
    </row>
    <row r="1636" spans="1:19" ht="16.5" customHeight="1" x14ac:dyDescent="0.25">
      <c r="A1636" s="9"/>
      <c r="B1636" s="51" t="s">
        <v>110</v>
      </c>
      <c r="C1636" s="52"/>
      <c r="D1636" s="52"/>
      <c r="E1636" s="52"/>
      <c r="F1636" s="52"/>
      <c r="G1636" s="53"/>
      <c r="H1636" s="20"/>
      <c r="I1636" s="9">
        <v>2</v>
      </c>
      <c r="J1636" s="9"/>
      <c r="K1636" s="9"/>
      <c r="L1636" s="9"/>
      <c r="M1636" s="9">
        <f t="shared" si="206"/>
        <v>16.8</v>
      </c>
      <c r="N1636" s="9">
        <f t="shared" si="207"/>
        <v>7</v>
      </c>
      <c r="O1636" s="9">
        <v>8.4</v>
      </c>
      <c r="P1636" s="9">
        <v>3.5</v>
      </c>
      <c r="Q1636" s="9" t="s">
        <v>9</v>
      </c>
      <c r="R1636" s="1">
        <v>0</v>
      </c>
      <c r="S1636" s="26"/>
    </row>
    <row r="1637" spans="1:19" ht="16.5" customHeight="1" x14ac:dyDescent="0.25">
      <c r="A1637" s="9"/>
      <c r="B1637" s="51" t="s">
        <v>109</v>
      </c>
      <c r="C1637" s="52"/>
      <c r="D1637" s="52"/>
      <c r="E1637" s="52"/>
      <c r="F1637" s="52"/>
      <c r="G1637" s="53"/>
      <c r="H1637" s="20"/>
      <c r="I1637" s="9">
        <v>2</v>
      </c>
      <c r="J1637" s="9"/>
      <c r="K1637" s="9"/>
      <c r="L1637" s="9"/>
      <c r="M1637" s="9">
        <f t="shared" si="206"/>
        <v>16.8</v>
      </c>
      <c r="N1637" s="9">
        <f t="shared" si="207"/>
        <v>7</v>
      </c>
      <c r="O1637" s="9">
        <v>8.4</v>
      </c>
      <c r="P1637" s="9">
        <v>3.5</v>
      </c>
      <c r="Q1637" s="9" t="s">
        <v>9</v>
      </c>
      <c r="R1637" s="1">
        <v>0</v>
      </c>
      <c r="S1637" s="26"/>
    </row>
    <row r="1638" spans="1:19" ht="16.5" customHeight="1" x14ac:dyDescent="0.25">
      <c r="A1638" s="9"/>
      <c r="B1638" s="51" t="s">
        <v>111</v>
      </c>
      <c r="C1638" s="52"/>
      <c r="D1638" s="52"/>
      <c r="E1638" s="52"/>
      <c r="F1638" s="52"/>
      <c r="G1638" s="53"/>
      <c r="H1638" s="20"/>
      <c r="I1638" s="9">
        <v>4</v>
      </c>
      <c r="J1638" s="9"/>
      <c r="K1638" s="9"/>
      <c r="L1638" s="9"/>
      <c r="M1638" s="9">
        <f t="shared" si="206"/>
        <v>35.6</v>
      </c>
      <c r="N1638" s="9">
        <f t="shared" si="207"/>
        <v>14.8</v>
      </c>
      <c r="O1638" s="9">
        <v>8.9</v>
      </c>
      <c r="P1638" s="9">
        <v>3.7</v>
      </c>
      <c r="Q1638" s="9" t="s">
        <v>10</v>
      </c>
      <c r="R1638" s="1">
        <v>0</v>
      </c>
      <c r="S1638" s="26"/>
    </row>
    <row r="1639" spans="1:19" ht="16.5" customHeight="1" x14ac:dyDescent="0.25">
      <c r="A1639" s="9"/>
      <c r="B1639" s="51" t="s">
        <v>105</v>
      </c>
      <c r="C1639" s="52"/>
      <c r="D1639" s="52"/>
      <c r="E1639" s="52"/>
      <c r="F1639" s="52"/>
      <c r="G1639" s="53"/>
      <c r="H1639" s="20"/>
      <c r="I1639" s="9">
        <v>3</v>
      </c>
      <c r="J1639" s="9"/>
      <c r="K1639" s="9"/>
      <c r="L1639" s="9"/>
      <c r="M1639" s="9">
        <f t="shared" si="206"/>
        <v>26.099999999999998</v>
      </c>
      <c r="N1639" s="9">
        <f t="shared" si="207"/>
        <v>11.100000000000001</v>
      </c>
      <c r="O1639" s="9">
        <v>8.6999999999999993</v>
      </c>
      <c r="P1639" s="9">
        <v>3.7</v>
      </c>
      <c r="Q1639" s="9" t="s">
        <v>10</v>
      </c>
      <c r="R1639" s="1">
        <v>0</v>
      </c>
      <c r="S1639" s="26"/>
    </row>
    <row r="1640" spans="1:19" ht="16.5" customHeight="1" x14ac:dyDescent="0.25">
      <c r="A1640" s="9"/>
      <c r="B1640" s="51" t="s">
        <v>103</v>
      </c>
      <c r="C1640" s="52"/>
      <c r="D1640" s="52"/>
      <c r="E1640" s="52"/>
      <c r="F1640" s="52"/>
      <c r="G1640" s="53"/>
      <c r="H1640" s="20"/>
      <c r="I1640" s="9">
        <v>2</v>
      </c>
      <c r="J1640" s="9"/>
      <c r="K1640" s="9"/>
      <c r="L1640" s="9"/>
      <c r="M1640" s="9">
        <f t="shared" si="206"/>
        <v>15.8</v>
      </c>
      <c r="N1640" s="9">
        <f t="shared" si="207"/>
        <v>6</v>
      </c>
      <c r="O1640" s="9">
        <v>7.9</v>
      </c>
      <c r="P1640" s="9">
        <v>3</v>
      </c>
      <c r="Q1640" s="9" t="s">
        <v>6</v>
      </c>
      <c r="R1640" s="1">
        <v>0</v>
      </c>
      <c r="S1640" s="26"/>
    </row>
    <row r="1641" spans="1:19" ht="16.5" hidden="1" customHeight="1" x14ac:dyDescent="0.25">
      <c r="A1641" s="21"/>
      <c r="H1641" s="21"/>
      <c r="I1641" s="21"/>
      <c r="J1641" s="21"/>
      <c r="K1641" s="21"/>
      <c r="L1641" s="21"/>
      <c r="M1641" s="9">
        <f t="shared" si="206"/>
        <v>0</v>
      </c>
      <c r="N1641" s="9">
        <f t="shared" si="207"/>
        <v>0</v>
      </c>
      <c r="O1641" s="21"/>
      <c r="P1641" s="21"/>
      <c r="Q1641" s="21"/>
      <c r="S1641" s="25"/>
    </row>
    <row r="1642" spans="1:19" ht="16.5" customHeight="1" x14ac:dyDescent="0.25">
      <c r="A1642" s="9"/>
      <c r="B1642" s="39" t="s">
        <v>42</v>
      </c>
      <c r="C1642" s="40"/>
      <c r="D1642" s="40"/>
      <c r="E1642" s="40"/>
      <c r="F1642" s="40"/>
      <c r="G1642" s="41"/>
      <c r="H1642" s="23"/>
      <c r="I1642" s="24">
        <f>SUM(I1630:I1641)</f>
        <v>25</v>
      </c>
      <c r="J1642" s="9"/>
      <c r="K1642" s="9"/>
      <c r="L1642" s="9"/>
      <c r="M1642" s="9">
        <f t="shared" si="206"/>
        <v>200.5</v>
      </c>
      <c r="N1642" s="9">
        <f t="shared" si="207"/>
        <v>82</v>
      </c>
      <c r="O1642" s="24">
        <f>ROUND(SUM(M1630:M1641)/I1642,2)</f>
        <v>8.02</v>
      </c>
      <c r="P1642" s="24">
        <f>ROUND(SUM(N1630:N1641)/I1642,2)</f>
        <v>3.28</v>
      </c>
      <c r="Q1642" s="9"/>
      <c r="S1642" s="25"/>
    </row>
    <row r="1643" spans="1:19" ht="20.25" customHeight="1" x14ac:dyDescent="0.25">
      <c r="A1643" s="27" t="s">
        <v>114</v>
      </c>
      <c r="B1643" s="28"/>
      <c r="C1643" s="28"/>
      <c r="D1643" s="28"/>
      <c r="E1643" s="28"/>
      <c r="F1643" s="28"/>
      <c r="G1643" s="28"/>
      <c r="H1643" s="28"/>
      <c r="I1643" s="28"/>
      <c r="J1643" s="28"/>
      <c r="K1643" s="28"/>
      <c r="L1643" s="28"/>
      <c r="M1643" s="28"/>
      <c r="N1643" s="28"/>
      <c r="O1643" s="28"/>
      <c r="P1643" s="28"/>
      <c r="Q1643" s="28"/>
      <c r="R1643" s="28"/>
      <c r="S1643" s="28"/>
    </row>
    <row r="1644" spans="1:19" ht="16.5" customHeight="1" x14ac:dyDescent="0.25">
      <c r="A1644" s="9"/>
      <c r="B1644" s="51" t="s">
        <v>115</v>
      </c>
      <c r="C1644" s="52"/>
      <c r="D1644" s="52"/>
      <c r="E1644" s="52"/>
      <c r="F1644" s="52"/>
      <c r="G1644" s="53"/>
      <c r="H1644" s="20"/>
      <c r="I1644" s="9">
        <v>2</v>
      </c>
      <c r="J1644" s="9"/>
      <c r="K1644" s="9"/>
      <c r="L1644" s="9"/>
      <c r="M1644" s="9">
        <f t="shared" ref="M1644:M1655" si="208">I1644*O1644</f>
        <v>0</v>
      </c>
      <c r="N1644" s="9">
        <f t="shared" ref="N1644:N1655" si="209">I1644*P1644</f>
        <v>0</v>
      </c>
      <c r="O1644" s="9"/>
      <c r="P1644" s="9"/>
      <c r="Q1644" s="9"/>
      <c r="R1644" s="1">
        <v>0</v>
      </c>
      <c r="S1644" s="26"/>
    </row>
    <row r="1645" spans="1:19" ht="16.5" customHeight="1" x14ac:dyDescent="0.25">
      <c r="A1645" s="9"/>
      <c r="B1645" s="51" t="s">
        <v>122</v>
      </c>
      <c r="C1645" s="52"/>
      <c r="D1645" s="52"/>
      <c r="E1645" s="52"/>
      <c r="F1645" s="52"/>
      <c r="G1645" s="53"/>
      <c r="H1645" s="20"/>
      <c r="I1645" s="9">
        <v>2</v>
      </c>
      <c r="J1645" s="9"/>
      <c r="K1645" s="9"/>
      <c r="L1645" s="9"/>
      <c r="M1645" s="9">
        <f t="shared" si="208"/>
        <v>0</v>
      </c>
      <c r="N1645" s="9">
        <f t="shared" si="209"/>
        <v>0</v>
      </c>
      <c r="O1645" s="9"/>
      <c r="P1645" s="9"/>
      <c r="Q1645" s="9"/>
      <c r="R1645" s="1">
        <v>0</v>
      </c>
      <c r="S1645" s="26"/>
    </row>
    <row r="1646" spans="1:19" ht="16.5" customHeight="1" x14ac:dyDescent="0.25">
      <c r="A1646" s="9"/>
      <c r="B1646" s="51" t="s">
        <v>117</v>
      </c>
      <c r="C1646" s="52"/>
      <c r="D1646" s="52"/>
      <c r="E1646" s="52"/>
      <c r="F1646" s="52"/>
      <c r="G1646" s="53"/>
      <c r="H1646" s="20"/>
      <c r="I1646" s="9">
        <v>3</v>
      </c>
      <c r="J1646" s="9"/>
      <c r="K1646" s="9"/>
      <c r="L1646" s="9"/>
      <c r="M1646" s="9">
        <f t="shared" si="208"/>
        <v>0</v>
      </c>
      <c r="N1646" s="9">
        <f t="shared" si="209"/>
        <v>0</v>
      </c>
      <c r="O1646" s="9"/>
      <c r="P1646" s="9"/>
      <c r="Q1646" s="9"/>
      <c r="R1646" s="1">
        <v>0</v>
      </c>
      <c r="S1646" s="26"/>
    </row>
    <row r="1647" spans="1:19" ht="16.5" customHeight="1" x14ac:dyDescent="0.25">
      <c r="A1647" s="9"/>
      <c r="B1647" s="51" t="s">
        <v>123</v>
      </c>
      <c r="C1647" s="52"/>
      <c r="D1647" s="52"/>
      <c r="E1647" s="52"/>
      <c r="F1647" s="52"/>
      <c r="G1647" s="53"/>
      <c r="H1647" s="20"/>
      <c r="I1647" s="9">
        <v>2</v>
      </c>
      <c r="J1647" s="9"/>
      <c r="K1647" s="9"/>
      <c r="L1647" s="9"/>
      <c r="M1647" s="9">
        <f t="shared" si="208"/>
        <v>0</v>
      </c>
      <c r="N1647" s="9">
        <f t="shared" si="209"/>
        <v>0</v>
      </c>
      <c r="O1647" s="9"/>
      <c r="P1647" s="9"/>
      <c r="Q1647" s="9"/>
      <c r="R1647" s="1">
        <v>0</v>
      </c>
      <c r="S1647" s="26"/>
    </row>
    <row r="1648" spans="1:19" ht="16.5" customHeight="1" x14ac:dyDescent="0.25">
      <c r="A1648" s="9"/>
      <c r="B1648" s="51" t="s">
        <v>119</v>
      </c>
      <c r="C1648" s="52"/>
      <c r="D1648" s="52"/>
      <c r="E1648" s="52"/>
      <c r="F1648" s="52"/>
      <c r="G1648" s="53"/>
      <c r="H1648" s="20"/>
      <c r="I1648" s="9">
        <v>4</v>
      </c>
      <c r="J1648" s="9"/>
      <c r="K1648" s="9"/>
      <c r="L1648" s="9"/>
      <c r="M1648" s="9">
        <f t="shared" si="208"/>
        <v>0</v>
      </c>
      <c r="N1648" s="9">
        <f t="shared" si="209"/>
        <v>0</v>
      </c>
      <c r="O1648" s="9"/>
      <c r="P1648" s="9"/>
      <c r="Q1648" s="9"/>
      <c r="R1648" s="1">
        <v>0</v>
      </c>
      <c r="S1648" s="26"/>
    </row>
    <row r="1649" spans="1:19" ht="16.5" customHeight="1" x14ac:dyDescent="0.25">
      <c r="A1649" s="9"/>
      <c r="B1649" s="51" t="s">
        <v>120</v>
      </c>
      <c r="C1649" s="52"/>
      <c r="D1649" s="52"/>
      <c r="E1649" s="52"/>
      <c r="F1649" s="52"/>
      <c r="G1649" s="53"/>
      <c r="H1649" s="20"/>
      <c r="I1649" s="9">
        <v>3</v>
      </c>
      <c r="J1649" s="9"/>
      <c r="K1649" s="9"/>
      <c r="L1649" s="9"/>
      <c r="M1649" s="9">
        <f t="shared" si="208"/>
        <v>21.299999999999997</v>
      </c>
      <c r="N1649" s="9">
        <f t="shared" si="209"/>
        <v>9</v>
      </c>
      <c r="O1649" s="9">
        <v>7.1</v>
      </c>
      <c r="P1649" s="9">
        <v>3</v>
      </c>
      <c r="Q1649" s="9" t="s">
        <v>6</v>
      </c>
      <c r="R1649" s="1">
        <v>0</v>
      </c>
      <c r="S1649" s="26"/>
    </row>
    <row r="1650" spans="1:19" ht="16.5" customHeight="1" x14ac:dyDescent="0.25">
      <c r="A1650" s="9"/>
      <c r="B1650" s="51" t="s">
        <v>142</v>
      </c>
      <c r="C1650" s="52"/>
      <c r="D1650" s="52"/>
      <c r="E1650" s="52"/>
      <c r="F1650" s="52"/>
      <c r="G1650" s="53"/>
      <c r="H1650" s="20"/>
      <c r="I1650" s="9">
        <v>3</v>
      </c>
      <c r="J1650" s="9"/>
      <c r="K1650" s="9"/>
      <c r="L1650" s="9"/>
      <c r="M1650" s="9">
        <f t="shared" si="208"/>
        <v>16.799999999999997</v>
      </c>
      <c r="N1650" s="9">
        <f t="shared" si="209"/>
        <v>6</v>
      </c>
      <c r="O1650" s="9">
        <v>5.6</v>
      </c>
      <c r="P1650" s="9">
        <v>2</v>
      </c>
      <c r="Q1650" s="9" t="s">
        <v>3</v>
      </c>
      <c r="R1650" s="1">
        <v>0</v>
      </c>
      <c r="S1650" s="26"/>
    </row>
    <row r="1651" spans="1:19" ht="16.5" customHeight="1" x14ac:dyDescent="0.25">
      <c r="A1651" s="9"/>
      <c r="B1651" s="51" t="s">
        <v>121</v>
      </c>
      <c r="C1651" s="52"/>
      <c r="D1651" s="52"/>
      <c r="E1651" s="52"/>
      <c r="F1651" s="52"/>
      <c r="G1651" s="53"/>
      <c r="H1651" s="20"/>
      <c r="I1651" s="9">
        <v>2</v>
      </c>
      <c r="J1651" s="9"/>
      <c r="K1651" s="9"/>
      <c r="L1651" s="9"/>
      <c r="M1651" s="9">
        <f t="shared" si="208"/>
        <v>17</v>
      </c>
      <c r="N1651" s="9">
        <f t="shared" si="209"/>
        <v>7.4</v>
      </c>
      <c r="O1651" s="9">
        <v>8.5</v>
      </c>
      <c r="P1651" s="9">
        <v>3.7</v>
      </c>
      <c r="Q1651" s="9" t="s">
        <v>10</v>
      </c>
      <c r="R1651" s="1">
        <v>0</v>
      </c>
      <c r="S1651" s="26"/>
    </row>
    <row r="1652" spans="1:19" ht="16.5" customHeight="1" x14ac:dyDescent="0.25">
      <c r="A1652" s="9"/>
      <c r="B1652" s="51" t="s">
        <v>116</v>
      </c>
      <c r="C1652" s="52"/>
      <c r="D1652" s="52"/>
      <c r="E1652" s="52"/>
      <c r="F1652" s="52"/>
      <c r="G1652" s="53"/>
      <c r="H1652" s="20"/>
      <c r="I1652" s="9">
        <v>3</v>
      </c>
      <c r="J1652" s="9"/>
      <c r="K1652" s="9"/>
      <c r="L1652" s="9"/>
      <c r="M1652" s="9">
        <f t="shared" si="208"/>
        <v>26.700000000000003</v>
      </c>
      <c r="N1652" s="9">
        <f t="shared" si="209"/>
        <v>11.100000000000001</v>
      </c>
      <c r="O1652" s="9">
        <v>8.9</v>
      </c>
      <c r="P1652" s="9">
        <v>3.7</v>
      </c>
      <c r="Q1652" s="9" t="s">
        <v>10</v>
      </c>
      <c r="R1652" s="1">
        <v>0</v>
      </c>
      <c r="S1652" s="26"/>
    </row>
    <row r="1653" spans="1:19" ht="16.5" customHeight="1" x14ac:dyDescent="0.25">
      <c r="A1653" s="9"/>
      <c r="B1653" s="51" t="s">
        <v>118</v>
      </c>
      <c r="C1653" s="52"/>
      <c r="D1653" s="52"/>
      <c r="E1653" s="52"/>
      <c r="F1653" s="52"/>
      <c r="G1653" s="53"/>
      <c r="H1653" s="20"/>
      <c r="I1653" s="9">
        <v>1</v>
      </c>
      <c r="J1653" s="9"/>
      <c r="K1653" s="9"/>
      <c r="L1653" s="9"/>
      <c r="M1653" s="9">
        <f t="shared" si="208"/>
        <v>6.8</v>
      </c>
      <c r="N1653" s="9">
        <f t="shared" si="209"/>
        <v>2.5</v>
      </c>
      <c r="O1653" s="9">
        <v>6.8</v>
      </c>
      <c r="P1653" s="9">
        <v>2.5</v>
      </c>
      <c r="Q1653" s="9" t="s">
        <v>5</v>
      </c>
      <c r="R1653" s="1">
        <v>0</v>
      </c>
      <c r="S1653" s="26"/>
    </row>
    <row r="1654" spans="1:19" ht="16.5" hidden="1" customHeight="1" x14ac:dyDescent="0.25">
      <c r="A1654" s="21"/>
      <c r="H1654" s="21"/>
      <c r="I1654" s="21"/>
      <c r="J1654" s="21"/>
      <c r="K1654" s="21"/>
      <c r="L1654" s="21"/>
      <c r="M1654" s="9">
        <f t="shared" si="208"/>
        <v>0</v>
      </c>
      <c r="N1654" s="9">
        <f t="shared" si="209"/>
        <v>0</v>
      </c>
      <c r="O1654" s="21"/>
      <c r="P1654" s="21"/>
      <c r="Q1654" s="21"/>
      <c r="S1654" s="25"/>
    </row>
    <row r="1655" spans="1:19" ht="16.5" customHeight="1" x14ac:dyDescent="0.25">
      <c r="A1655" s="9"/>
      <c r="B1655" s="39" t="s">
        <v>42</v>
      </c>
      <c r="C1655" s="40"/>
      <c r="D1655" s="40"/>
      <c r="E1655" s="40"/>
      <c r="F1655" s="40"/>
      <c r="G1655" s="41"/>
      <c r="H1655" s="23"/>
      <c r="I1655" s="24">
        <f>SUM(I1644:I1654)</f>
        <v>25</v>
      </c>
      <c r="J1655" s="9"/>
      <c r="K1655" s="9"/>
      <c r="L1655" s="9"/>
      <c r="M1655" s="9">
        <f t="shared" si="208"/>
        <v>88.5</v>
      </c>
      <c r="N1655" s="9">
        <f t="shared" si="209"/>
        <v>36</v>
      </c>
      <c r="O1655" s="24">
        <f>ROUND(SUM(M1644:M1654)/I1655,2)</f>
        <v>3.54</v>
      </c>
      <c r="P1655" s="24">
        <f>ROUND(SUM(N1644:N1654)/I1655,2)</f>
        <v>1.44</v>
      </c>
      <c r="Q1655" s="9"/>
      <c r="S1655" s="25"/>
    </row>
    <row r="1656" spans="1:19" ht="16.5" customHeight="1" x14ac:dyDescent="0.25">
      <c r="A1656" s="21"/>
      <c r="B1656" s="22"/>
      <c r="C1656" s="22"/>
      <c r="D1656" s="22"/>
      <c r="E1656" s="22"/>
      <c r="F1656" s="22"/>
      <c r="G1656" s="22"/>
      <c r="H1656" s="21"/>
      <c r="I1656" s="21"/>
      <c r="J1656" s="21"/>
      <c r="K1656" s="21"/>
      <c r="L1656" s="21"/>
      <c r="M1656" s="21"/>
      <c r="N1656" s="21"/>
      <c r="O1656" s="21"/>
      <c r="P1656" s="21"/>
      <c r="Q1656" s="21"/>
    </row>
    <row r="1658" spans="1:19" ht="18" x14ac:dyDescent="0.25">
      <c r="A1658" s="35" t="s">
        <v>202</v>
      </c>
      <c r="B1658" s="35"/>
      <c r="C1658" s="35"/>
      <c r="D1658" s="35"/>
      <c r="E1658" s="35"/>
      <c r="F1658" s="35"/>
      <c r="G1658" s="35"/>
      <c r="H1658" s="35"/>
      <c r="I1658" s="35"/>
      <c r="J1658" s="35"/>
      <c r="K1658" s="35"/>
      <c r="L1658" s="35"/>
      <c r="M1658" s="35"/>
      <c r="N1658" s="35"/>
      <c r="O1658" s="35"/>
      <c r="P1658" s="35"/>
      <c r="Q1658" s="35"/>
      <c r="R1658" s="35"/>
      <c r="S1658" s="35"/>
    </row>
    <row r="1659" spans="1:19" ht="18" x14ac:dyDescent="0.25">
      <c r="A1659" s="35" t="s">
        <v>203</v>
      </c>
      <c r="B1659" s="35"/>
      <c r="C1659" s="35"/>
      <c r="D1659" s="35"/>
      <c r="E1659" s="35"/>
      <c r="F1659" s="35"/>
      <c r="G1659" s="35"/>
      <c r="H1659" s="35"/>
      <c r="I1659" s="35"/>
      <c r="J1659" s="35"/>
      <c r="K1659" s="35"/>
      <c r="L1659" s="35"/>
      <c r="M1659" s="35"/>
      <c r="N1659" s="35"/>
      <c r="O1659" s="35"/>
      <c r="P1659" s="35"/>
      <c r="Q1659" s="35"/>
      <c r="R1659" s="35"/>
      <c r="S1659" s="35"/>
    </row>
    <row r="1660" spans="1:19" ht="18" x14ac:dyDescent="0.25">
      <c r="A1660" s="35" t="s">
        <v>204</v>
      </c>
      <c r="B1660" s="35"/>
      <c r="C1660" s="35"/>
      <c r="D1660" s="35"/>
      <c r="E1660" s="35"/>
      <c r="F1660" s="35"/>
      <c r="G1660" s="35"/>
      <c r="H1660" s="35"/>
      <c r="I1660" s="35"/>
      <c r="J1660" s="35"/>
      <c r="K1660" s="35"/>
      <c r="L1660" s="35"/>
      <c r="M1660" s="35"/>
      <c r="N1660" s="35"/>
      <c r="O1660" s="35"/>
      <c r="P1660" s="35"/>
      <c r="Q1660" s="35"/>
      <c r="R1660" s="35"/>
      <c r="S1660" s="35"/>
    </row>
    <row r="1661" spans="1:19" ht="18" x14ac:dyDescent="0.25">
      <c r="A1661" s="45" t="s">
        <v>53</v>
      </c>
      <c r="B1661" s="45"/>
      <c r="C1661" s="45"/>
      <c r="D1661" s="45"/>
      <c r="E1661" s="45"/>
      <c r="F1661" s="45"/>
      <c r="G1661" s="45"/>
      <c r="H1661" s="45"/>
      <c r="I1661" s="45"/>
      <c r="J1661" s="45"/>
      <c r="K1661" s="45"/>
      <c r="L1661" s="45"/>
      <c r="M1661" s="45"/>
      <c r="N1661" s="45"/>
      <c r="O1661" s="45"/>
      <c r="P1661" s="45"/>
      <c r="Q1661" s="45"/>
      <c r="R1661" s="45"/>
      <c r="S1661" s="45"/>
    </row>
    <row r="1662" spans="1:19" ht="19.5" customHeight="1" x14ac:dyDescent="0.25">
      <c r="A1662" s="17"/>
      <c r="B1662" s="17"/>
      <c r="C1662" s="8"/>
      <c r="D1662" s="18"/>
      <c r="E1662" s="10"/>
      <c r="F1662" s="11"/>
      <c r="G1662" s="46" t="s">
        <v>49</v>
      </c>
      <c r="H1662" s="46"/>
      <c r="I1662" s="46"/>
      <c r="J1662" s="46"/>
      <c r="K1662" s="46"/>
      <c r="L1662" s="46"/>
      <c r="M1662" s="46"/>
      <c r="N1662" s="46"/>
      <c r="O1662" s="46"/>
      <c r="P1662" s="46"/>
      <c r="Q1662" s="46"/>
      <c r="R1662" s="46"/>
      <c r="S1662" s="46"/>
    </row>
    <row r="1663" spans="1:19" ht="31.5" customHeight="1" x14ac:dyDescent="0.3">
      <c r="A1663" s="8"/>
      <c r="B1663" s="8"/>
      <c r="C1663" s="8"/>
      <c r="D1663" s="8"/>
      <c r="E1663" s="8"/>
      <c r="F1663" s="8"/>
      <c r="G1663" s="8"/>
      <c r="H1663" s="12"/>
      <c r="I1663" s="42" t="s">
        <v>40</v>
      </c>
      <c r="J1663" s="43"/>
      <c r="K1663" s="43"/>
      <c r="L1663" s="43"/>
      <c r="M1663" s="43"/>
      <c r="N1663" s="43"/>
      <c r="O1663" s="43"/>
      <c r="P1663" s="43"/>
      <c r="Q1663" s="43"/>
      <c r="R1663" s="43"/>
      <c r="S1663" s="43"/>
    </row>
    <row r="1664" spans="1:19" ht="16.8" x14ac:dyDescent="0.3">
      <c r="A1664" s="8"/>
      <c r="B1664" s="8"/>
      <c r="C1664" s="8"/>
      <c r="D1664" s="8"/>
      <c r="E1664" s="8"/>
      <c r="F1664" s="8"/>
      <c r="G1664" s="8"/>
      <c r="H1664" s="12"/>
      <c r="I1664" s="12"/>
      <c r="J1664" s="12"/>
      <c r="K1664" s="12"/>
      <c r="L1664" s="8"/>
      <c r="M1664" s="8"/>
      <c r="N1664" s="8"/>
      <c r="O1664" s="8"/>
      <c r="P1664" s="8"/>
      <c r="Q1664" s="8"/>
    </row>
    <row r="1665" spans="1:19" ht="33" customHeight="1" x14ac:dyDescent="0.3">
      <c r="A1665" s="8"/>
      <c r="B1665" s="8"/>
      <c r="C1665" s="8"/>
      <c r="D1665" s="8"/>
      <c r="E1665" s="8"/>
      <c r="F1665" s="8"/>
      <c r="G1665" s="8"/>
      <c r="H1665" s="12"/>
      <c r="I1665" s="12"/>
      <c r="J1665" s="12"/>
      <c r="K1665" s="12"/>
      <c r="L1665" s="8"/>
      <c r="M1665" s="8"/>
      <c r="N1665" s="8"/>
      <c r="O1665" s="8"/>
      <c r="P1665" s="8"/>
      <c r="Q1665" s="8"/>
    </row>
    <row r="1666" spans="1:19" ht="11.25" customHeight="1" x14ac:dyDescent="0.3">
      <c r="A1666" s="8"/>
      <c r="B1666" s="8"/>
      <c r="C1666" s="8"/>
      <c r="D1666" s="8"/>
      <c r="E1666" s="8"/>
      <c r="F1666" s="8"/>
      <c r="G1666" s="8"/>
      <c r="H1666" s="12"/>
      <c r="I1666" s="12"/>
      <c r="J1666" s="12"/>
      <c r="K1666" s="12"/>
      <c r="L1666" s="8"/>
      <c r="M1666" s="8"/>
      <c r="N1666" s="8"/>
      <c r="O1666" s="8"/>
      <c r="P1666" s="8"/>
      <c r="Q1666" s="8"/>
    </row>
    <row r="1667" spans="1:19" ht="17.399999999999999" x14ac:dyDescent="0.3">
      <c r="A1667" s="8"/>
      <c r="B1667" s="8"/>
      <c r="C1667" s="8"/>
      <c r="D1667" s="8"/>
      <c r="E1667" s="8"/>
      <c r="F1667" s="8"/>
      <c r="G1667" s="47" t="s">
        <v>41</v>
      </c>
      <c r="H1667" s="47"/>
      <c r="I1667" s="47"/>
      <c r="J1667" s="47"/>
      <c r="K1667" s="47"/>
      <c r="L1667" s="47"/>
      <c r="M1667" s="47"/>
      <c r="N1667" s="47"/>
      <c r="O1667" s="47"/>
      <c r="P1667" s="47"/>
      <c r="Q1667" s="47"/>
      <c r="R1667" s="47"/>
      <c r="S1667" s="47"/>
    </row>
    <row r="1668" spans="1:19" ht="16.5" hidden="1" customHeight="1" x14ac:dyDescent="0.3">
      <c r="A1668" s="8"/>
      <c r="B1668" s="13" t="s">
        <v>27</v>
      </c>
      <c r="C1668" s="13" t="s">
        <v>31</v>
      </c>
      <c r="D1668" s="13"/>
      <c r="E1668" s="13"/>
      <c r="F1668" s="13"/>
      <c r="G1668" s="13"/>
      <c r="H1668" s="13"/>
      <c r="I1668" s="13"/>
      <c r="J1668" s="13"/>
      <c r="K1668" s="13"/>
      <c r="L1668" s="13"/>
      <c r="M1668" s="13"/>
      <c r="N1668" s="13"/>
      <c r="O1668" s="13"/>
      <c r="P1668" s="13"/>
      <c r="Q1668" s="13"/>
    </row>
    <row r="1669" spans="1:19" ht="13.5" hidden="1" customHeight="1" x14ac:dyDescent="0.3">
      <c r="A1669" s="12"/>
      <c r="B1669" s="13"/>
      <c r="C1669" s="44" t="s">
        <v>26</v>
      </c>
      <c r="D1669" s="44"/>
      <c r="E1669" s="44"/>
      <c r="F1669" s="44"/>
      <c r="G1669" s="44"/>
      <c r="H1669" s="44"/>
      <c r="I1669" s="44"/>
      <c r="J1669" s="44"/>
      <c r="K1669" s="44"/>
      <c r="L1669" s="44"/>
      <c r="M1669" s="44"/>
      <c r="N1669" s="44"/>
      <c r="O1669" s="44"/>
      <c r="P1669" s="44"/>
      <c r="Q1669" s="44"/>
    </row>
    <row r="1670" spans="1:19" ht="13.5" hidden="1" customHeight="1" x14ac:dyDescent="0.25">
      <c r="A1670" s="38" t="s">
        <v>11</v>
      </c>
      <c r="B1670" s="38"/>
      <c r="C1670" s="14" t="s">
        <v>12</v>
      </c>
      <c r="D1670" s="14" t="s">
        <v>10</v>
      </c>
      <c r="E1670" s="14" t="s">
        <v>9</v>
      </c>
      <c r="F1670" s="14" t="s">
        <v>6</v>
      </c>
      <c r="G1670" s="14" t="s">
        <v>5</v>
      </c>
      <c r="H1670" s="14" t="s">
        <v>3</v>
      </c>
      <c r="I1670" s="14" t="s">
        <v>4</v>
      </c>
      <c r="J1670" s="14" t="s">
        <v>8</v>
      </c>
      <c r="K1670" s="14" t="s">
        <v>7</v>
      </c>
      <c r="L1670" s="14" t="s">
        <v>4</v>
      </c>
      <c r="M1670" s="14"/>
      <c r="N1670" s="14"/>
      <c r="O1670" s="14" t="s">
        <v>8</v>
      </c>
      <c r="P1670" s="14" t="s">
        <v>7</v>
      </c>
      <c r="Q1670" s="8"/>
    </row>
    <row r="1671" spans="1:19" ht="13.5" hidden="1" customHeight="1" x14ac:dyDescent="0.25">
      <c r="A1671" s="38" t="s">
        <v>13</v>
      </c>
      <c r="B1671" s="38"/>
      <c r="C1671" s="14">
        <v>4</v>
      </c>
      <c r="D1671" s="14">
        <v>3.7</v>
      </c>
      <c r="E1671" s="14">
        <v>3.5</v>
      </c>
      <c r="F1671" s="14">
        <v>3</v>
      </c>
      <c r="G1671" s="14">
        <v>2.5</v>
      </c>
      <c r="H1671" s="14">
        <v>2</v>
      </c>
      <c r="I1671" s="14">
        <v>1.5</v>
      </c>
      <c r="J1671" s="14">
        <v>1</v>
      </c>
      <c r="K1671" s="14">
        <v>0</v>
      </c>
      <c r="L1671" s="14">
        <v>1.5</v>
      </c>
      <c r="M1671" s="14"/>
      <c r="N1671" s="14"/>
      <c r="O1671" s="14">
        <v>1</v>
      </c>
      <c r="P1671" s="14">
        <v>0</v>
      </c>
      <c r="Q1671" s="8"/>
      <c r="R1671" s="5"/>
      <c r="S1671" s="5"/>
    </row>
    <row r="1672" spans="1:19" ht="13.5" hidden="1" customHeight="1" x14ac:dyDescent="0.25">
      <c r="A1672" s="38" t="s">
        <v>14</v>
      </c>
      <c r="B1672" s="38"/>
      <c r="C1672" s="15" t="s">
        <v>23</v>
      </c>
      <c r="D1672" s="14" t="s">
        <v>15</v>
      </c>
      <c r="E1672" s="14" t="s">
        <v>16</v>
      </c>
      <c r="F1672" s="14" t="s">
        <v>17</v>
      </c>
      <c r="G1672" s="14" t="s">
        <v>18</v>
      </c>
      <c r="H1672" s="14" t="s">
        <v>19</v>
      </c>
      <c r="I1672" s="14" t="s">
        <v>20</v>
      </c>
      <c r="J1672" s="14" t="s">
        <v>21</v>
      </c>
      <c r="K1672" s="14" t="s">
        <v>22</v>
      </c>
      <c r="L1672" s="14" t="s">
        <v>20</v>
      </c>
      <c r="M1672" s="14"/>
      <c r="N1672" s="14"/>
      <c r="O1672" s="14" t="s">
        <v>21</v>
      </c>
      <c r="P1672" s="14" t="s">
        <v>22</v>
      </c>
      <c r="Q1672" s="8"/>
      <c r="R1672" s="5"/>
      <c r="S1672" s="5"/>
    </row>
    <row r="1673" spans="1:19" ht="13.5" hidden="1" customHeight="1" x14ac:dyDescent="0.25">
      <c r="A1673" s="16"/>
      <c r="B1673" s="38" t="s">
        <v>25</v>
      </c>
      <c r="C1673" s="38"/>
      <c r="D1673" s="38"/>
      <c r="E1673" s="38"/>
      <c r="F1673" s="38"/>
      <c r="G1673" s="38"/>
      <c r="H1673" s="38"/>
      <c r="I1673" s="38"/>
      <c r="J1673" s="38"/>
      <c r="K1673" s="38"/>
      <c r="L1673" s="38"/>
      <c r="M1673" s="38"/>
      <c r="N1673" s="38"/>
      <c r="O1673" s="38"/>
      <c r="P1673" s="38"/>
      <c r="Q1673" s="38"/>
      <c r="R1673" s="4"/>
      <c r="S1673" s="4"/>
    </row>
    <row r="1674" spans="1:19" ht="13.5" hidden="1" customHeight="1" x14ac:dyDescent="0.25">
      <c r="A1674" s="16"/>
      <c r="B1674" s="38"/>
      <c r="C1674" s="38"/>
      <c r="D1674" s="38"/>
      <c r="E1674" s="38"/>
      <c r="F1674" s="38"/>
      <c r="G1674" s="38"/>
      <c r="H1674" s="38"/>
      <c r="I1674" s="38"/>
      <c r="J1674" s="38"/>
      <c r="K1674" s="38"/>
      <c r="L1674" s="38"/>
      <c r="M1674" s="38"/>
      <c r="N1674" s="38"/>
      <c r="O1674" s="38"/>
      <c r="P1674" s="38"/>
      <c r="Q1674" s="38"/>
      <c r="R1674" s="4"/>
      <c r="S1674" s="4"/>
    </row>
    <row r="1675" spans="1:19" ht="16.8" x14ac:dyDescent="0.25">
      <c r="A1675" s="8"/>
      <c r="B1675" s="8"/>
      <c r="C1675" s="8"/>
      <c r="D1675" s="8"/>
      <c r="E1675" s="8"/>
      <c r="F1675" s="8"/>
      <c r="G1675" s="8"/>
      <c r="H1675" s="8"/>
      <c r="I1675" s="8"/>
      <c r="J1675" s="8"/>
      <c r="K1675" s="8"/>
      <c r="L1675" s="8"/>
      <c r="M1675" s="8"/>
      <c r="N1675" s="8"/>
      <c r="O1675" s="8"/>
      <c r="P1675" s="8"/>
      <c r="Q1675" s="8"/>
    </row>
  </sheetData>
  <sheetProtection selectLockedCells="1" selectUnlockedCells="1"/>
  <mergeCells count="1631">
    <mergeCell ref="H1500:H1501"/>
    <mergeCell ref="B1608:G1609"/>
    <mergeCell ref="S1608:S1609"/>
    <mergeCell ref="I1608:I1609"/>
    <mergeCell ref="A1608:A1609"/>
    <mergeCell ref="J1608:Q1608"/>
    <mergeCell ref="H1608:H1609"/>
    <mergeCell ref="S1386:S1387"/>
    <mergeCell ref="I1386:I1387"/>
    <mergeCell ref="A1386:A1387"/>
    <mergeCell ref="J1386:Q1386"/>
    <mergeCell ref="H1386:H1387"/>
    <mergeCell ref="B1500:G1501"/>
    <mergeCell ref="S1500:S1501"/>
    <mergeCell ref="I1500:I1501"/>
    <mergeCell ref="A1500:A1501"/>
    <mergeCell ref="J1500:Q1500"/>
    <mergeCell ref="H1161:H1162"/>
    <mergeCell ref="B1274:G1275"/>
    <mergeCell ref="S1274:S1275"/>
    <mergeCell ref="I1274:I1275"/>
    <mergeCell ref="A1274:A1275"/>
    <mergeCell ref="J1274:Q1274"/>
    <mergeCell ref="H1274:H1275"/>
    <mergeCell ref="S1053:S1054"/>
    <mergeCell ref="I1053:I1054"/>
    <mergeCell ref="A1053:A1054"/>
    <mergeCell ref="J1053:Q1053"/>
    <mergeCell ref="H1053:H1054"/>
    <mergeCell ref="B1161:G1162"/>
    <mergeCell ref="S1161:S1162"/>
    <mergeCell ref="I1161:I1162"/>
    <mergeCell ref="A1161:A1162"/>
    <mergeCell ref="J1161:Q1161"/>
    <mergeCell ref="H833:H834"/>
    <mergeCell ref="B945:G946"/>
    <mergeCell ref="S945:S946"/>
    <mergeCell ref="I945:I946"/>
    <mergeCell ref="A945:A946"/>
    <mergeCell ref="J945:Q945"/>
    <mergeCell ref="H945:H946"/>
    <mergeCell ref="S720:S721"/>
    <mergeCell ref="I720:I721"/>
    <mergeCell ref="A720:A721"/>
    <mergeCell ref="J720:Q720"/>
    <mergeCell ref="H720:H721"/>
    <mergeCell ref="B833:G834"/>
    <mergeCell ref="S833:S834"/>
    <mergeCell ref="I833:I834"/>
    <mergeCell ref="A833:A834"/>
    <mergeCell ref="J833:Q833"/>
    <mergeCell ref="H490:H491"/>
    <mergeCell ref="B611:G612"/>
    <mergeCell ref="S611:S612"/>
    <mergeCell ref="I611:I612"/>
    <mergeCell ref="A611:A612"/>
    <mergeCell ref="J611:Q611"/>
    <mergeCell ref="H611:H612"/>
    <mergeCell ref="S381:S382"/>
    <mergeCell ref="I381:I382"/>
    <mergeCell ref="A381:A382"/>
    <mergeCell ref="J381:Q381"/>
    <mergeCell ref="H381:H382"/>
    <mergeCell ref="B490:G491"/>
    <mergeCell ref="S490:S491"/>
    <mergeCell ref="I490:I491"/>
    <mergeCell ref="A490:A491"/>
    <mergeCell ref="J490:Q490"/>
    <mergeCell ref="H157:H158"/>
    <mergeCell ref="B265:G266"/>
    <mergeCell ref="S265:S266"/>
    <mergeCell ref="I265:I266"/>
    <mergeCell ref="A265:A266"/>
    <mergeCell ref="J265:Q265"/>
    <mergeCell ref="H265:H266"/>
    <mergeCell ref="S49:S50"/>
    <mergeCell ref="I49:I50"/>
    <mergeCell ref="A49:A50"/>
    <mergeCell ref="J49:Q49"/>
    <mergeCell ref="H49:H50"/>
    <mergeCell ref="B157:G158"/>
    <mergeCell ref="S157:S158"/>
    <mergeCell ref="I157:I158"/>
    <mergeCell ref="A157:A158"/>
    <mergeCell ref="J157:Q157"/>
    <mergeCell ref="B1649:G1649"/>
    <mergeCell ref="B1650:G1650"/>
    <mergeCell ref="B1651:G1651"/>
    <mergeCell ref="B1652:G1652"/>
    <mergeCell ref="B1653:G1653"/>
    <mergeCell ref="B49:G50"/>
    <mergeCell ref="B381:G382"/>
    <mergeCell ref="B720:G721"/>
    <mergeCell ref="B1053:G1054"/>
    <mergeCell ref="B1386:G1387"/>
    <mergeCell ref="B1639:G1639"/>
    <mergeCell ref="B1640:G1640"/>
    <mergeCell ref="B1645:G1645"/>
    <mergeCell ref="B1646:G1646"/>
    <mergeCell ref="B1647:G1647"/>
    <mergeCell ref="B1648:G1648"/>
    <mergeCell ref="B1633:G1633"/>
    <mergeCell ref="B1634:G1634"/>
    <mergeCell ref="B1635:G1635"/>
    <mergeCell ref="B1636:G1636"/>
    <mergeCell ref="B1637:G1637"/>
    <mergeCell ref="B1638:G1638"/>
    <mergeCell ref="B1623:G1623"/>
    <mergeCell ref="B1624:G1624"/>
    <mergeCell ref="B1625:G1625"/>
    <mergeCell ref="B1626:G1626"/>
    <mergeCell ref="B1631:G1631"/>
    <mergeCell ref="B1632:G1632"/>
    <mergeCell ref="B1617:G1617"/>
    <mergeCell ref="B1618:G1618"/>
    <mergeCell ref="B1619:G1619"/>
    <mergeCell ref="B1620:G1620"/>
    <mergeCell ref="B1621:G1621"/>
    <mergeCell ref="B1622:G1622"/>
    <mergeCell ref="B1605:G1605"/>
    <mergeCell ref="B1606:G1606"/>
    <mergeCell ref="B1607:G1607"/>
    <mergeCell ref="B1610:G1610"/>
    <mergeCell ref="B1611:G1611"/>
    <mergeCell ref="B1612:G1612"/>
    <mergeCell ref="B1595:G1595"/>
    <mergeCell ref="B1596:G1596"/>
    <mergeCell ref="B1597:G1597"/>
    <mergeCell ref="B1598:G1598"/>
    <mergeCell ref="B1603:G1603"/>
    <mergeCell ref="B1604:G1604"/>
    <mergeCell ref="B1576:G1576"/>
    <mergeCell ref="B1577:G1577"/>
    <mergeCell ref="B1582:G1582"/>
    <mergeCell ref="B1583:G1583"/>
    <mergeCell ref="B1584:G1584"/>
    <mergeCell ref="B1585:G1585"/>
    <mergeCell ref="B1655:G1655"/>
    <mergeCell ref="B1581:G1581"/>
    <mergeCell ref="B1591:G1591"/>
    <mergeCell ref="B1602:G1602"/>
    <mergeCell ref="B1616:G1616"/>
    <mergeCell ref="B1630:G1630"/>
    <mergeCell ref="B1644:G1644"/>
    <mergeCell ref="B1586:G1586"/>
    <mergeCell ref="B1587:G1587"/>
    <mergeCell ref="B1592:G1592"/>
    <mergeCell ref="A1615:S1615"/>
    <mergeCell ref="A1629:S1629"/>
    <mergeCell ref="A1643:S1643"/>
    <mergeCell ref="B1589:G1589"/>
    <mergeCell ref="B1600:G1600"/>
    <mergeCell ref="B1614:G1614"/>
    <mergeCell ref="B1628:G1628"/>
    <mergeCell ref="B1642:G1642"/>
    <mergeCell ref="B1593:G1593"/>
    <mergeCell ref="B1594:G1594"/>
    <mergeCell ref="B1543:G1543"/>
    <mergeCell ref="B1544:G1544"/>
    <mergeCell ref="B1545:G1545"/>
    <mergeCell ref="A1580:S1580"/>
    <mergeCell ref="A1590:S1590"/>
    <mergeCell ref="A1601:S1601"/>
    <mergeCell ref="B1572:G1572"/>
    <mergeCell ref="B1573:G1573"/>
    <mergeCell ref="B1574:G1574"/>
    <mergeCell ref="B1575:G1575"/>
    <mergeCell ref="B1533:G1533"/>
    <mergeCell ref="B1538:G1538"/>
    <mergeCell ref="B1539:G1539"/>
    <mergeCell ref="B1540:G1540"/>
    <mergeCell ref="B1541:G1541"/>
    <mergeCell ref="B1542:G1542"/>
    <mergeCell ref="B1527:G1527"/>
    <mergeCell ref="B1528:G1528"/>
    <mergeCell ref="B1529:G1529"/>
    <mergeCell ref="B1530:G1530"/>
    <mergeCell ref="B1531:G1531"/>
    <mergeCell ref="B1532:G1532"/>
    <mergeCell ref="B1517:G1517"/>
    <mergeCell ref="B1518:G1518"/>
    <mergeCell ref="B1523:G1523"/>
    <mergeCell ref="B1524:G1524"/>
    <mergeCell ref="B1525:G1525"/>
    <mergeCell ref="B1526:G1526"/>
    <mergeCell ref="B1511:G1511"/>
    <mergeCell ref="B1512:G1512"/>
    <mergeCell ref="B1513:G1513"/>
    <mergeCell ref="B1514:G1514"/>
    <mergeCell ref="B1515:G1515"/>
    <mergeCell ref="B1516:G1516"/>
    <mergeCell ref="B1499:G1499"/>
    <mergeCell ref="B1502:G1502"/>
    <mergeCell ref="B1503:G1503"/>
    <mergeCell ref="B1504:G1504"/>
    <mergeCell ref="B1509:G1509"/>
    <mergeCell ref="B1510:G1510"/>
    <mergeCell ref="B1489:G1489"/>
    <mergeCell ref="B1490:G1490"/>
    <mergeCell ref="B1495:G1495"/>
    <mergeCell ref="B1496:G1496"/>
    <mergeCell ref="B1497:G1497"/>
    <mergeCell ref="B1498:G1498"/>
    <mergeCell ref="B1468:G1468"/>
    <mergeCell ref="B1469:G1469"/>
    <mergeCell ref="B1474:G1474"/>
    <mergeCell ref="B1475:G1475"/>
    <mergeCell ref="B1476:G1476"/>
    <mergeCell ref="B1477:G1477"/>
    <mergeCell ref="B1547:G1547"/>
    <mergeCell ref="B1473:G1473"/>
    <mergeCell ref="B1483:G1483"/>
    <mergeCell ref="B1494:G1494"/>
    <mergeCell ref="B1508:G1508"/>
    <mergeCell ref="B1522:G1522"/>
    <mergeCell ref="B1537:G1537"/>
    <mergeCell ref="B1478:G1478"/>
    <mergeCell ref="B1479:G1479"/>
    <mergeCell ref="B1484:G1484"/>
    <mergeCell ref="A1536:S1536"/>
    <mergeCell ref="B1481:G1481"/>
    <mergeCell ref="B1492:G1492"/>
    <mergeCell ref="B1506:G1506"/>
    <mergeCell ref="B1520:G1520"/>
    <mergeCell ref="B1535:G1535"/>
    <mergeCell ref="B1485:G1485"/>
    <mergeCell ref="B1486:G1486"/>
    <mergeCell ref="B1487:G1487"/>
    <mergeCell ref="B1488:G1488"/>
    <mergeCell ref="B1437:G1437"/>
    <mergeCell ref="A1472:S1472"/>
    <mergeCell ref="A1482:S1482"/>
    <mergeCell ref="A1493:S1493"/>
    <mergeCell ref="A1507:S1507"/>
    <mergeCell ref="A1521:S1521"/>
    <mergeCell ref="B1464:G1464"/>
    <mergeCell ref="B1465:G1465"/>
    <mergeCell ref="B1466:G1466"/>
    <mergeCell ref="B1467:G1467"/>
    <mergeCell ref="B1431:G1431"/>
    <mergeCell ref="B1432:G1432"/>
    <mergeCell ref="B1433:G1433"/>
    <mergeCell ref="B1434:G1434"/>
    <mergeCell ref="B1435:G1435"/>
    <mergeCell ref="B1436:G1436"/>
    <mergeCell ref="B1421:G1421"/>
    <mergeCell ref="B1422:G1422"/>
    <mergeCell ref="B1423:G1423"/>
    <mergeCell ref="B1424:G1424"/>
    <mergeCell ref="B1429:G1429"/>
    <mergeCell ref="B1430:G1430"/>
    <mergeCell ref="B1415:G1415"/>
    <mergeCell ref="B1416:G1416"/>
    <mergeCell ref="B1417:G1417"/>
    <mergeCell ref="B1418:G1418"/>
    <mergeCell ref="B1419:G1419"/>
    <mergeCell ref="B1420:G1420"/>
    <mergeCell ref="B1401:G1401"/>
    <mergeCell ref="B1402:G1402"/>
    <mergeCell ref="B1403:G1403"/>
    <mergeCell ref="B1404:G1404"/>
    <mergeCell ref="B1409:G1409"/>
    <mergeCell ref="B1414:G1414"/>
    <mergeCell ref="B1395:G1395"/>
    <mergeCell ref="B1396:G1396"/>
    <mergeCell ref="B1397:G1397"/>
    <mergeCell ref="B1398:G1398"/>
    <mergeCell ref="B1399:G1399"/>
    <mergeCell ref="B1400:G1400"/>
    <mergeCell ref="B1383:G1383"/>
    <mergeCell ref="B1384:G1384"/>
    <mergeCell ref="B1385:G1385"/>
    <mergeCell ref="B1388:G1388"/>
    <mergeCell ref="B1389:G1389"/>
    <mergeCell ref="B1390:G1390"/>
    <mergeCell ref="B1373:G1373"/>
    <mergeCell ref="B1374:G1374"/>
    <mergeCell ref="B1375:G1375"/>
    <mergeCell ref="B1376:G1376"/>
    <mergeCell ref="B1381:G1381"/>
    <mergeCell ref="B1382:G1382"/>
    <mergeCell ref="B1350:G1350"/>
    <mergeCell ref="B1351:G1351"/>
    <mergeCell ref="B1352:G1352"/>
    <mergeCell ref="B1353:G1353"/>
    <mergeCell ref="B1354:G1354"/>
    <mergeCell ref="B1355:G1355"/>
    <mergeCell ref="B1439:G1439"/>
    <mergeCell ref="B1359:G1359"/>
    <mergeCell ref="B1369:G1369"/>
    <mergeCell ref="B1380:G1380"/>
    <mergeCell ref="B1394:G1394"/>
    <mergeCell ref="B1408:G1408"/>
    <mergeCell ref="B1413:G1413"/>
    <mergeCell ref="B1428:G1428"/>
    <mergeCell ref="B1360:G1360"/>
    <mergeCell ref="B1361:G1361"/>
    <mergeCell ref="A1427:S1427"/>
    <mergeCell ref="B1367:G1367"/>
    <mergeCell ref="B1378:G1378"/>
    <mergeCell ref="B1392:G1392"/>
    <mergeCell ref="B1406:G1406"/>
    <mergeCell ref="B1411:G1411"/>
    <mergeCell ref="B1426:G1426"/>
    <mergeCell ref="B1370:G1370"/>
    <mergeCell ref="B1371:G1371"/>
    <mergeCell ref="B1372:G1372"/>
    <mergeCell ref="A1358:S1358"/>
    <mergeCell ref="A1368:S1368"/>
    <mergeCell ref="A1379:S1379"/>
    <mergeCell ref="A1393:S1393"/>
    <mergeCell ref="A1407:S1407"/>
    <mergeCell ref="A1412:S1412"/>
    <mergeCell ref="B1362:G1362"/>
    <mergeCell ref="B1363:G1363"/>
    <mergeCell ref="B1364:G1364"/>
    <mergeCell ref="B1365:G1365"/>
    <mergeCell ref="B1318:G1318"/>
    <mergeCell ref="B1319:G1319"/>
    <mergeCell ref="B1320:G1320"/>
    <mergeCell ref="B1321:G1321"/>
    <mergeCell ref="B1322:G1322"/>
    <mergeCell ref="B1323:G1323"/>
    <mergeCell ref="B1308:G1308"/>
    <mergeCell ref="B1309:G1309"/>
    <mergeCell ref="B1310:G1310"/>
    <mergeCell ref="B1311:G1311"/>
    <mergeCell ref="B1316:G1316"/>
    <mergeCell ref="B1317:G1317"/>
    <mergeCell ref="B1302:G1302"/>
    <mergeCell ref="B1303:G1303"/>
    <mergeCell ref="B1304:G1304"/>
    <mergeCell ref="B1305:G1305"/>
    <mergeCell ref="B1306:G1306"/>
    <mergeCell ref="B1307:G1307"/>
    <mergeCell ref="B1292:G1292"/>
    <mergeCell ref="B1293:G1293"/>
    <mergeCell ref="B1294:G1294"/>
    <mergeCell ref="B1295:G1295"/>
    <mergeCell ref="B1296:G1296"/>
    <mergeCell ref="B1301:G1301"/>
    <mergeCell ref="B1282:G1282"/>
    <mergeCell ref="B1287:G1287"/>
    <mergeCell ref="B1288:G1288"/>
    <mergeCell ref="B1289:G1289"/>
    <mergeCell ref="B1290:G1290"/>
    <mergeCell ref="B1291:G1291"/>
    <mergeCell ref="B1276:G1276"/>
    <mergeCell ref="B1277:G1277"/>
    <mergeCell ref="B1278:G1278"/>
    <mergeCell ref="B1279:G1279"/>
    <mergeCell ref="B1280:G1280"/>
    <mergeCell ref="B1281:G1281"/>
    <mergeCell ref="B1260:G1260"/>
    <mergeCell ref="B1261:G1261"/>
    <mergeCell ref="B1262:G1262"/>
    <mergeCell ref="B1263:G1263"/>
    <mergeCell ref="B1264:G1264"/>
    <mergeCell ref="B1273:G1273"/>
    <mergeCell ref="B1242:G1242"/>
    <mergeCell ref="B1243:G1243"/>
    <mergeCell ref="B1248:G1248"/>
    <mergeCell ref="B1249:G1249"/>
    <mergeCell ref="B1250:G1250"/>
    <mergeCell ref="B1251:G1251"/>
    <mergeCell ref="B1325:G1325"/>
    <mergeCell ref="B1247:G1247"/>
    <mergeCell ref="B1257:G1257"/>
    <mergeCell ref="B1268:G1268"/>
    <mergeCell ref="B1272:G1272"/>
    <mergeCell ref="B1286:G1286"/>
    <mergeCell ref="B1300:G1300"/>
    <mergeCell ref="B1315:G1315"/>
    <mergeCell ref="B1252:G1252"/>
    <mergeCell ref="B1253:G1253"/>
    <mergeCell ref="A1299:S1299"/>
    <mergeCell ref="A1314:S1314"/>
    <mergeCell ref="B1255:G1255"/>
    <mergeCell ref="B1266:G1266"/>
    <mergeCell ref="B1270:G1270"/>
    <mergeCell ref="B1284:G1284"/>
    <mergeCell ref="B1298:G1298"/>
    <mergeCell ref="B1313:G1313"/>
    <mergeCell ref="B1258:G1258"/>
    <mergeCell ref="B1259:G1259"/>
    <mergeCell ref="B1211:G1211"/>
    <mergeCell ref="A1246:S1246"/>
    <mergeCell ref="A1256:S1256"/>
    <mergeCell ref="A1267:S1267"/>
    <mergeCell ref="A1271:S1271"/>
    <mergeCell ref="A1285:S1285"/>
    <mergeCell ref="B1238:G1238"/>
    <mergeCell ref="B1239:G1239"/>
    <mergeCell ref="B1240:G1240"/>
    <mergeCell ref="B1241:G1241"/>
    <mergeCell ref="B1205:G1205"/>
    <mergeCell ref="B1206:G1206"/>
    <mergeCell ref="B1207:G1207"/>
    <mergeCell ref="B1208:G1208"/>
    <mergeCell ref="B1209:G1209"/>
    <mergeCell ref="B1210:G1210"/>
    <mergeCell ref="B1195:G1195"/>
    <mergeCell ref="B1196:G1196"/>
    <mergeCell ref="B1197:G1197"/>
    <mergeCell ref="B1198:G1198"/>
    <mergeCell ref="B1203:G1203"/>
    <mergeCell ref="B1204:G1204"/>
    <mergeCell ref="B1189:G1189"/>
    <mergeCell ref="B1190:G1190"/>
    <mergeCell ref="B1191:G1191"/>
    <mergeCell ref="B1192:G1192"/>
    <mergeCell ref="B1193:G1193"/>
    <mergeCell ref="B1194:G1194"/>
    <mergeCell ref="B1179:G1179"/>
    <mergeCell ref="B1180:G1180"/>
    <mergeCell ref="B1181:G1181"/>
    <mergeCell ref="B1182:G1182"/>
    <mergeCell ref="B1183:G1183"/>
    <mergeCell ref="B1188:G1188"/>
    <mergeCell ref="B1169:G1169"/>
    <mergeCell ref="B1174:G1174"/>
    <mergeCell ref="B1175:G1175"/>
    <mergeCell ref="B1176:G1176"/>
    <mergeCell ref="B1177:G1177"/>
    <mergeCell ref="B1178:G1178"/>
    <mergeCell ref="B1163:G1163"/>
    <mergeCell ref="B1164:G1164"/>
    <mergeCell ref="B1165:G1165"/>
    <mergeCell ref="B1166:G1166"/>
    <mergeCell ref="B1167:G1167"/>
    <mergeCell ref="B1168:G1168"/>
    <mergeCell ref="B1129:G1129"/>
    <mergeCell ref="B1130:G1130"/>
    <mergeCell ref="B1135:G1135"/>
    <mergeCell ref="B1136:G1136"/>
    <mergeCell ref="B1137:G1137"/>
    <mergeCell ref="B1138:G1138"/>
    <mergeCell ref="B1213:G1213"/>
    <mergeCell ref="B1134:G1134"/>
    <mergeCell ref="B1144:G1144"/>
    <mergeCell ref="B1148:G1148"/>
    <mergeCell ref="B1159:G1159"/>
    <mergeCell ref="B1173:G1173"/>
    <mergeCell ref="B1187:G1187"/>
    <mergeCell ref="B1202:G1202"/>
    <mergeCell ref="B1139:G1139"/>
    <mergeCell ref="B1140:G1140"/>
    <mergeCell ref="B1142:G1142"/>
    <mergeCell ref="B1146:G1146"/>
    <mergeCell ref="B1157:G1157"/>
    <mergeCell ref="B1171:G1171"/>
    <mergeCell ref="B1185:G1185"/>
    <mergeCell ref="B1200:G1200"/>
    <mergeCell ref="B1149:G1149"/>
    <mergeCell ref="B1150:G1150"/>
    <mergeCell ref="B1151:G1151"/>
    <mergeCell ref="B1152:G1152"/>
    <mergeCell ref="A1143:S1143"/>
    <mergeCell ref="A1147:S1147"/>
    <mergeCell ref="A1158:S1158"/>
    <mergeCell ref="A1172:S1172"/>
    <mergeCell ref="A1186:S1186"/>
    <mergeCell ref="A1201:S1201"/>
    <mergeCell ref="B1153:G1153"/>
    <mergeCell ref="B1154:G1154"/>
    <mergeCell ref="B1155:G1155"/>
    <mergeCell ref="B1160:G1160"/>
    <mergeCell ref="B1094:G1094"/>
    <mergeCell ref="B1095:G1095"/>
    <mergeCell ref="B1096:G1096"/>
    <mergeCell ref="B1097:G1097"/>
    <mergeCell ref="B1098:G1098"/>
    <mergeCell ref="A1133:S1133"/>
    <mergeCell ref="B1125:G1125"/>
    <mergeCell ref="B1126:G1126"/>
    <mergeCell ref="B1127:G1127"/>
    <mergeCell ref="B1128:G1128"/>
    <mergeCell ref="B1084:G1084"/>
    <mergeCell ref="B1085:G1085"/>
    <mergeCell ref="B1086:G1086"/>
    <mergeCell ref="B1091:G1091"/>
    <mergeCell ref="B1092:G1092"/>
    <mergeCell ref="B1093:G1093"/>
    <mergeCell ref="B1078:G1078"/>
    <mergeCell ref="B1079:G1079"/>
    <mergeCell ref="B1080:G1080"/>
    <mergeCell ref="B1081:G1081"/>
    <mergeCell ref="B1082:G1082"/>
    <mergeCell ref="B1083:G1083"/>
    <mergeCell ref="B1068:G1068"/>
    <mergeCell ref="B1069:G1069"/>
    <mergeCell ref="B1070:G1070"/>
    <mergeCell ref="B1071:G1071"/>
    <mergeCell ref="B1076:G1076"/>
    <mergeCell ref="B1077:G1077"/>
    <mergeCell ref="B1062:G1062"/>
    <mergeCell ref="B1063:G1063"/>
    <mergeCell ref="B1064:G1064"/>
    <mergeCell ref="B1065:G1065"/>
    <mergeCell ref="B1066:G1066"/>
    <mergeCell ref="B1067:G1067"/>
    <mergeCell ref="B1050:G1050"/>
    <mergeCell ref="B1051:G1051"/>
    <mergeCell ref="B1052:G1052"/>
    <mergeCell ref="B1055:G1055"/>
    <mergeCell ref="B1056:G1056"/>
    <mergeCell ref="B1057:G1057"/>
    <mergeCell ref="B1040:G1040"/>
    <mergeCell ref="B1041:G1041"/>
    <mergeCell ref="B1042:G1042"/>
    <mergeCell ref="B1043:G1043"/>
    <mergeCell ref="B1048:G1048"/>
    <mergeCell ref="B1049:G1049"/>
    <mergeCell ref="B1021:G1021"/>
    <mergeCell ref="B1022:G1022"/>
    <mergeCell ref="B1027:G1027"/>
    <mergeCell ref="B1028:G1028"/>
    <mergeCell ref="B1029:G1029"/>
    <mergeCell ref="B1030:G1030"/>
    <mergeCell ref="B1100:G1100"/>
    <mergeCell ref="B1026:G1026"/>
    <mergeCell ref="B1036:G1036"/>
    <mergeCell ref="B1047:G1047"/>
    <mergeCell ref="B1061:G1061"/>
    <mergeCell ref="B1075:G1075"/>
    <mergeCell ref="B1090:G1090"/>
    <mergeCell ref="B1031:G1031"/>
    <mergeCell ref="B1032:G1032"/>
    <mergeCell ref="B1037:G1037"/>
    <mergeCell ref="A1060:S1060"/>
    <mergeCell ref="A1074:S1074"/>
    <mergeCell ref="A1089:S1089"/>
    <mergeCell ref="B1034:G1034"/>
    <mergeCell ref="B1045:G1045"/>
    <mergeCell ref="B1059:G1059"/>
    <mergeCell ref="B1073:G1073"/>
    <mergeCell ref="B1088:G1088"/>
    <mergeCell ref="B1038:G1038"/>
    <mergeCell ref="B1039:G1039"/>
    <mergeCell ref="B988:G988"/>
    <mergeCell ref="B989:G989"/>
    <mergeCell ref="B990:G990"/>
    <mergeCell ref="A1025:S1025"/>
    <mergeCell ref="A1035:S1035"/>
    <mergeCell ref="A1046:S1046"/>
    <mergeCell ref="B1017:G1017"/>
    <mergeCell ref="B1018:G1018"/>
    <mergeCell ref="B1019:G1019"/>
    <mergeCell ref="B1020:G1020"/>
    <mergeCell ref="B978:G978"/>
    <mergeCell ref="B983:G983"/>
    <mergeCell ref="B984:G984"/>
    <mergeCell ref="B985:G985"/>
    <mergeCell ref="B986:G986"/>
    <mergeCell ref="B987:G987"/>
    <mergeCell ref="B972:G972"/>
    <mergeCell ref="B973:G973"/>
    <mergeCell ref="B974:G974"/>
    <mergeCell ref="B975:G975"/>
    <mergeCell ref="B976:G976"/>
    <mergeCell ref="B977:G977"/>
    <mergeCell ref="B962:G962"/>
    <mergeCell ref="B963:G963"/>
    <mergeCell ref="B968:G968"/>
    <mergeCell ref="B969:G969"/>
    <mergeCell ref="B970:G970"/>
    <mergeCell ref="B971:G971"/>
    <mergeCell ref="B956:G956"/>
    <mergeCell ref="B957:G957"/>
    <mergeCell ref="B958:G958"/>
    <mergeCell ref="B959:G959"/>
    <mergeCell ref="B960:G960"/>
    <mergeCell ref="B961:G961"/>
    <mergeCell ref="B944:G944"/>
    <mergeCell ref="B947:G947"/>
    <mergeCell ref="B948:G948"/>
    <mergeCell ref="B949:G949"/>
    <mergeCell ref="B954:G954"/>
    <mergeCell ref="B955:G955"/>
    <mergeCell ref="B934:G934"/>
    <mergeCell ref="B935:G935"/>
    <mergeCell ref="B940:G940"/>
    <mergeCell ref="B941:G941"/>
    <mergeCell ref="B942:G942"/>
    <mergeCell ref="B943:G943"/>
    <mergeCell ref="B913:G913"/>
    <mergeCell ref="B914:G914"/>
    <mergeCell ref="B919:G919"/>
    <mergeCell ref="B920:G920"/>
    <mergeCell ref="B921:G921"/>
    <mergeCell ref="B922:G922"/>
    <mergeCell ref="B992:G992"/>
    <mergeCell ref="B918:G918"/>
    <mergeCell ref="B928:G928"/>
    <mergeCell ref="B939:G939"/>
    <mergeCell ref="B953:G953"/>
    <mergeCell ref="B967:G967"/>
    <mergeCell ref="B982:G982"/>
    <mergeCell ref="B923:G923"/>
    <mergeCell ref="B924:G924"/>
    <mergeCell ref="B929:G929"/>
    <mergeCell ref="A981:S981"/>
    <mergeCell ref="B926:G926"/>
    <mergeCell ref="B937:G937"/>
    <mergeCell ref="B951:G951"/>
    <mergeCell ref="B965:G965"/>
    <mergeCell ref="B980:G980"/>
    <mergeCell ref="B930:G930"/>
    <mergeCell ref="B931:G931"/>
    <mergeCell ref="B932:G932"/>
    <mergeCell ref="B933:G933"/>
    <mergeCell ref="B879:G879"/>
    <mergeCell ref="B880:G880"/>
    <mergeCell ref="B881:G881"/>
    <mergeCell ref="B882:G882"/>
    <mergeCell ref="A917:S917"/>
    <mergeCell ref="A927:S927"/>
    <mergeCell ref="B909:G909"/>
    <mergeCell ref="B910:G910"/>
    <mergeCell ref="B911:G911"/>
    <mergeCell ref="B912:G912"/>
    <mergeCell ref="B869:G869"/>
    <mergeCell ref="B870:G870"/>
    <mergeCell ref="B875:G875"/>
    <mergeCell ref="B876:G876"/>
    <mergeCell ref="B877:G877"/>
    <mergeCell ref="B878:G878"/>
    <mergeCell ref="B863:G863"/>
    <mergeCell ref="B864:G864"/>
    <mergeCell ref="B865:G865"/>
    <mergeCell ref="B866:G866"/>
    <mergeCell ref="B867:G867"/>
    <mergeCell ref="B868:G868"/>
    <mergeCell ref="B849:G849"/>
    <mergeCell ref="B850:G850"/>
    <mergeCell ref="B851:G851"/>
    <mergeCell ref="B860:G860"/>
    <mergeCell ref="B861:G861"/>
    <mergeCell ref="B862:G862"/>
    <mergeCell ref="B843:G843"/>
    <mergeCell ref="B844:G844"/>
    <mergeCell ref="B845:G845"/>
    <mergeCell ref="B846:G846"/>
    <mergeCell ref="B847:G847"/>
    <mergeCell ref="B848:G848"/>
    <mergeCell ref="B831:G831"/>
    <mergeCell ref="B832:G832"/>
    <mergeCell ref="B835:G835"/>
    <mergeCell ref="B836:G836"/>
    <mergeCell ref="B837:G837"/>
    <mergeCell ref="B842:G842"/>
    <mergeCell ref="B821:G821"/>
    <mergeCell ref="B822:G822"/>
    <mergeCell ref="B823:G823"/>
    <mergeCell ref="B828:G828"/>
    <mergeCell ref="B829:G829"/>
    <mergeCell ref="B830:G830"/>
    <mergeCell ref="B811:G811"/>
    <mergeCell ref="B812:G812"/>
    <mergeCell ref="B817:G817"/>
    <mergeCell ref="B818:G818"/>
    <mergeCell ref="B819:G819"/>
    <mergeCell ref="B820:G820"/>
    <mergeCell ref="B859:G859"/>
    <mergeCell ref="B874:G874"/>
    <mergeCell ref="B797:G797"/>
    <mergeCell ref="B798:G798"/>
    <mergeCell ref="B799:G799"/>
    <mergeCell ref="B800:G800"/>
    <mergeCell ref="B801:G801"/>
    <mergeCell ref="B802:G802"/>
    <mergeCell ref="B807:G807"/>
    <mergeCell ref="B808:G808"/>
    <mergeCell ref="B839:G839"/>
    <mergeCell ref="B853:G853"/>
    <mergeCell ref="B857:G857"/>
    <mergeCell ref="B872:G872"/>
    <mergeCell ref="B884:G884"/>
    <mergeCell ref="B806:G806"/>
    <mergeCell ref="B816:G816"/>
    <mergeCell ref="B827:G827"/>
    <mergeCell ref="B841:G841"/>
    <mergeCell ref="B855:G855"/>
    <mergeCell ref="B768:G768"/>
    <mergeCell ref="B769:G769"/>
    <mergeCell ref="B770:G770"/>
    <mergeCell ref="A805:S805"/>
    <mergeCell ref="A815:S815"/>
    <mergeCell ref="A826:S826"/>
    <mergeCell ref="B814:G814"/>
    <mergeCell ref="B825:G825"/>
    <mergeCell ref="B809:G809"/>
    <mergeCell ref="B810:G810"/>
    <mergeCell ref="B762:G762"/>
    <mergeCell ref="B763:G763"/>
    <mergeCell ref="B764:G764"/>
    <mergeCell ref="B765:G765"/>
    <mergeCell ref="B766:G766"/>
    <mergeCell ref="B767:G767"/>
    <mergeCell ref="B752:G752"/>
    <mergeCell ref="B753:G753"/>
    <mergeCell ref="B754:G754"/>
    <mergeCell ref="B755:G755"/>
    <mergeCell ref="B756:G756"/>
    <mergeCell ref="B757:G757"/>
    <mergeCell ref="B738:G738"/>
    <mergeCell ref="B747:G747"/>
    <mergeCell ref="B748:G748"/>
    <mergeCell ref="B749:G749"/>
    <mergeCell ref="B750:G750"/>
    <mergeCell ref="B751:G751"/>
    <mergeCell ref="B732:G732"/>
    <mergeCell ref="B733:G733"/>
    <mergeCell ref="B734:G734"/>
    <mergeCell ref="B735:G735"/>
    <mergeCell ref="B736:G736"/>
    <mergeCell ref="B737:G737"/>
    <mergeCell ref="B722:G722"/>
    <mergeCell ref="B723:G723"/>
    <mergeCell ref="B724:G724"/>
    <mergeCell ref="B729:G729"/>
    <mergeCell ref="B730:G730"/>
    <mergeCell ref="B731:G731"/>
    <mergeCell ref="B710:G710"/>
    <mergeCell ref="B715:G715"/>
    <mergeCell ref="B716:G716"/>
    <mergeCell ref="B717:G717"/>
    <mergeCell ref="B718:G718"/>
    <mergeCell ref="B719:G719"/>
    <mergeCell ref="B704:G704"/>
    <mergeCell ref="B705:G705"/>
    <mergeCell ref="B706:G706"/>
    <mergeCell ref="B707:G707"/>
    <mergeCell ref="B708:G708"/>
    <mergeCell ref="B709:G709"/>
    <mergeCell ref="B688:G688"/>
    <mergeCell ref="B689:G689"/>
    <mergeCell ref="B694:G694"/>
    <mergeCell ref="B695:G695"/>
    <mergeCell ref="B696:G696"/>
    <mergeCell ref="B697:G697"/>
    <mergeCell ref="B772:G772"/>
    <mergeCell ref="B693:G693"/>
    <mergeCell ref="B703:G703"/>
    <mergeCell ref="B714:G714"/>
    <mergeCell ref="B728:G728"/>
    <mergeCell ref="B742:G742"/>
    <mergeCell ref="B746:G746"/>
    <mergeCell ref="B761:G761"/>
    <mergeCell ref="B698:G698"/>
    <mergeCell ref="B699:G699"/>
    <mergeCell ref="A727:S727"/>
    <mergeCell ref="A741:S741"/>
    <mergeCell ref="A745:S745"/>
    <mergeCell ref="A760:S760"/>
    <mergeCell ref="B701:G701"/>
    <mergeCell ref="B712:G712"/>
    <mergeCell ref="B726:G726"/>
    <mergeCell ref="B740:G740"/>
    <mergeCell ref="B744:G744"/>
    <mergeCell ref="B759:G759"/>
    <mergeCell ref="B654:G654"/>
    <mergeCell ref="B655:G655"/>
    <mergeCell ref="B656:G656"/>
    <mergeCell ref="B657:G657"/>
    <mergeCell ref="A692:S692"/>
    <mergeCell ref="A702:S702"/>
    <mergeCell ref="B684:G684"/>
    <mergeCell ref="B685:G685"/>
    <mergeCell ref="B686:G686"/>
    <mergeCell ref="B687:G687"/>
    <mergeCell ref="B644:G644"/>
    <mergeCell ref="B649:G649"/>
    <mergeCell ref="B650:G650"/>
    <mergeCell ref="B651:G651"/>
    <mergeCell ref="B652:G652"/>
    <mergeCell ref="B653:G653"/>
    <mergeCell ref="B638:G638"/>
    <mergeCell ref="B639:G639"/>
    <mergeCell ref="B640:G640"/>
    <mergeCell ref="B641:G641"/>
    <mergeCell ref="B642:G642"/>
    <mergeCell ref="B643:G643"/>
    <mergeCell ref="B628:G628"/>
    <mergeCell ref="B629:G629"/>
    <mergeCell ref="B634:G634"/>
    <mergeCell ref="B635:G635"/>
    <mergeCell ref="B636:G636"/>
    <mergeCell ref="B637:G637"/>
    <mergeCell ref="B622:G622"/>
    <mergeCell ref="B623:G623"/>
    <mergeCell ref="B624:G624"/>
    <mergeCell ref="B625:G625"/>
    <mergeCell ref="B626:G626"/>
    <mergeCell ref="B627:G627"/>
    <mergeCell ref="B610:G610"/>
    <mergeCell ref="B613:G613"/>
    <mergeCell ref="B614:G614"/>
    <mergeCell ref="B615:G615"/>
    <mergeCell ref="B620:G620"/>
    <mergeCell ref="B621:G621"/>
    <mergeCell ref="B600:G600"/>
    <mergeCell ref="B601:G601"/>
    <mergeCell ref="B606:G606"/>
    <mergeCell ref="B607:G607"/>
    <mergeCell ref="B608:G608"/>
    <mergeCell ref="B609:G609"/>
    <mergeCell ref="B579:G579"/>
    <mergeCell ref="B580:G580"/>
    <mergeCell ref="B585:G585"/>
    <mergeCell ref="B586:G586"/>
    <mergeCell ref="B587:G587"/>
    <mergeCell ref="B588:G588"/>
    <mergeCell ref="B659:G659"/>
    <mergeCell ref="B584:G584"/>
    <mergeCell ref="B594:G594"/>
    <mergeCell ref="B605:G605"/>
    <mergeCell ref="B619:G619"/>
    <mergeCell ref="B633:G633"/>
    <mergeCell ref="B648:G648"/>
    <mergeCell ref="B589:G589"/>
    <mergeCell ref="B590:G590"/>
    <mergeCell ref="B595:G595"/>
    <mergeCell ref="A647:S647"/>
    <mergeCell ref="B592:G592"/>
    <mergeCell ref="B603:G603"/>
    <mergeCell ref="B617:G617"/>
    <mergeCell ref="B631:G631"/>
    <mergeCell ref="B646:G646"/>
    <mergeCell ref="B596:G596"/>
    <mergeCell ref="B597:G597"/>
    <mergeCell ref="B598:G598"/>
    <mergeCell ref="B599:G599"/>
    <mergeCell ref="B548:G548"/>
    <mergeCell ref="A583:S583"/>
    <mergeCell ref="A593:S593"/>
    <mergeCell ref="A604:S604"/>
    <mergeCell ref="A618:S618"/>
    <mergeCell ref="A632:S632"/>
    <mergeCell ref="B575:G575"/>
    <mergeCell ref="B576:G576"/>
    <mergeCell ref="B577:G577"/>
    <mergeCell ref="B578:G578"/>
    <mergeCell ref="B542:G542"/>
    <mergeCell ref="B543:G543"/>
    <mergeCell ref="B544:G544"/>
    <mergeCell ref="B545:G545"/>
    <mergeCell ref="B546:G546"/>
    <mergeCell ref="B547:G547"/>
    <mergeCell ref="B532:G532"/>
    <mergeCell ref="B533:G533"/>
    <mergeCell ref="B534:G534"/>
    <mergeCell ref="B535:G535"/>
    <mergeCell ref="B540:G540"/>
    <mergeCell ref="B541:G541"/>
    <mergeCell ref="B526:G526"/>
    <mergeCell ref="B527:G527"/>
    <mergeCell ref="B528:G528"/>
    <mergeCell ref="B529:G529"/>
    <mergeCell ref="B530:G530"/>
    <mergeCell ref="B531:G531"/>
    <mergeCell ref="B516:G516"/>
    <mergeCell ref="B517:G517"/>
    <mergeCell ref="B518:G518"/>
    <mergeCell ref="B519:G519"/>
    <mergeCell ref="B520:G520"/>
    <mergeCell ref="B525:G525"/>
    <mergeCell ref="B506:G506"/>
    <mergeCell ref="B511:G511"/>
    <mergeCell ref="B512:G512"/>
    <mergeCell ref="B513:G513"/>
    <mergeCell ref="B514:G514"/>
    <mergeCell ref="B515:G515"/>
    <mergeCell ref="B500:G500"/>
    <mergeCell ref="B501:G501"/>
    <mergeCell ref="B502:G502"/>
    <mergeCell ref="B503:G503"/>
    <mergeCell ref="B504:G504"/>
    <mergeCell ref="B505:G505"/>
    <mergeCell ref="B468:G468"/>
    <mergeCell ref="B469:G469"/>
    <mergeCell ref="B482:G482"/>
    <mergeCell ref="B483:G483"/>
    <mergeCell ref="B484:G484"/>
    <mergeCell ref="B485:G485"/>
    <mergeCell ref="B458:G458"/>
    <mergeCell ref="B459:G459"/>
    <mergeCell ref="B464:G464"/>
    <mergeCell ref="B465:G465"/>
    <mergeCell ref="B466:G466"/>
    <mergeCell ref="B467:G467"/>
    <mergeCell ref="B550:G550"/>
    <mergeCell ref="B463:G463"/>
    <mergeCell ref="B473:G473"/>
    <mergeCell ref="B477:G477"/>
    <mergeCell ref="B481:G481"/>
    <mergeCell ref="B494:G494"/>
    <mergeCell ref="B498:G498"/>
    <mergeCell ref="B510:G510"/>
    <mergeCell ref="B524:G524"/>
    <mergeCell ref="B539:G539"/>
    <mergeCell ref="A523:S523"/>
    <mergeCell ref="A538:S538"/>
    <mergeCell ref="B471:G471"/>
    <mergeCell ref="B475:G475"/>
    <mergeCell ref="B479:G479"/>
    <mergeCell ref="B492:G492"/>
    <mergeCell ref="B496:G496"/>
    <mergeCell ref="B508:G508"/>
    <mergeCell ref="B522:G522"/>
    <mergeCell ref="B537:G537"/>
    <mergeCell ref="A472:S472"/>
    <mergeCell ref="A476:S476"/>
    <mergeCell ref="A480:S480"/>
    <mergeCell ref="A493:S493"/>
    <mergeCell ref="A497:S497"/>
    <mergeCell ref="A509:S509"/>
    <mergeCell ref="B486:G486"/>
    <mergeCell ref="B487:G487"/>
    <mergeCell ref="B488:G488"/>
    <mergeCell ref="B499:G499"/>
    <mergeCell ref="B423:G423"/>
    <mergeCell ref="B424:G424"/>
    <mergeCell ref="B425:G425"/>
    <mergeCell ref="B426:G426"/>
    <mergeCell ref="B427:G427"/>
    <mergeCell ref="A462:S462"/>
    <mergeCell ref="B454:G454"/>
    <mergeCell ref="B455:G455"/>
    <mergeCell ref="B456:G456"/>
    <mergeCell ref="B457:G457"/>
    <mergeCell ref="B413:G413"/>
    <mergeCell ref="B414:G414"/>
    <mergeCell ref="B419:G419"/>
    <mergeCell ref="B420:G420"/>
    <mergeCell ref="B421:G421"/>
    <mergeCell ref="B422:G422"/>
    <mergeCell ref="B407:G407"/>
    <mergeCell ref="B408:G408"/>
    <mergeCell ref="B409:G409"/>
    <mergeCell ref="B410:G410"/>
    <mergeCell ref="B411:G411"/>
    <mergeCell ref="B412:G412"/>
    <mergeCell ref="B397:G397"/>
    <mergeCell ref="B398:G398"/>
    <mergeCell ref="B399:G399"/>
    <mergeCell ref="B404:G404"/>
    <mergeCell ref="B405:G405"/>
    <mergeCell ref="B406:G406"/>
    <mergeCell ref="B391:G391"/>
    <mergeCell ref="B392:G392"/>
    <mergeCell ref="B393:G393"/>
    <mergeCell ref="B394:G394"/>
    <mergeCell ref="B395:G395"/>
    <mergeCell ref="B396:G396"/>
    <mergeCell ref="B379:G379"/>
    <mergeCell ref="B380:G380"/>
    <mergeCell ref="B383:G383"/>
    <mergeCell ref="B384:G384"/>
    <mergeCell ref="B385:G385"/>
    <mergeCell ref="B390:G390"/>
    <mergeCell ref="B369:G369"/>
    <mergeCell ref="B370:G370"/>
    <mergeCell ref="B371:G371"/>
    <mergeCell ref="B376:G376"/>
    <mergeCell ref="B377:G377"/>
    <mergeCell ref="B378:G378"/>
    <mergeCell ref="B349:G349"/>
    <mergeCell ref="B350:G350"/>
    <mergeCell ref="B355:G355"/>
    <mergeCell ref="B356:G356"/>
    <mergeCell ref="B357:G357"/>
    <mergeCell ref="B358:G358"/>
    <mergeCell ref="B429:G429"/>
    <mergeCell ref="B354:G354"/>
    <mergeCell ref="B364:G364"/>
    <mergeCell ref="B375:G375"/>
    <mergeCell ref="B389:G389"/>
    <mergeCell ref="B403:G403"/>
    <mergeCell ref="B418:G418"/>
    <mergeCell ref="B359:G359"/>
    <mergeCell ref="B360:G360"/>
    <mergeCell ref="B365:G365"/>
    <mergeCell ref="A402:S402"/>
    <mergeCell ref="A417:S417"/>
    <mergeCell ref="B362:G362"/>
    <mergeCell ref="B373:G373"/>
    <mergeCell ref="B387:G387"/>
    <mergeCell ref="B401:G401"/>
    <mergeCell ref="B416:G416"/>
    <mergeCell ref="B366:G366"/>
    <mergeCell ref="B367:G367"/>
    <mergeCell ref="B368:G368"/>
    <mergeCell ref="B321:G321"/>
    <mergeCell ref="B322:G322"/>
    <mergeCell ref="A353:S353"/>
    <mergeCell ref="A363:S363"/>
    <mergeCell ref="A374:S374"/>
    <mergeCell ref="A388:S388"/>
    <mergeCell ref="B345:G345"/>
    <mergeCell ref="B346:G346"/>
    <mergeCell ref="B347:G347"/>
    <mergeCell ref="B348:G348"/>
    <mergeCell ref="B315:G315"/>
    <mergeCell ref="B316:G316"/>
    <mergeCell ref="B317:G317"/>
    <mergeCell ref="B318:G318"/>
    <mergeCell ref="B319:G319"/>
    <mergeCell ref="B320:G320"/>
    <mergeCell ref="B305:G305"/>
    <mergeCell ref="B306:G306"/>
    <mergeCell ref="B307:G307"/>
    <mergeCell ref="B308:G308"/>
    <mergeCell ref="B309:G309"/>
    <mergeCell ref="B310:G310"/>
    <mergeCell ref="B291:G291"/>
    <mergeCell ref="B300:G300"/>
    <mergeCell ref="B301:G301"/>
    <mergeCell ref="B302:G302"/>
    <mergeCell ref="B303:G303"/>
    <mergeCell ref="B304:G304"/>
    <mergeCell ref="B285:G285"/>
    <mergeCell ref="B286:G286"/>
    <mergeCell ref="B287:G287"/>
    <mergeCell ref="B288:G288"/>
    <mergeCell ref="B289:G289"/>
    <mergeCell ref="B290:G290"/>
    <mergeCell ref="B275:G275"/>
    <mergeCell ref="B276:G276"/>
    <mergeCell ref="B277:G277"/>
    <mergeCell ref="B282:G282"/>
    <mergeCell ref="B283:G283"/>
    <mergeCell ref="B284:G284"/>
    <mergeCell ref="B259:G259"/>
    <mergeCell ref="B270:G270"/>
    <mergeCell ref="B271:G271"/>
    <mergeCell ref="B272:G272"/>
    <mergeCell ref="B273:G273"/>
    <mergeCell ref="B274:G274"/>
    <mergeCell ref="B253:G253"/>
    <mergeCell ref="B254:G254"/>
    <mergeCell ref="B255:G255"/>
    <mergeCell ref="B256:G256"/>
    <mergeCell ref="B257:G257"/>
    <mergeCell ref="B258:G258"/>
    <mergeCell ref="B299:G299"/>
    <mergeCell ref="B314:G314"/>
    <mergeCell ref="B229:G229"/>
    <mergeCell ref="B230:G230"/>
    <mergeCell ref="B231:G231"/>
    <mergeCell ref="B232:G232"/>
    <mergeCell ref="B233:G233"/>
    <mergeCell ref="B234:G234"/>
    <mergeCell ref="B239:G239"/>
    <mergeCell ref="B240:G240"/>
    <mergeCell ref="B297:G297"/>
    <mergeCell ref="B312:G312"/>
    <mergeCell ref="B324:G324"/>
    <mergeCell ref="B238:G238"/>
    <mergeCell ref="B248:G248"/>
    <mergeCell ref="B252:G252"/>
    <mergeCell ref="B263:G263"/>
    <mergeCell ref="B269:G269"/>
    <mergeCell ref="B281:G281"/>
    <mergeCell ref="B295:G295"/>
    <mergeCell ref="A280:S280"/>
    <mergeCell ref="A294:S294"/>
    <mergeCell ref="A298:S298"/>
    <mergeCell ref="A313:S313"/>
    <mergeCell ref="B246:G246"/>
    <mergeCell ref="B250:G250"/>
    <mergeCell ref="B261:G261"/>
    <mergeCell ref="B267:G267"/>
    <mergeCell ref="B279:G279"/>
    <mergeCell ref="B293:G293"/>
    <mergeCell ref="B202:G202"/>
    <mergeCell ref="A237:S237"/>
    <mergeCell ref="A247:S247"/>
    <mergeCell ref="A251:S251"/>
    <mergeCell ref="A262:S262"/>
    <mergeCell ref="A268:S268"/>
    <mergeCell ref="B241:G241"/>
    <mergeCell ref="B242:G242"/>
    <mergeCell ref="B243:G243"/>
    <mergeCell ref="B244:G244"/>
    <mergeCell ref="B196:G196"/>
    <mergeCell ref="B197:G197"/>
    <mergeCell ref="B198:G198"/>
    <mergeCell ref="B199:G199"/>
    <mergeCell ref="B200:G200"/>
    <mergeCell ref="B201:G201"/>
    <mergeCell ref="B186:G186"/>
    <mergeCell ref="B187:G187"/>
    <mergeCell ref="B188:G188"/>
    <mergeCell ref="B189:G189"/>
    <mergeCell ref="B190:G190"/>
    <mergeCell ref="B195:G195"/>
    <mergeCell ref="B180:G180"/>
    <mergeCell ref="B181:G181"/>
    <mergeCell ref="B182:G182"/>
    <mergeCell ref="B183:G183"/>
    <mergeCell ref="B184:G184"/>
    <mergeCell ref="B185:G185"/>
    <mergeCell ref="B170:G170"/>
    <mergeCell ref="B171:G171"/>
    <mergeCell ref="B172:G172"/>
    <mergeCell ref="B173:G173"/>
    <mergeCell ref="B174:G174"/>
    <mergeCell ref="B175:G175"/>
    <mergeCell ref="B160:G160"/>
    <mergeCell ref="B161:G161"/>
    <mergeCell ref="B166:G166"/>
    <mergeCell ref="B167:G167"/>
    <mergeCell ref="B168:G168"/>
    <mergeCell ref="B169:G169"/>
    <mergeCell ref="B152:G152"/>
    <mergeCell ref="B153:G153"/>
    <mergeCell ref="B154:G154"/>
    <mergeCell ref="B155:G155"/>
    <mergeCell ref="B156:G156"/>
    <mergeCell ref="B159:G159"/>
    <mergeCell ref="B142:G142"/>
    <mergeCell ref="B143:G143"/>
    <mergeCell ref="B144:G144"/>
    <mergeCell ref="B145:G145"/>
    <mergeCell ref="B146:G146"/>
    <mergeCell ref="B147:G147"/>
    <mergeCell ref="B125:G125"/>
    <mergeCell ref="B126:G126"/>
    <mergeCell ref="B131:G131"/>
    <mergeCell ref="B132:G132"/>
    <mergeCell ref="B133:G133"/>
    <mergeCell ref="B134:G134"/>
    <mergeCell ref="B204:G204"/>
    <mergeCell ref="B130:G130"/>
    <mergeCell ref="B140:G140"/>
    <mergeCell ref="B151:G151"/>
    <mergeCell ref="B165:G165"/>
    <mergeCell ref="B179:G179"/>
    <mergeCell ref="B194:G194"/>
    <mergeCell ref="B135:G135"/>
    <mergeCell ref="B136:G136"/>
    <mergeCell ref="B141:G141"/>
    <mergeCell ref="A139:S139"/>
    <mergeCell ref="A150:S150"/>
    <mergeCell ref="A164:S164"/>
    <mergeCell ref="A178:S178"/>
    <mergeCell ref="A193:S193"/>
    <mergeCell ref="B138:G138"/>
    <mergeCell ref="B149:G149"/>
    <mergeCell ref="B163:G163"/>
    <mergeCell ref="B177:G177"/>
    <mergeCell ref="B192:G192"/>
    <mergeCell ref="B90:G90"/>
    <mergeCell ref="B91:G91"/>
    <mergeCell ref="B92:G92"/>
    <mergeCell ref="B93:G93"/>
    <mergeCell ref="B94:G94"/>
    <mergeCell ref="A129:S129"/>
    <mergeCell ref="B121:G121"/>
    <mergeCell ref="B122:G122"/>
    <mergeCell ref="B123:G123"/>
    <mergeCell ref="B124:G124"/>
    <mergeCell ref="B80:G80"/>
    <mergeCell ref="B81:G81"/>
    <mergeCell ref="B82:G82"/>
    <mergeCell ref="B87:G87"/>
    <mergeCell ref="B88:G88"/>
    <mergeCell ref="B89:G89"/>
    <mergeCell ref="B74:G74"/>
    <mergeCell ref="B75:G75"/>
    <mergeCell ref="B76:G76"/>
    <mergeCell ref="B77:G77"/>
    <mergeCell ref="B78:G78"/>
    <mergeCell ref="B79:G79"/>
    <mergeCell ref="B64:G64"/>
    <mergeCell ref="B65:G65"/>
    <mergeCell ref="B66:G66"/>
    <mergeCell ref="B67:G67"/>
    <mergeCell ref="B72:G72"/>
    <mergeCell ref="B73:G73"/>
    <mergeCell ref="B58:G58"/>
    <mergeCell ref="B59:G59"/>
    <mergeCell ref="B60:G60"/>
    <mergeCell ref="B61:G61"/>
    <mergeCell ref="B62:G62"/>
    <mergeCell ref="B63:G63"/>
    <mergeCell ref="B46:G46"/>
    <mergeCell ref="B47:G47"/>
    <mergeCell ref="B48:G48"/>
    <mergeCell ref="B51:G51"/>
    <mergeCell ref="B52:G52"/>
    <mergeCell ref="B53:G53"/>
    <mergeCell ref="B36:G36"/>
    <mergeCell ref="B37:G37"/>
    <mergeCell ref="B38:G38"/>
    <mergeCell ref="B39:G39"/>
    <mergeCell ref="B44:G44"/>
    <mergeCell ref="B45:G45"/>
    <mergeCell ref="B26:G26"/>
    <mergeCell ref="B27:G27"/>
    <mergeCell ref="B28:G28"/>
    <mergeCell ref="B33:G33"/>
    <mergeCell ref="B34:G34"/>
    <mergeCell ref="B35:G35"/>
    <mergeCell ref="B13:G13"/>
    <mergeCell ref="B14:G14"/>
    <mergeCell ref="B15:G15"/>
    <mergeCell ref="B16:G16"/>
    <mergeCell ref="B17:G17"/>
    <mergeCell ref="B18:G18"/>
    <mergeCell ref="B96:G96"/>
    <mergeCell ref="B22:G22"/>
    <mergeCell ref="B32:G32"/>
    <mergeCell ref="B43:G43"/>
    <mergeCell ref="B57:G57"/>
    <mergeCell ref="B71:G71"/>
    <mergeCell ref="B86:G86"/>
    <mergeCell ref="B23:G23"/>
    <mergeCell ref="B24:G24"/>
    <mergeCell ref="B25:G25"/>
    <mergeCell ref="A1565:F1565"/>
    <mergeCell ref="A21:S21"/>
    <mergeCell ref="A31:S31"/>
    <mergeCell ref="A42:S42"/>
    <mergeCell ref="A56:S56"/>
    <mergeCell ref="A70:S70"/>
    <mergeCell ref="A85:S85"/>
    <mergeCell ref="B30:G30"/>
    <mergeCell ref="B41:G41"/>
    <mergeCell ref="B55:G55"/>
    <mergeCell ref="A790:F790"/>
    <mergeCell ref="A902:F902"/>
    <mergeCell ref="A1010:F1010"/>
    <mergeCell ref="A1118:F1118"/>
    <mergeCell ref="A1231:F1231"/>
    <mergeCell ref="A1343:F1343"/>
    <mergeCell ref="A840:S840"/>
    <mergeCell ref="A854:S854"/>
    <mergeCell ref="A858:S858"/>
    <mergeCell ref="A873:S873"/>
    <mergeCell ref="G1232:S1232"/>
    <mergeCell ref="G1344:S1344"/>
    <mergeCell ref="G1458:S1458"/>
    <mergeCell ref="G1566:S1566"/>
    <mergeCell ref="A114:F114"/>
    <mergeCell ref="A222:F222"/>
    <mergeCell ref="A338:F338"/>
    <mergeCell ref="A447:F447"/>
    <mergeCell ref="A568:F568"/>
    <mergeCell ref="A677:F677"/>
    <mergeCell ref="G1342:S1342"/>
    <mergeCell ref="G1456:S1456"/>
    <mergeCell ref="G1564:S1564"/>
    <mergeCell ref="G115:S115"/>
    <mergeCell ref="G223:S223"/>
    <mergeCell ref="G339:S339"/>
    <mergeCell ref="G448:S448"/>
    <mergeCell ref="G569:S569"/>
    <mergeCell ref="G678:S678"/>
    <mergeCell ref="G791:S791"/>
    <mergeCell ref="G676:S676"/>
    <mergeCell ref="G789:S789"/>
    <mergeCell ref="G901:S901"/>
    <mergeCell ref="G1009:S1009"/>
    <mergeCell ref="G1117:S1117"/>
    <mergeCell ref="G1230:S1230"/>
    <mergeCell ref="G903:S903"/>
    <mergeCell ref="G1011:S1011"/>
    <mergeCell ref="G1119:S1119"/>
    <mergeCell ref="A713:S713"/>
    <mergeCell ref="H1121:H1122"/>
    <mergeCell ref="H1234:H1235"/>
    <mergeCell ref="H1346:H1347"/>
    <mergeCell ref="H1460:H1461"/>
    <mergeCell ref="H1568:H1569"/>
    <mergeCell ref="G113:S113"/>
    <mergeCell ref="G221:S221"/>
    <mergeCell ref="G337:S337"/>
    <mergeCell ref="G446:S446"/>
    <mergeCell ref="G567:S567"/>
    <mergeCell ref="A1566:F1566"/>
    <mergeCell ref="H117:H118"/>
    <mergeCell ref="H225:H226"/>
    <mergeCell ref="H341:H342"/>
    <mergeCell ref="H450:H451"/>
    <mergeCell ref="H571:H572"/>
    <mergeCell ref="H680:H681"/>
    <mergeCell ref="H793:H794"/>
    <mergeCell ref="H905:H906"/>
    <mergeCell ref="H1013:H1014"/>
    <mergeCell ref="A903:F903"/>
    <mergeCell ref="A1011:F1011"/>
    <mergeCell ref="A1119:F1119"/>
    <mergeCell ref="A1232:F1232"/>
    <mergeCell ref="A1344:F1344"/>
    <mergeCell ref="A1458:F1458"/>
    <mergeCell ref="A1457:F1457"/>
    <mergeCell ref="A938:S938"/>
    <mergeCell ref="A952:S952"/>
    <mergeCell ref="A966:S966"/>
    <mergeCell ref="A1341:Q1341"/>
    <mergeCell ref="A1455:Q1455"/>
    <mergeCell ref="A1563:Q1563"/>
    <mergeCell ref="A115:F115"/>
    <mergeCell ref="A223:F223"/>
    <mergeCell ref="A339:F339"/>
    <mergeCell ref="A448:F448"/>
    <mergeCell ref="A569:F569"/>
    <mergeCell ref="A678:F678"/>
    <mergeCell ref="A791:F791"/>
    <mergeCell ref="J1346:Q1346"/>
    <mergeCell ref="J1460:Q1460"/>
    <mergeCell ref="J1568:Q1568"/>
    <mergeCell ref="A112:Q112"/>
    <mergeCell ref="A220:Q220"/>
    <mergeCell ref="A336:Q336"/>
    <mergeCell ref="A445:Q445"/>
    <mergeCell ref="A566:Q566"/>
    <mergeCell ref="A675:Q675"/>
    <mergeCell ref="A788:Q788"/>
    <mergeCell ref="J680:Q680"/>
    <mergeCell ref="J793:Q793"/>
    <mergeCell ref="J905:Q905"/>
    <mergeCell ref="J1013:Q1013"/>
    <mergeCell ref="J1121:Q1121"/>
    <mergeCell ref="J1234:Q1234"/>
    <mergeCell ref="A900:Q900"/>
    <mergeCell ref="A1008:Q1008"/>
    <mergeCell ref="A1116:Q1116"/>
    <mergeCell ref="A1229:Q1229"/>
    <mergeCell ref="F1113:S1113"/>
    <mergeCell ref="F1226:S1226"/>
    <mergeCell ref="F1338:S1338"/>
    <mergeCell ref="F1452:S1452"/>
    <mergeCell ref="F1560:S1560"/>
    <mergeCell ref="J117:Q117"/>
    <mergeCell ref="J225:Q225"/>
    <mergeCell ref="J341:Q341"/>
    <mergeCell ref="J450:Q450"/>
    <mergeCell ref="J571:Q571"/>
    <mergeCell ref="A1564:F1564"/>
    <mergeCell ref="F109:S109"/>
    <mergeCell ref="F217:S217"/>
    <mergeCell ref="F333:S333"/>
    <mergeCell ref="F442:S442"/>
    <mergeCell ref="F563:S563"/>
    <mergeCell ref="F672:S672"/>
    <mergeCell ref="F785:S785"/>
    <mergeCell ref="F897:S897"/>
    <mergeCell ref="F1005:S1005"/>
    <mergeCell ref="A1568:A1569"/>
    <mergeCell ref="A113:F113"/>
    <mergeCell ref="A221:F221"/>
    <mergeCell ref="A337:F337"/>
    <mergeCell ref="A446:F446"/>
    <mergeCell ref="A567:F567"/>
    <mergeCell ref="A676:F676"/>
    <mergeCell ref="A789:F789"/>
    <mergeCell ref="A901:F901"/>
    <mergeCell ref="A1009:F1009"/>
    <mergeCell ref="A905:A906"/>
    <mergeCell ref="A1013:A1014"/>
    <mergeCell ref="A1121:A1122"/>
    <mergeCell ref="A1234:A1235"/>
    <mergeCell ref="A1346:A1347"/>
    <mergeCell ref="A1460:A1461"/>
    <mergeCell ref="A1117:F1117"/>
    <mergeCell ref="A1230:F1230"/>
    <mergeCell ref="A1342:F1342"/>
    <mergeCell ref="A1456:F1456"/>
    <mergeCell ref="B1124:G1124"/>
    <mergeCell ref="B1237:G1237"/>
    <mergeCell ref="B1349:G1349"/>
    <mergeCell ref="B1463:G1463"/>
    <mergeCell ref="B1571:G1571"/>
    <mergeCell ref="A117:A118"/>
    <mergeCell ref="A225:A226"/>
    <mergeCell ref="A341:A342"/>
    <mergeCell ref="A450:A451"/>
    <mergeCell ref="A571:A572"/>
    <mergeCell ref="A1454:Q1454"/>
    <mergeCell ref="A1562:Q1562"/>
    <mergeCell ref="B120:G120"/>
    <mergeCell ref="B228:G228"/>
    <mergeCell ref="B344:G344"/>
    <mergeCell ref="B453:G453"/>
    <mergeCell ref="B574:G574"/>
    <mergeCell ref="B683:G683"/>
    <mergeCell ref="B796:G796"/>
    <mergeCell ref="B908:G908"/>
    <mergeCell ref="A1561:Q1561"/>
    <mergeCell ref="A111:Q111"/>
    <mergeCell ref="A219:Q219"/>
    <mergeCell ref="A335:Q335"/>
    <mergeCell ref="A444:Q444"/>
    <mergeCell ref="A565:Q565"/>
    <mergeCell ref="A674:Q674"/>
    <mergeCell ref="A787:Q787"/>
    <mergeCell ref="A899:Q899"/>
    <mergeCell ref="A1007:Q1007"/>
    <mergeCell ref="A898:Q898"/>
    <mergeCell ref="A1006:Q1006"/>
    <mergeCell ref="A1114:Q1114"/>
    <mergeCell ref="A1227:Q1227"/>
    <mergeCell ref="A1339:Q1339"/>
    <mergeCell ref="A1453:Q1453"/>
    <mergeCell ref="A1115:Q1115"/>
    <mergeCell ref="A1228:Q1228"/>
    <mergeCell ref="A1340:Q1340"/>
    <mergeCell ref="B1016:G1016"/>
    <mergeCell ref="A1113:E1113"/>
    <mergeCell ref="A1226:E1226"/>
    <mergeCell ref="A1338:E1338"/>
    <mergeCell ref="A1452:E1452"/>
    <mergeCell ref="A1560:E1560"/>
    <mergeCell ref="A110:Q110"/>
    <mergeCell ref="A218:Q218"/>
    <mergeCell ref="A334:Q334"/>
    <mergeCell ref="A443:Q443"/>
    <mergeCell ref="A564:Q564"/>
    <mergeCell ref="I1568:I1569"/>
    <mergeCell ref="A109:E109"/>
    <mergeCell ref="A217:E217"/>
    <mergeCell ref="A333:E333"/>
    <mergeCell ref="A442:E442"/>
    <mergeCell ref="A563:E563"/>
    <mergeCell ref="A672:E672"/>
    <mergeCell ref="A785:E785"/>
    <mergeCell ref="A897:E897"/>
    <mergeCell ref="A1005:E1005"/>
    <mergeCell ref="G1667:S1667"/>
    <mergeCell ref="I117:I118"/>
    <mergeCell ref="I225:I226"/>
    <mergeCell ref="I341:I342"/>
    <mergeCell ref="I450:I451"/>
    <mergeCell ref="I571:I572"/>
    <mergeCell ref="I680:I681"/>
    <mergeCell ref="I793:I794"/>
    <mergeCell ref="I905:I906"/>
    <mergeCell ref="I1013:I1014"/>
    <mergeCell ref="G332:S332"/>
    <mergeCell ref="G441:S441"/>
    <mergeCell ref="G562:S562"/>
    <mergeCell ref="G671:S671"/>
    <mergeCell ref="G784:S784"/>
    <mergeCell ref="G896:S896"/>
    <mergeCell ref="A673:Q673"/>
    <mergeCell ref="A786:Q786"/>
    <mergeCell ref="A680:A681"/>
    <mergeCell ref="A793:A794"/>
    <mergeCell ref="G891:S891"/>
    <mergeCell ref="G999:S999"/>
    <mergeCell ref="G1107:S1107"/>
    <mergeCell ref="G1220:S1220"/>
    <mergeCell ref="G1332:S1332"/>
    <mergeCell ref="G1446:S1446"/>
    <mergeCell ref="G1004:S1004"/>
    <mergeCell ref="G1112:S1112"/>
    <mergeCell ref="G1225:S1225"/>
    <mergeCell ref="G1337:S1337"/>
    <mergeCell ref="A1106:S1106"/>
    <mergeCell ref="A1219:S1219"/>
    <mergeCell ref="A1331:S1331"/>
    <mergeCell ref="A1445:S1445"/>
    <mergeCell ref="A1553:S1553"/>
    <mergeCell ref="A1661:S1661"/>
    <mergeCell ref="G1554:S1554"/>
    <mergeCell ref="G1451:S1451"/>
    <mergeCell ref="G1559:S1559"/>
    <mergeCell ref="I1121:I1122"/>
    <mergeCell ref="A435:S435"/>
    <mergeCell ref="A556:S556"/>
    <mergeCell ref="A665:S665"/>
    <mergeCell ref="A778:S778"/>
    <mergeCell ref="A890:S890"/>
    <mergeCell ref="A998:S998"/>
    <mergeCell ref="G436:S436"/>
    <mergeCell ref="G557:S557"/>
    <mergeCell ref="G666:S666"/>
    <mergeCell ref="G779:S779"/>
    <mergeCell ref="I1108:S1108"/>
    <mergeCell ref="I1221:S1221"/>
    <mergeCell ref="I1333:S1333"/>
    <mergeCell ref="I1447:S1447"/>
    <mergeCell ref="I1555:S1555"/>
    <mergeCell ref="I1663:S1663"/>
    <mergeCell ref="G1662:S1662"/>
    <mergeCell ref="I1234:I1235"/>
    <mergeCell ref="I1346:I1347"/>
    <mergeCell ref="I1460:I1461"/>
    <mergeCell ref="B1471:G1471"/>
    <mergeCell ref="B1579:G1579"/>
    <mergeCell ref="I212:S212"/>
    <mergeCell ref="I328:S328"/>
    <mergeCell ref="I437:S437"/>
    <mergeCell ref="I558:S558"/>
    <mergeCell ref="I667:S667"/>
    <mergeCell ref="I780:S780"/>
    <mergeCell ref="I892:S892"/>
    <mergeCell ref="I1000:S1000"/>
    <mergeCell ref="A1550:S1550"/>
    <mergeCell ref="A1658:S1658"/>
    <mergeCell ref="B128:G128"/>
    <mergeCell ref="B236:G236"/>
    <mergeCell ref="B352:G352"/>
    <mergeCell ref="B461:G461"/>
    <mergeCell ref="B582:G582"/>
    <mergeCell ref="B691:G691"/>
    <mergeCell ref="B804:G804"/>
    <mergeCell ref="B916:G916"/>
    <mergeCell ref="A887:S887"/>
    <mergeCell ref="A995:S995"/>
    <mergeCell ref="A1103:S1103"/>
    <mergeCell ref="A1216:S1216"/>
    <mergeCell ref="A1328:S1328"/>
    <mergeCell ref="A1442:S1442"/>
    <mergeCell ref="B1024:G1024"/>
    <mergeCell ref="B1132:G1132"/>
    <mergeCell ref="B1245:G1245"/>
    <mergeCell ref="B1357:G1357"/>
    <mergeCell ref="S1121:S1122"/>
    <mergeCell ref="S1234:S1235"/>
    <mergeCell ref="S1346:S1347"/>
    <mergeCell ref="S1460:S1461"/>
    <mergeCell ref="S1568:S1569"/>
    <mergeCell ref="A207:S207"/>
    <mergeCell ref="A432:S432"/>
    <mergeCell ref="A553:S553"/>
    <mergeCell ref="A662:S662"/>
    <mergeCell ref="A775:S775"/>
    <mergeCell ref="A1551:S1551"/>
    <mergeCell ref="A1659:S1659"/>
    <mergeCell ref="S117:S118"/>
    <mergeCell ref="S225:S226"/>
    <mergeCell ref="S341:S342"/>
    <mergeCell ref="S450:S451"/>
    <mergeCell ref="S571:S572"/>
    <mergeCell ref="S680:S681"/>
    <mergeCell ref="S793:S794"/>
    <mergeCell ref="S905:S906"/>
    <mergeCell ref="A1552:S1552"/>
    <mergeCell ref="A1660:S1660"/>
    <mergeCell ref="A208:S208"/>
    <mergeCell ref="A433:S433"/>
    <mergeCell ref="A554:S554"/>
    <mergeCell ref="A663:S663"/>
    <mergeCell ref="A776:S776"/>
    <mergeCell ref="A888:S888"/>
    <mergeCell ref="A996:S996"/>
    <mergeCell ref="A1104:S1104"/>
    <mergeCell ref="A889:S889"/>
    <mergeCell ref="A997:S997"/>
    <mergeCell ref="A1105:S1105"/>
    <mergeCell ref="A1218:S1218"/>
    <mergeCell ref="A1330:S1330"/>
    <mergeCell ref="A1444:S1444"/>
    <mergeCell ref="A1217:S1217"/>
    <mergeCell ref="A1329:S1329"/>
    <mergeCell ref="A1443:S1443"/>
    <mergeCell ref="S1013:S1014"/>
    <mergeCell ref="B1121:G1122"/>
    <mergeCell ref="B1234:G1235"/>
    <mergeCell ref="B1346:G1347"/>
    <mergeCell ref="B1460:G1461"/>
    <mergeCell ref="B1568:G1569"/>
    <mergeCell ref="A209:S209"/>
    <mergeCell ref="A434:S434"/>
    <mergeCell ref="A555:S555"/>
    <mergeCell ref="A664:S664"/>
    <mergeCell ref="A777:S777"/>
    <mergeCell ref="A1123:S1123"/>
    <mergeCell ref="A1236:S1236"/>
    <mergeCell ref="A1348:S1348"/>
    <mergeCell ref="A1462:S1462"/>
    <mergeCell ref="A1570:S1570"/>
    <mergeCell ref="B117:G118"/>
    <mergeCell ref="B225:G226"/>
    <mergeCell ref="B341:G342"/>
    <mergeCell ref="B450:G451"/>
    <mergeCell ref="B571:G572"/>
    <mergeCell ref="A452:S452"/>
    <mergeCell ref="A573:S573"/>
    <mergeCell ref="A682:S682"/>
    <mergeCell ref="A795:S795"/>
    <mergeCell ref="A907:S907"/>
    <mergeCell ref="A1015:S1015"/>
    <mergeCell ref="B680:G681"/>
    <mergeCell ref="B793:G794"/>
    <mergeCell ref="B905:G906"/>
    <mergeCell ref="B1013:G1014"/>
    <mergeCell ref="G5:S5"/>
    <mergeCell ref="G7:S7"/>
    <mergeCell ref="A6:F6"/>
    <mergeCell ref="A119:S119"/>
    <mergeCell ref="A227:S227"/>
    <mergeCell ref="A343:S343"/>
    <mergeCell ref="A210:S210"/>
    <mergeCell ref="G211:S211"/>
    <mergeCell ref="G327:S327"/>
    <mergeCell ref="G216:S216"/>
    <mergeCell ref="A1:E1"/>
    <mergeCell ref="A2:Q2"/>
    <mergeCell ref="A3:Q3"/>
    <mergeCell ref="B12:G12"/>
    <mergeCell ref="A9:A10"/>
    <mergeCell ref="A5:F5"/>
    <mergeCell ref="F1:S1"/>
    <mergeCell ref="J9:Q9"/>
    <mergeCell ref="A4:Q4"/>
    <mergeCell ref="A7:F7"/>
    <mergeCell ref="B1673:Q1674"/>
    <mergeCell ref="A1670:B1670"/>
    <mergeCell ref="A1672:B1672"/>
    <mergeCell ref="B20:G20"/>
    <mergeCell ref="I104:S104"/>
    <mergeCell ref="A1671:B1671"/>
    <mergeCell ref="C1669:Q1669"/>
    <mergeCell ref="A102:S102"/>
    <mergeCell ref="G103:S103"/>
    <mergeCell ref="G108:S108"/>
    <mergeCell ref="A11:S11"/>
    <mergeCell ref="B9:G10"/>
    <mergeCell ref="A101:S101"/>
    <mergeCell ref="A100:S100"/>
    <mergeCell ref="S9:S10"/>
    <mergeCell ref="A99:S99"/>
    <mergeCell ref="I9:I10"/>
    <mergeCell ref="H9:H10"/>
    <mergeCell ref="B69:G69"/>
    <mergeCell ref="B84:G84"/>
  </mergeCells>
  <phoneticPr fontId="7" type="noConversion"/>
  <conditionalFormatting sqref="B12:G18 B120:G126 B228:G234 B344:G350 B453:G459 B574:G580 B683:G689 B796:G802 B908:G914 B1016:G1022 B1124:G1130 B1237:G1243 B1349:G1355 B1463:G1469 B1571:G1577 B22:G28 B32:G39 B43:G53 B57:G67 B71:G82 B86:G94 B130:G136 B140:G147 B151:G161 B165:G175 B179:G190 B194:G202 B238:G244 B248:G248 B252:G259 B263:G263 B269:G277 B281:G291 B295:G295 B299:G310 B314:G322 B354:G360 B364:G371 B375:G385 B389:G399 B403:G414 B418:G427 B463:G469 B473:G473 B477:G477 B481:G488 B494:G494 B498:G506 B510:G520 B524:G535 B539:G548 B584:G590 B594:G601 B605:G615 B619:G629 B633:G644 B648:G657 B693:G699 B703:G710 B714:G724 B728:G738 B742:G742 B746:G757 B761:G770 B806:G812 B816:G823 B827:G837 B841:G851 B855:G855 B859:G870 B874:G882 B918:G924 B928:G935 B939:G949 B953:G963 B967:G978 B982:G990 B1026:G1032 B1036:G1043 B1047:G1057 B1061:G1071 B1075:G1086 B1090:G1098 B1134:G1140 B1144:G1144 B1148:G1155 B1159:G1169 B1173:G1183 B1187:G1198 B1202:G1211 B1247:G1253 B1257:G1264 B1268:G1268 B1272:G1282 B1286:G1296 B1300:G1311 B1315:G1323 B1359:G1365 B1369:G1376 B1380:G1390 B1394:G1404 B1408:G1409 B1413:G1424 B1428:G1437 B1473:G1479 B1483:G1490 B1494:G1504 B1508:G1518 B1522:G1533 B1537:G1545 B1581:G1587 B1591:G1598 B1602:G1612 B1616:G1626 B1630:G1640 B1644:G1653">
    <cfRule type="expression" dxfId="4" priority="1" stopIfTrue="1">
      <formula>$R12=5</formula>
    </cfRule>
    <cfRule type="expression" dxfId="3" priority="2" stopIfTrue="1">
      <formula>$R12=4</formula>
    </cfRule>
    <cfRule type="expression" dxfId="2" priority="3" stopIfTrue="1">
      <formula>$R12=3</formula>
    </cfRule>
    <cfRule type="expression" dxfId="1" priority="4" stopIfTrue="1">
      <formula>$R12=2</formula>
    </cfRule>
    <cfRule type="expression" dxfId="0" priority="5" stopIfTrue="1">
      <formula>$R12=1</formula>
    </cfRule>
  </conditionalFormatting>
  <printOptions horizontalCentered="1"/>
  <pageMargins left="0.51181102362204722" right="0.51181102362204722" top="0.51181102362204722" bottom="0.51181102362204722" header="0" footer="0"/>
  <pageSetup paperSize="9" fitToWidth="0" fitToHeight="0" orientation="portrait" horizontalDpi="200" verticalDpi="200" r:id="rId1"/>
  <rowBreaks count="29" manualBreakCount="29">
    <brk id="48" max="16383" man="1"/>
    <brk id="108" max="16383" man="1"/>
    <brk id="156" max="16383" man="1"/>
    <brk id="216" max="16383" man="1"/>
    <brk id="264" max="16383" man="1"/>
    <brk id="332" max="16383" man="1"/>
    <brk id="380" max="16383" man="1"/>
    <brk id="441" max="16383" man="1"/>
    <brk id="489" max="16383" man="1"/>
    <brk id="562" max="16383" man="1"/>
    <brk id="610" max="16383" man="1"/>
    <brk id="671" max="16383" man="1"/>
    <brk id="719" max="16383" man="1"/>
    <brk id="784" max="16383" man="1"/>
    <brk id="832" max="16383" man="1"/>
    <brk id="896" max="16383" man="1"/>
    <brk id="944" max="16383" man="1"/>
    <brk id="1004" max="16383" man="1"/>
    <brk id="1052" max="16383" man="1"/>
    <brk id="1112" max="16383" man="1"/>
    <brk id="1160" max="16383" man="1"/>
    <brk id="1225" max="16383" man="1"/>
    <brk id="1273" max="16383" man="1"/>
    <brk id="1337" max="16383" man="1"/>
    <brk id="1385" max="16383" man="1"/>
    <brk id="1451" max="16383" man="1"/>
    <brk id="1499" max="16383" man="1"/>
    <brk id="1559" max="16383" man="1"/>
    <brk id="160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BangDiem</vt:lpstr>
      <vt:lpstr>__Diem__</vt:lpstr>
      <vt:lpstr>__DTB__</vt:lpstr>
      <vt:lpstr>__HocKy__</vt:lpstr>
      <vt:lpstr>__SV__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HOANGHIEN</dc:creator>
  <cp:lastModifiedBy>Admin</cp:lastModifiedBy>
  <cp:lastPrinted>2022-03-29T15:18:22Z</cp:lastPrinted>
  <dcterms:created xsi:type="dcterms:W3CDTF">2014-05-20T16:15:47Z</dcterms:created>
  <dcterms:modified xsi:type="dcterms:W3CDTF">2026-06-23T02:14:19Z</dcterms:modified>
</cp:coreProperties>
</file>