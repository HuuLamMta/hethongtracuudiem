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ảng điểm quá trình\"/>
    </mc:Choice>
  </mc:AlternateContent>
  <xr:revisionPtr revIDLastSave="0" documentId="8_{1843A184-B481-472C-B81E-E75BC13E8452}" xr6:coauthVersionLast="47" xr6:coauthVersionMax="47" xr10:uidLastSave="{00000000-0000-0000-0000-000000000000}"/>
  <bookViews>
    <workbookView xWindow="-108" yWindow="-108" windowWidth="23256" windowHeight="12576" xr2:uid="{C379F4A0-C805-4DEC-A0B6-D2331A61AADB}"/>
  </bookViews>
  <sheets>
    <sheet name="BangDiem" sheetId="1" r:id="rId1"/>
  </sheets>
  <definedNames>
    <definedName name="__Diem__">BangDiem!$A$12:$Q$12</definedName>
    <definedName name="__DTB__">BangDiem!$A$95:$S$98</definedName>
    <definedName name="__HocKy__">BangDiem!$A$11:$Q$20</definedName>
    <definedName name="__SV__">BangDiem!$A$1:$T$104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I20" i="1"/>
  <c r="O20" i="1"/>
  <c r="M20" i="1" s="1"/>
  <c r="M22" i="1"/>
  <c r="N22" i="1"/>
  <c r="P30" i="1" s="1"/>
  <c r="N30" i="1" s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I30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I40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M53" i="1"/>
  <c r="N53" i="1"/>
  <c r="I54" i="1"/>
  <c r="P54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I67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I82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I92" i="1"/>
  <c r="P92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I124" i="1"/>
  <c r="O124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I134" i="1"/>
  <c r="M134" i="1" s="1"/>
  <c r="O134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I144" i="1"/>
  <c r="O144" i="1" s="1"/>
  <c r="M144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5" i="1"/>
  <c r="N155" i="1"/>
  <c r="M156" i="1"/>
  <c r="N156" i="1"/>
  <c r="M157" i="1"/>
  <c r="N157" i="1"/>
  <c r="I158" i="1"/>
  <c r="P158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I171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I186" i="1"/>
  <c r="M186" i="1" s="1"/>
  <c r="O186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I196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I228" i="1"/>
  <c r="P228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I238" i="1"/>
  <c r="O238" i="1"/>
  <c r="M240" i="1"/>
  <c r="N240" i="1"/>
  <c r="M241" i="1"/>
  <c r="N241" i="1"/>
  <c r="P242" i="1" s="1"/>
  <c r="N242" i="1" s="1"/>
  <c r="I242" i="1"/>
  <c r="M242" i="1" s="1"/>
  <c r="O242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I252" i="1"/>
  <c r="M254" i="1"/>
  <c r="N254" i="1"/>
  <c r="M255" i="1"/>
  <c r="N255" i="1"/>
  <c r="M256" i="1"/>
  <c r="N256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I266" i="1"/>
  <c r="P266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I279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I294" i="1"/>
  <c r="M294" i="1" s="1"/>
  <c r="O294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I305" i="1"/>
  <c r="O305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I337" i="1"/>
  <c r="M337" i="1" s="1"/>
  <c r="O337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I347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I357" i="1"/>
  <c r="P357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8" i="1"/>
  <c r="N368" i="1"/>
  <c r="M369" i="1"/>
  <c r="N369" i="1"/>
  <c r="M370" i="1"/>
  <c r="N370" i="1"/>
  <c r="I371" i="1"/>
  <c r="O371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I384" i="1"/>
  <c r="P384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I399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I409" i="1"/>
  <c r="P409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I441" i="1"/>
  <c r="O441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I451" i="1"/>
  <c r="M451" i="1" s="1"/>
  <c r="O451" i="1"/>
  <c r="M453" i="1"/>
  <c r="N453" i="1"/>
  <c r="P455" i="1" s="1"/>
  <c r="N455" i="1" s="1"/>
  <c r="M454" i="1"/>
  <c r="O455" i="1" s="1"/>
  <c r="N454" i="1"/>
  <c r="I455" i="1"/>
  <c r="M455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I465" i="1"/>
  <c r="P465" i="1"/>
  <c r="M467" i="1"/>
  <c r="N467" i="1"/>
  <c r="M468" i="1"/>
  <c r="N468" i="1"/>
  <c r="M469" i="1"/>
  <c r="N469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I479" i="1"/>
  <c r="O479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I492" i="1"/>
  <c r="P492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I507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I517" i="1"/>
  <c r="P517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I549" i="1"/>
  <c r="O549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I559" i="1"/>
  <c r="M559" i="1" s="1"/>
  <c r="O559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I569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80" i="1"/>
  <c r="N580" i="1"/>
  <c r="M581" i="1"/>
  <c r="N581" i="1"/>
  <c r="M582" i="1"/>
  <c r="N582" i="1"/>
  <c r="I583" i="1"/>
  <c r="P583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I596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I611" i="1"/>
  <c r="M611" i="1" s="1"/>
  <c r="O611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I621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I653" i="1"/>
  <c r="P653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I663" i="1"/>
  <c r="O663" i="1"/>
  <c r="M665" i="1"/>
  <c r="N665" i="1"/>
  <c r="M666" i="1"/>
  <c r="N666" i="1"/>
  <c r="P667" i="1" s="1"/>
  <c r="N667" i="1" s="1"/>
  <c r="I667" i="1"/>
  <c r="M667" i="1" s="1"/>
  <c r="O667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I677" i="1"/>
  <c r="M679" i="1"/>
  <c r="N679" i="1"/>
  <c r="M680" i="1"/>
  <c r="N680" i="1"/>
  <c r="I681" i="1"/>
  <c r="P681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I695" i="1"/>
  <c r="O695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I708" i="1"/>
  <c r="P708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I723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I733" i="1"/>
  <c r="P733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I765" i="1"/>
  <c r="O765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I775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I785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6" i="1"/>
  <c r="N796" i="1"/>
  <c r="M797" i="1"/>
  <c r="N797" i="1"/>
  <c r="M798" i="1"/>
  <c r="N798" i="1"/>
  <c r="I799" i="1"/>
  <c r="P799" i="1"/>
  <c r="M801" i="1"/>
  <c r="N801" i="1"/>
  <c r="P812" i="1" s="1"/>
  <c r="N812" i="1" s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I812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I827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I837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I869" i="1"/>
  <c r="P869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I879" i="1"/>
  <c r="O879" i="1"/>
  <c r="M881" i="1"/>
  <c r="N881" i="1"/>
  <c r="M882" i="1"/>
  <c r="N882" i="1"/>
  <c r="P883" i="1" s="1"/>
  <c r="N883" i="1" s="1"/>
  <c r="I883" i="1"/>
  <c r="M883" i="1" s="1"/>
  <c r="O883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I893" i="1"/>
  <c r="M895" i="1"/>
  <c r="N895" i="1"/>
  <c r="M896" i="1"/>
  <c r="N896" i="1"/>
  <c r="M897" i="1"/>
  <c r="N897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I907" i="1"/>
  <c r="M909" i="1"/>
  <c r="N909" i="1"/>
  <c r="P920" i="1" s="1"/>
  <c r="N920" i="1" s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I920" i="1"/>
  <c r="M922" i="1"/>
  <c r="O935" i="1" s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I935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I945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I977" i="1"/>
  <c r="M979" i="1"/>
  <c r="N979" i="1"/>
  <c r="M980" i="1"/>
  <c r="N980" i="1"/>
  <c r="P987" i="1" s="1"/>
  <c r="M981" i="1"/>
  <c r="N981" i="1"/>
  <c r="M982" i="1"/>
  <c r="N982" i="1"/>
  <c r="M983" i="1"/>
  <c r="N983" i="1"/>
  <c r="M984" i="1"/>
  <c r="N984" i="1"/>
  <c r="M985" i="1"/>
  <c r="N985" i="1"/>
  <c r="M986" i="1"/>
  <c r="N986" i="1"/>
  <c r="I987" i="1"/>
  <c r="O987" i="1"/>
  <c r="M989" i="1"/>
  <c r="N989" i="1"/>
  <c r="M990" i="1"/>
  <c r="N990" i="1"/>
  <c r="P991" i="1" s="1"/>
  <c r="N991" i="1" s="1"/>
  <c r="I991" i="1"/>
  <c r="O991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I1001" i="1"/>
  <c r="M1003" i="1"/>
  <c r="N1003" i="1"/>
  <c r="M1004" i="1"/>
  <c r="N1004" i="1"/>
  <c r="M1005" i="1"/>
  <c r="N1005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I1015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I1028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I1043" i="1"/>
  <c r="M1043" i="1" s="1"/>
  <c r="O1043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I1053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I1085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I1095" i="1"/>
  <c r="O1095" i="1"/>
  <c r="P1095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I1105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6" i="1"/>
  <c r="N1116" i="1"/>
  <c r="M1117" i="1"/>
  <c r="N1117" i="1"/>
  <c r="M1118" i="1"/>
  <c r="N1118" i="1"/>
  <c r="I1119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I1132" i="1"/>
  <c r="M1132" i="1" s="1"/>
  <c r="O1132" i="1"/>
  <c r="M1134" i="1"/>
  <c r="N1134" i="1"/>
  <c r="P1147" i="1" s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I1147" i="1"/>
  <c r="O1147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I1158" i="1"/>
  <c r="M1182" i="1"/>
  <c r="N1182" i="1"/>
  <c r="M1183" i="1"/>
  <c r="N1183" i="1"/>
  <c r="M1184" i="1"/>
  <c r="N1184" i="1"/>
  <c r="P1190" i="1" s="1"/>
  <c r="M1185" i="1"/>
  <c r="N1185" i="1"/>
  <c r="M1186" i="1"/>
  <c r="N1186" i="1"/>
  <c r="M1187" i="1"/>
  <c r="N1187" i="1"/>
  <c r="M1188" i="1"/>
  <c r="N1188" i="1"/>
  <c r="M1189" i="1"/>
  <c r="N1189" i="1"/>
  <c r="I1190" i="1"/>
  <c r="M1190" i="1"/>
  <c r="O1190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I1200" i="1"/>
  <c r="N1200" i="1"/>
  <c r="O1200" i="1"/>
  <c r="P1200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I1210" i="1"/>
  <c r="M1210" i="1"/>
  <c r="O1210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21" i="1"/>
  <c r="N1221" i="1"/>
  <c r="M1222" i="1"/>
  <c r="N1222" i="1"/>
  <c r="M1223" i="1"/>
  <c r="N1223" i="1"/>
  <c r="I1224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I1237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I1252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I1262" i="1"/>
  <c r="M1262" i="1"/>
  <c r="O1262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I1294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I1304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I1314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5" i="1"/>
  <c r="N1325" i="1"/>
  <c r="M1326" i="1"/>
  <c r="N1326" i="1"/>
  <c r="M1327" i="1"/>
  <c r="N1327" i="1"/>
  <c r="I1328" i="1"/>
  <c r="M1328" i="1"/>
  <c r="O1328" i="1"/>
  <c r="M1330" i="1"/>
  <c r="O1341" i="1" s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I1341" i="1"/>
  <c r="P1341" i="1"/>
  <c r="N1341" i="1" s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I1356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I1366" i="1"/>
  <c r="P1366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I1398" i="1"/>
  <c r="O1398" i="1"/>
  <c r="M1400" i="1"/>
  <c r="N1400" i="1"/>
  <c r="P1408" i="1" s="1"/>
  <c r="N1408" i="1" s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I1408" i="1"/>
  <c r="M1410" i="1"/>
  <c r="N1410" i="1"/>
  <c r="P1412" i="1" s="1"/>
  <c r="N1412" i="1" s="1"/>
  <c r="M1411" i="1"/>
  <c r="N1411" i="1"/>
  <c r="I1412" i="1"/>
  <c r="O1412" i="1" s="1"/>
  <c r="M1412" i="1"/>
  <c r="M1414" i="1"/>
  <c r="N1414" i="1"/>
  <c r="M1415" i="1"/>
  <c r="N1415" i="1"/>
  <c r="I1416" i="1"/>
  <c r="P1416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I1426" i="1"/>
  <c r="O1426" i="1"/>
  <c r="M1430" i="1"/>
  <c r="N1430" i="1"/>
  <c r="P1432" i="1" s="1"/>
  <c r="N1432" i="1" s="1"/>
  <c r="M1431" i="1"/>
  <c r="O1432" i="1" s="1"/>
  <c r="M1432" i="1" s="1"/>
  <c r="N1431" i="1"/>
  <c r="I1432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I1444" i="1"/>
  <c r="O1444" i="1" s="1"/>
  <c r="M1444" i="1"/>
  <c r="M1446" i="1"/>
  <c r="N1446" i="1"/>
  <c r="P1457" i="1" s="1"/>
  <c r="N1457" i="1" s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I1457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I1472" i="1"/>
  <c r="O1472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I1483" i="1"/>
  <c r="P1483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I1515" i="1"/>
  <c r="O1515" i="1"/>
  <c r="M1517" i="1"/>
  <c r="N1517" i="1"/>
  <c r="P1525" i="1" s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I1525" i="1"/>
  <c r="N1525" i="1"/>
  <c r="M1527" i="1"/>
  <c r="N1527" i="1"/>
  <c r="P1529" i="1" s="1"/>
  <c r="N1529" i="1" s="1"/>
  <c r="M1528" i="1"/>
  <c r="N1528" i="1"/>
  <c r="I1529" i="1"/>
  <c r="O1529" i="1" s="1"/>
  <c r="M1529" i="1"/>
  <c r="M1531" i="1"/>
  <c r="N1531" i="1"/>
  <c r="P1534" i="1" s="1"/>
  <c r="M1532" i="1"/>
  <c r="N1532" i="1"/>
  <c r="M1533" i="1"/>
  <c r="N1533" i="1"/>
  <c r="I1534" i="1"/>
  <c r="N1534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I1546" i="1"/>
  <c r="O1546" i="1" s="1"/>
  <c r="M1546" i="1"/>
  <c r="M1548" i="1"/>
  <c r="N1548" i="1"/>
  <c r="M1549" i="1"/>
  <c r="N1549" i="1"/>
  <c r="I1550" i="1"/>
  <c r="P1550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I1562" i="1"/>
  <c r="O1562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I1575" i="1"/>
  <c r="P1575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I1590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I1600" i="1"/>
  <c r="P1600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I1632" i="1"/>
  <c r="M1634" i="1"/>
  <c r="N1634" i="1"/>
  <c r="P1642" i="1" s="1"/>
  <c r="N1642" i="1" s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I1642" i="1"/>
  <c r="O1642" i="1"/>
  <c r="M1642" i="1" s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I1652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3" i="1"/>
  <c r="N1663" i="1"/>
  <c r="M1664" i="1"/>
  <c r="N1664" i="1"/>
  <c r="M1665" i="1"/>
  <c r="N1665" i="1"/>
  <c r="I1666" i="1"/>
  <c r="P1666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I1679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I1694" i="1"/>
  <c r="O1694" i="1"/>
  <c r="M1694" i="1" s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I1704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I1736" i="1"/>
  <c r="P1736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I1746" i="1"/>
  <c r="M1748" i="1"/>
  <c r="N1748" i="1"/>
  <c r="P1756" i="1" s="1"/>
  <c r="N1756" i="1" s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I1756" i="1"/>
  <c r="O1756" i="1"/>
  <c r="M1756" i="1" s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7" i="1"/>
  <c r="N1767" i="1"/>
  <c r="M1768" i="1"/>
  <c r="N1768" i="1"/>
  <c r="M1769" i="1"/>
  <c r="N1769" i="1"/>
  <c r="I1770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I1783" i="1"/>
  <c r="O1783" i="1"/>
  <c r="M1783" i="1" s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I1798" i="1"/>
  <c r="M1800" i="1"/>
  <c r="N1800" i="1"/>
  <c r="P1808" i="1" s="1"/>
  <c r="N1808" i="1" s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I1808" i="1"/>
  <c r="O1808" i="1"/>
  <c r="M1808" i="1" s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I1840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I1850" i="1"/>
  <c r="P1850" i="1"/>
  <c r="M1852" i="1"/>
  <c r="N1852" i="1"/>
  <c r="M1853" i="1"/>
  <c r="N1853" i="1"/>
  <c r="I1854" i="1"/>
  <c r="P1854" i="1" s="1"/>
  <c r="M1856" i="1"/>
  <c r="N1856" i="1"/>
  <c r="P1864" i="1" s="1"/>
  <c r="N1864" i="1" s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I1864" i="1"/>
  <c r="O1864" i="1"/>
  <c r="M1864" i="1" s="1"/>
  <c r="M1866" i="1"/>
  <c r="N1866" i="1"/>
  <c r="M1867" i="1"/>
  <c r="N1867" i="1"/>
  <c r="M1868" i="1"/>
  <c r="N1868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I1878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I1891" i="1"/>
  <c r="O1891" i="1"/>
  <c r="M1891" i="1" s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I1906" i="1"/>
  <c r="P1906" i="1" s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I1916" i="1"/>
  <c r="M1916" i="1"/>
  <c r="O1916" i="1"/>
  <c r="M1940" i="1"/>
  <c r="N1940" i="1"/>
  <c r="P1948" i="1" s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I1948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I1958" i="1"/>
  <c r="M1960" i="1"/>
  <c r="N1960" i="1"/>
  <c r="M1961" i="1"/>
  <c r="N1961" i="1"/>
  <c r="P1968" i="1" s="1"/>
  <c r="N1968" i="1" s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I1968" i="1"/>
  <c r="M1968" i="1" s="1"/>
  <c r="O1968" i="1"/>
  <c r="M1970" i="1"/>
  <c r="N1970" i="1"/>
  <c r="P1982" i="1" s="1"/>
  <c r="N1982" i="1" s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9" i="1"/>
  <c r="N1979" i="1"/>
  <c r="M1980" i="1"/>
  <c r="N1980" i="1"/>
  <c r="M1981" i="1"/>
  <c r="N1981" i="1"/>
  <c r="I1982" i="1"/>
  <c r="O1982" i="1" s="1"/>
  <c r="M1982" i="1" s="1"/>
  <c r="M1984" i="1"/>
  <c r="N1984" i="1"/>
  <c r="P1995" i="1" s="1"/>
  <c r="N1995" i="1" s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I1995" i="1"/>
  <c r="M1995" i="1" s="1"/>
  <c r="O1995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I2010" i="1"/>
  <c r="M2012" i="1"/>
  <c r="N2012" i="1"/>
  <c r="M2013" i="1"/>
  <c r="N2013" i="1"/>
  <c r="P2020" i="1" s="1"/>
  <c r="N2020" i="1" s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I2020" i="1"/>
  <c r="M2020" i="1" s="1"/>
  <c r="O2020" i="1"/>
  <c r="M2044" i="1"/>
  <c r="N2044" i="1"/>
  <c r="P2052" i="1" s="1"/>
  <c r="N2052" i="1" s="1"/>
  <c r="M2045" i="1"/>
  <c r="O2052" i="1" s="1"/>
  <c r="M2052" i="1" s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I2052" i="1"/>
  <c r="M2054" i="1"/>
  <c r="N2054" i="1"/>
  <c r="P2062" i="1" s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I2062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I2072" i="1"/>
  <c r="P2072" i="1"/>
  <c r="M2074" i="1"/>
  <c r="N2074" i="1"/>
  <c r="M2075" i="1"/>
  <c r="N2075" i="1"/>
  <c r="P2086" i="1" s="1"/>
  <c r="N2086" i="1" s="1"/>
  <c r="M2076" i="1"/>
  <c r="N2076" i="1"/>
  <c r="M2077" i="1"/>
  <c r="N2077" i="1"/>
  <c r="M2078" i="1"/>
  <c r="N2078" i="1"/>
  <c r="M2079" i="1"/>
  <c r="N2079" i="1"/>
  <c r="M2080" i="1"/>
  <c r="N2080" i="1"/>
  <c r="M2083" i="1"/>
  <c r="N2083" i="1"/>
  <c r="M2084" i="1"/>
  <c r="N2084" i="1"/>
  <c r="M2085" i="1"/>
  <c r="N2085" i="1"/>
  <c r="I2086" i="1"/>
  <c r="M2086" i="1" s="1"/>
  <c r="O2086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I2099" i="1"/>
  <c r="M2101" i="1"/>
  <c r="N2101" i="1"/>
  <c r="M2102" i="1"/>
  <c r="N2102" i="1"/>
  <c r="P2114" i="1" s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I2114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I2124" i="1"/>
  <c r="P2124" i="1"/>
  <c r="N1948" i="1" l="1"/>
  <c r="N2114" i="1"/>
  <c r="N2062" i="1"/>
  <c r="P2010" i="1"/>
  <c r="P1426" i="1"/>
  <c r="N1426" i="1" s="1"/>
  <c r="P1398" i="1"/>
  <c r="O1958" i="1"/>
  <c r="M1958" i="1" s="1"/>
  <c r="P1878" i="1"/>
  <c r="N1878" i="1" s="1"/>
  <c r="P1840" i="1"/>
  <c r="N1840" i="1" s="1"/>
  <c r="P1770" i="1"/>
  <c r="N1770" i="1" s="1"/>
  <c r="P1704" i="1"/>
  <c r="N1704" i="1" s="1"/>
  <c r="P1679" i="1"/>
  <c r="N1679" i="1" s="1"/>
  <c r="P1652" i="1"/>
  <c r="N1652" i="1" s="1"/>
  <c r="P1590" i="1"/>
  <c r="N1590" i="1" s="1"/>
  <c r="M1550" i="1"/>
  <c r="N1550" i="1"/>
  <c r="O1550" i="1"/>
  <c r="O1525" i="1"/>
  <c r="M1525" i="1" s="1"/>
  <c r="M1515" i="1"/>
  <c r="O1457" i="1"/>
  <c r="M1457" i="1" s="1"/>
  <c r="N1416" i="1"/>
  <c r="O1416" i="1"/>
  <c r="M1416" i="1" s="1"/>
  <c r="M1366" i="1"/>
  <c r="N1366" i="1"/>
  <c r="O1366" i="1"/>
  <c r="M1314" i="1"/>
  <c r="N1314" i="1"/>
  <c r="O1314" i="1"/>
  <c r="P1314" i="1"/>
  <c r="O1237" i="1"/>
  <c r="M1237" i="1" s="1"/>
  <c r="O1085" i="1"/>
  <c r="M1085" i="1"/>
  <c r="P1085" i="1"/>
  <c r="N1085" i="1" s="1"/>
  <c r="P935" i="1"/>
  <c r="N935" i="1" s="1"/>
  <c r="O827" i="1"/>
  <c r="P1958" i="1"/>
  <c r="N1958" i="1" s="1"/>
  <c r="P1916" i="1"/>
  <c r="N1916" i="1" s="1"/>
  <c r="N1632" i="1"/>
  <c r="P1562" i="1"/>
  <c r="P879" i="1"/>
  <c r="O2072" i="1"/>
  <c r="M2072" i="1" s="1"/>
  <c r="N2124" i="1"/>
  <c r="O2114" i="1"/>
  <c r="M2114" i="1" s="1"/>
  <c r="N2072" i="1"/>
  <c r="O2062" i="1"/>
  <c r="M2062" i="1" s="1"/>
  <c r="N2010" i="1"/>
  <c r="O1948" i="1"/>
  <c r="M1948" i="1" s="1"/>
  <c r="P1891" i="1"/>
  <c r="N1891" i="1" s="1"/>
  <c r="O1878" i="1"/>
  <c r="M1878" i="1" s="1"/>
  <c r="O1840" i="1"/>
  <c r="M1840" i="1" s="1"/>
  <c r="P1798" i="1"/>
  <c r="N1798" i="1" s="1"/>
  <c r="P1783" i="1"/>
  <c r="N1783" i="1" s="1"/>
  <c r="O1770" i="1"/>
  <c r="M1770" i="1" s="1"/>
  <c r="P1746" i="1"/>
  <c r="N1746" i="1" s="1"/>
  <c r="O1704" i="1"/>
  <c r="M1704" i="1" s="1"/>
  <c r="P1694" i="1"/>
  <c r="N1694" i="1" s="1"/>
  <c r="O1679" i="1"/>
  <c r="M1679" i="1" s="1"/>
  <c r="O1652" i="1"/>
  <c r="M1652" i="1" s="1"/>
  <c r="P1632" i="1"/>
  <c r="O1590" i="1"/>
  <c r="M1590" i="1" s="1"/>
  <c r="P1546" i="1"/>
  <c r="N1546" i="1" s="1"/>
  <c r="P1515" i="1"/>
  <c r="P1444" i="1"/>
  <c r="N1444" i="1" s="1"/>
  <c r="N1356" i="1"/>
  <c r="M1356" i="1"/>
  <c r="O1356" i="1"/>
  <c r="P1356" i="1"/>
  <c r="N1304" i="1"/>
  <c r="M1304" i="1"/>
  <c r="O1304" i="1"/>
  <c r="P1304" i="1"/>
  <c r="O1224" i="1"/>
  <c r="M1224" i="1" s="1"/>
  <c r="P1224" i="1"/>
  <c r="N1224" i="1" s="1"/>
  <c r="P1015" i="1"/>
  <c r="P945" i="1"/>
  <c r="N945" i="1" s="1"/>
  <c r="O907" i="1"/>
  <c r="M907" i="1"/>
  <c r="P907" i="1"/>
  <c r="N907" i="1" s="1"/>
  <c r="O775" i="1"/>
  <c r="P2099" i="1"/>
  <c r="N2099" i="1" s="1"/>
  <c r="M1906" i="1"/>
  <c r="N1906" i="1"/>
  <c r="N1854" i="1"/>
  <c r="P1472" i="1"/>
  <c r="N1472" i="1" s="1"/>
  <c r="P20" i="1"/>
  <c r="N20" i="1" s="1"/>
  <c r="O2124" i="1"/>
  <c r="M2124" i="1" s="1"/>
  <c r="O2099" i="1"/>
  <c r="M2099" i="1" s="1"/>
  <c r="O2010" i="1"/>
  <c r="M2010" i="1" s="1"/>
  <c r="O1906" i="1"/>
  <c r="O1854" i="1"/>
  <c r="M1854" i="1" s="1"/>
  <c r="N1850" i="1"/>
  <c r="O1850" i="1"/>
  <c r="M1850" i="1" s="1"/>
  <c r="O1798" i="1"/>
  <c r="M1798" i="1" s="1"/>
  <c r="O1746" i="1"/>
  <c r="M1746" i="1" s="1"/>
  <c r="N1736" i="1"/>
  <c r="O1736" i="1"/>
  <c r="M1736" i="1" s="1"/>
  <c r="N1666" i="1"/>
  <c r="O1666" i="1"/>
  <c r="M1666" i="1" s="1"/>
  <c r="O1632" i="1"/>
  <c r="M1632" i="1" s="1"/>
  <c r="N1600" i="1"/>
  <c r="O1600" i="1"/>
  <c r="M1600" i="1" s="1"/>
  <c r="N1575" i="1"/>
  <c r="O1575" i="1"/>
  <c r="M1575" i="1" s="1"/>
  <c r="M1562" i="1"/>
  <c r="O1534" i="1"/>
  <c r="M1534" i="1" s="1"/>
  <c r="N1483" i="1"/>
  <c r="O1483" i="1"/>
  <c r="M1483" i="1" s="1"/>
  <c r="M1472" i="1"/>
  <c r="M1426" i="1"/>
  <c r="O1408" i="1"/>
  <c r="M1408" i="1" s="1"/>
  <c r="M1398" i="1"/>
  <c r="O1294" i="1"/>
  <c r="M1294" i="1" s="1"/>
  <c r="P1294" i="1"/>
  <c r="N1294" i="1" s="1"/>
  <c r="M1252" i="1"/>
  <c r="O1252" i="1"/>
  <c r="P1252" i="1"/>
  <c r="N1252" i="1" s="1"/>
  <c r="O1105" i="1"/>
  <c r="N1562" i="1"/>
  <c r="N1515" i="1"/>
  <c r="N1398" i="1"/>
  <c r="P1158" i="1"/>
  <c r="N1158" i="1" s="1"/>
  <c r="P1132" i="1"/>
  <c r="N1132" i="1" s="1"/>
  <c r="P1053" i="1"/>
  <c r="N1053" i="1" s="1"/>
  <c r="P1043" i="1"/>
  <c r="N1043" i="1" s="1"/>
  <c r="N1015" i="1"/>
  <c r="O1015" i="1"/>
  <c r="M1015" i="1" s="1"/>
  <c r="M991" i="1"/>
  <c r="P977" i="1"/>
  <c r="P893" i="1"/>
  <c r="N893" i="1" s="1"/>
  <c r="P765" i="1"/>
  <c r="P695" i="1"/>
  <c r="P663" i="1"/>
  <c r="P596" i="1"/>
  <c r="N596" i="1" s="1"/>
  <c r="P549" i="1"/>
  <c r="P479" i="1"/>
  <c r="P441" i="1"/>
  <c r="P371" i="1"/>
  <c r="N371" i="1" s="1"/>
  <c r="P305" i="1"/>
  <c r="P252" i="1"/>
  <c r="N252" i="1" s="1"/>
  <c r="P196" i="1"/>
  <c r="N196" i="1" s="1"/>
  <c r="P144" i="1"/>
  <c r="N144" i="1" s="1"/>
  <c r="P82" i="1"/>
  <c r="N82" i="1" s="1"/>
  <c r="P67" i="1"/>
  <c r="M1341" i="1"/>
  <c r="M1105" i="1"/>
  <c r="P1001" i="1"/>
  <c r="N1001" i="1" s="1"/>
  <c r="N869" i="1"/>
  <c r="O869" i="1"/>
  <c r="M869" i="1" s="1"/>
  <c r="M827" i="1"/>
  <c r="N799" i="1"/>
  <c r="O799" i="1"/>
  <c r="M799" i="1"/>
  <c r="M775" i="1"/>
  <c r="M517" i="1"/>
  <c r="P1328" i="1"/>
  <c r="N1328" i="1" s="1"/>
  <c r="P1262" i="1"/>
  <c r="N1262" i="1" s="1"/>
  <c r="P1237" i="1"/>
  <c r="N1237" i="1" s="1"/>
  <c r="P1210" i="1"/>
  <c r="N1210" i="1" s="1"/>
  <c r="O1158" i="1"/>
  <c r="M1158" i="1" s="1"/>
  <c r="P1119" i="1"/>
  <c r="N1119" i="1" s="1"/>
  <c r="P1105" i="1"/>
  <c r="N1105" i="1" s="1"/>
  <c r="P1028" i="1"/>
  <c r="N1028" i="1" s="1"/>
  <c r="N977" i="1"/>
  <c r="O977" i="1"/>
  <c r="M977" i="1" s="1"/>
  <c r="M935" i="1"/>
  <c r="P837" i="1"/>
  <c r="N837" i="1" s="1"/>
  <c r="P785" i="1"/>
  <c r="N785" i="1" s="1"/>
  <c r="P723" i="1"/>
  <c r="N723" i="1" s="1"/>
  <c r="P677" i="1"/>
  <c r="N677" i="1" s="1"/>
  <c r="P621" i="1"/>
  <c r="N621" i="1" s="1"/>
  <c r="P569" i="1"/>
  <c r="N569" i="1" s="1"/>
  <c r="P507" i="1"/>
  <c r="N507" i="1" s="1"/>
  <c r="P399" i="1"/>
  <c r="N399" i="1" s="1"/>
  <c r="P347" i="1"/>
  <c r="N347" i="1" s="1"/>
  <c r="P279" i="1"/>
  <c r="N279" i="1" s="1"/>
  <c r="P238" i="1"/>
  <c r="P171" i="1"/>
  <c r="N171" i="1" s="1"/>
  <c r="P124" i="1"/>
  <c r="P827" i="1"/>
  <c r="N827" i="1" s="1"/>
  <c r="P775" i="1"/>
  <c r="N775" i="1" s="1"/>
  <c r="P611" i="1"/>
  <c r="N611" i="1" s="1"/>
  <c r="P559" i="1"/>
  <c r="N559" i="1" s="1"/>
  <c r="P451" i="1"/>
  <c r="N451" i="1" s="1"/>
  <c r="P337" i="1"/>
  <c r="N337" i="1" s="1"/>
  <c r="P294" i="1"/>
  <c r="N294" i="1" s="1"/>
  <c r="P186" i="1"/>
  <c r="N186" i="1" s="1"/>
  <c r="P134" i="1"/>
  <c r="N134" i="1" s="1"/>
  <c r="N67" i="1"/>
  <c r="M54" i="1"/>
  <c r="N54" i="1"/>
  <c r="O54" i="1"/>
  <c r="N733" i="1"/>
  <c r="O733" i="1"/>
  <c r="M733" i="1" s="1"/>
  <c r="N708" i="1"/>
  <c r="O708" i="1"/>
  <c r="M708" i="1" s="1"/>
  <c r="N681" i="1"/>
  <c r="O681" i="1"/>
  <c r="M681" i="1" s="1"/>
  <c r="N653" i="1"/>
  <c r="O653" i="1"/>
  <c r="M653" i="1" s="1"/>
  <c r="N583" i="1"/>
  <c r="O583" i="1"/>
  <c r="M583" i="1" s="1"/>
  <c r="N517" i="1"/>
  <c r="O517" i="1"/>
  <c r="N492" i="1"/>
  <c r="O492" i="1"/>
  <c r="M492" i="1" s="1"/>
  <c r="N465" i="1"/>
  <c r="O465" i="1"/>
  <c r="M465" i="1" s="1"/>
  <c r="N409" i="1"/>
  <c r="O409" i="1"/>
  <c r="M409" i="1" s="1"/>
  <c r="N384" i="1"/>
  <c r="O384" i="1"/>
  <c r="M384" i="1" s="1"/>
  <c r="N357" i="1"/>
  <c r="O357" i="1"/>
  <c r="M357" i="1" s="1"/>
  <c r="N266" i="1"/>
  <c r="O266" i="1"/>
  <c r="M266" i="1" s="1"/>
  <c r="N228" i="1"/>
  <c r="O228" i="1"/>
  <c r="M228" i="1" s="1"/>
  <c r="N158" i="1"/>
  <c r="O158" i="1"/>
  <c r="M158" i="1" s="1"/>
  <c r="N92" i="1"/>
  <c r="O92" i="1"/>
  <c r="M92" i="1" s="1"/>
  <c r="P40" i="1"/>
  <c r="N40" i="1" s="1"/>
  <c r="M1200" i="1"/>
  <c r="N1190" i="1"/>
  <c r="M1147" i="1"/>
  <c r="N1147" i="1"/>
  <c r="O1119" i="1"/>
  <c r="M1119" i="1" s="1"/>
  <c r="M1095" i="1"/>
  <c r="N1095" i="1"/>
  <c r="O1053" i="1"/>
  <c r="M1053" i="1" s="1"/>
  <c r="O1028" i="1"/>
  <c r="M1028" i="1" s="1"/>
  <c r="O1001" i="1"/>
  <c r="M1001" i="1" s="1"/>
  <c r="M987" i="1"/>
  <c r="N987" i="1"/>
  <c r="O945" i="1"/>
  <c r="M945" i="1" s="1"/>
  <c r="O920" i="1"/>
  <c r="M920" i="1" s="1"/>
  <c r="O893" i="1"/>
  <c r="M893" i="1" s="1"/>
  <c r="M879" i="1"/>
  <c r="N879" i="1"/>
  <c r="O837" i="1"/>
  <c r="M837" i="1" s="1"/>
  <c r="O812" i="1"/>
  <c r="M812" i="1" s="1"/>
  <c r="O785" i="1"/>
  <c r="M785" i="1" s="1"/>
  <c r="M765" i="1"/>
  <c r="N765" i="1"/>
  <c r="O723" i="1"/>
  <c r="M723" i="1" s="1"/>
  <c r="M695" i="1"/>
  <c r="N695" i="1"/>
  <c r="O677" i="1"/>
  <c r="M677" i="1" s="1"/>
  <c r="M663" i="1"/>
  <c r="N663" i="1"/>
  <c r="O621" i="1"/>
  <c r="M621" i="1" s="1"/>
  <c r="O596" i="1"/>
  <c r="M596" i="1" s="1"/>
  <c r="O569" i="1"/>
  <c r="M569" i="1" s="1"/>
  <c r="M549" i="1"/>
  <c r="N549" i="1"/>
  <c r="O507" i="1"/>
  <c r="M507" i="1" s="1"/>
  <c r="M479" i="1"/>
  <c r="N479" i="1"/>
  <c r="M441" i="1"/>
  <c r="N441" i="1"/>
  <c r="O399" i="1"/>
  <c r="M399" i="1" s="1"/>
  <c r="M371" i="1"/>
  <c r="O347" i="1"/>
  <c r="M347" i="1" s="1"/>
  <c r="M305" i="1"/>
  <c r="N305" i="1"/>
  <c r="O279" i="1"/>
  <c r="M279" i="1" s="1"/>
  <c r="O252" i="1"/>
  <c r="M252" i="1" s="1"/>
  <c r="M238" i="1"/>
  <c r="N238" i="1"/>
  <c r="O196" i="1"/>
  <c r="M196" i="1" s="1"/>
  <c r="O171" i="1"/>
  <c r="M171" i="1" s="1"/>
  <c r="M124" i="1"/>
  <c r="N124" i="1"/>
  <c r="O82" i="1"/>
  <c r="M82" i="1" s="1"/>
  <c r="O30" i="1"/>
  <c r="M30" i="1" s="1"/>
  <c r="O67" i="1"/>
  <c r="M67" i="1" s="1"/>
  <c r="O40" i="1"/>
  <c r="M40" i="1" s="1"/>
</calcChain>
</file>

<file path=xl/sharedStrings.xml><?xml version="1.0" encoding="utf-8"?>
<sst xmlns="http://schemas.openxmlformats.org/spreadsheetml/2006/main" count="3505" uniqueCount="225">
  <si>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</si>
  <si>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</si>
  <si>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</si>
  <si>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</si>
  <si>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</si>
  <si>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</si>
  <si>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</si>
  <si>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</si>
  <si>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</si>
  <si>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</si>
  <si>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</si>
  <si>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</si>
  <si>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</si>
  <si>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</si>
  <si>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</si>
  <si>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</si>
  <si>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</si>
  <si>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</si>
  <si>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</si>
  <si>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</si>
  <si>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</si>
  <si>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</si>
  <si>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</si>
  <si>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</si>
  <si>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</si>
  <si>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</si>
  <si>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</si>
  <si>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</si>
  <si>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</si>
  <si>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</si>
  <si>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</si>
  <si>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</si>
  <si>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</si>
  <si>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</si>
  <si>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</si>
  <si>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</si>
  <si>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</si>
  <si>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</si>
  <si>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</si>
  <si>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</si>
  <si>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</si>
  <si>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</si>
  <si>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</si>
  <si>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Dương Đức Kiên</t>
    </r>
  </si>
  <si>
    <t>Ngày sinh: 01/10/2004</t>
  </si>
  <si>
    <t>Mã SV: 2022010213</t>
  </si>
  <si>
    <t>Hình thức đào tạo: Chính quy</t>
  </si>
  <si>
    <t>Ngành: Kỹ thuật trắc địa - bản đồ</t>
  </si>
  <si>
    <t>Lớp: Địa hình quân sự 58</t>
  </si>
  <si>
    <t>Hà Nội, ngày 9 tháng 1 năm 2026</t>
  </si>
  <si>
    <r>
      <t xml:space="preserve">Tổng tín chỉ: </t>
    </r>
    <r>
      <rPr>
        <b/>
        <sz val="14"/>
        <color indexed="8"/>
        <rFont val="Times New Roman"/>
        <family val="1"/>
      </rPr>
      <t>135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</si>
  <si>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7.81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</si>
  <si>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3.25</t>
    </r>
  </si>
  <si>
    <r>
      <t xml:space="preserve">Xếp loại: </t>
    </r>
    <r>
      <rPr>
        <b/>
        <sz val="14"/>
        <rFont val="Times New Roman"/>
        <family val="1"/>
      </rPr>
      <t>Khá</t>
    </r>
  </si>
  <si>
    <t>Học kỳ 1 Năm học 2022 - 2023</t>
  </si>
  <si>
    <t>Điều lệnh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</si>
  <si>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</si>
  <si>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</si>
  <si>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</si>
  <si>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</si>
  <si>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</si>
  <si>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Thể thao quân sự</t>
  </si>
  <si>
    <t>Học kỳ 2 năm học 2022 - 2023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</si>
  <si>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</si>
  <si>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</si>
  <si>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</si>
  <si>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</si>
  <si>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</si>
  <si>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Chiến thuật trung đội bộ binh</t>
  </si>
  <si>
    <t>Địa hình quân sự và công tác tham mưu + BTL</t>
  </si>
  <si>
    <t>Học kỳ 1 năm học 2023 - 2024</t>
  </si>
  <si>
    <t>Giải tích 2</t>
  </si>
  <si>
    <t>Kinh tế chính trị Mác - Lênin</t>
  </si>
  <si>
    <t>Lịch sử và đường lối quân sự</t>
  </si>
  <si>
    <t>Lôgíc học</t>
  </si>
  <si>
    <t>Thể thao quân sự 2</t>
  </si>
  <si>
    <t>Vật lý đại cương 2 (LT)</t>
  </si>
  <si>
    <t>Công nghệ thông tin</t>
  </si>
  <si>
    <t>Học kỳ 2 2023 - 2024</t>
  </si>
  <si>
    <t>Thực tập trắc địa phổ thông</t>
  </si>
  <si>
    <t>Nhà nước, pháp luật</t>
  </si>
  <si>
    <t>Chủ nghĩa xã hội khoa học + TL</t>
  </si>
  <si>
    <t>Công tác quản lý bộ đội + BTL</t>
  </si>
  <si>
    <t>Tâm lý học quân sự</t>
  </si>
  <si>
    <t>Trắc địa phổ thông + Bài tập lớn</t>
  </si>
  <si>
    <t>Giáo dục học quân sự</t>
  </si>
  <si>
    <t>Lý thuyết xác suất thống kê</t>
  </si>
  <si>
    <t>Lập trình hướng đối tượng</t>
  </si>
  <si>
    <t>Học kỳ 1 năm học 2024 - 2025</t>
  </si>
  <si>
    <t>Địa lý quân sự</t>
  </si>
  <si>
    <t>Trắc địa cao cấp</t>
  </si>
  <si>
    <t>Đạo đức học</t>
  </si>
  <si>
    <t>Kỹ thuật lập trình</t>
  </si>
  <si>
    <t>Thể dục thể thao 3 (Bơi bao gói và PPCĐ)</t>
  </si>
  <si>
    <t>Phương pháp nghiên cứu khoa học</t>
  </si>
  <si>
    <t>Cơ sở dữ liệu không gian</t>
  </si>
  <si>
    <t>Cơ sở xử lý dữ liệu trắc địa + Bài tập lớn</t>
  </si>
  <si>
    <t>Thực tập trắc địa cao cấp</t>
  </si>
  <si>
    <t>Tư tưởng Hồ Chí Minh + TL</t>
  </si>
  <si>
    <t>Học kỳ 2 năm học 2024 - 2025</t>
  </si>
  <si>
    <t>Viễn thám cơ sở</t>
  </si>
  <si>
    <t>Cơ sở văn hoá Việt Nam</t>
  </si>
  <si>
    <t>Chiến thuật đại đội, tiểu đoàn bộ binh</t>
  </si>
  <si>
    <t>Hậu cần tài chính quân đội</t>
  </si>
  <si>
    <t>Trắc địa biển</t>
  </si>
  <si>
    <t>Bản đồ học</t>
  </si>
  <si>
    <t>Dân tộc học và tôn giáo học</t>
  </si>
  <si>
    <t>Cơ sở lập trình WebGIS</t>
  </si>
  <si>
    <t>Thực tập viễn thám cơ sở</t>
  </si>
  <si>
    <t>Đoán đọc, điều vẽ ảnh</t>
  </si>
  <si>
    <t>Thực tập hệ thông tin địa lý</t>
  </si>
  <si>
    <t>Hệ thông tin địa lý</t>
  </si>
  <si>
    <t>Học kỳ 1 năm học 2025 - 2026</t>
  </si>
  <si>
    <t>Xử lý ảnh viễn thám</t>
  </si>
  <si>
    <t>Lập trình ứng dụng GIS</t>
  </si>
  <si>
    <t>Chiến thuật trung, sư đoàn bộ binh</t>
  </si>
  <si>
    <t>Lịch sử Đảng cộng sản Việt Nam</t>
  </si>
  <si>
    <t>Phân tích và thiết kế giải thuật</t>
  </si>
  <si>
    <t>Công nghệ đo ảnh</t>
  </si>
  <si>
    <t>Hệ thống thông tin hỗ trợ quản lý điều hành trong QĐ</t>
  </si>
  <si>
    <r>
      <t xml:space="preserve">Họ và tên: </t>
    </r>
    <r>
      <rPr>
        <b/>
        <sz val="13"/>
        <color indexed="8"/>
        <rFont val="Times New Roman"/>
        <family val="1"/>
      </rPr>
      <t>Lê Thị Phương Mỹ</t>
    </r>
  </si>
  <si>
    <t>Ngày sinh: 18/07/2004</t>
  </si>
  <si>
    <t>Mã SV: 2022010267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</si>
  <si>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7.73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</si>
  <si>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3.22</t>
    </r>
  </si>
  <si>
    <r>
      <t xml:space="preserve">Họ và tên: </t>
    </r>
    <r>
      <rPr>
        <b/>
        <sz val="13"/>
        <color indexed="8"/>
        <rFont val="Times New Roman"/>
        <family val="1"/>
      </rPr>
      <t>Nông Diễm Quỳnh</t>
    </r>
  </si>
  <si>
    <t>Ngày sinh: 17/08/2004</t>
  </si>
  <si>
    <t>Mã SV: 2022010353</t>
  </si>
  <si>
    <r>
      <t xml:space="preserve">Tổng tín chỉ: </t>
    </r>
    <r>
      <rPr>
        <b/>
        <sz val="14"/>
        <color indexed="8"/>
        <rFont val="Times New Roman"/>
        <family val="1"/>
      </rPr>
      <t>139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</si>
  <si>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7.63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</si>
  <si>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3.13</t>
    </r>
  </si>
  <si>
    <t>Học kỳ thi lại HK2 năm học 2022 - 2023</t>
  </si>
  <si>
    <t>TL</t>
  </si>
  <si>
    <t>Tiếng Anh B11</t>
  </si>
  <si>
    <r>
      <t xml:space="preserve">Họ và tên: </t>
    </r>
    <r>
      <rPr>
        <b/>
        <sz val="13"/>
        <color indexed="8"/>
        <rFont val="Times New Roman"/>
        <family val="1"/>
      </rPr>
      <t>Bùi Quang Vinh</t>
    </r>
  </si>
  <si>
    <t>Ngày sinh: 05/06/2004</t>
  </si>
  <si>
    <t>Mã SV: 2022010365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</si>
  <si>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7.39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</si>
  <si>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2.99</t>
    </r>
  </si>
  <si>
    <r>
      <t xml:space="preserve">Họ và tên: </t>
    </r>
    <r>
      <rPr>
        <b/>
        <sz val="13"/>
        <color indexed="8"/>
        <rFont val="Times New Roman"/>
        <family val="1"/>
      </rPr>
      <t>Nguyễn Hoàng Thanh</t>
    </r>
  </si>
  <si>
    <t>Ngày sinh: 17/11/2004</t>
  </si>
  <si>
    <t>Mã SV: 2022010402</t>
  </si>
  <si>
    <r>
      <t xml:space="preserve">Tổng tín chỉ: </t>
    </r>
    <r>
      <rPr>
        <b/>
        <sz val="14"/>
        <color indexed="8"/>
        <rFont val="Times New Roman"/>
        <family val="1"/>
      </rPr>
      <t>138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</si>
  <si>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</si>
  <si>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2.98</t>
    </r>
  </si>
  <si>
    <t>Học kỳ phụ/thi lại HK1 năm học 2022 - 2023</t>
  </si>
  <si>
    <r>
      <t xml:space="preserve">Họ và tên: </t>
    </r>
    <r>
      <rPr>
        <b/>
        <sz val="13"/>
        <color indexed="8"/>
        <rFont val="Times New Roman"/>
        <family val="1"/>
      </rPr>
      <t>Khuất Mạnh Hoàng</t>
    </r>
  </si>
  <si>
    <t>Ngày sinh: 27/03/2004</t>
  </si>
  <si>
    <t>Mã SV: 2022010160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</si>
  <si>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7.35</t>
    </r>
  </si>
  <si>
    <r>
      <t xml:space="preserve">Họ và tên: </t>
    </r>
    <r>
      <rPr>
        <b/>
        <sz val="13"/>
        <color indexed="8"/>
        <rFont val="Times New Roman"/>
        <family val="1"/>
      </rPr>
      <t>Nguyễn Trần Hồng Phúc</t>
    </r>
  </si>
  <si>
    <t>Ngày sinh: 19/05/2001</t>
  </si>
  <si>
    <t>Mã SV: 2022010316</t>
  </si>
  <si>
    <r>
      <t xml:space="preserve">Tổng tín chỉ: </t>
    </r>
    <r>
      <rPr>
        <b/>
        <sz val="14"/>
        <color indexed="8"/>
        <rFont val="Times New Roman"/>
        <family val="1"/>
      </rPr>
      <t>141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</si>
  <si>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6.95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</si>
  <si>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2.69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</si>
  <si>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</si>
  <si>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t>Học kỳ thi lại đợt 1 năm học 2023 - 2024</t>
  </si>
  <si>
    <r>
      <t xml:space="preserve">Họ và tên: </t>
    </r>
    <r>
      <rPr>
        <b/>
        <sz val="13"/>
        <color indexed="8"/>
        <rFont val="Times New Roman"/>
        <family val="1"/>
      </rPr>
      <t>Bùi Phước Tân</t>
    </r>
  </si>
  <si>
    <t>Ngày sinh: 04/08/2004</t>
  </si>
  <si>
    <t>Mã SV: 2022010382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</si>
  <si>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7.96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</si>
  <si>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3.3</t>
    </r>
  </si>
  <si>
    <r>
      <t xml:space="preserve">Họ và tên: </t>
    </r>
    <r>
      <rPr>
        <b/>
        <sz val="13"/>
        <color indexed="8"/>
        <rFont val="Times New Roman"/>
        <family val="1"/>
      </rPr>
      <t>Nguyễn Đức Tiến</t>
    </r>
  </si>
  <si>
    <t>Ngày sinh: 29/06/2003</t>
  </si>
  <si>
    <t>Mã SV: 2022010435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</si>
  <si>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</si>
  <si>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2.81</t>
    </r>
  </si>
  <si>
    <r>
      <t xml:space="preserve">Họ và tên: </t>
    </r>
    <r>
      <rPr>
        <b/>
        <sz val="13"/>
        <color indexed="8"/>
        <rFont val="Times New Roman"/>
        <family val="1"/>
      </rPr>
      <t>Nguyễn Hoàng Tới</t>
    </r>
  </si>
  <si>
    <t>Ngày sinh: 26/08/2004</t>
  </si>
  <si>
    <t>Mã SV: 2022010447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</si>
  <si>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</si>
  <si>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2.57</t>
    </r>
  </si>
  <si>
    <r>
      <t xml:space="preserve">Họ và tên: </t>
    </r>
    <r>
      <rPr>
        <b/>
        <sz val="13"/>
        <color indexed="8"/>
        <rFont val="Times New Roman"/>
        <family val="1"/>
      </rPr>
      <t>Phạm Thành Đạt</t>
    </r>
  </si>
  <si>
    <t>Ngày sinh: 01/09/2004</t>
  </si>
  <si>
    <t>Mã SV: 2022010067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</si>
  <si>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6.63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</si>
  <si>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2.55</t>
    </r>
  </si>
  <si>
    <r>
      <t xml:space="preserve">Họ và tên: </t>
    </r>
    <r>
      <rPr>
        <b/>
        <sz val="13"/>
        <color indexed="8"/>
        <rFont val="Times New Roman"/>
        <family val="1"/>
      </rPr>
      <t>Nguyễn Như Lợi</t>
    </r>
  </si>
  <si>
    <t>Ngày sinh: 26/12/2004</t>
  </si>
  <si>
    <t>Mã SV: 2022010242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</si>
  <si>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7.45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</si>
  <si>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3.03</t>
    </r>
  </si>
  <si>
    <r>
      <t xml:space="preserve">Họ và tên: </t>
    </r>
    <r>
      <rPr>
        <b/>
        <sz val="13"/>
        <color indexed="8"/>
        <rFont val="Times New Roman"/>
        <family val="1"/>
      </rPr>
      <t>Lê Anh Tuấn</t>
    </r>
  </si>
  <si>
    <t>Ngày sinh: 22/10/2004</t>
  </si>
  <si>
    <t>Mã SV: 2022010471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</si>
  <si>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7.55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</si>
  <si>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3.07</t>
    </r>
  </si>
  <si>
    <r>
      <t xml:space="preserve">Họ và tên: </t>
    </r>
    <r>
      <rPr>
        <b/>
        <sz val="13"/>
        <color indexed="8"/>
        <rFont val="Times New Roman"/>
        <family val="1"/>
      </rPr>
      <t>Nguyễn Anh Tài</t>
    </r>
  </si>
  <si>
    <t>Ngày sinh: 26/02/2000</t>
  </si>
  <si>
    <t>Mã SV: 2022010092</t>
  </si>
  <si>
    <r>
      <t xml:space="preserve">Tổng tín chỉ: </t>
    </r>
    <r>
      <rPr>
        <b/>
        <sz val="14"/>
        <color indexed="8"/>
        <rFont val="Times New Roman"/>
        <family val="1"/>
      </rPr>
      <t>149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</si>
  <si>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6.09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</si>
  <si>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2.22</t>
    </r>
  </si>
  <si>
    <r>
      <t xml:space="preserve">Xếp loại: </t>
    </r>
    <r>
      <rPr>
        <b/>
        <sz val="14"/>
        <rFont val="Times New Roman"/>
        <family val="1"/>
      </rPr>
      <t>Trung bình</t>
    </r>
  </si>
  <si>
    <r>
      <t xml:space="preserve">Họ và tên: </t>
    </r>
    <r>
      <rPr>
        <b/>
        <sz val="13"/>
        <color indexed="8"/>
        <rFont val="Times New Roman"/>
        <family val="1"/>
      </rPr>
      <t>Nguyễn Tuấn Phong</t>
    </r>
  </si>
  <si>
    <t>Ngày sinh: 24/06/2004</t>
  </si>
  <si>
    <t>Mã SV: 2022010305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</si>
  <si>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5.95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</si>
  <si>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2.11</t>
    </r>
  </si>
  <si>
    <t>HL</t>
  </si>
  <si>
    <r>
      <t xml:space="preserve">Họ và tên: </t>
    </r>
    <r>
      <rPr>
        <b/>
        <sz val="13"/>
        <color indexed="8"/>
        <rFont val="Times New Roman"/>
        <family val="1"/>
      </rPr>
      <t>Đỗ Quốc Thảo</t>
    </r>
  </si>
  <si>
    <t>Ngày sinh: 14/01/2004</t>
  </si>
  <si>
    <t>Mã SV: 2022010412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</si>
  <si>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6.48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</si>
  <si>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2.41</t>
    </r>
  </si>
  <si>
    <r>
      <t xml:space="preserve">Họ và tên: </t>
    </r>
    <r>
      <rPr>
        <b/>
        <sz val="13"/>
        <color indexed="8"/>
        <rFont val="Times New Roman"/>
        <family val="1"/>
      </rPr>
      <t>Lò Văn Cương</t>
    </r>
  </si>
  <si>
    <t>Ngày sinh: 20/04/2003</t>
  </si>
  <si>
    <t>Mã SV: 2022010052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</si>
  <si>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</si>
  <si>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2.87</t>
    </r>
  </si>
  <si>
    <r>
      <t xml:space="preserve">Họ và tên: </t>
    </r>
    <r>
      <rPr>
        <b/>
        <sz val="13"/>
        <color indexed="8"/>
        <rFont val="Times New Roman"/>
        <family val="1"/>
      </rPr>
      <t>Phạm Nguyễn Hoàng Đức</t>
    </r>
  </si>
  <si>
    <t>Ngày sinh: 27/07/2004</t>
  </si>
  <si>
    <t>Mã SV: 2022010091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</si>
  <si>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6.65</t>
    </r>
  </si>
  <si>
    <r>
      <t xml:space="preserve">Họ và tên: </t>
    </r>
    <r>
      <rPr>
        <b/>
        <sz val="13"/>
        <color indexed="8"/>
        <rFont val="Times New Roman"/>
        <family val="1"/>
      </rPr>
      <t>Phạm Đình Thoảng</t>
    </r>
  </si>
  <si>
    <t>Ngày sinh: 20/01/2004</t>
  </si>
  <si>
    <t>Mã SV: 2022010424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</si>
  <si>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7.14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</si>
  <si>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2.83</t>
    </r>
  </si>
  <si>
    <r>
      <t xml:space="preserve">Họ và tên: </t>
    </r>
    <r>
      <rPr>
        <b/>
        <sz val="13"/>
        <color indexed="8"/>
        <rFont val="Times New Roman"/>
        <family val="1"/>
      </rPr>
      <t>Nguyễn Tấn Sang</t>
    </r>
  </si>
  <si>
    <t>Ngày sinh: 19/4/2004</t>
  </si>
  <si>
    <t>Mã SV: 2022010554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</si>
  <si>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7.58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</si>
  <si>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3.11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</si>
</sst>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4066485B-296B-910B-A7AB-B077DEEAA675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9CFF2102-091E-802C-2D41-72BD01E62F0C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104</xdr:row>
      <xdr:rowOff>541020</xdr:rowOff>
    </xdr:from>
    <xdr:to>
      <xdr:col>3</xdr:col>
      <xdr:colOff>327660</xdr:colOff>
      <xdr:row>104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F601009A-054C-D116-12E9-646E2F27E29E}"/>
            </a:ext>
          </a:extLst>
        </xdr:cNvPr>
        <xdr:cNvCxnSpPr>
          <a:cxnSpLocks noChangeShapeType="1"/>
        </xdr:cNvCxnSpPr>
      </xdr:nvCxnSpPr>
      <xdr:spPr bwMode="auto">
        <a:xfrm>
          <a:off x="624840" y="21877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104</xdr:row>
      <xdr:rowOff>541020</xdr:rowOff>
    </xdr:from>
    <xdr:to>
      <xdr:col>16</xdr:col>
      <xdr:colOff>106680</xdr:colOff>
      <xdr:row>104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CC64053A-EA2C-CB1C-06B0-08E67F7C6A2F}"/>
            </a:ext>
          </a:extLst>
        </xdr:cNvPr>
        <xdr:cNvCxnSpPr>
          <a:cxnSpLocks noChangeShapeType="1"/>
        </xdr:cNvCxnSpPr>
      </xdr:nvCxnSpPr>
      <xdr:spPr bwMode="auto">
        <a:xfrm>
          <a:off x="3649980" y="21877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208</xdr:row>
      <xdr:rowOff>541020</xdr:rowOff>
    </xdr:from>
    <xdr:to>
      <xdr:col>3</xdr:col>
      <xdr:colOff>327660</xdr:colOff>
      <xdr:row>208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885EEB3B-5770-5E4A-9133-204A0C253C45}"/>
            </a:ext>
          </a:extLst>
        </xdr:cNvPr>
        <xdr:cNvCxnSpPr>
          <a:cxnSpLocks noChangeShapeType="1"/>
        </xdr:cNvCxnSpPr>
      </xdr:nvCxnSpPr>
      <xdr:spPr bwMode="auto">
        <a:xfrm>
          <a:off x="624840" y="43213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208</xdr:row>
      <xdr:rowOff>541020</xdr:rowOff>
    </xdr:from>
    <xdr:to>
      <xdr:col>16</xdr:col>
      <xdr:colOff>106680</xdr:colOff>
      <xdr:row>208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0732E0C5-A3EE-A4C9-4353-5006646C34E4}"/>
            </a:ext>
          </a:extLst>
        </xdr:cNvPr>
        <xdr:cNvCxnSpPr>
          <a:cxnSpLocks noChangeShapeType="1"/>
        </xdr:cNvCxnSpPr>
      </xdr:nvCxnSpPr>
      <xdr:spPr bwMode="auto">
        <a:xfrm>
          <a:off x="3649980" y="43213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317</xdr:row>
      <xdr:rowOff>541020</xdr:rowOff>
    </xdr:from>
    <xdr:to>
      <xdr:col>3</xdr:col>
      <xdr:colOff>327660</xdr:colOff>
      <xdr:row>317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1A7330A1-F0AE-DD30-1750-582D2E59EA00}"/>
            </a:ext>
          </a:extLst>
        </xdr:cNvPr>
        <xdr:cNvCxnSpPr>
          <a:cxnSpLocks noChangeShapeType="1"/>
        </xdr:cNvCxnSpPr>
      </xdr:nvCxnSpPr>
      <xdr:spPr bwMode="auto">
        <a:xfrm>
          <a:off x="624840" y="654177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317</xdr:row>
      <xdr:rowOff>541020</xdr:rowOff>
    </xdr:from>
    <xdr:to>
      <xdr:col>16</xdr:col>
      <xdr:colOff>106680</xdr:colOff>
      <xdr:row>317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B80DE7D0-3F5C-CC25-F6C9-2430467A5E53}"/>
            </a:ext>
          </a:extLst>
        </xdr:cNvPr>
        <xdr:cNvCxnSpPr>
          <a:cxnSpLocks noChangeShapeType="1"/>
        </xdr:cNvCxnSpPr>
      </xdr:nvCxnSpPr>
      <xdr:spPr bwMode="auto">
        <a:xfrm>
          <a:off x="3649980" y="654177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421</xdr:row>
      <xdr:rowOff>541020</xdr:rowOff>
    </xdr:from>
    <xdr:to>
      <xdr:col>3</xdr:col>
      <xdr:colOff>327660</xdr:colOff>
      <xdr:row>421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B9E72294-9FD4-6517-4958-4CFA67555F00}"/>
            </a:ext>
          </a:extLst>
        </xdr:cNvPr>
        <xdr:cNvCxnSpPr>
          <a:cxnSpLocks noChangeShapeType="1"/>
        </xdr:cNvCxnSpPr>
      </xdr:nvCxnSpPr>
      <xdr:spPr bwMode="auto">
        <a:xfrm>
          <a:off x="624840" y="867537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421</xdr:row>
      <xdr:rowOff>541020</xdr:rowOff>
    </xdr:from>
    <xdr:to>
      <xdr:col>16</xdr:col>
      <xdr:colOff>106680</xdr:colOff>
      <xdr:row>421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EDDBB1E3-3803-8480-47C9-7F459EFA0C07}"/>
            </a:ext>
          </a:extLst>
        </xdr:cNvPr>
        <xdr:cNvCxnSpPr>
          <a:cxnSpLocks noChangeShapeType="1"/>
        </xdr:cNvCxnSpPr>
      </xdr:nvCxnSpPr>
      <xdr:spPr bwMode="auto">
        <a:xfrm>
          <a:off x="3649980" y="867537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529</xdr:row>
      <xdr:rowOff>541020</xdr:rowOff>
    </xdr:from>
    <xdr:to>
      <xdr:col>3</xdr:col>
      <xdr:colOff>327660</xdr:colOff>
      <xdr:row>529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644A274D-EF47-70B4-DEA2-F5C72D8D3816}"/>
            </a:ext>
          </a:extLst>
        </xdr:cNvPr>
        <xdr:cNvCxnSpPr>
          <a:cxnSpLocks noChangeShapeType="1"/>
        </xdr:cNvCxnSpPr>
      </xdr:nvCxnSpPr>
      <xdr:spPr bwMode="auto">
        <a:xfrm>
          <a:off x="624840" y="1087526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529</xdr:row>
      <xdr:rowOff>541020</xdr:rowOff>
    </xdr:from>
    <xdr:to>
      <xdr:col>16</xdr:col>
      <xdr:colOff>106680</xdr:colOff>
      <xdr:row>529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2E7BECF9-8FB7-24D5-D663-660424E2CB4A}"/>
            </a:ext>
          </a:extLst>
        </xdr:cNvPr>
        <xdr:cNvCxnSpPr>
          <a:cxnSpLocks noChangeShapeType="1"/>
        </xdr:cNvCxnSpPr>
      </xdr:nvCxnSpPr>
      <xdr:spPr bwMode="auto">
        <a:xfrm>
          <a:off x="3649980" y="1087526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633</xdr:row>
      <xdr:rowOff>541020</xdr:rowOff>
    </xdr:from>
    <xdr:to>
      <xdr:col>3</xdr:col>
      <xdr:colOff>327660</xdr:colOff>
      <xdr:row>633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139BF323-9831-5AAF-7E8B-46AC74F5B979}"/>
            </a:ext>
          </a:extLst>
        </xdr:cNvPr>
        <xdr:cNvCxnSpPr>
          <a:cxnSpLocks noChangeShapeType="1"/>
        </xdr:cNvCxnSpPr>
      </xdr:nvCxnSpPr>
      <xdr:spPr bwMode="auto">
        <a:xfrm>
          <a:off x="624840" y="1300886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633</xdr:row>
      <xdr:rowOff>541020</xdr:rowOff>
    </xdr:from>
    <xdr:to>
      <xdr:col>16</xdr:col>
      <xdr:colOff>106680</xdr:colOff>
      <xdr:row>633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0EDDD3AD-E841-600C-90F2-EDABFA521B90}"/>
            </a:ext>
          </a:extLst>
        </xdr:cNvPr>
        <xdr:cNvCxnSpPr>
          <a:cxnSpLocks noChangeShapeType="1"/>
        </xdr:cNvCxnSpPr>
      </xdr:nvCxnSpPr>
      <xdr:spPr bwMode="auto">
        <a:xfrm>
          <a:off x="3649980" y="1300886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745</xdr:row>
      <xdr:rowOff>541020</xdr:rowOff>
    </xdr:from>
    <xdr:to>
      <xdr:col>3</xdr:col>
      <xdr:colOff>327660</xdr:colOff>
      <xdr:row>745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106FBA4E-DF76-C6F7-BDFA-19942CBB8F5F}"/>
            </a:ext>
          </a:extLst>
        </xdr:cNvPr>
        <xdr:cNvCxnSpPr>
          <a:cxnSpLocks noChangeShapeType="1"/>
        </xdr:cNvCxnSpPr>
      </xdr:nvCxnSpPr>
      <xdr:spPr bwMode="auto">
        <a:xfrm>
          <a:off x="624840" y="1527505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745</xdr:row>
      <xdr:rowOff>541020</xdr:rowOff>
    </xdr:from>
    <xdr:to>
      <xdr:col>16</xdr:col>
      <xdr:colOff>106680</xdr:colOff>
      <xdr:row>745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A61EB7BA-AFC0-6253-94AF-862DD38A2B81}"/>
            </a:ext>
          </a:extLst>
        </xdr:cNvPr>
        <xdr:cNvCxnSpPr>
          <a:cxnSpLocks noChangeShapeType="1"/>
        </xdr:cNvCxnSpPr>
      </xdr:nvCxnSpPr>
      <xdr:spPr bwMode="auto">
        <a:xfrm>
          <a:off x="3649980" y="1527505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849</xdr:row>
      <xdr:rowOff>541020</xdr:rowOff>
    </xdr:from>
    <xdr:to>
      <xdr:col>3</xdr:col>
      <xdr:colOff>327660</xdr:colOff>
      <xdr:row>849</xdr:row>
      <xdr:rowOff>541020</xdr:rowOff>
    </xdr:to>
    <xdr:cxnSp macro="">
      <xdr:nvCxnSpPr>
        <xdr:cNvPr id="1561" name="Straight Connector 6">
          <a:extLst>
            <a:ext uri="{FF2B5EF4-FFF2-40B4-BE49-F238E27FC236}">
              <a16:creationId xmlns:a16="http://schemas.microsoft.com/office/drawing/2014/main" id="{5B10B5A3-4987-3AE6-87CF-CAD5675A099A}"/>
            </a:ext>
          </a:extLst>
        </xdr:cNvPr>
        <xdr:cNvCxnSpPr>
          <a:cxnSpLocks noChangeShapeType="1"/>
        </xdr:cNvCxnSpPr>
      </xdr:nvCxnSpPr>
      <xdr:spPr bwMode="auto">
        <a:xfrm>
          <a:off x="624840" y="1740865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849</xdr:row>
      <xdr:rowOff>541020</xdr:rowOff>
    </xdr:from>
    <xdr:to>
      <xdr:col>16</xdr:col>
      <xdr:colOff>106680</xdr:colOff>
      <xdr:row>849</xdr:row>
      <xdr:rowOff>541020</xdr:rowOff>
    </xdr:to>
    <xdr:cxnSp macro="">
      <xdr:nvCxnSpPr>
        <xdr:cNvPr id="1562" name="Straight Connector 26">
          <a:extLst>
            <a:ext uri="{FF2B5EF4-FFF2-40B4-BE49-F238E27FC236}">
              <a16:creationId xmlns:a16="http://schemas.microsoft.com/office/drawing/2014/main" id="{52FA6E3D-BA68-5903-4D24-AA0D493F1175}"/>
            </a:ext>
          </a:extLst>
        </xdr:cNvPr>
        <xdr:cNvCxnSpPr>
          <a:cxnSpLocks noChangeShapeType="1"/>
        </xdr:cNvCxnSpPr>
      </xdr:nvCxnSpPr>
      <xdr:spPr bwMode="auto">
        <a:xfrm>
          <a:off x="3649980" y="1740865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957</xdr:row>
      <xdr:rowOff>541020</xdr:rowOff>
    </xdr:from>
    <xdr:to>
      <xdr:col>3</xdr:col>
      <xdr:colOff>327660</xdr:colOff>
      <xdr:row>957</xdr:row>
      <xdr:rowOff>541020</xdr:rowOff>
    </xdr:to>
    <xdr:cxnSp macro="">
      <xdr:nvCxnSpPr>
        <xdr:cNvPr id="1563" name="Straight Connector 6">
          <a:extLst>
            <a:ext uri="{FF2B5EF4-FFF2-40B4-BE49-F238E27FC236}">
              <a16:creationId xmlns:a16="http://schemas.microsoft.com/office/drawing/2014/main" id="{E9BA82B8-A64C-7063-EB78-079B60B274F2}"/>
            </a:ext>
          </a:extLst>
        </xdr:cNvPr>
        <xdr:cNvCxnSpPr>
          <a:cxnSpLocks noChangeShapeType="1"/>
        </xdr:cNvCxnSpPr>
      </xdr:nvCxnSpPr>
      <xdr:spPr bwMode="auto">
        <a:xfrm>
          <a:off x="624840" y="1960854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957</xdr:row>
      <xdr:rowOff>541020</xdr:rowOff>
    </xdr:from>
    <xdr:to>
      <xdr:col>16</xdr:col>
      <xdr:colOff>106680</xdr:colOff>
      <xdr:row>957</xdr:row>
      <xdr:rowOff>541020</xdr:rowOff>
    </xdr:to>
    <xdr:cxnSp macro="">
      <xdr:nvCxnSpPr>
        <xdr:cNvPr id="1564" name="Straight Connector 26">
          <a:extLst>
            <a:ext uri="{FF2B5EF4-FFF2-40B4-BE49-F238E27FC236}">
              <a16:creationId xmlns:a16="http://schemas.microsoft.com/office/drawing/2014/main" id="{5985A6D4-0275-5514-F675-9FE4ECCAFAD5}"/>
            </a:ext>
          </a:extLst>
        </xdr:cNvPr>
        <xdr:cNvCxnSpPr>
          <a:cxnSpLocks noChangeShapeType="1"/>
        </xdr:cNvCxnSpPr>
      </xdr:nvCxnSpPr>
      <xdr:spPr bwMode="auto">
        <a:xfrm>
          <a:off x="3649980" y="1960854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1065</xdr:row>
      <xdr:rowOff>541020</xdr:rowOff>
    </xdr:from>
    <xdr:to>
      <xdr:col>3</xdr:col>
      <xdr:colOff>327660</xdr:colOff>
      <xdr:row>1065</xdr:row>
      <xdr:rowOff>541020</xdr:rowOff>
    </xdr:to>
    <xdr:cxnSp macro="">
      <xdr:nvCxnSpPr>
        <xdr:cNvPr id="1565" name="Straight Connector 6">
          <a:extLst>
            <a:ext uri="{FF2B5EF4-FFF2-40B4-BE49-F238E27FC236}">
              <a16:creationId xmlns:a16="http://schemas.microsoft.com/office/drawing/2014/main" id="{4AE5034C-135C-88B2-8F2D-9BD3935B82FE}"/>
            </a:ext>
          </a:extLst>
        </xdr:cNvPr>
        <xdr:cNvCxnSpPr>
          <a:cxnSpLocks noChangeShapeType="1"/>
        </xdr:cNvCxnSpPr>
      </xdr:nvCxnSpPr>
      <xdr:spPr bwMode="auto">
        <a:xfrm>
          <a:off x="624840" y="2180844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1065</xdr:row>
      <xdr:rowOff>541020</xdr:rowOff>
    </xdr:from>
    <xdr:to>
      <xdr:col>16</xdr:col>
      <xdr:colOff>106680</xdr:colOff>
      <xdr:row>1065</xdr:row>
      <xdr:rowOff>541020</xdr:rowOff>
    </xdr:to>
    <xdr:cxnSp macro="">
      <xdr:nvCxnSpPr>
        <xdr:cNvPr id="1566" name="Straight Connector 26">
          <a:extLst>
            <a:ext uri="{FF2B5EF4-FFF2-40B4-BE49-F238E27FC236}">
              <a16:creationId xmlns:a16="http://schemas.microsoft.com/office/drawing/2014/main" id="{052E6433-71BC-87C0-2B24-AB28CF4E54AC}"/>
            </a:ext>
          </a:extLst>
        </xdr:cNvPr>
        <xdr:cNvCxnSpPr>
          <a:cxnSpLocks noChangeShapeType="1"/>
        </xdr:cNvCxnSpPr>
      </xdr:nvCxnSpPr>
      <xdr:spPr bwMode="auto">
        <a:xfrm>
          <a:off x="3649980" y="2180844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1170</xdr:row>
      <xdr:rowOff>541020</xdr:rowOff>
    </xdr:from>
    <xdr:to>
      <xdr:col>3</xdr:col>
      <xdr:colOff>327660</xdr:colOff>
      <xdr:row>1170</xdr:row>
      <xdr:rowOff>541020</xdr:rowOff>
    </xdr:to>
    <xdr:cxnSp macro="">
      <xdr:nvCxnSpPr>
        <xdr:cNvPr id="1567" name="Straight Connector 6">
          <a:extLst>
            <a:ext uri="{FF2B5EF4-FFF2-40B4-BE49-F238E27FC236}">
              <a16:creationId xmlns:a16="http://schemas.microsoft.com/office/drawing/2014/main" id="{5DA758C0-04FF-492B-5825-A5DF0D710ABA}"/>
            </a:ext>
          </a:extLst>
        </xdr:cNvPr>
        <xdr:cNvCxnSpPr>
          <a:cxnSpLocks noChangeShapeType="1"/>
        </xdr:cNvCxnSpPr>
      </xdr:nvCxnSpPr>
      <xdr:spPr bwMode="auto">
        <a:xfrm>
          <a:off x="624840" y="2396261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1170</xdr:row>
      <xdr:rowOff>541020</xdr:rowOff>
    </xdr:from>
    <xdr:to>
      <xdr:col>16</xdr:col>
      <xdr:colOff>106680</xdr:colOff>
      <xdr:row>1170</xdr:row>
      <xdr:rowOff>541020</xdr:rowOff>
    </xdr:to>
    <xdr:cxnSp macro="">
      <xdr:nvCxnSpPr>
        <xdr:cNvPr id="1568" name="Straight Connector 26">
          <a:extLst>
            <a:ext uri="{FF2B5EF4-FFF2-40B4-BE49-F238E27FC236}">
              <a16:creationId xmlns:a16="http://schemas.microsoft.com/office/drawing/2014/main" id="{BB38FEB2-1042-AE9B-7AC4-C581A2F5CEB3}"/>
            </a:ext>
          </a:extLst>
        </xdr:cNvPr>
        <xdr:cNvCxnSpPr>
          <a:cxnSpLocks noChangeShapeType="1"/>
        </xdr:cNvCxnSpPr>
      </xdr:nvCxnSpPr>
      <xdr:spPr bwMode="auto">
        <a:xfrm>
          <a:off x="3649980" y="2396261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1274</xdr:row>
      <xdr:rowOff>541020</xdr:rowOff>
    </xdr:from>
    <xdr:to>
      <xdr:col>3</xdr:col>
      <xdr:colOff>327660</xdr:colOff>
      <xdr:row>1274</xdr:row>
      <xdr:rowOff>541020</xdr:rowOff>
    </xdr:to>
    <xdr:cxnSp macro="">
      <xdr:nvCxnSpPr>
        <xdr:cNvPr id="1569" name="Straight Connector 6">
          <a:extLst>
            <a:ext uri="{FF2B5EF4-FFF2-40B4-BE49-F238E27FC236}">
              <a16:creationId xmlns:a16="http://schemas.microsoft.com/office/drawing/2014/main" id="{3E49931A-BF8C-1416-8691-19D3BA160585}"/>
            </a:ext>
          </a:extLst>
        </xdr:cNvPr>
        <xdr:cNvCxnSpPr>
          <a:cxnSpLocks noChangeShapeType="1"/>
        </xdr:cNvCxnSpPr>
      </xdr:nvCxnSpPr>
      <xdr:spPr bwMode="auto">
        <a:xfrm>
          <a:off x="624840" y="2609621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1274</xdr:row>
      <xdr:rowOff>541020</xdr:rowOff>
    </xdr:from>
    <xdr:to>
      <xdr:col>16</xdr:col>
      <xdr:colOff>106680</xdr:colOff>
      <xdr:row>1274</xdr:row>
      <xdr:rowOff>541020</xdr:rowOff>
    </xdr:to>
    <xdr:cxnSp macro="">
      <xdr:nvCxnSpPr>
        <xdr:cNvPr id="1570" name="Straight Connector 26">
          <a:extLst>
            <a:ext uri="{FF2B5EF4-FFF2-40B4-BE49-F238E27FC236}">
              <a16:creationId xmlns:a16="http://schemas.microsoft.com/office/drawing/2014/main" id="{6457EDA3-8415-7145-6B46-1322F32B8D39}"/>
            </a:ext>
          </a:extLst>
        </xdr:cNvPr>
        <xdr:cNvCxnSpPr>
          <a:cxnSpLocks noChangeShapeType="1"/>
        </xdr:cNvCxnSpPr>
      </xdr:nvCxnSpPr>
      <xdr:spPr bwMode="auto">
        <a:xfrm>
          <a:off x="3649980" y="2609621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1378</xdr:row>
      <xdr:rowOff>541020</xdr:rowOff>
    </xdr:from>
    <xdr:to>
      <xdr:col>3</xdr:col>
      <xdr:colOff>327660</xdr:colOff>
      <xdr:row>1378</xdr:row>
      <xdr:rowOff>541020</xdr:rowOff>
    </xdr:to>
    <xdr:cxnSp macro="">
      <xdr:nvCxnSpPr>
        <xdr:cNvPr id="1571" name="Straight Connector 6">
          <a:extLst>
            <a:ext uri="{FF2B5EF4-FFF2-40B4-BE49-F238E27FC236}">
              <a16:creationId xmlns:a16="http://schemas.microsoft.com/office/drawing/2014/main" id="{7B3EA312-9E13-72FF-DF06-5A3BD2F231A3}"/>
            </a:ext>
          </a:extLst>
        </xdr:cNvPr>
        <xdr:cNvCxnSpPr>
          <a:cxnSpLocks noChangeShapeType="1"/>
        </xdr:cNvCxnSpPr>
      </xdr:nvCxnSpPr>
      <xdr:spPr bwMode="auto">
        <a:xfrm>
          <a:off x="624840" y="2822981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1378</xdr:row>
      <xdr:rowOff>541020</xdr:rowOff>
    </xdr:from>
    <xdr:to>
      <xdr:col>16</xdr:col>
      <xdr:colOff>106680</xdr:colOff>
      <xdr:row>1378</xdr:row>
      <xdr:rowOff>541020</xdr:rowOff>
    </xdr:to>
    <xdr:cxnSp macro="">
      <xdr:nvCxnSpPr>
        <xdr:cNvPr id="1572" name="Straight Connector 26">
          <a:extLst>
            <a:ext uri="{FF2B5EF4-FFF2-40B4-BE49-F238E27FC236}">
              <a16:creationId xmlns:a16="http://schemas.microsoft.com/office/drawing/2014/main" id="{25B3659F-4EF7-9297-75DD-6DB04FF3E447}"/>
            </a:ext>
          </a:extLst>
        </xdr:cNvPr>
        <xdr:cNvCxnSpPr>
          <a:cxnSpLocks noChangeShapeType="1"/>
        </xdr:cNvCxnSpPr>
      </xdr:nvCxnSpPr>
      <xdr:spPr bwMode="auto">
        <a:xfrm>
          <a:off x="3649980" y="2822981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1495</xdr:row>
      <xdr:rowOff>541020</xdr:rowOff>
    </xdr:from>
    <xdr:to>
      <xdr:col>3</xdr:col>
      <xdr:colOff>327660</xdr:colOff>
      <xdr:row>1495</xdr:row>
      <xdr:rowOff>541020</xdr:rowOff>
    </xdr:to>
    <xdr:cxnSp macro="">
      <xdr:nvCxnSpPr>
        <xdr:cNvPr id="1573" name="Straight Connector 6">
          <a:extLst>
            <a:ext uri="{FF2B5EF4-FFF2-40B4-BE49-F238E27FC236}">
              <a16:creationId xmlns:a16="http://schemas.microsoft.com/office/drawing/2014/main" id="{262B59BF-4746-FDB8-EEE8-D65D9B4CF773}"/>
            </a:ext>
          </a:extLst>
        </xdr:cNvPr>
        <xdr:cNvCxnSpPr>
          <a:cxnSpLocks noChangeShapeType="1"/>
        </xdr:cNvCxnSpPr>
      </xdr:nvCxnSpPr>
      <xdr:spPr bwMode="auto">
        <a:xfrm>
          <a:off x="624840" y="3058287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1495</xdr:row>
      <xdr:rowOff>541020</xdr:rowOff>
    </xdr:from>
    <xdr:to>
      <xdr:col>16</xdr:col>
      <xdr:colOff>106680</xdr:colOff>
      <xdr:row>1495</xdr:row>
      <xdr:rowOff>541020</xdr:rowOff>
    </xdr:to>
    <xdr:cxnSp macro="">
      <xdr:nvCxnSpPr>
        <xdr:cNvPr id="1574" name="Straight Connector 26">
          <a:extLst>
            <a:ext uri="{FF2B5EF4-FFF2-40B4-BE49-F238E27FC236}">
              <a16:creationId xmlns:a16="http://schemas.microsoft.com/office/drawing/2014/main" id="{87EE9315-C825-2135-A0ED-BD92E1D5BEF0}"/>
            </a:ext>
          </a:extLst>
        </xdr:cNvPr>
        <xdr:cNvCxnSpPr>
          <a:cxnSpLocks noChangeShapeType="1"/>
        </xdr:cNvCxnSpPr>
      </xdr:nvCxnSpPr>
      <xdr:spPr bwMode="auto">
        <a:xfrm>
          <a:off x="3649980" y="3058287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1612</xdr:row>
      <xdr:rowOff>541020</xdr:rowOff>
    </xdr:from>
    <xdr:to>
      <xdr:col>3</xdr:col>
      <xdr:colOff>327660</xdr:colOff>
      <xdr:row>1612</xdr:row>
      <xdr:rowOff>541020</xdr:rowOff>
    </xdr:to>
    <xdr:cxnSp macro="">
      <xdr:nvCxnSpPr>
        <xdr:cNvPr id="1575" name="Straight Connector 6">
          <a:extLst>
            <a:ext uri="{FF2B5EF4-FFF2-40B4-BE49-F238E27FC236}">
              <a16:creationId xmlns:a16="http://schemas.microsoft.com/office/drawing/2014/main" id="{4A489330-BEFB-7011-78C2-3097E68B8767}"/>
            </a:ext>
          </a:extLst>
        </xdr:cNvPr>
        <xdr:cNvCxnSpPr>
          <a:cxnSpLocks noChangeShapeType="1"/>
        </xdr:cNvCxnSpPr>
      </xdr:nvCxnSpPr>
      <xdr:spPr bwMode="auto">
        <a:xfrm>
          <a:off x="624840" y="3293592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1612</xdr:row>
      <xdr:rowOff>541020</xdr:rowOff>
    </xdr:from>
    <xdr:to>
      <xdr:col>16</xdr:col>
      <xdr:colOff>106680</xdr:colOff>
      <xdr:row>1612</xdr:row>
      <xdr:rowOff>541020</xdr:rowOff>
    </xdr:to>
    <xdr:cxnSp macro="">
      <xdr:nvCxnSpPr>
        <xdr:cNvPr id="1576" name="Straight Connector 26">
          <a:extLst>
            <a:ext uri="{FF2B5EF4-FFF2-40B4-BE49-F238E27FC236}">
              <a16:creationId xmlns:a16="http://schemas.microsoft.com/office/drawing/2014/main" id="{E1772CC6-4E19-5AA8-9A7D-B4522F1F9AE9}"/>
            </a:ext>
          </a:extLst>
        </xdr:cNvPr>
        <xdr:cNvCxnSpPr>
          <a:cxnSpLocks noChangeShapeType="1"/>
        </xdr:cNvCxnSpPr>
      </xdr:nvCxnSpPr>
      <xdr:spPr bwMode="auto">
        <a:xfrm>
          <a:off x="3649980" y="3293592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1716</xdr:row>
      <xdr:rowOff>541020</xdr:rowOff>
    </xdr:from>
    <xdr:to>
      <xdr:col>3</xdr:col>
      <xdr:colOff>327660</xdr:colOff>
      <xdr:row>1716</xdr:row>
      <xdr:rowOff>541020</xdr:rowOff>
    </xdr:to>
    <xdr:cxnSp macro="">
      <xdr:nvCxnSpPr>
        <xdr:cNvPr id="1577" name="Straight Connector 6">
          <a:extLst>
            <a:ext uri="{FF2B5EF4-FFF2-40B4-BE49-F238E27FC236}">
              <a16:creationId xmlns:a16="http://schemas.microsoft.com/office/drawing/2014/main" id="{57346031-A3FE-F3E5-C25E-66C657D6F7D7}"/>
            </a:ext>
          </a:extLst>
        </xdr:cNvPr>
        <xdr:cNvCxnSpPr>
          <a:cxnSpLocks noChangeShapeType="1"/>
        </xdr:cNvCxnSpPr>
      </xdr:nvCxnSpPr>
      <xdr:spPr bwMode="auto">
        <a:xfrm>
          <a:off x="624840" y="3506952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1716</xdr:row>
      <xdr:rowOff>541020</xdr:rowOff>
    </xdr:from>
    <xdr:to>
      <xdr:col>16</xdr:col>
      <xdr:colOff>106680</xdr:colOff>
      <xdr:row>1716</xdr:row>
      <xdr:rowOff>541020</xdr:rowOff>
    </xdr:to>
    <xdr:cxnSp macro="">
      <xdr:nvCxnSpPr>
        <xdr:cNvPr id="1578" name="Straight Connector 26">
          <a:extLst>
            <a:ext uri="{FF2B5EF4-FFF2-40B4-BE49-F238E27FC236}">
              <a16:creationId xmlns:a16="http://schemas.microsoft.com/office/drawing/2014/main" id="{353C6FEE-0461-9237-0EC7-4CD56E2587C6}"/>
            </a:ext>
          </a:extLst>
        </xdr:cNvPr>
        <xdr:cNvCxnSpPr>
          <a:cxnSpLocks noChangeShapeType="1"/>
        </xdr:cNvCxnSpPr>
      </xdr:nvCxnSpPr>
      <xdr:spPr bwMode="auto">
        <a:xfrm>
          <a:off x="3649980" y="3506952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1820</xdr:row>
      <xdr:rowOff>541020</xdr:rowOff>
    </xdr:from>
    <xdr:to>
      <xdr:col>3</xdr:col>
      <xdr:colOff>327660</xdr:colOff>
      <xdr:row>1820</xdr:row>
      <xdr:rowOff>541020</xdr:rowOff>
    </xdr:to>
    <xdr:cxnSp macro="">
      <xdr:nvCxnSpPr>
        <xdr:cNvPr id="1579" name="Straight Connector 6">
          <a:extLst>
            <a:ext uri="{FF2B5EF4-FFF2-40B4-BE49-F238E27FC236}">
              <a16:creationId xmlns:a16="http://schemas.microsoft.com/office/drawing/2014/main" id="{991334F0-2808-CB78-FF81-2B1A8BA24716}"/>
            </a:ext>
          </a:extLst>
        </xdr:cNvPr>
        <xdr:cNvCxnSpPr>
          <a:cxnSpLocks noChangeShapeType="1"/>
        </xdr:cNvCxnSpPr>
      </xdr:nvCxnSpPr>
      <xdr:spPr bwMode="auto">
        <a:xfrm>
          <a:off x="624840" y="37203126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1820</xdr:row>
      <xdr:rowOff>541020</xdr:rowOff>
    </xdr:from>
    <xdr:to>
      <xdr:col>16</xdr:col>
      <xdr:colOff>106680</xdr:colOff>
      <xdr:row>1820</xdr:row>
      <xdr:rowOff>541020</xdr:rowOff>
    </xdr:to>
    <xdr:cxnSp macro="">
      <xdr:nvCxnSpPr>
        <xdr:cNvPr id="1580" name="Straight Connector 26">
          <a:extLst>
            <a:ext uri="{FF2B5EF4-FFF2-40B4-BE49-F238E27FC236}">
              <a16:creationId xmlns:a16="http://schemas.microsoft.com/office/drawing/2014/main" id="{16FFC60B-E738-E3F5-9CCE-12E88B3014B5}"/>
            </a:ext>
          </a:extLst>
        </xdr:cNvPr>
        <xdr:cNvCxnSpPr>
          <a:cxnSpLocks noChangeShapeType="1"/>
        </xdr:cNvCxnSpPr>
      </xdr:nvCxnSpPr>
      <xdr:spPr bwMode="auto">
        <a:xfrm>
          <a:off x="3649980" y="37203126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1928</xdr:row>
      <xdr:rowOff>541020</xdr:rowOff>
    </xdr:from>
    <xdr:to>
      <xdr:col>3</xdr:col>
      <xdr:colOff>327660</xdr:colOff>
      <xdr:row>1928</xdr:row>
      <xdr:rowOff>541020</xdr:rowOff>
    </xdr:to>
    <xdr:cxnSp macro="">
      <xdr:nvCxnSpPr>
        <xdr:cNvPr id="1581" name="Straight Connector 6">
          <a:extLst>
            <a:ext uri="{FF2B5EF4-FFF2-40B4-BE49-F238E27FC236}">
              <a16:creationId xmlns:a16="http://schemas.microsoft.com/office/drawing/2014/main" id="{E7FC658C-1095-9579-4CB7-D42BB0EB953C}"/>
            </a:ext>
          </a:extLst>
        </xdr:cNvPr>
        <xdr:cNvCxnSpPr>
          <a:cxnSpLocks noChangeShapeType="1"/>
        </xdr:cNvCxnSpPr>
      </xdr:nvCxnSpPr>
      <xdr:spPr bwMode="auto">
        <a:xfrm>
          <a:off x="624840" y="3940302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1928</xdr:row>
      <xdr:rowOff>541020</xdr:rowOff>
    </xdr:from>
    <xdr:to>
      <xdr:col>16</xdr:col>
      <xdr:colOff>106680</xdr:colOff>
      <xdr:row>1928</xdr:row>
      <xdr:rowOff>541020</xdr:rowOff>
    </xdr:to>
    <xdr:cxnSp macro="">
      <xdr:nvCxnSpPr>
        <xdr:cNvPr id="1582" name="Straight Connector 26">
          <a:extLst>
            <a:ext uri="{FF2B5EF4-FFF2-40B4-BE49-F238E27FC236}">
              <a16:creationId xmlns:a16="http://schemas.microsoft.com/office/drawing/2014/main" id="{A0491475-DB2E-7261-127E-3B921B365F17}"/>
            </a:ext>
          </a:extLst>
        </xdr:cNvPr>
        <xdr:cNvCxnSpPr>
          <a:cxnSpLocks noChangeShapeType="1"/>
        </xdr:cNvCxnSpPr>
      </xdr:nvCxnSpPr>
      <xdr:spPr bwMode="auto">
        <a:xfrm>
          <a:off x="3649980" y="3940302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2032</xdr:row>
      <xdr:rowOff>541020</xdr:rowOff>
    </xdr:from>
    <xdr:to>
      <xdr:col>3</xdr:col>
      <xdr:colOff>327660</xdr:colOff>
      <xdr:row>2032</xdr:row>
      <xdr:rowOff>541020</xdr:rowOff>
    </xdr:to>
    <xdr:cxnSp macro="">
      <xdr:nvCxnSpPr>
        <xdr:cNvPr id="1583" name="Straight Connector 6">
          <a:extLst>
            <a:ext uri="{FF2B5EF4-FFF2-40B4-BE49-F238E27FC236}">
              <a16:creationId xmlns:a16="http://schemas.microsoft.com/office/drawing/2014/main" id="{6A5BFAB9-BEFB-A023-0001-264A5585711F}"/>
            </a:ext>
          </a:extLst>
        </xdr:cNvPr>
        <xdr:cNvCxnSpPr>
          <a:cxnSpLocks noChangeShapeType="1"/>
        </xdr:cNvCxnSpPr>
      </xdr:nvCxnSpPr>
      <xdr:spPr bwMode="auto">
        <a:xfrm>
          <a:off x="624840" y="4153662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2032</xdr:row>
      <xdr:rowOff>541020</xdr:rowOff>
    </xdr:from>
    <xdr:to>
      <xdr:col>16</xdr:col>
      <xdr:colOff>106680</xdr:colOff>
      <xdr:row>2032</xdr:row>
      <xdr:rowOff>541020</xdr:rowOff>
    </xdr:to>
    <xdr:cxnSp macro="">
      <xdr:nvCxnSpPr>
        <xdr:cNvPr id="1584" name="Straight Connector 26">
          <a:extLst>
            <a:ext uri="{FF2B5EF4-FFF2-40B4-BE49-F238E27FC236}">
              <a16:creationId xmlns:a16="http://schemas.microsoft.com/office/drawing/2014/main" id="{121E1195-4D91-419F-EB4B-96430A0DFB67}"/>
            </a:ext>
          </a:extLst>
        </xdr:cNvPr>
        <xdr:cNvCxnSpPr>
          <a:cxnSpLocks noChangeShapeType="1"/>
        </xdr:cNvCxnSpPr>
      </xdr:nvCxnSpPr>
      <xdr:spPr bwMode="auto">
        <a:xfrm>
          <a:off x="3649980" y="4153662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7BDC-8F52-462F-8B67-439127ADC227}">
  <dimension ref="A1:T2144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8" t="s">
        <v>33</v>
      </c>
      <c r="B1" s="48"/>
      <c r="C1" s="48"/>
      <c r="D1" s="48"/>
      <c r="E1" s="48"/>
      <c r="F1" s="42" t="s">
        <v>24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17.399999999999999" x14ac:dyDescent="0.25">
      <c r="A2" s="49" t="s">
        <v>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4.5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20" ht="5.25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20" ht="16.5" customHeight="1" x14ac:dyDescent="0.25">
      <c r="A5" s="54" t="s">
        <v>43</v>
      </c>
      <c r="B5" s="54"/>
      <c r="C5" s="54"/>
      <c r="D5" s="54"/>
      <c r="E5" s="54"/>
      <c r="F5" s="54"/>
      <c r="G5" s="58" t="s">
        <v>44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20" ht="16.5" customHeight="1" x14ac:dyDescent="0.25">
      <c r="A6" s="54" t="s">
        <v>45</v>
      </c>
      <c r="B6" s="54"/>
      <c r="C6" s="54"/>
      <c r="D6" s="54"/>
      <c r="E6" s="54"/>
      <c r="F6" s="54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4" t="s">
        <v>47</v>
      </c>
      <c r="B7" s="54"/>
      <c r="C7" s="54"/>
      <c r="D7" s="54"/>
      <c r="E7" s="54"/>
      <c r="F7" s="54"/>
      <c r="G7" s="58" t="s">
        <v>48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6" t="s">
        <v>0</v>
      </c>
      <c r="B9" s="29" t="s">
        <v>1</v>
      </c>
      <c r="C9" s="30"/>
      <c r="D9" s="30"/>
      <c r="E9" s="30"/>
      <c r="F9" s="30"/>
      <c r="G9" s="31"/>
      <c r="H9" s="36" t="s">
        <v>32</v>
      </c>
      <c r="I9" s="36" t="s">
        <v>39</v>
      </c>
      <c r="J9" s="55" t="s">
        <v>2</v>
      </c>
      <c r="K9" s="56"/>
      <c r="L9" s="56"/>
      <c r="M9" s="56"/>
      <c r="N9" s="56"/>
      <c r="O9" s="56"/>
      <c r="P9" s="56"/>
      <c r="Q9" s="57"/>
      <c r="S9" s="36" t="s">
        <v>38</v>
      </c>
    </row>
    <row r="10" spans="1:20" ht="24" customHeight="1" x14ac:dyDescent="0.25">
      <c r="A10" s="37"/>
      <c r="B10" s="32"/>
      <c r="C10" s="33"/>
      <c r="D10" s="33"/>
      <c r="E10" s="33"/>
      <c r="F10" s="33"/>
      <c r="G10" s="34"/>
      <c r="H10" s="37"/>
      <c r="I10" s="37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7"/>
    </row>
    <row r="11" spans="1:20" ht="20.25" customHeight="1" x14ac:dyDescent="0.25">
      <c r="A11" s="27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51" t="s">
        <v>55</v>
      </c>
      <c r="C12" s="52"/>
      <c r="D12" s="52"/>
      <c r="E12" s="52"/>
      <c r="F12" s="52"/>
      <c r="G12" s="53"/>
      <c r="H12" s="20"/>
      <c r="I12" s="9">
        <v>2</v>
      </c>
      <c r="J12" s="9"/>
      <c r="K12" s="9"/>
      <c r="L12" s="9"/>
      <c r="M12" s="9">
        <f t="shared" ref="M12:M20" si="0">I12*O12</f>
        <v>14.2</v>
      </c>
      <c r="N12" s="9">
        <f t="shared" ref="N12:N20" si="1">I12*P12</f>
        <v>6</v>
      </c>
      <c r="O12" s="9">
        <v>7.1</v>
      </c>
      <c r="P12" s="9">
        <v>3</v>
      </c>
      <c r="Q12" s="9" t="s">
        <v>6</v>
      </c>
      <c r="R12" s="1">
        <v>0</v>
      </c>
      <c r="S12" s="26"/>
    </row>
    <row r="13" spans="1:20" ht="16.5" customHeight="1" x14ac:dyDescent="0.25">
      <c r="A13" s="9"/>
      <c r="B13" s="51" t="s">
        <v>56</v>
      </c>
      <c r="C13" s="52"/>
      <c r="D13" s="52"/>
      <c r="E13" s="52"/>
      <c r="F13" s="52"/>
      <c r="G13" s="53"/>
      <c r="H13" s="20"/>
      <c r="I13" s="9">
        <v>3</v>
      </c>
      <c r="J13" s="9"/>
      <c r="K13" s="9"/>
      <c r="L13" s="9"/>
      <c r="M13" s="9">
        <f t="shared" si="0"/>
        <v>24</v>
      </c>
      <c r="N13" s="9">
        <f t="shared" si="1"/>
        <v>10.5</v>
      </c>
      <c r="O13" s="9">
        <v>8</v>
      </c>
      <c r="P13" s="9">
        <v>3.5</v>
      </c>
      <c r="Q13" s="9" t="s">
        <v>9</v>
      </c>
      <c r="R13" s="1">
        <v>0</v>
      </c>
      <c r="S13" s="26"/>
    </row>
    <row r="14" spans="1:20" ht="31.2" customHeight="1" x14ac:dyDescent="0.25">
      <c r="A14" s="9"/>
      <c r="B14" s="51" t="s">
        <v>57</v>
      </c>
      <c r="C14" s="52"/>
      <c r="D14" s="52"/>
      <c r="E14" s="52"/>
      <c r="F14" s="52"/>
      <c r="G14" s="53"/>
      <c r="H14" s="20"/>
      <c r="I14" s="9">
        <v>3</v>
      </c>
      <c r="J14" s="9"/>
      <c r="K14" s="9"/>
      <c r="L14" s="9"/>
      <c r="M14" s="9">
        <f t="shared" si="0"/>
        <v>23.1</v>
      </c>
      <c r="N14" s="9">
        <f t="shared" si="1"/>
        <v>9</v>
      </c>
      <c r="O14" s="9">
        <v>7.7</v>
      </c>
      <c r="P14" s="9">
        <v>3</v>
      </c>
      <c r="Q14" s="9" t="s">
        <v>6</v>
      </c>
      <c r="R14" s="1">
        <v>0</v>
      </c>
      <c r="S14" s="26"/>
    </row>
    <row r="15" spans="1:20" ht="16.5" customHeight="1" x14ac:dyDescent="0.25">
      <c r="A15" s="9"/>
      <c r="B15" s="51" t="s">
        <v>58</v>
      </c>
      <c r="C15" s="52"/>
      <c r="D15" s="52"/>
      <c r="E15" s="52"/>
      <c r="F15" s="52"/>
      <c r="G15" s="53"/>
      <c r="H15" s="20"/>
      <c r="I15" s="9">
        <v>1</v>
      </c>
      <c r="J15" s="9"/>
      <c r="K15" s="9"/>
      <c r="L15" s="9"/>
      <c r="M15" s="9">
        <f t="shared" si="0"/>
        <v>7.7</v>
      </c>
      <c r="N15" s="9">
        <f t="shared" si="1"/>
        <v>3</v>
      </c>
      <c r="O15" s="9">
        <v>7.7</v>
      </c>
      <c r="P15" s="9">
        <v>3</v>
      </c>
      <c r="Q15" s="9" t="s">
        <v>6</v>
      </c>
      <c r="R15" s="1">
        <v>0</v>
      </c>
      <c r="S15" s="26"/>
    </row>
    <row r="16" spans="1:20" ht="16.5" customHeight="1" x14ac:dyDescent="0.25">
      <c r="A16" s="9"/>
      <c r="B16" s="51" t="s">
        <v>59</v>
      </c>
      <c r="C16" s="52"/>
      <c r="D16" s="52"/>
      <c r="E16" s="52"/>
      <c r="F16" s="52"/>
      <c r="G16" s="53"/>
      <c r="H16" s="20"/>
      <c r="I16" s="9">
        <v>1</v>
      </c>
      <c r="J16" s="9"/>
      <c r="K16" s="9"/>
      <c r="L16" s="9"/>
      <c r="M16" s="9">
        <f t="shared" si="0"/>
        <v>7.4</v>
      </c>
      <c r="N16" s="9">
        <f t="shared" si="1"/>
        <v>3</v>
      </c>
      <c r="O16" s="9">
        <v>7.4</v>
      </c>
      <c r="P16" s="9">
        <v>3</v>
      </c>
      <c r="Q16" s="9" t="s">
        <v>6</v>
      </c>
      <c r="R16" s="1">
        <v>0</v>
      </c>
      <c r="S16" s="26"/>
    </row>
    <row r="17" spans="1:19" ht="16.5" customHeight="1" x14ac:dyDescent="0.25">
      <c r="A17" s="9"/>
      <c r="B17" s="51" t="s">
        <v>60</v>
      </c>
      <c r="C17" s="52"/>
      <c r="D17" s="52"/>
      <c r="E17" s="52"/>
      <c r="F17" s="52"/>
      <c r="G17" s="53"/>
      <c r="H17" s="20"/>
      <c r="I17" s="9">
        <v>3</v>
      </c>
      <c r="J17" s="9"/>
      <c r="K17" s="9"/>
      <c r="L17" s="9"/>
      <c r="M17" s="9">
        <f t="shared" si="0"/>
        <v>24.599999999999998</v>
      </c>
      <c r="N17" s="9">
        <f t="shared" si="1"/>
        <v>10.5</v>
      </c>
      <c r="O17" s="9">
        <v>8.1999999999999993</v>
      </c>
      <c r="P17" s="9">
        <v>3.5</v>
      </c>
      <c r="Q17" s="9" t="s">
        <v>9</v>
      </c>
      <c r="R17" s="1">
        <v>0</v>
      </c>
      <c r="S17" s="26"/>
    </row>
    <row r="18" spans="1:19" ht="16.5" customHeight="1" x14ac:dyDescent="0.25">
      <c r="A18" s="9"/>
      <c r="B18" s="51" t="s">
        <v>61</v>
      </c>
      <c r="C18" s="52"/>
      <c r="D18" s="52"/>
      <c r="E18" s="52"/>
      <c r="F18" s="52"/>
      <c r="G18" s="53"/>
      <c r="H18" s="20"/>
      <c r="I18" s="9">
        <v>1</v>
      </c>
      <c r="J18" s="9"/>
      <c r="K18" s="9"/>
      <c r="L18" s="9"/>
      <c r="M18" s="9">
        <f t="shared" si="0"/>
        <v>7.3</v>
      </c>
      <c r="N18" s="9">
        <f t="shared" si="1"/>
        <v>3</v>
      </c>
      <c r="O18" s="9">
        <v>7.3</v>
      </c>
      <c r="P18" s="9">
        <v>3</v>
      </c>
      <c r="Q18" s="9" t="s">
        <v>6</v>
      </c>
      <c r="R18" s="1">
        <v>0</v>
      </c>
      <c r="S18" s="26"/>
    </row>
    <row r="19" spans="1:19" ht="16.5" hidden="1" customHeight="1" x14ac:dyDescent="0.25">
      <c r="A19" s="21"/>
      <c r="H19" s="21"/>
      <c r="I19" s="21"/>
      <c r="J19" s="21"/>
      <c r="K19" s="21"/>
      <c r="L19" s="21"/>
      <c r="M19" s="9">
        <f t="shared" si="0"/>
        <v>0</v>
      </c>
      <c r="N19" s="9">
        <f t="shared" si="1"/>
        <v>0</v>
      </c>
      <c r="O19" s="21"/>
      <c r="P19" s="21"/>
      <c r="Q19" s="21"/>
      <c r="S19" s="25"/>
    </row>
    <row r="20" spans="1:19" ht="16.5" customHeight="1" x14ac:dyDescent="0.25">
      <c r="A20" s="9"/>
      <c r="B20" s="39" t="s">
        <v>42</v>
      </c>
      <c r="C20" s="40"/>
      <c r="D20" s="40"/>
      <c r="E20" s="40"/>
      <c r="F20" s="40"/>
      <c r="G20" s="41"/>
      <c r="H20" s="23"/>
      <c r="I20" s="24">
        <f>SUM(I12:I19)</f>
        <v>14</v>
      </c>
      <c r="J20" s="9"/>
      <c r="K20" s="9"/>
      <c r="L20" s="9"/>
      <c r="M20" s="9">
        <f t="shared" si="0"/>
        <v>108.36</v>
      </c>
      <c r="N20" s="9">
        <f t="shared" si="1"/>
        <v>44.94</v>
      </c>
      <c r="O20" s="24">
        <f>ROUND(SUM(M12:M19)/I20,2)</f>
        <v>7.74</v>
      </c>
      <c r="P20" s="24">
        <f>ROUND(SUM(N12:N19)/I20,2)</f>
        <v>3.21</v>
      </c>
      <c r="Q20" s="9"/>
      <c r="S20" s="25"/>
    </row>
    <row r="21" spans="1:19" ht="20.25" customHeight="1" x14ac:dyDescent="0.25">
      <c r="A21" s="27" t="s">
        <v>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6.5" customHeight="1" x14ac:dyDescent="0.25">
      <c r="A22" s="9"/>
      <c r="B22" s="51" t="s">
        <v>63</v>
      </c>
      <c r="C22" s="52"/>
      <c r="D22" s="52"/>
      <c r="E22" s="52"/>
      <c r="F22" s="52"/>
      <c r="G22" s="53"/>
      <c r="H22" s="20"/>
      <c r="I22" s="9">
        <v>4</v>
      </c>
      <c r="J22" s="9"/>
      <c r="K22" s="9"/>
      <c r="L22" s="9"/>
      <c r="M22" s="9">
        <f t="shared" ref="M22:M30" si="2">I22*O22</f>
        <v>30.8</v>
      </c>
      <c r="N22" s="9">
        <f t="shared" ref="N22:N30" si="3">I22*P22</f>
        <v>12</v>
      </c>
      <c r="O22" s="9">
        <v>7.7</v>
      </c>
      <c r="P22" s="9">
        <v>3</v>
      </c>
      <c r="Q22" s="9" t="s">
        <v>6</v>
      </c>
      <c r="R22" s="1">
        <v>0</v>
      </c>
      <c r="S22" s="26"/>
    </row>
    <row r="23" spans="1:19" ht="16.5" customHeight="1" x14ac:dyDescent="0.25">
      <c r="A23" s="9"/>
      <c r="B23" s="51" t="s">
        <v>64</v>
      </c>
      <c r="C23" s="52"/>
      <c r="D23" s="52"/>
      <c r="E23" s="52"/>
      <c r="F23" s="52"/>
      <c r="G23" s="53"/>
      <c r="H23" s="20"/>
      <c r="I23" s="9">
        <v>4</v>
      </c>
      <c r="J23" s="9"/>
      <c r="K23" s="9"/>
      <c r="L23" s="9"/>
      <c r="M23" s="9">
        <f t="shared" si="2"/>
        <v>32</v>
      </c>
      <c r="N23" s="9">
        <f t="shared" si="3"/>
        <v>14</v>
      </c>
      <c r="O23" s="9">
        <v>8</v>
      </c>
      <c r="P23" s="9">
        <v>3.5</v>
      </c>
      <c r="Q23" s="9" t="s">
        <v>9</v>
      </c>
      <c r="R23" s="1">
        <v>0</v>
      </c>
      <c r="S23" s="26"/>
    </row>
    <row r="24" spans="1:19" ht="16.5" customHeight="1" x14ac:dyDescent="0.25">
      <c r="A24" s="9"/>
      <c r="B24" s="51" t="s">
        <v>65</v>
      </c>
      <c r="C24" s="52"/>
      <c r="D24" s="52"/>
      <c r="E24" s="52"/>
      <c r="F24" s="52"/>
      <c r="G24" s="53"/>
      <c r="H24" s="20"/>
      <c r="I24" s="9">
        <v>4</v>
      </c>
      <c r="J24" s="9"/>
      <c r="K24" s="9"/>
      <c r="L24" s="9"/>
      <c r="M24" s="9">
        <f t="shared" si="2"/>
        <v>31.2</v>
      </c>
      <c r="N24" s="9">
        <f t="shared" si="3"/>
        <v>12</v>
      </c>
      <c r="O24" s="9">
        <v>7.8</v>
      </c>
      <c r="P24" s="9">
        <v>3</v>
      </c>
      <c r="Q24" s="9" t="s">
        <v>6</v>
      </c>
      <c r="R24" s="1">
        <v>0</v>
      </c>
      <c r="S24" s="26"/>
    </row>
    <row r="25" spans="1:19" ht="16.5" customHeight="1" x14ac:dyDescent="0.25">
      <c r="A25" s="9"/>
      <c r="B25" s="51" t="s">
        <v>66</v>
      </c>
      <c r="C25" s="52"/>
      <c r="D25" s="52"/>
      <c r="E25" s="52"/>
      <c r="F25" s="52"/>
      <c r="G25" s="53"/>
      <c r="H25" s="20"/>
      <c r="I25" s="9">
        <v>1</v>
      </c>
      <c r="J25" s="9"/>
      <c r="K25" s="9"/>
      <c r="L25" s="9"/>
      <c r="M25" s="9">
        <f t="shared" si="2"/>
        <v>7.7</v>
      </c>
      <c r="N25" s="9">
        <f t="shared" si="3"/>
        <v>3</v>
      </c>
      <c r="O25" s="9">
        <v>7.7</v>
      </c>
      <c r="P25" s="9">
        <v>3</v>
      </c>
      <c r="Q25" s="9" t="s">
        <v>6</v>
      </c>
      <c r="R25" s="1">
        <v>0</v>
      </c>
      <c r="S25" s="26"/>
    </row>
    <row r="26" spans="1:19" ht="16.5" customHeight="1" x14ac:dyDescent="0.25">
      <c r="A26" s="9"/>
      <c r="B26" s="51" t="s">
        <v>67</v>
      </c>
      <c r="C26" s="52"/>
      <c r="D26" s="52"/>
      <c r="E26" s="52"/>
      <c r="F26" s="52"/>
      <c r="G26" s="53"/>
      <c r="H26" s="20"/>
      <c r="I26" s="9">
        <v>1</v>
      </c>
      <c r="J26" s="9"/>
      <c r="K26" s="9"/>
      <c r="L26" s="9"/>
      <c r="M26" s="9">
        <f t="shared" si="2"/>
        <v>8</v>
      </c>
      <c r="N26" s="9">
        <f t="shared" si="3"/>
        <v>3.5</v>
      </c>
      <c r="O26" s="9">
        <v>8</v>
      </c>
      <c r="P26" s="9">
        <v>3.5</v>
      </c>
      <c r="Q26" s="9" t="s">
        <v>9</v>
      </c>
      <c r="R26" s="1">
        <v>0</v>
      </c>
      <c r="S26" s="26"/>
    </row>
    <row r="27" spans="1:19" ht="16.5" customHeight="1" x14ac:dyDescent="0.25">
      <c r="A27" s="9"/>
      <c r="B27" s="51" t="s">
        <v>68</v>
      </c>
      <c r="C27" s="52"/>
      <c r="D27" s="52"/>
      <c r="E27" s="52"/>
      <c r="F27" s="52"/>
      <c r="G27" s="53"/>
      <c r="H27" s="20"/>
      <c r="I27" s="9">
        <v>1</v>
      </c>
      <c r="J27" s="9"/>
      <c r="K27" s="9"/>
      <c r="L27" s="9"/>
      <c r="M27" s="9">
        <f t="shared" si="2"/>
        <v>7.6</v>
      </c>
      <c r="N27" s="9">
        <f t="shared" si="3"/>
        <v>3</v>
      </c>
      <c r="O27" s="9">
        <v>7.6</v>
      </c>
      <c r="P27" s="9">
        <v>3</v>
      </c>
      <c r="Q27" s="9" t="s">
        <v>6</v>
      </c>
      <c r="R27" s="1">
        <v>0</v>
      </c>
      <c r="S27" s="26"/>
    </row>
    <row r="28" spans="1:19" ht="16.5" customHeight="1" x14ac:dyDescent="0.25">
      <c r="A28" s="9"/>
      <c r="B28" s="51" t="s">
        <v>69</v>
      </c>
      <c r="C28" s="52"/>
      <c r="D28" s="52"/>
      <c r="E28" s="52"/>
      <c r="F28" s="52"/>
      <c r="G28" s="53"/>
      <c r="H28" s="20"/>
      <c r="I28" s="9">
        <v>1</v>
      </c>
      <c r="J28" s="9"/>
      <c r="K28" s="9"/>
      <c r="L28" s="9"/>
      <c r="M28" s="9">
        <f t="shared" si="2"/>
        <v>7.6</v>
      </c>
      <c r="N28" s="9">
        <f t="shared" si="3"/>
        <v>3</v>
      </c>
      <c r="O28" s="9">
        <v>7.6</v>
      </c>
      <c r="P28" s="9">
        <v>3</v>
      </c>
      <c r="Q28" s="9" t="s">
        <v>6</v>
      </c>
      <c r="R28" s="1">
        <v>0</v>
      </c>
      <c r="S28" s="26"/>
    </row>
    <row r="29" spans="1:19" ht="16.5" hidden="1" customHeight="1" x14ac:dyDescent="0.25">
      <c r="A29" s="21"/>
      <c r="H29" s="21"/>
      <c r="I29" s="21"/>
      <c r="J29" s="21"/>
      <c r="K29" s="21"/>
      <c r="L29" s="21"/>
      <c r="M29" s="9">
        <f t="shared" si="2"/>
        <v>0</v>
      </c>
      <c r="N29" s="9">
        <f t="shared" si="3"/>
        <v>0</v>
      </c>
      <c r="O29" s="21"/>
      <c r="P29" s="21"/>
      <c r="Q29" s="21"/>
      <c r="S29" s="25"/>
    </row>
    <row r="30" spans="1:19" ht="16.5" customHeight="1" x14ac:dyDescent="0.25">
      <c r="A30" s="9"/>
      <c r="B30" s="39" t="s">
        <v>42</v>
      </c>
      <c r="C30" s="40"/>
      <c r="D30" s="40"/>
      <c r="E30" s="40"/>
      <c r="F30" s="40"/>
      <c r="G30" s="41"/>
      <c r="H30" s="23"/>
      <c r="I30" s="24">
        <f>SUM(I22:I29)</f>
        <v>16</v>
      </c>
      <c r="J30" s="9"/>
      <c r="K30" s="9"/>
      <c r="L30" s="9"/>
      <c r="M30" s="9">
        <f t="shared" si="2"/>
        <v>124.96</v>
      </c>
      <c r="N30" s="9">
        <f t="shared" si="3"/>
        <v>50.56</v>
      </c>
      <c r="O30" s="24">
        <f>ROUND(SUM(M22:M29)/I30,2)</f>
        <v>7.81</v>
      </c>
      <c r="P30" s="24">
        <f>ROUND(SUM(N22:N29)/I30,2)</f>
        <v>3.16</v>
      </c>
      <c r="Q30" s="9"/>
      <c r="S30" s="25"/>
    </row>
    <row r="31" spans="1:19" ht="20.25" customHeight="1" x14ac:dyDescent="0.25">
      <c r="A31" s="27" t="s">
        <v>70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ht="16.5" customHeight="1" x14ac:dyDescent="0.25">
      <c r="A32" s="9"/>
      <c r="B32" s="51" t="s">
        <v>71</v>
      </c>
      <c r="C32" s="52"/>
      <c r="D32" s="52"/>
      <c r="E32" s="52"/>
      <c r="F32" s="52"/>
      <c r="G32" s="53"/>
      <c r="H32" s="20"/>
      <c r="I32" s="9">
        <v>4</v>
      </c>
      <c r="J32" s="9"/>
      <c r="K32" s="9"/>
      <c r="L32" s="9"/>
      <c r="M32" s="9">
        <f t="shared" ref="M32:M40" si="4">I32*O32</f>
        <v>36</v>
      </c>
      <c r="N32" s="9">
        <f t="shared" ref="N32:N40" si="5">I32*P32</f>
        <v>16</v>
      </c>
      <c r="O32" s="9">
        <v>9</v>
      </c>
      <c r="P32" s="9">
        <v>4</v>
      </c>
      <c r="Q32" s="9" t="s">
        <v>12</v>
      </c>
      <c r="R32" s="1">
        <v>0</v>
      </c>
      <c r="S32" s="26"/>
    </row>
    <row r="33" spans="1:19" ht="16.5" customHeight="1" x14ac:dyDescent="0.25">
      <c r="A33" s="9"/>
      <c r="B33" s="51" t="s">
        <v>72</v>
      </c>
      <c r="C33" s="52"/>
      <c r="D33" s="52"/>
      <c r="E33" s="52"/>
      <c r="F33" s="52"/>
      <c r="G33" s="53"/>
      <c r="H33" s="20"/>
      <c r="I33" s="9">
        <v>4</v>
      </c>
      <c r="J33" s="9"/>
      <c r="K33" s="9"/>
      <c r="L33" s="9"/>
      <c r="M33" s="9">
        <f t="shared" si="4"/>
        <v>29.6</v>
      </c>
      <c r="N33" s="9">
        <f t="shared" si="5"/>
        <v>12</v>
      </c>
      <c r="O33" s="9">
        <v>7.4</v>
      </c>
      <c r="P33" s="9">
        <v>3</v>
      </c>
      <c r="Q33" s="9" t="s">
        <v>6</v>
      </c>
      <c r="R33" s="1">
        <v>0</v>
      </c>
      <c r="S33" s="26"/>
    </row>
    <row r="34" spans="1:19" ht="16.5" customHeight="1" x14ac:dyDescent="0.25">
      <c r="A34" s="9"/>
      <c r="B34" s="51" t="s">
        <v>73</v>
      </c>
      <c r="C34" s="52"/>
      <c r="D34" s="52"/>
      <c r="E34" s="52"/>
      <c r="F34" s="52"/>
      <c r="G34" s="53"/>
      <c r="H34" s="20"/>
      <c r="I34" s="9">
        <v>1</v>
      </c>
      <c r="J34" s="9"/>
      <c r="K34" s="9"/>
      <c r="L34" s="9"/>
      <c r="M34" s="9">
        <f t="shared" si="4"/>
        <v>7.9</v>
      </c>
      <c r="N34" s="9">
        <f t="shared" si="5"/>
        <v>3</v>
      </c>
      <c r="O34" s="9">
        <v>7.9</v>
      </c>
      <c r="P34" s="9">
        <v>3</v>
      </c>
      <c r="Q34" s="9" t="s">
        <v>6</v>
      </c>
      <c r="R34" s="1">
        <v>0</v>
      </c>
      <c r="S34" s="26"/>
    </row>
    <row r="35" spans="1:19" ht="16.5" customHeight="1" x14ac:dyDescent="0.25">
      <c r="A35" s="9"/>
      <c r="B35" s="51" t="s">
        <v>74</v>
      </c>
      <c r="C35" s="52"/>
      <c r="D35" s="52"/>
      <c r="E35" s="52"/>
      <c r="F35" s="52"/>
      <c r="G35" s="53"/>
      <c r="H35" s="20"/>
      <c r="I35" s="9">
        <v>2</v>
      </c>
      <c r="J35" s="9"/>
      <c r="K35" s="9"/>
      <c r="L35" s="9"/>
      <c r="M35" s="9">
        <f t="shared" si="4"/>
        <v>17</v>
      </c>
      <c r="N35" s="9">
        <f t="shared" si="5"/>
        <v>7.4</v>
      </c>
      <c r="O35" s="9">
        <v>8.5</v>
      </c>
      <c r="P35" s="9">
        <v>3.7</v>
      </c>
      <c r="Q35" s="9" t="s">
        <v>10</v>
      </c>
      <c r="R35" s="1">
        <v>0</v>
      </c>
      <c r="S35" s="26"/>
    </row>
    <row r="36" spans="1:19" ht="16.5" customHeight="1" x14ac:dyDescent="0.25">
      <c r="A36" s="9"/>
      <c r="B36" s="51" t="s">
        <v>75</v>
      </c>
      <c r="C36" s="52"/>
      <c r="D36" s="52"/>
      <c r="E36" s="52"/>
      <c r="F36" s="52"/>
      <c r="G36" s="53"/>
      <c r="H36" s="20"/>
      <c r="I36" s="9">
        <v>1</v>
      </c>
      <c r="J36" s="9"/>
      <c r="K36" s="9"/>
      <c r="L36" s="9"/>
      <c r="M36" s="9">
        <f t="shared" si="4"/>
        <v>5.4</v>
      </c>
      <c r="N36" s="9">
        <f t="shared" si="5"/>
        <v>1.5</v>
      </c>
      <c r="O36" s="9">
        <v>5.4</v>
      </c>
      <c r="P36" s="9">
        <v>1.5</v>
      </c>
      <c r="Q36" s="9" t="s">
        <v>4</v>
      </c>
      <c r="R36" s="1">
        <v>0</v>
      </c>
      <c r="S36" s="26"/>
    </row>
    <row r="37" spans="1:19" ht="16.5" customHeight="1" x14ac:dyDescent="0.25">
      <c r="A37" s="9"/>
      <c r="B37" s="51" t="s">
        <v>76</v>
      </c>
      <c r="C37" s="52"/>
      <c r="D37" s="52"/>
      <c r="E37" s="52"/>
      <c r="F37" s="52"/>
      <c r="G37" s="53"/>
      <c r="H37" s="20"/>
      <c r="I37" s="9">
        <v>4</v>
      </c>
      <c r="J37" s="9"/>
      <c r="K37" s="9"/>
      <c r="L37" s="9"/>
      <c r="M37" s="9">
        <f t="shared" si="4"/>
        <v>34.799999999999997</v>
      </c>
      <c r="N37" s="9">
        <f t="shared" si="5"/>
        <v>14.8</v>
      </c>
      <c r="O37" s="9">
        <v>8.6999999999999993</v>
      </c>
      <c r="P37" s="9">
        <v>3.7</v>
      </c>
      <c r="Q37" s="9" t="s">
        <v>10</v>
      </c>
      <c r="R37" s="1">
        <v>0</v>
      </c>
      <c r="S37" s="26"/>
    </row>
    <row r="38" spans="1:19" ht="16.5" customHeight="1" x14ac:dyDescent="0.25">
      <c r="A38" s="9"/>
      <c r="B38" s="51" t="s">
        <v>77</v>
      </c>
      <c r="C38" s="52"/>
      <c r="D38" s="52"/>
      <c r="E38" s="52"/>
      <c r="F38" s="52"/>
      <c r="G38" s="53"/>
      <c r="H38" s="20"/>
      <c r="I38" s="9">
        <v>3</v>
      </c>
      <c r="J38" s="9"/>
      <c r="K38" s="9"/>
      <c r="L38" s="9"/>
      <c r="M38" s="9">
        <f t="shared" si="4"/>
        <v>22.5</v>
      </c>
      <c r="N38" s="9">
        <f t="shared" si="5"/>
        <v>9</v>
      </c>
      <c r="O38" s="9">
        <v>7.5</v>
      </c>
      <c r="P38" s="9">
        <v>3</v>
      </c>
      <c r="Q38" s="9" t="s">
        <v>6</v>
      </c>
      <c r="R38" s="1">
        <v>0</v>
      </c>
      <c r="S38" s="26"/>
    </row>
    <row r="39" spans="1:19" ht="16.5" hidden="1" customHeight="1" x14ac:dyDescent="0.25">
      <c r="A39" s="21"/>
      <c r="H39" s="21"/>
      <c r="I39" s="21"/>
      <c r="J39" s="21"/>
      <c r="K39" s="21"/>
      <c r="L39" s="21"/>
      <c r="M39" s="9">
        <f t="shared" si="4"/>
        <v>0</v>
      </c>
      <c r="N39" s="9">
        <f t="shared" si="5"/>
        <v>0</v>
      </c>
      <c r="O39" s="21"/>
      <c r="P39" s="21"/>
      <c r="Q39" s="21"/>
      <c r="S39" s="25"/>
    </row>
    <row r="40" spans="1:19" ht="16.5" customHeight="1" x14ac:dyDescent="0.25">
      <c r="A40" s="9"/>
      <c r="B40" s="39" t="s">
        <v>42</v>
      </c>
      <c r="C40" s="40"/>
      <c r="D40" s="40"/>
      <c r="E40" s="40"/>
      <c r="F40" s="40"/>
      <c r="G40" s="41"/>
      <c r="H40" s="23"/>
      <c r="I40" s="24">
        <f>SUM(I32:I39)</f>
        <v>19</v>
      </c>
      <c r="J40" s="9"/>
      <c r="K40" s="9"/>
      <c r="L40" s="9"/>
      <c r="M40" s="9">
        <f t="shared" si="4"/>
        <v>153.14000000000001</v>
      </c>
      <c r="N40" s="9">
        <f t="shared" si="5"/>
        <v>63.65</v>
      </c>
      <c r="O40" s="24">
        <f>ROUND(SUM(M32:M39)/I40,2)</f>
        <v>8.06</v>
      </c>
      <c r="P40" s="24">
        <f>ROUND(SUM(N32:N39)/I40,2)</f>
        <v>3.35</v>
      </c>
      <c r="Q40" s="9"/>
      <c r="S40" s="25"/>
    </row>
    <row r="41" spans="1:19" ht="20.25" customHeight="1" x14ac:dyDescent="0.25">
      <c r="A41" s="27" t="s">
        <v>78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1:19" ht="16.5" customHeight="1" x14ac:dyDescent="0.25">
      <c r="A42" s="9"/>
      <c r="B42" s="51" t="s">
        <v>79</v>
      </c>
      <c r="C42" s="52"/>
      <c r="D42" s="52"/>
      <c r="E42" s="52"/>
      <c r="F42" s="52"/>
      <c r="G42" s="53"/>
      <c r="H42" s="20"/>
      <c r="I42" s="9">
        <v>1</v>
      </c>
      <c r="J42" s="9"/>
      <c r="K42" s="9"/>
      <c r="L42" s="9"/>
      <c r="M42" s="9">
        <f t="shared" ref="M42:M48" si="6">I42*O42</f>
        <v>9</v>
      </c>
      <c r="N42" s="9">
        <f t="shared" ref="N42:N48" si="7">I42*P42</f>
        <v>4</v>
      </c>
      <c r="O42" s="9">
        <v>9</v>
      </c>
      <c r="P42" s="9">
        <v>4</v>
      </c>
      <c r="Q42" s="9" t="s">
        <v>12</v>
      </c>
      <c r="R42" s="1">
        <v>0</v>
      </c>
      <c r="S42" s="26"/>
    </row>
    <row r="43" spans="1:19" ht="16.5" customHeight="1" x14ac:dyDescent="0.25">
      <c r="A43" s="9"/>
      <c r="B43" s="51" t="s">
        <v>80</v>
      </c>
      <c r="C43" s="52"/>
      <c r="D43" s="52"/>
      <c r="E43" s="52"/>
      <c r="F43" s="52"/>
      <c r="G43" s="53"/>
      <c r="H43" s="20"/>
      <c r="I43" s="9">
        <v>3</v>
      </c>
      <c r="J43" s="9"/>
      <c r="K43" s="9"/>
      <c r="L43" s="9"/>
      <c r="M43" s="9">
        <f t="shared" si="6"/>
        <v>23.4</v>
      </c>
      <c r="N43" s="9">
        <f t="shared" si="7"/>
        <v>9</v>
      </c>
      <c r="O43" s="9">
        <v>7.8</v>
      </c>
      <c r="P43" s="9">
        <v>3</v>
      </c>
      <c r="Q43" s="9" t="s">
        <v>6</v>
      </c>
      <c r="R43" s="1">
        <v>0</v>
      </c>
      <c r="S43" s="26"/>
    </row>
    <row r="44" spans="1:19" ht="16.5" customHeight="1" x14ac:dyDescent="0.25">
      <c r="A44" s="9"/>
      <c r="B44" s="51" t="s">
        <v>81</v>
      </c>
      <c r="C44" s="52"/>
      <c r="D44" s="52"/>
      <c r="E44" s="52"/>
      <c r="F44" s="52"/>
      <c r="G44" s="53"/>
      <c r="H44" s="20"/>
      <c r="I44" s="9">
        <v>3</v>
      </c>
      <c r="J44" s="9"/>
      <c r="K44" s="9"/>
      <c r="L44" s="9"/>
      <c r="M44" s="9">
        <f t="shared" si="6"/>
        <v>21.299999999999997</v>
      </c>
      <c r="N44" s="9">
        <f t="shared" si="7"/>
        <v>9</v>
      </c>
      <c r="O44" s="9">
        <v>7.1</v>
      </c>
      <c r="P44" s="9">
        <v>3</v>
      </c>
      <c r="Q44" s="9" t="s">
        <v>6</v>
      </c>
      <c r="R44" s="1">
        <v>0</v>
      </c>
      <c r="S44" s="26"/>
    </row>
    <row r="45" spans="1:19" ht="16.5" customHeight="1" x14ac:dyDescent="0.25">
      <c r="A45" s="9"/>
      <c r="B45" s="51" t="s">
        <v>82</v>
      </c>
      <c r="C45" s="52"/>
      <c r="D45" s="52"/>
      <c r="E45" s="52"/>
      <c r="F45" s="52"/>
      <c r="G45" s="53"/>
      <c r="H45" s="20"/>
      <c r="I45" s="9">
        <v>2</v>
      </c>
      <c r="J45" s="9"/>
      <c r="K45" s="9"/>
      <c r="L45" s="9"/>
      <c r="M45" s="9">
        <f t="shared" si="6"/>
        <v>16.600000000000001</v>
      </c>
      <c r="N45" s="9">
        <f t="shared" si="7"/>
        <v>7</v>
      </c>
      <c r="O45" s="9">
        <v>8.3000000000000007</v>
      </c>
      <c r="P45" s="9">
        <v>3.5</v>
      </c>
      <c r="Q45" s="9" t="s">
        <v>9</v>
      </c>
      <c r="R45" s="1">
        <v>0</v>
      </c>
      <c r="S45" s="26"/>
    </row>
    <row r="46" spans="1:19" ht="16.5" customHeight="1" x14ac:dyDescent="0.25">
      <c r="A46" s="9"/>
      <c r="B46" s="51" t="s">
        <v>83</v>
      </c>
      <c r="C46" s="52"/>
      <c r="D46" s="52"/>
      <c r="E46" s="52"/>
      <c r="F46" s="52"/>
      <c r="G46" s="53"/>
      <c r="H46" s="20"/>
      <c r="I46" s="9">
        <v>2</v>
      </c>
      <c r="J46" s="9"/>
      <c r="K46" s="9"/>
      <c r="L46" s="9"/>
      <c r="M46" s="9">
        <f t="shared" si="6"/>
        <v>15.4</v>
      </c>
      <c r="N46" s="9">
        <f t="shared" si="7"/>
        <v>6</v>
      </c>
      <c r="O46" s="9">
        <v>7.7</v>
      </c>
      <c r="P46" s="9">
        <v>3</v>
      </c>
      <c r="Q46" s="9" t="s">
        <v>6</v>
      </c>
      <c r="R46" s="1">
        <v>0</v>
      </c>
      <c r="S46" s="26"/>
    </row>
    <row r="47" spans="1:19" ht="16.5" customHeight="1" x14ac:dyDescent="0.25">
      <c r="A47" s="9"/>
      <c r="B47" s="51" t="s">
        <v>84</v>
      </c>
      <c r="C47" s="52"/>
      <c r="D47" s="52"/>
      <c r="E47" s="52"/>
      <c r="F47" s="52"/>
      <c r="G47" s="53"/>
      <c r="H47" s="20"/>
      <c r="I47" s="9">
        <v>3</v>
      </c>
      <c r="J47" s="9"/>
      <c r="K47" s="9"/>
      <c r="L47" s="9"/>
      <c r="M47" s="9">
        <f t="shared" si="6"/>
        <v>25.799999999999997</v>
      </c>
      <c r="N47" s="9">
        <f t="shared" si="7"/>
        <v>11.100000000000001</v>
      </c>
      <c r="O47" s="9">
        <v>8.6</v>
      </c>
      <c r="P47" s="9">
        <v>3.7</v>
      </c>
      <c r="Q47" s="9" t="s">
        <v>10</v>
      </c>
      <c r="R47" s="1">
        <v>0</v>
      </c>
      <c r="S47" s="26"/>
    </row>
    <row r="48" spans="1:19" ht="16.5" customHeight="1" x14ac:dyDescent="0.25">
      <c r="A48" s="9"/>
      <c r="B48" s="51" t="s">
        <v>85</v>
      </c>
      <c r="C48" s="52"/>
      <c r="D48" s="52"/>
      <c r="E48" s="52"/>
      <c r="F48" s="52"/>
      <c r="G48" s="53"/>
      <c r="H48" s="20"/>
      <c r="I48" s="9">
        <v>2</v>
      </c>
      <c r="J48" s="9"/>
      <c r="K48" s="9"/>
      <c r="L48" s="9"/>
      <c r="M48" s="9">
        <f t="shared" si="6"/>
        <v>15.2</v>
      </c>
      <c r="N48" s="9">
        <f t="shared" si="7"/>
        <v>6</v>
      </c>
      <c r="O48" s="9">
        <v>7.6</v>
      </c>
      <c r="P48" s="9">
        <v>3</v>
      </c>
      <c r="Q48" s="9" t="s">
        <v>6</v>
      </c>
      <c r="R48" s="1">
        <v>0</v>
      </c>
      <c r="S48" s="26"/>
    </row>
    <row r="49" spans="1:19" ht="15" customHeight="1" x14ac:dyDescent="0.25">
      <c r="A49" s="36" t="s">
        <v>0</v>
      </c>
      <c r="B49" s="29" t="s">
        <v>1</v>
      </c>
      <c r="C49" s="30"/>
      <c r="D49" s="30"/>
      <c r="E49" s="30"/>
      <c r="F49" s="30"/>
      <c r="G49" s="31"/>
      <c r="H49" s="36" t="s">
        <v>32</v>
      </c>
      <c r="I49" s="36" t="s">
        <v>39</v>
      </c>
      <c r="J49" s="55" t="s">
        <v>2</v>
      </c>
      <c r="K49" s="56"/>
      <c r="L49" s="56"/>
      <c r="M49" s="56"/>
      <c r="N49" s="56"/>
      <c r="O49" s="56"/>
      <c r="P49" s="56"/>
      <c r="Q49" s="57"/>
      <c r="S49" s="36" t="s">
        <v>38</v>
      </c>
    </row>
    <row r="50" spans="1:19" ht="24" customHeight="1" x14ac:dyDescent="0.25">
      <c r="A50" s="37"/>
      <c r="B50" s="32"/>
      <c r="C50" s="33"/>
      <c r="D50" s="33"/>
      <c r="E50" s="33"/>
      <c r="F50" s="33"/>
      <c r="G50" s="34"/>
      <c r="H50" s="37"/>
      <c r="I50" s="37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7"/>
    </row>
    <row r="51" spans="1:19" ht="16.5" customHeight="1" x14ac:dyDescent="0.25">
      <c r="A51" s="9"/>
      <c r="B51" s="51" t="s">
        <v>86</v>
      </c>
      <c r="C51" s="52"/>
      <c r="D51" s="52"/>
      <c r="E51" s="52"/>
      <c r="F51" s="52"/>
      <c r="G51" s="53"/>
      <c r="H51" s="20"/>
      <c r="I51" s="9">
        <v>3</v>
      </c>
      <c r="J51" s="9"/>
      <c r="K51" s="9"/>
      <c r="L51" s="9"/>
      <c r="M51" s="9">
        <f>I51*O51</f>
        <v>27.599999999999998</v>
      </c>
      <c r="N51" s="9">
        <f>I51*P51</f>
        <v>12</v>
      </c>
      <c r="O51" s="9">
        <v>9.1999999999999993</v>
      </c>
      <c r="P51" s="9">
        <v>4</v>
      </c>
      <c r="Q51" s="9" t="s">
        <v>12</v>
      </c>
      <c r="R51" s="1">
        <v>0</v>
      </c>
      <c r="S51" s="26"/>
    </row>
    <row r="52" spans="1:19" ht="16.5" customHeight="1" x14ac:dyDescent="0.25">
      <c r="A52" s="9"/>
      <c r="B52" s="51" t="s">
        <v>87</v>
      </c>
      <c r="C52" s="52"/>
      <c r="D52" s="52"/>
      <c r="E52" s="52"/>
      <c r="F52" s="52"/>
      <c r="G52" s="53"/>
      <c r="H52" s="20"/>
      <c r="I52" s="9">
        <v>3</v>
      </c>
      <c r="J52" s="9"/>
      <c r="K52" s="9"/>
      <c r="L52" s="9"/>
      <c r="M52" s="9">
        <f>I52*O52</f>
        <v>23.700000000000003</v>
      </c>
      <c r="N52" s="9">
        <f>I52*P52</f>
        <v>9</v>
      </c>
      <c r="O52" s="9">
        <v>7.9</v>
      </c>
      <c r="P52" s="9">
        <v>3</v>
      </c>
      <c r="Q52" s="9" t="s">
        <v>6</v>
      </c>
      <c r="R52" s="1">
        <v>0</v>
      </c>
      <c r="S52" s="26"/>
    </row>
    <row r="53" spans="1:19" ht="16.5" hidden="1" customHeight="1" x14ac:dyDescent="0.25">
      <c r="A53" s="21"/>
      <c r="H53" s="21"/>
      <c r="I53" s="21"/>
      <c r="J53" s="21"/>
      <c r="K53" s="21"/>
      <c r="L53" s="21"/>
      <c r="M53" s="9">
        <f>I53*O53</f>
        <v>0</v>
      </c>
      <c r="N53" s="9">
        <f>I53*P53</f>
        <v>0</v>
      </c>
      <c r="O53" s="21"/>
      <c r="P53" s="21"/>
      <c r="Q53" s="21"/>
      <c r="S53" s="25"/>
    </row>
    <row r="54" spans="1:19" ht="16.5" customHeight="1" x14ac:dyDescent="0.25">
      <c r="A54" s="9"/>
      <c r="B54" s="39" t="s">
        <v>42</v>
      </c>
      <c r="C54" s="40"/>
      <c r="D54" s="40"/>
      <c r="E54" s="40"/>
      <c r="F54" s="40"/>
      <c r="G54" s="41"/>
      <c r="H54" s="23"/>
      <c r="I54" s="24">
        <f>SUM(I42:I53)</f>
        <v>22</v>
      </c>
      <c r="J54" s="9"/>
      <c r="K54" s="9"/>
      <c r="L54" s="9"/>
      <c r="M54" s="9">
        <f>I54*O54</f>
        <v>177.98</v>
      </c>
      <c r="N54" s="9">
        <f>I54*P54</f>
        <v>73.039999999999992</v>
      </c>
      <c r="O54" s="24">
        <f>ROUND(SUM(M42:M53)/I54,2)</f>
        <v>8.09</v>
      </c>
      <c r="P54" s="24">
        <f>ROUND(SUM(N42:N53)/I54,2)</f>
        <v>3.32</v>
      </c>
      <c r="Q54" s="9"/>
      <c r="S54" s="25"/>
    </row>
    <row r="55" spans="1:19" ht="20.25" customHeight="1" x14ac:dyDescent="0.25">
      <c r="A55" s="27" t="s">
        <v>88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1:19" ht="16.5" customHeight="1" x14ac:dyDescent="0.25">
      <c r="A56" s="9"/>
      <c r="B56" s="51" t="s">
        <v>89</v>
      </c>
      <c r="C56" s="52"/>
      <c r="D56" s="52"/>
      <c r="E56" s="52"/>
      <c r="F56" s="52"/>
      <c r="G56" s="53"/>
      <c r="H56" s="20"/>
      <c r="I56" s="9">
        <v>2</v>
      </c>
      <c r="J56" s="9"/>
      <c r="K56" s="9"/>
      <c r="L56" s="9"/>
      <c r="M56" s="9">
        <f t="shared" ref="M56:M67" si="8">I56*O56</f>
        <v>14.6</v>
      </c>
      <c r="N56" s="9">
        <f t="shared" ref="N56:N67" si="9">I56*P56</f>
        <v>6</v>
      </c>
      <c r="O56" s="9">
        <v>7.3</v>
      </c>
      <c r="P56" s="9">
        <v>3</v>
      </c>
      <c r="Q56" s="9" t="s">
        <v>6</v>
      </c>
      <c r="R56" s="1">
        <v>0</v>
      </c>
      <c r="S56" s="26"/>
    </row>
    <row r="57" spans="1:19" ht="16.5" customHeight="1" x14ac:dyDescent="0.25">
      <c r="A57" s="9"/>
      <c r="B57" s="51" t="s">
        <v>90</v>
      </c>
      <c r="C57" s="52"/>
      <c r="D57" s="52"/>
      <c r="E57" s="52"/>
      <c r="F57" s="52"/>
      <c r="G57" s="53"/>
      <c r="H57" s="20"/>
      <c r="I57" s="9">
        <v>3</v>
      </c>
      <c r="J57" s="9"/>
      <c r="K57" s="9"/>
      <c r="L57" s="9"/>
      <c r="M57" s="9">
        <f t="shared" si="8"/>
        <v>25.799999999999997</v>
      </c>
      <c r="N57" s="9">
        <f t="shared" si="9"/>
        <v>11.100000000000001</v>
      </c>
      <c r="O57" s="9">
        <v>8.6</v>
      </c>
      <c r="P57" s="9">
        <v>3.7</v>
      </c>
      <c r="Q57" s="9" t="s">
        <v>10</v>
      </c>
      <c r="R57" s="1">
        <v>0</v>
      </c>
      <c r="S57" s="26"/>
    </row>
    <row r="58" spans="1:19" ht="16.5" customHeight="1" x14ac:dyDescent="0.25">
      <c r="A58" s="9"/>
      <c r="B58" s="51" t="s">
        <v>91</v>
      </c>
      <c r="C58" s="52"/>
      <c r="D58" s="52"/>
      <c r="E58" s="52"/>
      <c r="F58" s="52"/>
      <c r="G58" s="53"/>
      <c r="H58" s="20"/>
      <c r="I58" s="9">
        <v>2</v>
      </c>
      <c r="J58" s="9"/>
      <c r="K58" s="9"/>
      <c r="L58" s="9"/>
      <c r="M58" s="9">
        <f t="shared" si="8"/>
        <v>16.2</v>
      </c>
      <c r="N58" s="9">
        <f t="shared" si="9"/>
        <v>7</v>
      </c>
      <c r="O58" s="9">
        <v>8.1</v>
      </c>
      <c r="P58" s="9">
        <v>3.5</v>
      </c>
      <c r="Q58" s="9" t="s">
        <v>9</v>
      </c>
      <c r="R58" s="1">
        <v>0</v>
      </c>
      <c r="S58" s="26"/>
    </row>
    <row r="59" spans="1:19" ht="16.5" customHeight="1" x14ac:dyDescent="0.25">
      <c r="A59" s="9"/>
      <c r="B59" s="51" t="s">
        <v>92</v>
      </c>
      <c r="C59" s="52"/>
      <c r="D59" s="52"/>
      <c r="E59" s="52"/>
      <c r="F59" s="52"/>
      <c r="G59" s="53"/>
      <c r="H59" s="20"/>
      <c r="I59" s="9">
        <v>3</v>
      </c>
      <c r="J59" s="9"/>
      <c r="K59" s="9"/>
      <c r="L59" s="9"/>
      <c r="M59" s="9">
        <f t="shared" si="8"/>
        <v>24.900000000000002</v>
      </c>
      <c r="N59" s="9">
        <f t="shared" si="9"/>
        <v>10.5</v>
      </c>
      <c r="O59" s="9">
        <v>8.3000000000000007</v>
      </c>
      <c r="P59" s="9">
        <v>3.5</v>
      </c>
      <c r="Q59" s="9" t="s">
        <v>9</v>
      </c>
      <c r="R59" s="1">
        <v>0</v>
      </c>
      <c r="S59" s="26"/>
    </row>
    <row r="60" spans="1:19" ht="16.5" customHeight="1" x14ac:dyDescent="0.25">
      <c r="A60" s="9"/>
      <c r="B60" s="51" t="s">
        <v>93</v>
      </c>
      <c r="C60" s="52"/>
      <c r="D60" s="52"/>
      <c r="E60" s="52"/>
      <c r="F60" s="52"/>
      <c r="G60" s="53"/>
      <c r="H60" s="20"/>
      <c r="I60" s="9">
        <v>1</v>
      </c>
      <c r="J60" s="9"/>
      <c r="K60" s="9"/>
      <c r="L60" s="9"/>
      <c r="M60" s="9">
        <f t="shared" si="8"/>
        <v>6.7</v>
      </c>
      <c r="N60" s="9">
        <f t="shared" si="9"/>
        <v>2.5</v>
      </c>
      <c r="O60" s="9">
        <v>6.7</v>
      </c>
      <c r="P60" s="9">
        <v>2.5</v>
      </c>
      <c r="Q60" s="9" t="s">
        <v>5</v>
      </c>
      <c r="R60" s="1">
        <v>0</v>
      </c>
      <c r="S60" s="26"/>
    </row>
    <row r="61" spans="1:19" ht="16.5" customHeight="1" x14ac:dyDescent="0.25">
      <c r="A61" s="9"/>
      <c r="B61" s="51" t="s">
        <v>94</v>
      </c>
      <c r="C61" s="52"/>
      <c r="D61" s="52"/>
      <c r="E61" s="52"/>
      <c r="F61" s="52"/>
      <c r="G61" s="53"/>
      <c r="H61" s="20"/>
      <c r="I61" s="9">
        <v>1</v>
      </c>
      <c r="J61" s="9"/>
      <c r="K61" s="9"/>
      <c r="L61" s="9"/>
      <c r="M61" s="9">
        <f t="shared" si="8"/>
        <v>7.7</v>
      </c>
      <c r="N61" s="9">
        <f t="shared" si="9"/>
        <v>3</v>
      </c>
      <c r="O61" s="9">
        <v>7.7</v>
      </c>
      <c r="P61" s="9">
        <v>3</v>
      </c>
      <c r="Q61" s="9" t="s">
        <v>6</v>
      </c>
      <c r="R61" s="1">
        <v>0</v>
      </c>
      <c r="S61" s="26"/>
    </row>
    <row r="62" spans="1:19" ht="16.5" customHeight="1" x14ac:dyDescent="0.25">
      <c r="A62" s="9"/>
      <c r="B62" s="51" t="s">
        <v>95</v>
      </c>
      <c r="C62" s="52"/>
      <c r="D62" s="52"/>
      <c r="E62" s="52"/>
      <c r="F62" s="52"/>
      <c r="G62" s="53"/>
      <c r="H62" s="20"/>
      <c r="I62" s="9">
        <v>3</v>
      </c>
      <c r="J62" s="9"/>
      <c r="K62" s="9"/>
      <c r="L62" s="9"/>
      <c r="M62" s="9">
        <f t="shared" si="8"/>
        <v>24.900000000000002</v>
      </c>
      <c r="N62" s="9">
        <f t="shared" si="9"/>
        <v>10.5</v>
      </c>
      <c r="O62" s="9">
        <v>8.3000000000000007</v>
      </c>
      <c r="P62" s="9">
        <v>3.5</v>
      </c>
      <c r="Q62" s="9" t="s">
        <v>9</v>
      </c>
      <c r="R62" s="1">
        <v>0</v>
      </c>
      <c r="S62" s="26"/>
    </row>
    <row r="63" spans="1:19" ht="16.5" customHeight="1" x14ac:dyDescent="0.25">
      <c r="A63" s="9"/>
      <c r="B63" s="51" t="s">
        <v>96</v>
      </c>
      <c r="C63" s="52"/>
      <c r="D63" s="52"/>
      <c r="E63" s="52"/>
      <c r="F63" s="52"/>
      <c r="G63" s="53"/>
      <c r="H63" s="20"/>
      <c r="I63" s="9">
        <v>3</v>
      </c>
      <c r="J63" s="9"/>
      <c r="K63" s="9"/>
      <c r="L63" s="9"/>
      <c r="M63" s="9">
        <f t="shared" si="8"/>
        <v>25.799999999999997</v>
      </c>
      <c r="N63" s="9">
        <f t="shared" si="9"/>
        <v>11.100000000000001</v>
      </c>
      <c r="O63" s="9">
        <v>8.6</v>
      </c>
      <c r="P63" s="9">
        <v>3.7</v>
      </c>
      <c r="Q63" s="9" t="s">
        <v>10</v>
      </c>
      <c r="R63" s="1">
        <v>0</v>
      </c>
      <c r="S63" s="26"/>
    </row>
    <row r="64" spans="1:19" ht="16.5" customHeight="1" x14ac:dyDescent="0.25">
      <c r="A64" s="9"/>
      <c r="B64" s="51" t="s">
        <v>97</v>
      </c>
      <c r="C64" s="52"/>
      <c r="D64" s="52"/>
      <c r="E64" s="52"/>
      <c r="F64" s="52"/>
      <c r="G64" s="53"/>
      <c r="H64" s="20"/>
      <c r="I64" s="9">
        <v>1</v>
      </c>
      <c r="J64" s="9"/>
      <c r="K64" s="9"/>
      <c r="L64" s="9"/>
      <c r="M64" s="9">
        <f t="shared" si="8"/>
        <v>8.5</v>
      </c>
      <c r="N64" s="9">
        <f t="shared" si="9"/>
        <v>3.7</v>
      </c>
      <c r="O64" s="9">
        <v>8.5</v>
      </c>
      <c r="P64" s="9">
        <v>3.7</v>
      </c>
      <c r="Q64" s="9" t="s">
        <v>10</v>
      </c>
      <c r="R64" s="1">
        <v>0</v>
      </c>
      <c r="S64" s="26"/>
    </row>
    <row r="65" spans="1:19" ht="16.5" customHeight="1" x14ac:dyDescent="0.25">
      <c r="A65" s="9"/>
      <c r="B65" s="51" t="s">
        <v>98</v>
      </c>
      <c r="C65" s="52"/>
      <c r="D65" s="52"/>
      <c r="E65" s="52"/>
      <c r="F65" s="52"/>
      <c r="G65" s="53"/>
      <c r="H65" s="20"/>
      <c r="I65" s="9">
        <v>3</v>
      </c>
      <c r="J65" s="9"/>
      <c r="K65" s="9"/>
      <c r="L65" s="9"/>
      <c r="M65" s="9">
        <f t="shared" si="8"/>
        <v>24</v>
      </c>
      <c r="N65" s="9">
        <f t="shared" si="9"/>
        <v>10.5</v>
      </c>
      <c r="O65" s="9">
        <v>8</v>
      </c>
      <c r="P65" s="9">
        <v>3.5</v>
      </c>
      <c r="Q65" s="9" t="s">
        <v>9</v>
      </c>
      <c r="R65" s="1">
        <v>0</v>
      </c>
      <c r="S65" s="26"/>
    </row>
    <row r="66" spans="1:19" ht="16.5" hidden="1" customHeight="1" x14ac:dyDescent="0.25">
      <c r="A66" s="21"/>
      <c r="H66" s="21"/>
      <c r="I66" s="21"/>
      <c r="J66" s="21"/>
      <c r="K66" s="21"/>
      <c r="L66" s="21"/>
      <c r="M66" s="9">
        <f t="shared" si="8"/>
        <v>0</v>
      </c>
      <c r="N66" s="9">
        <f t="shared" si="9"/>
        <v>0</v>
      </c>
      <c r="O66" s="21"/>
      <c r="P66" s="21"/>
      <c r="Q66" s="21"/>
      <c r="S66" s="25"/>
    </row>
    <row r="67" spans="1:19" ht="16.5" customHeight="1" x14ac:dyDescent="0.25">
      <c r="A67" s="9"/>
      <c r="B67" s="39" t="s">
        <v>42</v>
      </c>
      <c r="C67" s="40"/>
      <c r="D67" s="40"/>
      <c r="E67" s="40"/>
      <c r="F67" s="40"/>
      <c r="G67" s="41"/>
      <c r="H67" s="23"/>
      <c r="I67" s="24">
        <f>SUM(I56:I66)</f>
        <v>22</v>
      </c>
      <c r="J67" s="9"/>
      <c r="K67" s="9"/>
      <c r="L67" s="9"/>
      <c r="M67" s="9">
        <f t="shared" si="8"/>
        <v>179.08</v>
      </c>
      <c r="N67" s="9">
        <f t="shared" si="9"/>
        <v>75.900000000000006</v>
      </c>
      <c r="O67" s="24">
        <f>ROUND(SUM(M56:M66)/I67,2)</f>
        <v>8.14</v>
      </c>
      <c r="P67" s="24">
        <f>ROUND(SUM(N56:N66)/I67,2)</f>
        <v>3.45</v>
      </c>
      <c r="Q67" s="9"/>
      <c r="S67" s="25"/>
    </row>
    <row r="68" spans="1:19" ht="20.25" customHeight="1" x14ac:dyDescent="0.25">
      <c r="A68" s="27" t="s">
        <v>99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spans="1:19" ht="16.5" customHeight="1" x14ac:dyDescent="0.25">
      <c r="A69" s="9"/>
      <c r="B69" s="51" t="s">
        <v>100</v>
      </c>
      <c r="C69" s="52"/>
      <c r="D69" s="52"/>
      <c r="E69" s="52"/>
      <c r="F69" s="52"/>
      <c r="G69" s="53"/>
      <c r="H69" s="20"/>
      <c r="I69" s="9">
        <v>2</v>
      </c>
      <c r="J69" s="9"/>
      <c r="K69" s="9"/>
      <c r="L69" s="9"/>
      <c r="M69" s="9">
        <f t="shared" ref="M69:M82" si="10">I69*O69</f>
        <v>16</v>
      </c>
      <c r="N69" s="9">
        <f t="shared" ref="N69:N82" si="11">I69*P69</f>
        <v>7</v>
      </c>
      <c r="O69" s="9">
        <v>8</v>
      </c>
      <c r="P69" s="9">
        <v>3.5</v>
      </c>
      <c r="Q69" s="9" t="s">
        <v>9</v>
      </c>
      <c r="R69" s="1">
        <v>0</v>
      </c>
      <c r="S69" s="26"/>
    </row>
    <row r="70" spans="1:19" ht="16.5" customHeight="1" x14ac:dyDescent="0.25">
      <c r="A70" s="9"/>
      <c r="B70" s="51" t="s">
        <v>101</v>
      </c>
      <c r="C70" s="52"/>
      <c r="D70" s="52"/>
      <c r="E70" s="52"/>
      <c r="F70" s="52"/>
      <c r="G70" s="53"/>
      <c r="H70" s="20"/>
      <c r="I70" s="9">
        <v>2</v>
      </c>
      <c r="J70" s="9"/>
      <c r="K70" s="9"/>
      <c r="L70" s="9"/>
      <c r="M70" s="9">
        <f t="shared" si="10"/>
        <v>14.8</v>
      </c>
      <c r="N70" s="9">
        <f t="shared" si="11"/>
        <v>6</v>
      </c>
      <c r="O70" s="9">
        <v>7.4</v>
      </c>
      <c r="P70" s="9">
        <v>3</v>
      </c>
      <c r="Q70" s="9" t="s">
        <v>6</v>
      </c>
      <c r="R70" s="1">
        <v>0</v>
      </c>
      <c r="S70" s="26"/>
    </row>
    <row r="71" spans="1:19" ht="16.5" customHeight="1" x14ac:dyDescent="0.25">
      <c r="A71" s="9"/>
      <c r="B71" s="51" t="s">
        <v>102</v>
      </c>
      <c r="C71" s="52"/>
      <c r="D71" s="52"/>
      <c r="E71" s="52"/>
      <c r="F71" s="52"/>
      <c r="G71" s="53"/>
      <c r="H71" s="20"/>
      <c r="I71" s="9">
        <v>1</v>
      </c>
      <c r="J71" s="9"/>
      <c r="K71" s="9"/>
      <c r="L71" s="9"/>
      <c r="M71" s="9">
        <f t="shared" si="10"/>
        <v>7.3</v>
      </c>
      <c r="N71" s="9">
        <f t="shared" si="11"/>
        <v>3</v>
      </c>
      <c r="O71" s="9">
        <v>7.3</v>
      </c>
      <c r="P71" s="9">
        <v>3</v>
      </c>
      <c r="Q71" s="9" t="s">
        <v>6</v>
      </c>
      <c r="R71" s="1">
        <v>0</v>
      </c>
      <c r="S71" s="26"/>
    </row>
    <row r="72" spans="1:19" ht="16.5" customHeight="1" x14ac:dyDescent="0.25">
      <c r="A72" s="9"/>
      <c r="B72" s="51" t="s">
        <v>103</v>
      </c>
      <c r="C72" s="52"/>
      <c r="D72" s="52"/>
      <c r="E72" s="52"/>
      <c r="F72" s="52"/>
      <c r="G72" s="53"/>
      <c r="H72" s="20"/>
      <c r="I72" s="9">
        <v>2</v>
      </c>
      <c r="J72" s="9"/>
      <c r="K72" s="9"/>
      <c r="L72" s="9"/>
      <c r="M72" s="9">
        <f t="shared" si="10"/>
        <v>15.4</v>
      </c>
      <c r="N72" s="9">
        <f t="shared" si="11"/>
        <v>6</v>
      </c>
      <c r="O72" s="9">
        <v>7.7</v>
      </c>
      <c r="P72" s="9">
        <v>3</v>
      </c>
      <c r="Q72" s="9" t="s">
        <v>6</v>
      </c>
      <c r="R72" s="1">
        <v>0</v>
      </c>
      <c r="S72" s="26"/>
    </row>
    <row r="73" spans="1:19" ht="16.5" customHeight="1" x14ac:dyDescent="0.25">
      <c r="A73" s="9"/>
      <c r="B73" s="51" t="s">
        <v>104</v>
      </c>
      <c r="C73" s="52"/>
      <c r="D73" s="52"/>
      <c r="E73" s="52"/>
      <c r="F73" s="52"/>
      <c r="G73" s="53"/>
      <c r="H73" s="20"/>
      <c r="I73" s="9">
        <v>3</v>
      </c>
      <c r="J73" s="9"/>
      <c r="K73" s="9"/>
      <c r="L73" s="9"/>
      <c r="M73" s="9">
        <f t="shared" si="10"/>
        <v>24.900000000000002</v>
      </c>
      <c r="N73" s="9">
        <f t="shared" si="11"/>
        <v>10.5</v>
      </c>
      <c r="O73" s="9">
        <v>8.3000000000000007</v>
      </c>
      <c r="P73" s="9">
        <v>3.5</v>
      </c>
      <c r="Q73" s="9" t="s">
        <v>9</v>
      </c>
      <c r="R73" s="1">
        <v>0</v>
      </c>
      <c r="S73" s="26"/>
    </row>
    <row r="74" spans="1:19" ht="16.5" customHeight="1" x14ac:dyDescent="0.25">
      <c r="A74" s="9"/>
      <c r="B74" s="51" t="s">
        <v>105</v>
      </c>
      <c r="C74" s="52"/>
      <c r="D74" s="52"/>
      <c r="E74" s="52"/>
      <c r="F74" s="52"/>
      <c r="G74" s="53"/>
      <c r="H74" s="20"/>
      <c r="I74" s="9">
        <v>3</v>
      </c>
      <c r="J74" s="9"/>
      <c r="K74" s="9"/>
      <c r="L74" s="9"/>
      <c r="M74" s="9">
        <f t="shared" si="10"/>
        <v>26.700000000000003</v>
      </c>
      <c r="N74" s="9">
        <f t="shared" si="11"/>
        <v>11.100000000000001</v>
      </c>
      <c r="O74" s="9">
        <v>8.9</v>
      </c>
      <c r="P74" s="9">
        <v>3.7</v>
      </c>
      <c r="Q74" s="9" t="s">
        <v>10</v>
      </c>
      <c r="R74" s="1">
        <v>0</v>
      </c>
      <c r="S74" s="26"/>
    </row>
    <row r="75" spans="1:19" ht="16.5" customHeight="1" x14ac:dyDescent="0.25">
      <c r="A75" s="9"/>
      <c r="B75" s="51" t="s">
        <v>106</v>
      </c>
      <c r="C75" s="52"/>
      <c r="D75" s="52"/>
      <c r="E75" s="52"/>
      <c r="F75" s="52"/>
      <c r="G75" s="53"/>
      <c r="H75" s="20"/>
      <c r="I75" s="9">
        <v>2</v>
      </c>
      <c r="J75" s="9"/>
      <c r="K75" s="9"/>
      <c r="L75" s="9"/>
      <c r="M75" s="9">
        <f t="shared" si="10"/>
        <v>16</v>
      </c>
      <c r="N75" s="9">
        <f t="shared" si="11"/>
        <v>7</v>
      </c>
      <c r="O75" s="9">
        <v>8</v>
      </c>
      <c r="P75" s="9">
        <v>3.5</v>
      </c>
      <c r="Q75" s="9" t="s">
        <v>9</v>
      </c>
      <c r="R75" s="1">
        <v>0</v>
      </c>
      <c r="S75" s="26"/>
    </row>
    <row r="76" spans="1:19" ht="16.5" customHeight="1" x14ac:dyDescent="0.25">
      <c r="A76" s="9"/>
      <c r="B76" s="51" t="s">
        <v>107</v>
      </c>
      <c r="C76" s="52"/>
      <c r="D76" s="52"/>
      <c r="E76" s="52"/>
      <c r="F76" s="52"/>
      <c r="G76" s="53"/>
      <c r="H76" s="20"/>
      <c r="I76" s="9">
        <v>3</v>
      </c>
      <c r="J76" s="9"/>
      <c r="K76" s="9"/>
      <c r="L76" s="9"/>
      <c r="M76" s="9">
        <f t="shared" si="10"/>
        <v>27</v>
      </c>
      <c r="N76" s="9">
        <f t="shared" si="11"/>
        <v>12</v>
      </c>
      <c r="O76" s="9">
        <v>9</v>
      </c>
      <c r="P76" s="9">
        <v>4</v>
      </c>
      <c r="Q76" s="9" t="s">
        <v>12</v>
      </c>
      <c r="R76" s="1">
        <v>0</v>
      </c>
      <c r="S76" s="26"/>
    </row>
    <row r="77" spans="1:19" ht="16.5" customHeight="1" x14ac:dyDescent="0.25">
      <c r="A77" s="9"/>
      <c r="B77" s="51" t="s">
        <v>108</v>
      </c>
      <c r="C77" s="52"/>
      <c r="D77" s="52"/>
      <c r="E77" s="52"/>
      <c r="F77" s="52"/>
      <c r="G77" s="53"/>
      <c r="H77" s="20"/>
      <c r="I77" s="9">
        <v>1</v>
      </c>
      <c r="J77" s="9"/>
      <c r="K77" s="9"/>
      <c r="L77" s="9"/>
      <c r="M77" s="9">
        <f t="shared" si="10"/>
        <v>8</v>
      </c>
      <c r="N77" s="9">
        <f t="shared" si="11"/>
        <v>3.5</v>
      </c>
      <c r="O77" s="9">
        <v>8</v>
      </c>
      <c r="P77" s="9">
        <v>3.5</v>
      </c>
      <c r="Q77" s="9" t="s">
        <v>9</v>
      </c>
      <c r="R77" s="1">
        <v>0</v>
      </c>
      <c r="S77" s="26"/>
    </row>
    <row r="78" spans="1:19" ht="16.5" customHeight="1" x14ac:dyDescent="0.25">
      <c r="A78" s="9"/>
      <c r="B78" s="51" t="s">
        <v>109</v>
      </c>
      <c r="C78" s="52"/>
      <c r="D78" s="52"/>
      <c r="E78" s="52"/>
      <c r="F78" s="52"/>
      <c r="G78" s="53"/>
      <c r="H78" s="20"/>
      <c r="I78" s="9">
        <v>2</v>
      </c>
      <c r="J78" s="9"/>
      <c r="K78" s="9"/>
      <c r="L78" s="9"/>
      <c r="M78" s="9">
        <f t="shared" si="10"/>
        <v>16.600000000000001</v>
      </c>
      <c r="N78" s="9">
        <f t="shared" si="11"/>
        <v>7</v>
      </c>
      <c r="O78" s="9">
        <v>8.3000000000000007</v>
      </c>
      <c r="P78" s="9">
        <v>3.5</v>
      </c>
      <c r="Q78" s="9" t="s">
        <v>9</v>
      </c>
      <c r="R78" s="1">
        <v>0</v>
      </c>
      <c r="S78" s="26"/>
    </row>
    <row r="79" spans="1:19" ht="16.5" customHeight="1" x14ac:dyDescent="0.25">
      <c r="A79" s="9"/>
      <c r="B79" s="51" t="s">
        <v>110</v>
      </c>
      <c r="C79" s="52"/>
      <c r="D79" s="52"/>
      <c r="E79" s="52"/>
      <c r="F79" s="52"/>
      <c r="G79" s="53"/>
      <c r="H79" s="20"/>
      <c r="I79" s="9">
        <v>1</v>
      </c>
      <c r="J79" s="9"/>
      <c r="K79" s="9"/>
      <c r="L79" s="9"/>
      <c r="M79" s="9">
        <f t="shared" si="10"/>
        <v>9.5</v>
      </c>
      <c r="N79" s="9">
        <f t="shared" si="11"/>
        <v>4</v>
      </c>
      <c r="O79" s="9">
        <v>9.5</v>
      </c>
      <c r="P79" s="9">
        <v>4</v>
      </c>
      <c r="Q79" s="9" t="s">
        <v>12</v>
      </c>
      <c r="R79" s="1">
        <v>0</v>
      </c>
      <c r="S79" s="26"/>
    </row>
    <row r="80" spans="1:19" ht="16.5" customHeight="1" x14ac:dyDescent="0.25">
      <c r="A80" s="9"/>
      <c r="B80" s="51" t="s">
        <v>111</v>
      </c>
      <c r="C80" s="52"/>
      <c r="D80" s="52"/>
      <c r="E80" s="52"/>
      <c r="F80" s="52"/>
      <c r="G80" s="53"/>
      <c r="H80" s="20"/>
      <c r="I80" s="9">
        <v>3</v>
      </c>
      <c r="J80" s="9"/>
      <c r="K80" s="9"/>
      <c r="L80" s="9"/>
      <c r="M80" s="9">
        <f t="shared" si="10"/>
        <v>26.400000000000002</v>
      </c>
      <c r="N80" s="9">
        <f t="shared" si="11"/>
        <v>11.100000000000001</v>
      </c>
      <c r="O80" s="9">
        <v>8.8000000000000007</v>
      </c>
      <c r="P80" s="9">
        <v>3.7</v>
      </c>
      <c r="Q80" s="9" t="s">
        <v>10</v>
      </c>
      <c r="R80" s="1">
        <v>0</v>
      </c>
      <c r="S80" s="26"/>
    </row>
    <row r="81" spans="1:19" ht="16.5" hidden="1" customHeight="1" x14ac:dyDescent="0.25">
      <c r="A81" s="21"/>
      <c r="H81" s="21"/>
      <c r="I81" s="21"/>
      <c r="J81" s="21"/>
      <c r="K81" s="21"/>
      <c r="L81" s="21"/>
      <c r="M81" s="9">
        <f t="shared" si="10"/>
        <v>0</v>
      </c>
      <c r="N81" s="9">
        <f t="shared" si="11"/>
        <v>0</v>
      </c>
      <c r="O81" s="21"/>
      <c r="P81" s="21"/>
      <c r="Q81" s="21"/>
      <c r="S81" s="25"/>
    </row>
    <row r="82" spans="1:19" ht="16.5" customHeight="1" x14ac:dyDescent="0.25">
      <c r="A82" s="9"/>
      <c r="B82" s="39" t="s">
        <v>42</v>
      </c>
      <c r="C82" s="40"/>
      <c r="D82" s="40"/>
      <c r="E82" s="40"/>
      <c r="F82" s="40"/>
      <c r="G82" s="41"/>
      <c r="H82" s="23"/>
      <c r="I82" s="24">
        <f>SUM(I69:I81)</f>
        <v>25</v>
      </c>
      <c r="J82" s="9"/>
      <c r="K82" s="9"/>
      <c r="L82" s="9"/>
      <c r="M82" s="9">
        <f t="shared" si="10"/>
        <v>208.5</v>
      </c>
      <c r="N82" s="9">
        <f t="shared" si="11"/>
        <v>88.25</v>
      </c>
      <c r="O82" s="24">
        <f>ROUND(SUM(M69:M81)/I82,2)</f>
        <v>8.34</v>
      </c>
      <c r="P82" s="24">
        <f>ROUND(SUM(N69:N81)/I82,2)</f>
        <v>3.53</v>
      </c>
      <c r="Q82" s="9"/>
      <c r="S82" s="25"/>
    </row>
    <row r="83" spans="1:19" ht="20.25" customHeight="1" x14ac:dyDescent="0.25">
      <c r="A83" s="27" t="s">
        <v>112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</row>
    <row r="84" spans="1:19" ht="16.5" customHeight="1" x14ac:dyDescent="0.25">
      <c r="A84" s="9"/>
      <c r="B84" s="51" t="s">
        <v>113</v>
      </c>
      <c r="C84" s="52"/>
      <c r="D84" s="52"/>
      <c r="E84" s="52"/>
      <c r="F84" s="52"/>
      <c r="G84" s="53"/>
      <c r="H84" s="20"/>
      <c r="I84" s="9">
        <v>2</v>
      </c>
      <c r="J84" s="9"/>
      <c r="K84" s="9"/>
      <c r="L84" s="9"/>
      <c r="M84" s="9">
        <f t="shared" ref="M84:M92" si="12">I84*O84</f>
        <v>0</v>
      </c>
      <c r="N84" s="9">
        <f t="shared" ref="N84:N92" si="13">I84*P84</f>
        <v>0</v>
      </c>
      <c r="O84" s="9"/>
      <c r="P84" s="9"/>
      <c r="Q84" s="9"/>
      <c r="R84" s="1">
        <v>0</v>
      </c>
      <c r="S84" s="26"/>
    </row>
    <row r="85" spans="1:19" ht="16.5" customHeight="1" x14ac:dyDescent="0.25">
      <c r="A85" s="9"/>
      <c r="B85" s="51" t="s">
        <v>114</v>
      </c>
      <c r="C85" s="52"/>
      <c r="D85" s="52"/>
      <c r="E85" s="52"/>
      <c r="F85" s="52"/>
      <c r="G85" s="53"/>
      <c r="H85" s="20"/>
      <c r="I85" s="9">
        <v>3</v>
      </c>
      <c r="J85" s="9"/>
      <c r="K85" s="9"/>
      <c r="L85" s="9"/>
      <c r="M85" s="9">
        <f t="shared" si="12"/>
        <v>25.799999999999997</v>
      </c>
      <c r="N85" s="9">
        <f t="shared" si="13"/>
        <v>11.100000000000001</v>
      </c>
      <c r="O85" s="9">
        <v>8.6</v>
      </c>
      <c r="P85" s="9">
        <v>3.7</v>
      </c>
      <c r="Q85" s="9" t="s">
        <v>10</v>
      </c>
      <c r="R85" s="1">
        <v>0</v>
      </c>
      <c r="S85" s="26"/>
    </row>
    <row r="86" spans="1:19" ht="16.5" customHeight="1" x14ac:dyDescent="0.25">
      <c r="A86" s="9"/>
      <c r="B86" s="51" t="s">
        <v>115</v>
      </c>
      <c r="C86" s="52"/>
      <c r="D86" s="52"/>
      <c r="E86" s="52"/>
      <c r="F86" s="52"/>
      <c r="G86" s="53"/>
      <c r="H86" s="20"/>
      <c r="I86" s="9">
        <v>1</v>
      </c>
      <c r="J86" s="9"/>
      <c r="K86" s="9"/>
      <c r="L86" s="9"/>
      <c r="M86" s="9">
        <f t="shared" si="12"/>
        <v>7.8</v>
      </c>
      <c r="N86" s="9">
        <f t="shared" si="13"/>
        <v>3</v>
      </c>
      <c r="O86" s="9">
        <v>7.8</v>
      </c>
      <c r="P86" s="9">
        <v>3</v>
      </c>
      <c r="Q86" s="9" t="s">
        <v>6</v>
      </c>
      <c r="R86" s="1">
        <v>0</v>
      </c>
      <c r="S86" s="26"/>
    </row>
    <row r="87" spans="1:19" ht="16.5" customHeight="1" x14ac:dyDescent="0.25">
      <c r="A87" s="9"/>
      <c r="B87" s="51" t="s">
        <v>116</v>
      </c>
      <c r="C87" s="52"/>
      <c r="D87" s="52"/>
      <c r="E87" s="52"/>
      <c r="F87" s="52"/>
      <c r="G87" s="53"/>
      <c r="H87" s="20"/>
      <c r="I87" s="9">
        <v>3</v>
      </c>
      <c r="J87" s="9"/>
      <c r="K87" s="9"/>
      <c r="L87" s="9"/>
      <c r="M87" s="9">
        <f t="shared" si="12"/>
        <v>24.299999999999997</v>
      </c>
      <c r="N87" s="9">
        <f t="shared" si="13"/>
        <v>10.5</v>
      </c>
      <c r="O87" s="9">
        <v>8.1</v>
      </c>
      <c r="P87" s="9">
        <v>3.5</v>
      </c>
      <c r="Q87" s="9" t="s">
        <v>9</v>
      </c>
      <c r="R87" s="1">
        <v>0</v>
      </c>
      <c r="S87" s="26"/>
    </row>
    <row r="88" spans="1:19" ht="16.5" customHeight="1" x14ac:dyDescent="0.25">
      <c r="A88" s="9"/>
      <c r="B88" s="51" t="s">
        <v>117</v>
      </c>
      <c r="C88" s="52"/>
      <c r="D88" s="52"/>
      <c r="E88" s="52"/>
      <c r="F88" s="52"/>
      <c r="G88" s="53"/>
      <c r="H88" s="20"/>
      <c r="I88" s="9">
        <v>3</v>
      </c>
      <c r="J88" s="9"/>
      <c r="K88" s="9"/>
      <c r="L88" s="9"/>
      <c r="M88" s="9">
        <f t="shared" si="12"/>
        <v>20.700000000000003</v>
      </c>
      <c r="N88" s="9">
        <f t="shared" si="13"/>
        <v>7.5</v>
      </c>
      <c r="O88" s="9">
        <v>6.9</v>
      </c>
      <c r="P88" s="9">
        <v>2.5</v>
      </c>
      <c r="Q88" s="9" t="s">
        <v>5</v>
      </c>
      <c r="R88" s="1">
        <v>0</v>
      </c>
      <c r="S88" s="26"/>
    </row>
    <row r="89" spans="1:19" ht="16.5" customHeight="1" x14ac:dyDescent="0.25">
      <c r="A89" s="9"/>
      <c r="B89" s="51" t="s">
        <v>118</v>
      </c>
      <c r="C89" s="52"/>
      <c r="D89" s="52"/>
      <c r="E89" s="52"/>
      <c r="F89" s="52"/>
      <c r="G89" s="53"/>
      <c r="H89" s="20"/>
      <c r="I89" s="9">
        <v>3</v>
      </c>
      <c r="J89" s="9"/>
      <c r="K89" s="9"/>
      <c r="L89" s="9"/>
      <c r="M89" s="9">
        <f t="shared" si="12"/>
        <v>24</v>
      </c>
      <c r="N89" s="9">
        <f t="shared" si="13"/>
        <v>10.5</v>
      </c>
      <c r="O89" s="9">
        <v>8</v>
      </c>
      <c r="P89" s="9">
        <v>3.5</v>
      </c>
      <c r="Q89" s="9" t="s">
        <v>9</v>
      </c>
      <c r="R89" s="1">
        <v>0</v>
      </c>
      <c r="S89" s="26"/>
    </row>
    <row r="90" spans="1:19" ht="31.2" customHeight="1" x14ac:dyDescent="0.25">
      <c r="A90" s="9"/>
      <c r="B90" s="51" t="s">
        <v>119</v>
      </c>
      <c r="C90" s="52"/>
      <c r="D90" s="52"/>
      <c r="E90" s="52"/>
      <c r="F90" s="52"/>
      <c r="G90" s="53"/>
      <c r="H90" s="20"/>
      <c r="I90" s="9">
        <v>2</v>
      </c>
      <c r="J90" s="9"/>
      <c r="K90" s="9"/>
      <c r="L90" s="9"/>
      <c r="M90" s="9">
        <f t="shared" si="12"/>
        <v>0</v>
      </c>
      <c r="N90" s="9">
        <f t="shared" si="13"/>
        <v>0</v>
      </c>
      <c r="O90" s="9"/>
      <c r="P90" s="9"/>
      <c r="Q90" s="9"/>
      <c r="R90" s="1">
        <v>0</v>
      </c>
      <c r="S90" s="26"/>
    </row>
    <row r="91" spans="1:19" ht="16.5" hidden="1" customHeight="1" x14ac:dyDescent="0.25">
      <c r="A91" s="21"/>
      <c r="H91" s="21"/>
      <c r="I91" s="21"/>
      <c r="J91" s="21"/>
      <c r="K91" s="21"/>
      <c r="L91" s="21"/>
      <c r="M91" s="9">
        <f t="shared" si="12"/>
        <v>0</v>
      </c>
      <c r="N91" s="9">
        <f t="shared" si="13"/>
        <v>0</v>
      </c>
      <c r="O91" s="21"/>
      <c r="P91" s="21"/>
      <c r="Q91" s="21"/>
      <c r="S91" s="25"/>
    </row>
    <row r="92" spans="1:19" ht="16.5" customHeight="1" x14ac:dyDescent="0.25">
      <c r="A92" s="9"/>
      <c r="B92" s="39" t="s">
        <v>42</v>
      </c>
      <c r="C92" s="40"/>
      <c r="D92" s="40"/>
      <c r="E92" s="40"/>
      <c r="F92" s="40"/>
      <c r="G92" s="41"/>
      <c r="H92" s="23"/>
      <c r="I92" s="24">
        <f>SUM(I84:I91)</f>
        <v>17</v>
      </c>
      <c r="J92" s="9"/>
      <c r="K92" s="9"/>
      <c r="L92" s="9"/>
      <c r="M92" s="9">
        <f t="shared" si="12"/>
        <v>102.68</v>
      </c>
      <c r="N92" s="9">
        <f t="shared" si="13"/>
        <v>42.669999999999995</v>
      </c>
      <c r="O92" s="24">
        <f>ROUND(SUM(M84:M91)/I92,2)</f>
        <v>6.04</v>
      </c>
      <c r="P92" s="24">
        <f>ROUND(SUM(N84:N91)/I92,2)</f>
        <v>2.5099999999999998</v>
      </c>
      <c r="Q92" s="9"/>
      <c r="S92" s="25"/>
    </row>
    <row r="93" spans="1:19" ht="16.5" customHeight="1" x14ac:dyDescent="0.25">
      <c r="A93" s="21"/>
      <c r="B93" s="22"/>
      <c r="C93" s="22"/>
      <c r="D93" s="22"/>
      <c r="E93" s="22"/>
      <c r="F93" s="22"/>
      <c r="G93" s="22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5" spans="1:19" ht="18" x14ac:dyDescent="0.25">
      <c r="A95" s="35" t="s">
        <v>50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 spans="1:19" ht="18" x14ac:dyDescent="0.25">
      <c r="A96" s="35" t="s">
        <v>51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1:20" ht="18" x14ac:dyDescent="0.25">
      <c r="A97" s="35" t="s">
        <v>52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</row>
    <row r="98" spans="1:20" ht="18" x14ac:dyDescent="0.25">
      <c r="A98" s="45" t="s">
        <v>53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</row>
    <row r="99" spans="1:20" ht="19.5" customHeight="1" x14ac:dyDescent="0.25">
      <c r="A99" s="17"/>
      <c r="B99" s="17"/>
      <c r="C99" s="8"/>
      <c r="D99" s="18"/>
      <c r="E99" s="10"/>
      <c r="F99" s="11"/>
      <c r="G99" s="46" t="s">
        <v>49</v>
      </c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</row>
    <row r="100" spans="1:20" ht="31.5" customHeight="1" x14ac:dyDescent="0.3">
      <c r="A100" s="8"/>
      <c r="B100" s="8"/>
      <c r="C100" s="8"/>
      <c r="D100" s="8"/>
      <c r="E100" s="8"/>
      <c r="F100" s="8"/>
      <c r="G100" s="8"/>
      <c r="H100" s="12"/>
      <c r="I100" s="42" t="s">
        <v>40</v>
      </c>
      <c r="J100" s="43"/>
      <c r="K100" s="43"/>
      <c r="L100" s="43"/>
      <c r="M100" s="43"/>
      <c r="N100" s="43"/>
      <c r="O100" s="43"/>
      <c r="P100" s="43"/>
      <c r="Q100" s="43"/>
      <c r="R100" s="43"/>
      <c r="S100" s="43"/>
    </row>
    <row r="101" spans="1:20" ht="16.8" x14ac:dyDescent="0.3">
      <c r="A101" s="8"/>
      <c r="B101" s="8"/>
      <c r="C101" s="8"/>
      <c r="D101" s="8"/>
      <c r="E101" s="8"/>
      <c r="F101" s="8"/>
      <c r="G101" s="8"/>
      <c r="H101" s="12"/>
      <c r="I101" s="12"/>
      <c r="J101" s="12"/>
      <c r="K101" s="12"/>
      <c r="L101" s="8"/>
      <c r="M101" s="8"/>
      <c r="N101" s="8"/>
      <c r="O101" s="8"/>
      <c r="P101" s="8"/>
      <c r="Q101" s="8"/>
    </row>
    <row r="102" spans="1:20" ht="33" customHeight="1" x14ac:dyDescent="0.3">
      <c r="A102" s="8"/>
      <c r="B102" s="8"/>
      <c r="C102" s="8"/>
      <c r="D102" s="8"/>
      <c r="E102" s="8"/>
      <c r="F102" s="8"/>
      <c r="G102" s="8"/>
      <c r="H102" s="12"/>
      <c r="I102" s="12"/>
      <c r="J102" s="12"/>
      <c r="K102" s="12"/>
      <c r="L102" s="8"/>
      <c r="M102" s="8"/>
      <c r="N102" s="8"/>
      <c r="O102" s="8"/>
      <c r="P102" s="8"/>
      <c r="Q102" s="8"/>
    </row>
    <row r="103" spans="1:20" ht="11.25" customHeight="1" x14ac:dyDescent="0.3">
      <c r="A103" s="8"/>
      <c r="B103" s="8"/>
      <c r="C103" s="8"/>
      <c r="D103" s="8"/>
      <c r="E103" s="8"/>
      <c r="F103" s="8"/>
      <c r="G103" s="8"/>
      <c r="H103" s="12"/>
      <c r="I103" s="12"/>
      <c r="J103" s="12"/>
      <c r="K103" s="12"/>
      <c r="L103" s="8"/>
      <c r="M103" s="8"/>
      <c r="N103" s="8"/>
      <c r="O103" s="8"/>
      <c r="P103" s="8"/>
      <c r="Q103" s="8"/>
    </row>
    <row r="104" spans="1:20" ht="17.399999999999999" x14ac:dyDescent="0.3">
      <c r="A104" s="8"/>
      <c r="B104" s="8"/>
      <c r="C104" s="8"/>
      <c r="D104" s="8"/>
      <c r="E104" s="8"/>
      <c r="F104" s="8"/>
      <c r="G104" s="47" t="s">
        <v>41</v>
      </c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</row>
    <row r="105" spans="1:20" ht="54" customHeight="1" x14ac:dyDescent="0.25">
      <c r="A105" s="48" t="s">
        <v>33</v>
      </c>
      <c r="B105" s="48"/>
      <c r="C105" s="48"/>
      <c r="D105" s="48"/>
      <c r="E105" s="48"/>
      <c r="F105" s="42" t="s">
        <v>24</v>
      </c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</row>
    <row r="106" spans="1:20" ht="17.399999999999999" x14ac:dyDescent="0.25">
      <c r="A106" s="49" t="s">
        <v>34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</row>
    <row r="107" spans="1:20" ht="4.5" customHeight="1" x14ac:dyDescent="0.2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</row>
    <row r="108" spans="1:20" ht="5.25" customHeight="1" x14ac:dyDescent="0.2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</row>
    <row r="109" spans="1:20" ht="16.5" customHeight="1" x14ac:dyDescent="0.25">
      <c r="A109" s="54" t="s">
        <v>120</v>
      </c>
      <c r="B109" s="54"/>
      <c r="C109" s="54"/>
      <c r="D109" s="54"/>
      <c r="E109" s="54"/>
      <c r="F109" s="54"/>
      <c r="G109" s="58" t="s">
        <v>121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</row>
    <row r="110" spans="1:20" ht="16.5" customHeight="1" x14ac:dyDescent="0.25">
      <c r="A110" s="54" t="s">
        <v>122</v>
      </c>
      <c r="B110" s="54"/>
      <c r="C110" s="54"/>
      <c r="D110" s="54"/>
      <c r="E110" s="54"/>
      <c r="F110" s="54"/>
      <c r="G110" s="8" t="s">
        <v>46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T110" s="2"/>
    </row>
    <row r="111" spans="1:20" ht="16.5" customHeight="1" x14ac:dyDescent="0.25">
      <c r="A111" s="54" t="s">
        <v>47</v>
      </c>
      <c r="B111" s="54"/>
      <c r="C111" s="54"/>
      <c r="D111" s="54"/>
      <c r="E111" s="54"/>
      <c r="F111" s="54"/>
      <c r="G111" s="58" t="s">
        <v>48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</row>
    <row r="112" spans="1:20" ht="5.2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19"/>
      <c r="K112" s="19"/>
      <c r="L112" s="19"/>
      <c r="M112" s="19"/>
      <c r="N112" s="19"/>
      <c r="O112" s="19"/>
      <c r="P112" s="19"/>
      <c r="Q112" s="19"/>
    </row>
    <row r="113" spans="1:19" ht="15" customHeight="1" x14ac:dyDescent="0.25">
      <c r="A113" s="36" t="s">
        <v>0</v>
      </c>
      <c r="B113" s="29" t="s">
        <v>1</v>
      </c>
      <c r="C113" s="30"/>
      <c r="D113" s="30"/>
      <c r="E113" s="30"/>
      <c r="F113" s="30"/>
      <c r="G113" s="31"/>
      <c r="H113" s="36" t="s">
        <v>32</v>
      </c>
      <c r="I113" s="36" t="s">
        <v>39</v>
      </c>
      <c r="J113" s="55" t="s">
        <v>2</v>
      </c>
      <c r="K113" s="56"/>
      <c r="L113" s="56"/>
      <c r="M113" s="56"/>
      <c r="N113" s="56"/>
      <c r="O113" s="56"/>
      <c r="P113" s="56"/>
      <c r="Q113" s="57"/>
      <c r="S113" s="36" t="s">
        <v>38</v>
      </c>
    </row>
    <row r="114" spans="1:19" ht="24" customHeight="1" x14ac:dyDescent="0.25">
      <c r="A114" s="37"/>
      <c r="B114" s="32"/>
      <c r="C114" s="33"/>
      <c r="D114" s="33"/>
      <c r="E114" s="33"/>
      <c r="F114" s="33"/>
      <c r="G114" s="34"/>
      <c r="H114" s="37"/>
      <c r="I114" s="37"/>
      <c r="J114" s="7" t="s">
        <v>28</v>
      </c>
      <c r="K114" s="7" t="s">
        <v>29</v>
      </c>
      <c r="L114" s="7" t="s">
        <v>30</v>
      </c>
      <c r="M114" s="7"/>
      <c r="N114" s="7"/>
      <c r="O114" s="6" t="s">
        <v>35</v>
      </c>
      <c r="P114" s="6" t="s">
        <v>36</v>
      </c>
      <c r="Q114" s="6" t="s">
        <v>37</v>
      </c>
      <c r="S114" s="37"/>
    </row>
    <row r="115" spans="1:19" ht="20.25" customHeight="1" x14ac:dyDescent="0.25">
      <c r="A115" s="27" t="s">
        <v>54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</row>
    <row r="116" spans="1:19" ht="16.5" customHeight="1" x14ac:dyDescent="0.25">
      <c r="A116" s="9"/>
      <c r="B116" s="51" t="s">
        <v>55</v>
      </c>
      <c r="C116" s="52"/>
      <c r="D116" s="52"/>
      <c r="E116" s="52"/>
      <c r="F116" s="52"/>
      <c r="G116" s="53"/>
      <c r="H116" s="20"/>
      <c r="I116" s="9">
        <v>2</v>
      </c>
      <c r="J116" s="9"/>
      <c r="K116" s="9"/>
      <c r="L116" s="9"/>
      <c r="M116" s="9">
        <f t="shared" ref="M116:M124" si="14">I116*O116</f>
        <v>14.2</v>
      </c>
      <c r="N116" s="9">
        <f t="shared" ref="N116:N124" si="15">I116*P116</f>
        <v>6</v>
      </c>
      <c r="O116" s="9">
        <v>7.1</v>
      </c>
      <c r="P116" s="9">
        <v>3</v>
      </c>
      <c r="Q116" s="9" t="s">
        <v>6</v>
      </c>
      <c r="R116" s="1">
        <v>0</v>
      </c>
      <c r="S116" s="26"/>
    </row>
    <row r="117" spans="1:19" ht="16.5" customHeight="1" x14ac:dyDescent="0.25">
      <c r="A117" s="9"/>
      <c r="B117" s="51" t="s">
        <v>56</v>
      </c>
      <c r="C117" s="52"/>
      <c r="D117" s="52"/>
      <c r="E117" s="52"/>
      <c r="F117" s="52"/>
      <c r="G117" s="53"/>
      <c r="H117" s="20"/>
      <c r="I117" s="9">
        <v>3</v>
      </c>
      <c r="J117" s="9"/>
      <c r="K117" s="9"/>
      <c r="L117" s="9"/>
      <c r="M117" s="9">
        <f t="shared" si="14"/>
        <v>21</v>
      </c>
      <c r="N117" s="9">
        <f t="shared" si="15"/>
        <v>9</v>
      </c>
      <c r="O117" s="9">
        <v>7</v>
      </c>
      <c r="P117" s="9">
        <v>3</v>
      </c>
      <c r="Q117" s="9" t="s">
        <v>6</v>
      </c>
      <c r="R117" s="1">
        <v>0</v>
      </c>
      <c r="S117" s="26"/>
    </row>
    <row r="118" spans="1:19" ht="31.2" customHeight="1" x14ac:dyDescent="0.25">
      <c r="A118" s="9"/>
      <c r="B118" s="51" t="s">
        <v>57</v>
      </c>
      <c r="C118" s="52"/>
      <c r="D118" s="52"/>
      <c r="E118" s="52"/>
      <c r="F118" s="52"/>
      <c r="G118" s="53"/>
      <c r="H118" s="20"/>
      <c r="I118" s="9">
        <v>3</v>
      </c>
      <c r="J118" s="9"/>
      <c r="K118" s="9"/>
      <c r="L118" s="9"/>
      <c r="M118" s="9">
        <f t="shared" si="14"/>
        <v>22.799999999999997</v>
      </c>
      <c r="N118" s="9">
        <f t="shared" si="15"/>
        <v>9</v>
      </c>
      <c r="O118" s="9">
        <v>7.6</v>
      </c>
      <c r="P118" s="9">
        <v>3</v>
      </c>
      <c r="Q118" s="9" t="s">
        <v>6</v>
      </c>
      <c r="R118" s="1">
        <v>0</v>
      </c>
      <c r="S118" s="26"/>
    </row>
    <row r="119" spans="1:19" ht="16.5" customHeight="1" x14ac:dyDescent="0.25">
      <c r="A119" s="9"/>
      <c r="B119" s="51" t="s">
        <v>58</v>
      </c>
      <c r="C119" s="52"/>
      <c r="D119" s="52"/>
      <c r="E119" s="52"/>
      <c r="F119" s="52"/>
      <c r="G119" s="53"/>
      <c r="H119" s="20"/>
      <c r="I119" s="9">
        <v>1</v>
      </c>
      <c r="J119" s="9"/>
      <c r="K119" s="9"/>
      <c r="L119" s="9"/>
      <c r="M119" s="9">
        <f t="shared" si="14"/>
        <v>7.4</v>
      </c>
      <c r="N119" s="9">
        <f t="shared" si="15"/>
        <v>3</v>
      </c>
      <c r="O119" s="9">
        <v>7.4</v>
      </c>
      <c r="P119" s="9">
        <v>3</v>
      </c>
      <c r="Q119" s="9" t="s">
        <v>6</v>
      </c>
      <c r="R119" s="1">
        <v>0</v>
      </c>
      <c r="S119" s="26"/>
    </row>
    <row r="120" spans="1:19" ht="16.5" customHeight="1" x14ac:dyDescent="0.25">
      <c r="A120" s="9"/>
      <c r="B120" s="51" t="s">
        <v>59</v>
      </c>
      <c r="C120" s="52"/>
      <c r="D120" s="52"/>
      <c r="E120" s="52"/>
      <c r="F120" s="52"/>
      <c r="G120" s="53"/>
      <c r="H120" s="20"/>
      <c r="I120" s="9">
        <v>1</v>
      </c>
      <c r="J120" s="9"/>
      <c r="K120" s="9"/>
      <c r="L120" s="9"/>
      <c r="M120" s="9">
        <f t="shared" si="14"/>
        <v>6.7</v>
      </c>
      <c r="N120" s="9">
        <f t="shared" si="15"/>
        <v>2.5</v>
      </c>
      <c r="O120" s="9">
        <v>6.7</v>
      </c>
      <c r="P120" s="9">
        <v>2.5</v>
      </c>
      <c r="Q120" s="9" t="s">
        <v>5</v>
      </c>
      <c r="R120" s="1">
        <v>0</v>
      </c>
      <c r="S120" s="26"/>
    </row>
    <row r="121" spans="1:19" ht="16.5" customHeight="1" x14ac:dyDescent="0.25">
      <c r="A121" s="9"/>
      <c r="B121" s="51" t="s">
        <v>60</v>
      </c>
      <c r="C121" s="52"/>
      <c r="D121" s="52"/>
      <c r="E121" s="52"/>
      <c r="F121" s="52"/>
      <c r="G121" s="53"/>
      <c r="H121" s="20"/>
      <c r="I121" s="9">
        <v>3</v>
      </c>
      <c r="J121" s="9"/>
      <c r="K121" s="9"/>
      <c r="L121" s="9"/>
      <c r="M121" s="9">
        <f t="shared" si="14"/>
        <v>22.799999999999997</v>
      </c>
      <c r="N121" s="9">
        <f t="shared" si="15"/>
        <v>9</v>
      </c>
      <c r="O121" s="9">
        <v>7.6</v>
      </c>
      <c r="P121" s="9">
        <v>3</v>
      </c>
      <c r="Q121" s="9" t="s">
        <v>6</v>
      </c>
      <c r="R121" s="1">
        <v>0</v>
      </c>
      <c r="S121" s="26"/>
    </row>
    <row r="122" spans="1:19" ht="16.5" customHeight="1" x14ac:dyDescent="0.25">
      <c r="A122" s="9"/>
      <c r="B122" s="51" t="s">
        <v>61</v>
      </c>
      <c r="C122" s="52"/>
      <c r="D122" s="52"/>
      <c r="E122" s="52"/>
      <c r="F122" s="52"/>
      <c r="G122" s="53"/>
      <c r="H122" s="20"/>
      <c r="I122" s="9">
        <v>1</v>
      </c>
      <c r="J122" s="9"/>
      <c r="K122" s="9"/>
      <c r="L122" s="9"/>
      <c r="M122" s="9">
        <f t="shared" si="14"/>
        <v>8.1999999999999993</v>
      </c>
      <c r="N122" s="9">
        <f t="shared" si="15"/>
        <v>3.5</v>
      </c>
      <c r="O122" s="9">
        <v>8.1999999999999993</v>
      </c>
      <c r="P122" s="9">
        <v>3.5</v>
      </c>
      <c r="Q122" s="9" t="s">
        <v>9</v>
      </c>
      <c r="R122" s="1">
        <v>0</v>
      </c>
      <c r="S122" s="26"/>
    </row>
    <row r="123" spans="1:19" ht="16.5" hidden="1" customHeight="1" x14ac:dyDescent="0.25">
      <c r="A123" s="21"/>
      <c r="H123" s="21"/>
      <c r="I123" s="21"/>
      <c r="J123" s="21"/>
      <c r="K123" s="21"/>
      <c r="L123" s="21"/>
      <c r="M123" s="9">
        <f t="shared" si="14"/>
        <v>0</v>
      </c>
      <c r="N123" s="9">
        <f t="shared" si="15"/>
        <v>0</v>
      </c>
      <c r="O123" s="21"/>
      <c r="P123" s="21"/>
      <c r="Q123" s="21"/>
      <c r="S123" s="25"/>
    </row>
    <row r="124" spans="1:19" ht="16.5" customHeight="1" x14ac:dyDescent="0.25">
      <c r="A124" s="9"/>
      <c r="B124" s="39" t="s">
        <v>42</v>
      </c>
      <c r="C124" s="40"/>
      <c r="D124" s="40"/>
      <c r="E124" s="40"/>
      <c r="F124" s="40"/>
      <c r="G124" s="41"/>
      <c r="H124" s="23"/>
      <c r="I124" s="24">
        <f>SUM(I116:I123)</f>
        <v>14</v>
      </c>
      <c r="J124" s="9"/>
      <c r="K124" s="9"/>
      <c r="L124" s="9"/>
      <c r="M124" s="9">
        <f t="shared" si="14"/>
        <v>103.04</v>
      </c>
      <c r="N124" s="9">
        <f t="shared" si="15"/>
        <v>42</v>
      </c>
      <c r="O124" s="24">
        <f>ROUND(SUM(M116:M123)/I124,2)</f>
        <v>7.36</v>
      </c>
      <c r="P124" s="24">
        <f>ROUND(SUM(N116:N123)/I124,2)</f>
        <v>3</v>
      </c>
      <c r="Q124" s="9"/>
      <c r="S124" s="25"/>
    </row>
    <row r="125" spans="1:19" ht="20.25" customHeight="1" x14ac:dyDescent="0.25">
      <c r="A125" s="27" t="s">
        <v>62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</row>
    <row r="126" spans="1:19" ht="16.5" customHeight="1" x14ac:dyDescent="0.25">
      <c r="A126" s="9"/>
      <c r="B126" s="51" t="s">
        <v>63</v>
      </c>
      <c r="C126" s="52"/>
      <c r="D126" s="52"/>
      <c r="E126" s="52"/>
      <c r="F126" s="52"/>
      <c r="G126" s="53"/>
      <c r="H126" s="20"/>
      <c r="I126" s="9">
        <v>4</v>
      </c>
      <c r="J126" s="9"/>
      <c r="K126" s="9"/>
      <c r="L126" s="9"/>
      <c r="M126" s="9">
        <f t="shared" ref="M126:M134" si="16">I126*O126</f>
        <v>32.4</v>
      </c>
      <c r="N126" s="9">
        <f t="shared" ref="N126:N134" si="17">I126*P126</f>
        <v>14</v>
      </c>
      <c r="O126" s="9">
        <v>8.1</v>
      </c>
      <c r="P126" s="9">
        <v>3.5</v>
      </c>
      <c r="Q126" s="9" t="s">
        <v>9</v>
      </c>
      <c r="R126" s="1">
        <v>0</v>
      </c>
      <c r="S126" s="26"/>
    </row>
    <row r="127" spans="1:19" ht="16.5" customHeight="1" x14ac:dyDescent="0.25">
      <c r="A127" s="9"/>
      <c r="B127" s="51" t="s">
        <v>64</v>
      </c>
      <c r="C127" s="52"/>
      <c r="D127" s="52"/>
      <c r="E127" s="52"/>
      <c r="F127" s="52"/>
      <c r="G127" s="53"/>
      <c r="H127" s="20"/>
      <c r="I127" s="9">
        <v>4</v>
      </c>
      <c r="J127" s="9"/>
      <c r="K127" s="9"/>
      <c r="L127" s="9"/>
      <c r="M127" s="9">
        <f t="shared" si="16"/>
        <v>30.4</v>
      </c>
      <c r="N127" s="9">
        <f t="shared" si="17"/>
        <v>12</v>
      </c>
      <c r="O127" s="9">
        <v>7.6</v>
      </c>
      <c r="P127" s="9">
        <v>3</v>
      </c>
      <c r="Q127" s="9" t="s">
        <v>6</v>
      </c>
      <c r="R127" s="1">
        <v>0</v>
      </c>
      <c r="S127" s="26"/>
    </row>
    <row r="128" spans="1:19" ht="16.5" customHeight="1" x14ac:dyDescent="0.25">
      <c r="A128" s="9"/>
      <c r="B128" s="51" t="s">
        <v>65</v>
      </c>
      <c r="C128" s="52"/>
      <c r="D128" s="52"/>
      <c r="E128" s="52"/>
      <c r="F128" s="52"/>
      <c r="G128" s="53"/>
      <c r="H128" s="20"/>
      <c r="I128" s="9">
        <v>4</v>
      </c>
      <c r="J128" s="9"/>
      <c r="K128" s="9"/>
      <c r="L128" s="9"/>
      <c r="M128" s="9">
        <f t="shared" si="16"/>
        <v>32</v>
      </c>
      <c r="N128" s="9">
        <f t="shared" si="17"/>
        <v>14</v>
      </c>
      <c r="O128" s="9">
        <v>8</v>
      </c>
      <c r="P128" s="9">
        <v>3.5</v>
      </c>
      <c r="Q128" s="9" t="s">
        <v>9</v>
      </c>
      <c r="R128" s="1">
        <v>0</v>
      </c>
      <c r="S128" s="26"/>
    </row>
    <row r="129" spans="1:19" ht="16.5" customHeight="1" x14ac:dyDescent="0.25">
      <c r="A129" s="9"/>
      <c r="B129" s="51" t="s">
        <v>66</v>
      </c>
      <c r="C129" s="52"/>
      <c r="D129" s="52"/>
      <c r="E129" s="52"/>
      <c r="F129" s="52"/>
      <c r="G129" s="53"/>
      <c r="H129" s="20"/>
      <c r="I129" s="9">
        <v>1</v>
      </c>
      <c r="J129" s="9"/>
      <c r="K129" s="9"/>
      <c r="L129" s="9"/>
      <c r="M129" s="9">
        <f t="shared" si="16"/>
        <v>8.1999999999999993</v>
      </c>
      <c r="N129" s="9">
        <f t="shared" si="17"/>
        <v>3.5</v>
      </c>
      <c r="O129" s="9">
        <v>8.1999999999999993</v>
      </c>
      <c r="P129" s="9">
        <v>3.5</v>
      </c>
      <c r="Q129" s="9" t="s">
        <v>9</v>
      </c>
      <c r="R129" s="1">
        <v>0</v>
      </c>
      <c r="S129" s="26"/>
    </row>
    <row r="130" spans="1:19" ht="16.5" customHeight="1" x14ac:dyDescent="0.25">
      <c r="A130" s="9"/>
      <c r="B130" s="51" t="s">
        <v>67</v>
      </c>
      <c r="C130" s="52"/>
      <c r="D130" s="52"/>
      <c r="E130" s="52"/>
      <c r="F130" s="52"/>
      <c r="G130" s="53"/>
      <c r="H130" s="20"/>
      <c r="I130" s="9">
        <v>1</v>
      </c>
      <c r="J130" s="9"/>
      <c r="K130" s="9"/>
      <c r="L130" s="9"/>
      <c r="M130" s="9">
        <f t="shared" si="16"/>
        <v>8.1999999999999993</v>
      </c>
      <c r="N130" s="9">
        <f t="shared" si="17"/>
        <v>3.5</v>
      </c>
      <c r="O130" s="9">
        <v>8.1999999999999993</v>
      </c>
      <c r="P130" s="9">
        <v>3.5</v>
      </c>
      <c r="Q130" s="9" t="s">
        <v>9</v>
      </c>
      <c r="R130" s="1">
        <v>0</v>
      </c>
      <c r="S130" s="26"/>
    </row>
    <row r="131" spans="1:19" ht="16.5" customHeight="1" x14ac:dyDescent="0.25">
      <c r="A131" s="9"/>
      <c r="B131" s="51" t="s">
        <v>68</v>
      </c>
      <c r="C131" s="52"/>
      <c r="D131" s="52"/>
      <c r="E131" s="52"/>
      <c r="F131" s="52"/>
      <c r="G131" s="53"/>
      <c r="H131" s="20"/>
      <c r="I131" s="9">
        <v>1</v>
      </c>
      <c r="J131" s="9"/>
      <c r="K131" s="9"/>
      <c r="L131" s="9"/>
      <c r="M131" s="9">
        <f t="shared" si="16"/>
        <v>8.3000000000000007</v>
      </c>
      <c r="N131" s="9">
        <f t="shared" si="17"/>
        <v>3.5</v>
      </c>
      <c r="O131" s="9">
        <v>8.3000000000000007</v>
      </c>
      <c r="P131" s="9">
        <v>3.5</v>
      </c>
      <c r="Q131" s="9" t="s">
        <v>9</v>
      </c>
      <c r="R131" s="1">
        <v>0</v>
      </c>
      <c r="S131" s="26"/>
    </row>
    <row r="132" spans="1:19" ht="16.5" customHeight="1" x14ac:dyDescent="0.25">
      <c r="A132" s="9"/>
      <c r="B132" s="51" t="s">
        <v>69</v>
      </c>
      <c r="C132" s="52"/>
      <c r="D132" s="52"/>
      <c r="E132" s="52"/>
      <c r="F132" s="52"/>
      <c r="G132" s="53"/>
      <c r="H132" s="20"/>
      <c r="I132" s="9">
        <v>1</v>
      </c>
      <c r="J132" s="9"/>
      <c r="K132" s="9"/>
      <c r="L132" s="9"/>
      <c r="M132" s="9">
        <f t="shared" si="16"/>
        <v>7.7</v>
      </c>
      <c r="N132" s="9">
        <f t="shared" si="17"/>
        <v>3</v>
      </c>
      <c r="O132" s="9">
        <v>7.7</v>
      </c>
      <c r="P132" s="9">
        <v>3</v>
      </c>
      <c r="Q132" s="9" t="s">
        <v>6</v>
      </c>
      <c r="R132" s="1">
        <v>0</v>
      </c>
      <c r="S132" s="26"/>
    </row>
    <row r="133" spans="1:19" ht="16.5" hidden="1" customHeight="1" x14ac:dyDescent="0.25">
      <c r="A133" s="21"/>
      <c r="H133" s="21"/>
      <c r="I133" s="21"/>
      <c r="J133" s="21"/>
      <c r="K133" s="21"/>
      <c r="L133" s="21"/>
      <c r="M133" s="9">
        <f t="shared" si="16"/>
        <v>0</v>
      </c>
      <c r="N133" s="9">
        <f t="shared" si="17"/>
        <v>0</v>
      </c>
      <c r="O133" s="21"/>
      <c r="P133" s="21"/>
      <c r="Q133" s="21"/>
      <c r="S133" s="25"/>
    </row>
    <row r="134" spans="1:19" ht="16.5" customHeight="1" x14ac:dyDescent="0.25">
      <c r="A134" s="9"/>
      <c r="B134" s="39" t="s">
        <v>42</v>
      </c>
      <c r="C134" s="40"/>
      <c r="D134" s="40"/>
      <c r="E134" s="40"/>
      <c r="F134" s="40"/>
      <c r="G134" s="41"/>
      <c r="H134" s="23"/>
      <c r="I134" s="24">
        <f>SUM(I126:I133)</f>
        <v>16</v>
      </c>
      <c r="J134" s="9"/>
      <c r="K134" s="9"/>
      <c r="L134" s="9"/>
      <c r="M134" s="9">
        <f t="shared" si="16"/>
        <v>127.2</v>
      </c>
      <c r="N134" s="9">
        <f t="shared" si="17"/>
        <v>53.44</v>
      </c>
      <c r="O134" s="24">
        <f>ROUND(SUM(M126:M133)/I134,2)</f>
        <v>7.95</v>
      </c>
      <c r="P134" s="24">
        <f>ROUND(SUM(N126:N133)/I134,2)</f>
        <v>3.34</v>
      </c>
      <c r="Q134" s="9"/>
      <c r="S134" s="25"/>
    </row>
    <row r="135" spans="1:19" ht="20.25" customHeight="1" x14ac:dyDescent="0.25">
      <c r="A135" s="27" t="s">
        <v>70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</row>
    <row r="136" spans="1:19" ht="16.5" customHeight="1" x14ac:dyDescent="0.25">
      <c r="A136" s="9"/>
      <c r="B136" s="51" t="s">
        <v>71</v>
      </c>
      <c r="C136" s="52"/>
      <c r="D136" s="52"/>
      <c r="E136" s="52"/>
      <c r="F136" s="52"/>
      <c r="G136" s="53"/>
      <c r="H136" s="20"/>
      <c r="I136" s="9">
        <v>4</v>
      </c>
      <c r="J136" s="9"/>
      <c r="K136" s="9"/>
      <c r="L136" s="9"/>
      <c r="M136" s="9">
        <f t="shared" ref="M136:M144" si="18">I136*O136</f>
        <v>26.4</v>
      </c>
      <c r="N136" s="9">
        <f t="shared" ref="N136:N144" si="19">I136*P136</f>
        <v>10</v>
      </c>
      <c r="O136" s="9">
        <v>6.6</v>
      </c>
      <c r="P136" s="9">
        <v>2.5</v>
      </c>
      <c r="Q136" s="9" t="s">
        <v>5</v>
      </c>
      <c r="R136" s="1">
        <v>0</v>
      </c>
      <c r="S136" s="26"/>
    </row>
    <row r="137" spans="1:19" ht="16.5" customHeight="1" x14ac:dyDescent="0.25">
      <c r="A137" s="9"/>
      <c r="B137" s="51" t="s">
        <v>72</v>
      </c>
      <c r="C137" s="52"/>
      <c r="D137" s="52"/>
      <c r="E137" s="52"/>
      <c r="F137" s="52"/>
      <c r="G137" s="53"/>
      <c r="H137" s="20"/>
      <c r="I137" s="9">
        <v>4</v>
      </c>
      <c r="J137" s="9"/>
      <c r="K137" s="9"/>
      <c r="L137" s="9"/>
      <c r="M137" s="9">
        <f t="shared" si="18"/>
        <v>34</v>
      </c>
      <c r="N137" s="9">
        <f t="shared" si="19"/>
        <v>14.8</v>
      </c>
      <c r="O137" s="9">
        <v>8.5</v>
      </c>
      <c r="P137" s="9">
        <v>3.7</v>
      </c>
      <c r="Q137" s="9" t="s">
        <v>10</v>
      </c>
      <c r="R137" s="1">
        <v>0</v>
      </c>
      <c r="S137" s="26"/>
    </row>
    <row r="138" spans="1:19" ht="16.5" customHeight="1" x14ac:dyDescent="0.25">
      <c r="A138" s="9"/>
      <c r="B138" s="51" t="s">
        <v>73</v>
      </c>
      <c r="C138" s="52"/>
      <c r="D138" s="52"/>
      <c r="E138" s="52"/>
      <c r="F138" s="52"/>
      <c r="G138" s="53"/>
      <c r="H138" s="20"/>
      <c r="I138" s="9">
        <v>1</v>
      </c>
      <c r="J138" s="9"/>
      <c r="K138" s="9"/>
      <c r="L138" s="9"/>
      <c r="M138" s="9">
        <f t="shared" si="18"/>
        <v>7.5</v>
      </c>
      <c r="N138" s="9">
        <f t="shared" si="19"/>
        <v>3</v>
      </c>
      <c r="O138" s="9">
        <v>7.5</v>
      </c>
      <c r="P138" s="9">
        <v>3</v>
      </c>
      <c r="Q138" s="9" t="s">
        <v>6</v>
      </c>
      <c r="R138" s="1">
        <v>0</v>
      </c>
      <c r="S138" s="26"/>
    </row>
    <row r="139" spans="1:19" ht="16.5" customHeight="1" x14ac:dyDescent="0.25">
      <c r="A139" s="9"/>
      <c r="B139" s="51" t="s">
        <v>74</v>
      </c>
      <c r="C139" s="52"/>
      <c r="D139" s="52"/>
      <c r="E139" s="52"/>
      <c r="F139" s="52"/>
      <c r="G139" s="53"/>
      <c r="H139" s="20"/>
      <c r="I139" s="9">
        <v>2</v>
      </c>
      <c r="J139" s="9"/>
      <c r="K139" s="9"/>
      <c r="L139" s="9"/>
      <c r="M139" s="9">
        <f t="shared" si="18"/>
        <v>14.8</v>
      </c>
      <c r="N139" s="9">
        <f t="shared" si="19"/>
        <v>6</v>
      </c>
      <c r="O139" s="9">
        <v>7.4</v>
      </c>
      <c r="P139" s="9">
        <v>3</v>
      </c>
      <c r="Q139" s="9" t="s">
        <v>6</v>
      </c>
      <c r="R139" s="1">
        <v>0</v>
      </c>
      <c r="S139" s="26"/>
    </row>
    <row r="140" spans="1:19" ht="16.5" customHeight="1" x14ac:dyDescent="0.25">
      <c r="A140" s="9"/>
      <c r="B140" s="51" t="s">
        <v>75</v>
      </c>
      <c r="C140" s="52"/>
      <c r="D140" s="52"/>
      <c r="E140" s="52"/>
      <c r="F140" s="52"/>
      <c r="G140" s="53"/>
      <c r="H140" s="20"/>
      <c r="I140" s="9">
        <v>1</v>
      </c>
      <c r="J140" s="9"/>
      <c r="K140" s="9"/>
      <c r="L140" s="9"/>
      <c r="M140" s="9">
        <f t="shared" si="18"/>
        <v>7.2</v>
      </c>
      <c r="N140" s="9">
        <f t="shared" si="19"/>
        <v>3</v>
      </c>
      <c r="O140" s="9">
        <v>7.2</v>
      </c>
      <c r="P140" s="9">
        <v>3</v>
      </c>
      <c r="Q140" s="9" t="s">
        <v>6</v>
      </c>
      <c r="R140" s="1">
        <v>0</v>
      </c>
      <c r="S140" s="26"/>
    </row>
    <row r="141" spans="1:19" ht="16.5" customHeight="1" x14ac:dyDescent="0.25">
      <c r="A141" s="9"/>
      <c r="B141" s="51" t="s">
        <v>76</v>
      </c>
      <c r="C141" s="52"/>
      <c r="D141" s="52"/>
      <c r="E141" s="52"/>
      <c r="F141" s="52"/>
      <c r="G141" s="53"/>
      <c r="H141" s="20"/>
      <c r="I141" s="9">
        <v>4</v>
      </c>
      <c r="J141" s="9"/>
      <c r="K141" s="9"/>
      <c r="L141" s="9"/>
      <c r="M141" s="9">
        <f t="shared" si="18"/>
        <v>32.799999999999997</v>
      </c>
      <c r="N141" s="9">
        <f t="shared" si="19"/>
        <v>14</v>
      </c>
      <c r="O141" s="9">
        <v>8.1999999999999993</v>
      </c>
      <c r="P141" s="9">
        <v>3.5</v>
      </c>
      <c r="Q141" s="9" t="s">
        <v>9</v>
      </c>
      <c r="R141" s="1">
        <v>0</v>
      </c>
      <c r="S141" s="26"/>
    </row>
    <row r="142" spans="1:19" ht="16.5" customHeight="1" x14ac:dyDescent="0.25">
      <c r="A142" s="9"/>
      <c r="B142" s="51" t="s">
        <v>77</v>
      </c>
      <c r="C142" s="52"/>
      <c r="D142" s="52"/>
      <c r="E142" s="52"/>
      <c r="F142" s="52"/>
      <c r="G142" s="53"/>
      <c r="H142" s="20"/>
      <c r="I142" s="9">
        <v>3</v>
      </c>
      <c r="J142" s="9"/>
      <c r="K142" s="9"/>
      <c r="L142" s="9"/>
      <c r="M142" s="9">
        <f t="shared" si="18"/>
        <v>18.899999999999999</v>
      </c>
      <c r="N142" s="9">
        <f t="shared" si="19"/>
        <v>6</v>
      </c>
      <c r="O142" s="9">
        <v>6.3</v>
      </c>
      <c r="P142" s="9">
        <v>2</v>
      </c>
      <c r="Q142" s="9" t="s">
        <v>3</v>
      </c>
      <c r="R142" s="1">
        <v>0</v>
      </c>
      <c r="S142" s="26"/>
    </row>
    <row r="143" spans="1:19" ht="16.5" hidden="1" customHeight="1" x14ac:dyDescent="0.25">
      <c r="A143" s="21"/>
      <c r="H143" s="21"/>
      <c r="I143" s="21"/>
      <c r="J143" s="21"/>
      <c r="K143" s="21"/>
      <c r="L143" s="21"/>
      <c r="M143" s="9">
        <f t="shared" si="18"/>
        <v>0</v>
      </c>
      <c r="N143" s="9">
        <f t="shared" si="19"/>
        <v>0</v>
      </c>
      <c r="O143" s="21"/>
      <c r="P143" s="21"/>
      <c r="Q143" s="21"/>
      <c r="S143" s="25"/>
    </row>
    <row r="144" spans="1:19" ht="16.5" customHeight="1" x14ac:dyDescent="0.25">
      <c r="A144" s="9"/>
      <c r="B144" s="39" t="s">
        <v>42</v>
      </c>
      <c r="C144" s="40"/>
      <c r="D144" s="40"/>
      <c r="E144" s="40"/>
      <c r="F144" s="40"/>
      <c r="G144" s="41"/>
      <c r="H144" s="23"/>
      <c r="I144" s="24">
        <f>SUM(I136:I143)</f>
        <v>19</v>
      </c>
      <c r="J144" s="9"/>
      <c r="K144" s="9"/>
      <c r="L144" s="9"/>
      <c r="M144" s="9">
        <f t="shared" si="18"/>
        <v>141.55000000000001</v>
      </c>
      <c r="N144" s="9">
        <f t="shared" si="19"/>
        <v>56.81</v>
      </c>
      <c r="O144" s="24">
        <f>ROUND(SUM(M136:M143)/I144,2)</f>
        <v>7.45</v>
      </c>
      <c r="P144" s="24">
        <f>ROUND(SUM(N136:N143)/I144,2)</f>
        <v>2.99</v>
      </c>
      <c r="Q144" s="9"/>
      <c r="S144" s="25"/>
    </row>
    <row r="145" spans="1:19" ht="20.25" customHeight="1" x14ac:dyDescent="0.25">
      <c r="A145" s="27" t="s">
        <v>78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</row>
    <row r="146" spans="1:19" ht="16.5" customHeight="1" x14ac:dyDescent="0.25">
      <c r="A146" s="9"/>
      <c r="B146" s="51" t="s">
        <v>79</v>
      </c>
      <c r="C146" s="52"/>
      <c r="D146" s="52"/>
      <c r="E146" s="52"/>
      <c r="F146" s="52"/>
      <c r="G146" s="53"/>
      <c r="H146" s="20"/>
      <c r="I146" s="9">
        <v>1</v>
      </c>
      <c r="J146" s="9"/>
      <c r="K146" s="9"/>
      <c r="L146" s="9"/>
      <c r="M146" s="9">
        <f t="shared" ref="M146:M152" si="20">I146*O146</f>
        <v>8.5</v>
      </c>
      <c r="N146" s="9">
        <f t="shared" ref="N146:N152" si="21">I146*P146</f>
        <v>3.7</v>
      </c>
      <c r="O146" s="9">
        <v>8.5</v>
      </c>
      <c r="P146" s="9">
        <v>3.7</v>
      </c>
      <c r="Q146" s="9" t="s">
        <v>10</v>
      </c>
      <c r="R146" s="1">
        <v>0</v>
      </c>
      <c r="S146" s="26"/>
    </row>
    <row r="147" spans="1:19" ht="16.5" customHeight="1" x14ac:dyDescent="0.25">
      <c r="A147" s="9"/>
      <c r="B147" s="51" t="s">
        <v>80</v>
      </c>
      <c r="C147" s="52"/>
      <c r="D147" s="52"/>
      <c r="E147" s="52"/>
      <c r="F147" s="52"/>
      <c r="G147" s="53"/>
      <c r="H147" s="20"/>
      <c r="I147" s="9">
        <v>3</v>
      </c>
      <c r="J147" s="9"/>
      <c r="K147" s="9"/>
      <c r="L147" s="9"/>
      <c r="M147" s="9">
        <f t="shared" si="20"/>
        <v>24.599999999999998</v>
      </c>
      <c r="N147" s="9">
        <f t="shared" si="21"/>
        <v>10.5</v>
      </c>
      <c r="O147" s="9">
        <v>8.1999999999999993</v>
      </c>
      <c r="P147" s="9">
        <v>3.5</v>
      </c>
      <c r="Q147" s="9" t="s">
        <v>9</v>
      </c>
      <c r="R147" s="1">
        <v>0</v>
      </c>
      <c r="S147" s="26"/>
    </row>
    <row r="148" spans="1:19" ht="16.5" customHeight="1" x14ac:dyDescent="0.25">
      <c r="A148" s="9"/>
      <c r="B148" s="51" t="s">
        <v>81</v>
      </c>
      <c r="C148" s="52"/>
      <c r="D148" s="52"/>
      <c r="E148" s="52"/>
      <c r="F148" s="52"/>
      <c r="G148" s="53"/>
      <c r="H148" s="20"/>
      <c r="I148" s="9">
        <v>3</v>
      </c>
      <c r="J148" s="9"/>
      <c r="K148" s="9"/>
      <c r="L148" s="9"/>
      <c r="M148" s="9">
        <f t="shared" si="20"/>
        <v>24.299999999999997</v>
      </c>
      <c r="N148" s="9">
        <f t="shared" si="21"/>
        <v>10.5</v>
      </c>
      <c r="O148" s="9">
        <v>8.1</v>
      </c>
      <c r="P148" s="9">
        <v>3.5</v>
      </c>
      <c r="Q148" s="9" t="s">
        <v>9</v>
      </c>
      <c r="R148" s="1">
        <v>0</v>
      </c>
      <c r="S148" s="26"/>
    </row>
    <row r="149" spans="1:19" ht="16.5" customHeight="1" x14ac:dyDescent="0.25">
      <c r="A149" s="9"/>
      <c r="B149" s="51" t="s">
        <v>82</v>
      </c>
      <c r="C149" s="52"/>
      <c r="D149" s="52"/>
      <c r="E149" s="52"/>
      <c r="F149" s="52"/>
      <c r="G149" s="53"/>
      <c r="H149" s="20"/>
      <c r="I149" s="9">
        <v>2</v>
      </c>
      <c r="J149" s="9"/>
      <c r="K149" s="9"/>
      <c r="L149" s="9"/>
      <c r="M149" s="9">
        <f t="shared" si="20"/>
        <v>15.4</v>
      </c>
      <c r="N149" s="9">
        <f t="shared" si="21"/>
        <v>6</v>
      </c>
      <c r="O149" s="9">
        <v>7.7</v>
      </c>
      <c r="P149" s="9">
        <v>3</v>
      </c>
      <c r="Q149" s="9" t="s">
        <v>6</v>
      </c>
      <c r="R149" s="1">
        <v>0</v>
      </c>
      <c r="S149" s="26"/>
    </row>
    <row r="150" spans="1:19" ht="16.5" customHeight="1" x14ac:dyDescent="0.25">
      <c r="A150" s="9"/>
      <c r="B150" s="51" t="s">
        <v>83</v>
      </c>
      <c r="C150" s="52"/>
      <c r="D150" s="52"/>
      <c r="E150" s="52"/>
      <c r="F150" s="52"/>
      <c r="G150" s="53"/>
      <c r="H150" s="20"/>
      <c r="I150" s="9">
        <v>2</v>
      </c>
      <c r="J150" s="9"/>
      <c r="K150" s="9"/>
      <c r="L150" s="9"/>
      <c r="M150" s="9">
        <f t="shared" si="20"/>
        <v>16.2</v>
      </c>
      <c r="N150" s="9">
        <f t="shared" si="21"/>
        <v>7</v>
      </c>
      <c r="O150" s="9">
        <v>8.1</v>
      </c>
      <c r="P150" s="9">
        <v>3.5</v>
      </c>
      <c r="Q150" s="9" t="s">
        <v>9</v>
      </c>
      <c r="R150" s="1">
        <v>0</v>
      </c>
      <c r="S150" s="26"/>
    </row>
    <row r="151" spans="1:19" ht="16.5" customHeight="1" x14ac:dyDescent="0.25">
      <c r="A151" s="9"/>
      <c r="B151" s="51" t="s">
        <v>84</v>
      </c>
      <c r="C151" s="52"/>
      <c r="D151" s="52"/>
      <c r="E151" s="52"/>
      <c r="F151" s="52"/>
      <c r="G151" s="53"/>
      <c r="H151" s="20"/>
      <c r="I151" s="9">
        <v>3</v>
      </c>
      <c r="J151" s="9"/>
      <c r="K151" s="9"/>
      <c r="L151" s="9"/>
      <c r="M151" s="9">
        <f t="shared" si="20"/>
        <v>25.200000000000003</v>
      </c>
      <c r="N151" s="9">
        <f t="shared" si="21"/>
        <v>10.5</v>
      </c>
      <c r="O151" s="9">
        <v>8.4</v>
      </c>
      <c r="P151" s="9">
        <v>3.5</v>
      </c>
      <c r="Q151" s="9" t="s">
        <v>9</v>
      </c>
      <c r="R151" s="1">
        <v>0</v>
      </c>
      <c r="S151" s="26"/>
    </row>
    <row r="152" spans="1:19" ht="16.5" customHeight="1" x14ac:dyDescent="0.25">
      <c r="A152" s="9"/>
      <c r="B152" s="51" t="s">
        <v>85</v>
      </c>
      <c r="C152" s="52"/>
      <c r="D152" s="52"/>
      <c r="E152" s="52"/>
      <c r="F152" s="52"/>
      <c r="G152" s="53"/>
      <c r="H152" s="20"/>
      <c r="I152" s="9">
        <v>2</v>
      </c>
      <c r="J152" s="9"/>
      <c r="K152" s="9"/>
      <c r="L152" s="9"/>
      <c r="M152" s="9">
        <f t="shared" si="20"/>
        <v>16.8</v>
      </c>
      <c r="N152" s="9">
        <f t="shared" si="21"/>
        <v>7</v>
      </c>
      <c r="O152" s="9">
        <v>8.4</v>
      </c>
      <c r="P152" s="9">
        <v>3.5</v>
      </c>
      <c r="Q152" s="9" t="s">
        <v>9</v>
      </c>
      <c r="R152" s="1">
        <v>0</v>
      </c>
      <c r="S152" s="26"/>
    </row>
    <row r="153" spans="1:19" ht="15" customHeight="1" x14ac:dyDescent="0.25">
      <c r="A153" s="36" t="s">
        <v>0</v>
      </c>
      <c r="B153" s="29" t="s">
        <v>1</v>
      </c>
      <c r="C153" s="30"/>
      <c r="D153" s="30"/>
      <c r="E153" s="30"/>
      <c r="F153" s="30"/>
      <c r="G153" s="31"/>
      <c r="H153" s="36" t="s">
        <v>32</v>
      </c>
      <c r="I153" s="36" t="s">
        <v>39</v>
      </c>
      <c r="J153" s="55" t="s">
        <v>2</v>
      </c>
      <c r="K153" s="56"/>
      <c r="L153" s="56"/>
      <c r="M153" s="56"/>
      <c r="N153" s="56"/>
      <c r="O153" s="56"/>
      <c r="P153" s="56"/>
      <c r="Q153" s="57"/>
      <c r="S153" s="36" t="s">
        <v>38</v>
      </c>
    </row>
    <row r="154" spans="1:19" ht="24" customHeight="1" x14ac:dyDescent="0.25">
      <c r="A154" s="37"/>
      <c r="B154" s="32"/>
      <c r="C154" s="33"/>
      <c r="D154" s="33"/>
      <c r="E154" s="33"/>
      <c r="F154" s="33"/>
      <c r="G154" s="34"/>
      <c r="H154" s="37"/>
      <c r="I154" s="37"/>
      <c r="J154" s="7" t="s">
        <v>28</v>
      </c>
      <c r="K154" s="7" t="s">
        <v>29</v>
      </c>
      <c r="L154" s="7" t="s">
        <v>30</v>
      </c>
      <c r="M154" s="7"/>
      <c r="N154" s="7"/>
      <c r="O154" s="6" t="s">
        <v>35</v>
      </c>
      <c r="P154" s="6" t="s">
        <v>36</v>
      </c>
      <c r="Q154" s="6" t="s">
        <v>37</v>
      </c>
      <c r="S154" s="37"/>
    </row>
    <row r="155" spans="1:19" ht="16.5" customHeight="1" x14ac:dyDescent="0.25">
      <c r="A155" s="9"/>
      <c r="B155" s="51" t="s">
        <v>86</v>
      </c>
      <c r="C155" s="52"/>
      <c r="D155" s="52"/>
      <c r="E155" s="52"/>
      <c r="F155" s="52"/>
      <c r="G155" s="53"/>
      <c r="H155" s="20"/>
      <c r="I155" s="9">
        <v>3</v>
      </c>
      <c r="J155" s="9"/>
      <c r="K155" s="9"/>
      <c r="L155" s="9"/>
      <c r="M155" s="9">
        <f>I155*O155</f>
        <v>27.900000000000002</v>
      </c>
      <c r="N155" s="9">
        <f>I155*P155</f>
        <v>12</v>
      </c>
      <c r="O155" s="9">
        <v>9.3000000000000007</v>
      </c>
      <c r="P155" s="9">
        <v>4</v>
      </c>
      <c r="Q155" s="9" t="s">
        <v>12</v>
      </c>
      <c r="R155" s="1">
        <v>0</v>
      </c>
      <c r="S155" s="26"/>
    </row>
    <row r="156" spans="1:19" ht="16.5" customHeight="1" x14ac:dyDescent="0.25">
      <c r="A156" s="9"/>
      <c r="B156" s="51" t="s">
        <v>87</v>
      </c>
      <c r="C156" s="52"/>
      <c r="D156" s="52"/>
      <c r="E156" s="52"/>
      <c r="F156" s="52"/>
      <c r="G156" s="53"/>
      <c r="H156" s="20"/>
      <c r="I156" s="9">
        <v>3</v>
      </c>
      <c r="J156" s="9"/>
      <c r="K156" s="9"/>
      <c r="L156" s="9"/>
      <c r="M156" s="9">
        <f>I156*O156</f>
        <v>22.5</v>
      </c>
      <c r="N156" s="9">
        <f>I156*P156</f>
        <v>9</v>
      </c>
      <c r="O156" s="9">
        <v>7.5</v>
      </c>
      <c r="P156" s="9">
        <v>3</v>
      </c>
      <c r="Q156" s="9" t="s">
        <v>6</v>
      </c>
      <c r="R156" s="1">
        <v>0</v>
      </c>
      <c r="S156" s="26"/>
    </row>
    <row r="157" spans="1:19" ht="16.5" hidden="1" customHeight="1" x14ac:dyDescent="0.25">
      <c r="A157" s="21"/>
      <c r="H157" s="21"/>
      <c r="I157" s="21"/>
      <c r="J157" s="21"/>
      <c r="K157" s="21"/>
      <c r="L157" s="21"/>
      <c r="M157" s="9">
        <f>I157*O157</f>
        <v>0</v>
      </c>
      <c r="N157" s="9">
        <f>I157*P157</f>
        <v>0</v>
      </c>
      <c r="O157" s="21"/>
      <c r="P157" s="21"/>
      <c r="Q157" s="21"/>
      <c r="S157" s="25"/>
    </row>
    <row r="158" spans="1:19" ht="16.5" customHeight="1" x14ac:dyDescent="0.25">
      <c r="A158" s="9"/>
      <c r="B158" s="39" t="s">
        <v>42</v>
      </c>
      <c r="C158" s="40"/>
      <c r="D158" s="40"/>
      <c r="E158" s="40"/>
      <c r="F158" s="40"/>
      <c r="G158" s="41"/>
      <c r="H158" s="23"/>
      <c r="I158" s="24">
        <f>SUM(I146:I157)</f>
        <v>22</v>
      </c>
      <c r="J158" s="9"/>
      <c r="K158" s="9"/>
      <c r="L158" s="9"/>
      <c r="M158" s="9">
        <f>I158*O158</f>
        <v>181.5</v>
      </c>
      <c r="N158" s="9">
        <f>I158*P158</f>
        <v>76.12</v>
      </c>
      <c r="O158" s="24">
        <f>ROUND(SUM(M146:M157)/I158,2)</f>
        <v>8.25</v>
      </c>
      <c r="P158" s="24">
        <f>ROUND(SUM(N146:N157)/I158,2)</f>
        <v>3.46</v>
      </c>
      <c r="Q158" s="9"/>
      <c r="S158" s="25"/>
    </row>
    <row r="159" spans="1:19" ht="20.25" customHeight="1" x14ac:dyDescent="0.25">
      <c r="A159" s="27" t="s">
        <v>88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</row>
    <row r="160" spans="1:19" ht="16.5" customHeight="1" x14ac:dyDescent="0.25">
      <c r="A160" s="9"/>
      <c r="B160" s="51" t="s">
        <v>89</v>
      </c>
      <c r="C160" s="52"/>
      <c r="D160" s="52"/>
      <c r="E160" s="52"/>
      <c r="F160" s="52"/>
      <c r="G160" s="53"/>
      <c r="H160" s="20"/>
      <c r="I160" s="9">
        <v>2</v>
      </c>
      <c r="J160" s="9"/>
      <c r="K160" s="9"/>
      <c r="L160" s="9"/>
      <c r="M160" s="9">
        <f t="shared" ref="M160:M171" si="22">I160*O160</f>
        <v>17</v>
      </c>
      <c r="N160" s="9">
        <f t="shared" ref="N160:N171" si="23">I160*P160</f>
        <v>7.4</v>
      </c>
      <c r="O160" s="9">
        <v>8.5</v>
      </c>
      <c r="P160" s="9">
        <v>3.7</v>
      </c>
      <c r="Q160" s="9" t="s">
        <v>10</v>
      </c>
      <c r="R160" s="1">
        <v>0</v>
      </c>
      <c r="S160" s="26"/>
    </row>
    <row r="161" spans="1:19" ht="16.5" customHeight="1" x14ac:dyDescent="0.25">
      <c r="A161" s="9"/>
      <c r="B161" s="51" t="s">
        <v>90</v>
      </c>
      <c r="C161" s="52"/>
      <c r="D161" s="52"/>
      <c r="E161" s="52"/>
      <c r="F161" s="52"/>
      <c r="G161" s="53"/>
      <c r="H161" s="20"/>
      <c r="I161" s="9">
        <v>3</v>
      </c>
      <c r="J161" s="9"/>
      <c r="K161" s="9"/>
      <c r="L161" s="9"/>
      <c r="M161" s="9">
        <f t="shared" si="22"/>
        <v>26.099999999999998</v>
      </c>
      <c r="N161" s="9">
        <f t="shared" si="23"/>
        <v>11.100000000000001</v>
      </c>
      <c r="O161" s="9">
        <v>8.6999999999999993</v>
      </c>
      <c r="P161" s="9">
        <v>3.7</v>
      </c>
      <c r="Q161" s="9" t="s">
        <v>10</v>
      </c>
      <c r="R161" s="1">
        <v>0</v>
      </c>
      <c r="S161" s="26"/>
    </row>
    <row r="162" spans="1:19" ht="16.5" customHeight="1" x14ac:dyDescent="0.25">
      <c r="A162" s="9"/>
      <c r="B162" s="51" t="s">
        <v>91</v>
      </c>
      <c r="C162" s="52"/>
      <c r="D162" s="52"/>
      <c r="E162" s="52"/>
      <c r="F162" s="52"/>
      <c r="G162" s="53"/>
      <c r="H162" s="20"/>
      <c r="I162" s="9">
        <v>2</v>
      </c>
      <c r="J162" s="9"/>
      <c r="K162" s="9"/>
      <c r="L162" s="9"/>
      <c r="M162" s="9">
        <f t="shared" si="22"/>
        <v>16</v>
      </c>
      <c r="N162" s="9">
        <f t="shared" si="23"/>
        <v>7</v>
      </c>
      <c r="O162" s="9">
        <v>8</v>
      </c>
      <c r="P162" s="9">
        <v>3.5</v>
      </c>
      <c r="Q162" s="9" t="s">
        <v>9</v>
      </c>
      <c r="R162" s="1">
        <v>0</v>
      </c>
      <c r="S162" s="26"/>
    </row>
    <row r="163" spans="1:19" ht="16.5" customHeight="1" x14ac:dyDescent="0.25">
      <c r="A163" s="9"/>
      <c r="B163" s="51" t="s">
        <v>92</v>
      </c>
      <c r="C163" s="52"/>
      <c r="D163" s="52"/>
      <c r="E163" s="52"/>
      <c r="F163" s="52"/>
      <c r="G163" s="53"/>
      <c r="H163" s="20"/>
      <c r="I163" s="9">
        <v>3</v>
      </c>
      <c r="J163" s="9"/>
      <c r="K163" s="9"/>
      <c r="L163" s="9"/>
      <c r="M163" s="9">
        <f t="shared" si="22"/>
        <v>19.5</v>
      </c>
      <c r="N163" s="9">
        <f t="shared" si="23"/>
        <v>7.5</v>
      </c>
      <c r="O163" s="9">
        <v>6.5</v>
      </c>
      <c r="P163" s="9">
        <v>2.5</v>
      </c>
      <c r="Q163" s="9" t="s">
        <v>5</v>
      </c>
      <c r="R163" s="1">
        <v>0</v>
      </c>
      <c r="S163" s="26"/>
    </row>
    <row r="164" spans="1:19" ht="16.5" customHeight="1" x14ac:dyDescent="0.25">
      <c r="A164" s="9"/>
      <c r="B164" s="51" t="s">
        <v>93</v>
      </c>
      <c r="C164" s="52"/>
      <c r="D164" s="52"/>
      <c r="E164" s="52"/>
      <c r="F164" s="52"/>
      <c r="G164" s="53"/>
      <c r="H164" s="20"/>
      <c r="I164" s="9">
        <v>1</v>
      </c>
      <c r="J164" s="9"/>
      <c r="K164" s="9"/>
      <c r="L164" s="9"/>
      <c r="M164" s="9">
        <f t="shared" si="22"/>
        <v>9.1</v>
      </c>
      <c r="N164" s="9">
        <f t="shared" si="23"/>
        <v>4</v>
      </c>
      <c r="O164" s="9">
        <v>9.1</v>
      </c>
      <c r="P164" s="9">
        <v>4</v>
      </c>
      <c r="Q164" s="9" t="s">
        <v>12</v>
      </c>
      <c r="R164" s="1">
        <v>0</v>
      </c>
      <c r="S164" s="26"/>
    </row>
    <row r="165" spans="1:19" ht="16.5" customHeight="1" x14ac:dyDescent="0.25">
      <c r="A165" s="9"/>
      <c r="B165" s="51" t="s">
        <v>94</v>
      </c>
      <c r="C165" s="52"/>
      <c r="D165" s="52"/>
      <c r="E165" s="52"/>
      <c r="F165" s="52"/>
      <c r="G165" s="53"/>
      <c r="H165" s="20"/>
      <c r="I165" s="9">
        <v>1</v>
      </c>
      <c r="J165" s="9"/>
      <c r="K165" s="9"/>
      <c r="L165" s="9"/>
      <c r="M165" s="9">
        <f t="shared" si="22"/>
        <v>8.1</v>
      </c>
      <c r="N165" s="9">
        <f t="shared" si="23"/>
        <v>3.5</v>
      </c>
      <c r="O165" s="9">
        <v>8.1</v>
      </c>
      <c r="P165" s="9">
        <v>3.5</v>
      </c>
      <c r="Q165" s="9" t="s">
        <v>9</v>
      </c>
      <c r="R165" s="1">
        <v>0</v>
      </c>
      <c r="S165" s="26"/>
    </row>
    <row r="166" spans="1:19" ht="16.5" customHeight="1" x14ac:dyDescent="0.25">
      <c r="A166" s="9"/>
      <c r="B166" s="51" t="s">
        <v>97</v>
      </c>
      <c r="C166" s="52"/>
      <c r="D166" s="52"/>
      <c r="E166" s="52"/>
      <c r="F166" s="52"/>
      <c r="G166" s="53"/>
      <c r="H166" s="20"/>
      <c r="I166" s="9">
        <v>1</v>
      </c>
      <c r="J166" s="9"/>
      <c r="K166" s="9"/>
      <c r="L166" s="9"/>
      <c r="M166" s="9">
        <f t="shared" si="22"/>
        <v>8</v>
      </c>
      <c r="N166" s="9">
        <f t="shared" si="23"/>
        <v>3.5</v>
      </c>
      <c r="O166" s="9">
        <v>8</v>
      </c>
      <c r="P166" s="9">
        <v>3.5</v>
      </c>
      <c r="Q166" s="9" t="s">
        <v>9</v>
      </c>
      <c r="R166" s="1">
        <v>0</v>
      </c>
      <c r="S166" s="26"/>
    </row>
    <row r="167" spans="1:19" ht="16.5" customHeight="1" x14ac:dyDescent="0.25">
      <c r="A167" s="9"/>
      <c r="B167" s="51" t="s">
        <v>96</v>
      </c>
      <c r="C167" s="52"/>
      <c r="D167" s="52"/>
      <c r="E167" s="52"/>
      <c r="F167" s="52"/>
      <c r="G167" s="53"/>
      <c r="H167" s="20"/>
      <c r="I167" s="9">
        <v>3</v>
      </c>
      <c r="J167" s="9"/>
      <c r="K167" s="9"/>
      <c r="L167" s="9"/>
      <c r="M167" s="9">
        <f t="shared" si="22"/>
        <v>27.299999999999997</v>
      </c>
      <c r="N167" s="9">
        <f t="shared" si="23"/>
        <v>12</v>
      </c>
      <c r="O167" s="9">
        <v>9.1</v>
      </c>
      <c r="P167" s="9">
        <v>4</v>
      </c>
      <c r="Q167" s="9" t="s">
        <v>12</v>
      </c>
      <c r="R167" s="1">
        <v>0</v>
      </c>
      <c r="S167" s="26"/>
    </row>
    <row r="168" spans="1:19" ht="16.5" customHeight="1" x14ac:dyDescent="0.25">
      <c r="A168" s="9"/>
      <c r="B168" s="51" t="s">
        <v>95</v>
      </c>
      <c r="C168" s="52"/>
      <c r="D168" s="52"/>
      <c r="E168" s="52"/>
      <c r="F168" s="52"/>
      <c r="G168" s="53"/>
      <c r="H168" s="20"/>
      <c r="I168" s="9">
        <v>3</v>
      </c>
      <c r="J168" s="9"/>
      <c r="K168" s="9"/>
      <c r="L168" s="9"/>
      <c r="M168" s="9">
        <f t="shared" si="22"/>
        <v>24.900000000000002</v>
      </c>
      <c r="N168" s="9">
        <f t="shared" si="23"/>
        <v>10.5</v>
      </c>
      <c r="O168" s="9">
        <v>8.3000000000000007</v>
      </c>
      <c r="P168" s="9">
        <v>3.5</v>
      </c>
      <c r="Q168" s="9" t="s">
        <v>9</v>
      </c>
      <c r="R168" s="1">
        <v>0</v>
      </c>
      <c r="S168" s="26"/>
    </row>
    <row r="169" spans="1:19" ht="16.5" customHeight="1" x14ac:dyDescent="0.25">
      <c r="A169" s="9"/>
      <c r="B169" s="51" t="s">
        <v>98</v>
      </c>
      <c r="C169" s="52"/>
      <c r="D169" s="52"/>
      <c r="E169" s="52"/>
      <c r="F169" s="52"/>
      <c r="G169" s="53"/>
      <c r="H169" s="20"/>
      <c r="I169" s="9">
        <v>3</v>
      </c>
      <c r="J169" s="9"/>
      <c r="K169" s="9"/>
      <c r="L169" s="9"/>
      <c r="M169" s="9">
        <f t="shared" si="22"/>
        <v>24.299999999999997</v>
      </c>
      <c r="N169" s="9">
        <f t="shared" si="23"/>
        <v>10.5</v>
      </c>
      <c r="O169" s="9">
        <v>8.1</v>
      </c>
      <c r="P169" s="9">
        <v>3.5</v>
      </c>
      <c r="Q169" s="9" t="s">
        <v>9</v>
      </c>
      <c r="R169" s="1">
        <v>0</v>
      </c>
      <c r="S169" s="26"/>
    </row>
    <row r="170" spans="1:19" ht="16.5" hidden="1" customHeight="1" x14ac:dyDescent="0.25">
      <c r="A170" s="21"/>
      <c r="H170" s="21"/>
      <c r="I170" s="21"/>
      <c r="J170" s="21"/>
      <c r="K170" s="21"/>
      <c r="L170" s="21"/>
      <c r="M170" s="9">
        <f t="shared" si="22"/>
        <v>0</v>
      </c>
      <c r="N170" s="9">
        <f t="shared" si="23"/>
        <v>0</v>
      </c>
      <c r="O170" s="21"/>
      <c r="P170" s="21"/>
      <c r="Q170" s="21"/>
      <c r="S170" s="25"/>
    </row>
    <row r="171" spans="1:19" ht="16.5" customHeight="1" x14ac:dyDescent="0.25">
      <c r="A171" s="9"/>
      <c r="B171" s="39" t="s">
        <v>42</v>
      </c>
      <c r="C171" s="40"/>
      <c r="D171" s="40"/>
      <c r="E171" s="40"/>
      <c r="F171" s="40"/>
      <c r="G171" s="41"/>
      <c r="H171" s="23"/>
      <c r="I171" s="24">
        <f>SUM(I160:I170)</f>
        <v>22</v>
      </c>
      <c r="J171" s="9"/>
      <c r="K171" s="9"/>
      <c r="L171" s="9"/>
      <c r="M171" s="9">
        <f t="shared" si="22"/>
        <v>180.39999999999998</v>
      </c>
      <c r="N171" s="9">
        <f t="shared" si="23"/>
        <v>77</v>
      </c>
      <c r="O171" s="24">
        <f>ROUND(SUM(M160:M170)/I171,2)</f>
        <v>8.1999999999999993</v>
      </c>
      <c r="P171" s="24">
        <f>ROUND(SUM(N160:N170)/I171,2)</f>
        <v>3.5</v>
      </c>
      <c r="Q171" s="9"/>
      <c r="S171" s="25"/>
    </row>
    <row r="172" spans="1:19" ht="20.25" customHeight="1" x14ac:dyDescent="0.25">
      <c r="A172" s="27" t="s">
        <v>99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</row>
    <row r="173" spans="1:19" ht="16.5" customHeight="1" x14ac:dyDescent="0.25">
      <c r="A173" s="9"/>
      <c r="B173" s="51" t="s">
        <v>100</v>
      </c>
      <c r="C173" s="52"/>
      <c r="D173" s="52"/>
      <c r="E173" s="52"/>
      <c r="F173" s="52"/>
      <c r="G173" s="53"/>
      <c r="H173" s="20"/>
      <c r="I173" s="9">
        <v>2</v>
      </c>
      <c r="J173" s="9"/>
      <c r="K173" s="9"/>
      <c r="L173" s="9"/>
      <c r="M173" s="9">
        <f t="shared" ref="M173:M186" si="24">I173*O173</f>
        <v>16</v>
      </c>
      <c r="N173" s="9">
        <f t="shared" ref="N173:N186" si="25">I173*P173</f>
        <v>7</v>
      </c>
      <c r="O173" s="9">
        <v>8</v>
      </c>
      <c r="P173" s="9">
        <v>3.5</v>
      </c>
      <c r="Q173" s="9" t="s">
        <v>9</v>
      </c>
      <c r="R173" s="1">
        <v>0</v>
      </c>
      <c r="S173" s="26"/>
    </row>
    <row r="174" spans="1:19" ht="16.5" customHeight="1" x14ac:dyDescent="0.25">
      <c r="A174" s="9"/>
      <c r="B174" s="51" t="s">
        <v>101</v>
      </c>
      <c r="C174" s="52"/>
      <c r="D174" s="52"/>
      <c r="E174" s="52"/>
      <c r="F174" s="52"/>
      <c r="G174" s="53"/>
      <c r="H174" s="20"/>
      <c r="I174" s="9">
        <v>2</v>
      </c>
      <c r="J174" s="9"/>
      <c r="K174" s="9"/>
      <c r="L174" s="9"/>
      <c r="M174" s="9">
        <f t="shared" si="24"/>
        <v>16.8</v>
      </c>
      <c r="N174" s="9">
        <f t="shared" si="25"/>
        <v>7</v>
      </c>
      <c r="O174" s="9">
        <v>8.4</v>
      </c>
      <c r="P174" s="9">
        <v>3.5</v>
      </c>
      <c r="Q174" s="9" t="s">
        <v>9</v>
      </c>
      <c r="R174" s="1">
        <v>0</v>
      </c>
      <c r="S174" s="26"/>
    </row>
    <row r="175" spans="1:19" ht="16.5" customHeight="1" x14ac:dyDescent="0.25">
      <c r="A175" s="9"/>
      <c r="B175" s="51" t="s">
        <v>102</v>
      </c>
      <c r="C175" s="52"/>
      <c r="D175" s="52"/>
      <c r="E175" s="52"/>
      <c r="F175" s="52"/>
      <c r="G175" s="53"/>
      <c r="H175" s="20"/>
      <c r="I175" s="9">
        <v>1</v>
      </c>
      <c r="J175" s="9"/>
      <c r="K175" s="9"/>
      <c r="L175" s="9"/>
      <c r="M175" s="9">
        <f t="shared" si="24"/>
        <v>7.4</v>
      </c>
      <c r="N175" s="9">
        <f t="shared" si="25"/>
        <v>3</v>
      </c>
      <c r="O175" s="9">
        <v>7.4</v>
      </c>
      <c r="P175" s="9">
        <v>3</v>
      </c>
      <c r="Q175" s="9" t="s">
        <v>6</v>
      </c>
      <c r="R175" s="1">
        <v>0</v>
      </c>
      <c r="S175" s="26"/>
    </row>
    <row r="176" spans="1:19" ht="16.5" customHeight="1" x14ac:dyDescent="0.25">
      <c r="A176" s="9"/>
      <c r="B176" s="51" t="s">
        <v>103</v>
      </c>
      <c r="C176" s="52"/>
      <c r="D176" s="52"/>
      <c r="E176" s="52"/>
      <c r="F176" s="52"/>
      <c r="G176" s="53"/>
      <c r="H176" s="20"/>
      <c r="I176" s="9">
        <v>2</v>
      </c>
      <c r="J176" s="9"/>
      <c r="K176" s="9"/>
      <c r="L176" s="9"/>
      <c r="M176" s="9">
        <f t="shared" si="24"/>
        <v>15.2</v>
      </c>
      <c r="N176" s="9">
        <f t="shared" si="25"/>
        <v>6</v>
      </c>
      <c r="O176" s="9">
        <v>7.6</v>
      </c>
      <c r="P176" s="9">
        <v>3</v>
      </c>
      <c r="Q176" s="9" t="s">
        <v>6</v>
      </c>
      <c r="R176" s="1">
        <v>0</v>
      </c>
      <c r="S176" s="26"/>
    </row>
    <row r="177" spans="1:19" ht="16.5" customHeight="1" x14ac:dyDescent="0.25">
      <c r="A177" s="9"/>
      <c r="B177" s="51" t="s">
        <v>104</v>
      </c>
      <c r="C177" s="52"/>
      <c r="D177" s="52"/>
      <c r="E177" s="52"/>
      <c r="F177" s="52"/>
      <c r="G177" s="53"/>
      <c r="H177" s="20"/>
      <c r="I177" s="9">
        <v>3</v>
      </c>
      <c r="J177" s="9"/>
      <c r="K177" s="9"/>
      <c r="L177" s="9"/>
      <c r="M177" s="9">
        <f t="shared" si="24"/>
        <v>25.200000000000003</v>
      </c>
      <c r="N177" s="9">
        <f t="shared" si="25"/>
        <v>10.5</v>
      </c>
      <c r="O177" s="9">
        <v>8.4</v>
      </c>
      <c r="P177" s="9">
        <v>3.5</v>
      </c>
      <c r="Q177" s="9" t="s">
        <v>9</v>
      </c>
      <c r="R177" s="1">
        <v>0</v>
      </c>
      <c r="S177" s="26"/>
    </row>
    <row r="178" spans="1:19" ht="16.5" customHeight="1" x14ac:dyDescent="0.25">
      <c r="A178" s="9"/>
      <c r="B178" s="51" t="s">
        <v>110</v>
      </c>
      <c r="C178" s="52"/>
      <c r="D178" s="52"/>
      <c r="E178" s="52"/>
      <c r="F178" s="52"/>
      <c r="G178" s="53"/>
      <c r="H178" s="20"/>
      <c r="I178" s="9">
        <v>1</v>
      </c>
      <c r="J178" s="9"/>
      <c r="K178" s="9"/>
      <c r="L178" s="9"/>
      <c r="M178" s="9">
        <f t="shared" si="24"/>
        <v>9.5</v>
      </c>
      <c r="N178" s="9">
        <f t="shared" si="25"/>
        <v>4</v>
      </c>
      <c r="O178" s="9">
        <v>9.5</v>
      </c>
      <c r="P178" s="9">
        <v>4</v>
      </c>
      <c r="Q178" s="9" t="s">
        <v>12</v>
      </c>
      <c r="R178" s="1">
        <v>0</v>
      </c>
      <c r="S178" s="26"/>
    </row>
    <row r="179" spans="1:19" ht="16.5" customHeight="1" x14ac:dyDescent="0.25">
      <c r="A179" s="9"/>
      <c r="B179" s="51" t="s">
        <v>106</v>
      </c>
      <c r="C179" s="52"/>
      <c r="D179" s="52"/>
      <c r="E179" s="52"/>
      <c r="F179" s="52"/>
      <c r="G179" s="53"/>
      <c r="H179" s="20"/>
      <c r="I179" s="9">
        <v>2</v>
      </c>
      <c r="J179" s="9"/>
      <c r="K179" s="9"/>
      <c r="L179" s="9"/>
      <c r="M179" s="9">
        <f t="shared" si="24"/>
        <v>15.8</v>
      </c>
      <c r="N179" s="9">
        <f t="shared" si="25"/>
        <v>6</v>
      </c>
      <c r="O179" s="9">
        <v>7.9</v>
      </c>
      <c r="P179" s="9">
        <v>3</v>
      </c>
      <c r="Q179" s="9" t="s">
        <v>6</v>
      </c>
      <c r="R179" s="1">
        <v>0</v>
      </c>
      <c r="S179" s="26"/>
    </row>
    <row r="180" spans="1:19" ht="16.5" customHeight="1" x14ac:dyDescent="0.25">
      <c r="A180" s="9"/>
      <c r="B180" s="51" t="s">
        <v>107</v>
      </c>
      <c r="C180" s="52"/>
      <c r="D180" s="52"/>
      <c r="E180" s="52"/>
      <c r="F180" s="52"/>
      <c r="G180" s="53"/>
      <c r="H180" s="20"/>
      <c r="I180" s="9">
        <v>3</v>
      </c>
      <c r="J180" s="9"/>
      <c r="K180" s="9"/>
      <c r="L180" s="9"/>
      <c r="M180" s="9">
        <f t="shared" si="24"/>
        <v>25.799999999999997</v>
      </c>
      <c r="N180" s="9">
        <f t="shared" si="25"/>
        <v>11.100000000000001</v>
      </c>
      <c r="O180" s="9">
        <v>8.6</v>
      </c>
      <c r="P180" s="9">
        <v>3.7</v>
      </c>
      <c r="Q180" s="9" t="s">
        <v>10</v>
      </c>
      <c r="R180" s="1">
        <v>0</v>
      </c>
      <c r="S180" s="26"/>
    </row>
    <row r="181" spans="1:19" ht="16.5" customHeight="1" x14ac:dyDescent="0.25">
      <c r="A181" s="9"/>
      <c r="B181" s="51" t="s">
        <v>108</v>
      </c>
      <c r="C181" s="52"/>
      <c r="D181" s="52"/>
      <c r="E181" s="52"/>
      <c r="F181" s="52"/>
      <c r="G181" s="53"/>
      <c r="H181" s="20"/>
      <c r="I181" s="9">
        <v>1</v>
      </c>
      <c r="J181" s="9"/>
      <c r="K181" s="9"/>
      <c r="L181" s="9"/>
      <c r="M181" s="9">
        <f t="shared" si="24"/>
        <v>8</v>
      </c>
      <c r="N181" s="9">
        <f t="shared" si="25"/>
        <v>3.5</v>
      </c>
      <c r="O181" s="9">
        <v>8</v>
      </c>
      <c r="P181" s="9">
        <v>3.5</v>
      </c>
      <c r="Q181" s="9" t="s">
        <v>9</v>
      </c>
      <c r="R181" s="1">
        <v>0</v>
      </c>
      <c r="S181" s="26"/>
    </row>
    <row r="182" spans="1:19" ht="16.5" customHeight="1" x14ac:dyDescent="0.25">
      <c r="A182" s="9"/>
      <c r="B182" s="51" t="s">
        <v>109</v>
      </c>
      <c r="C182" s="52"/>
      <c r="D182" s="52"/>
      <c r="E182" s="52"/>
      <c r="F182" s="52"/>
      <c r="G182" s="53"/>
      <c r="H182" s="20"/>
      <c r="I182" s="9">
        <v>2</v>
      </c>
      <c r="J182" s="9"/>
      <c r="K182" s="9"/>
      <c r="L182" s="9"/>
      <c r="M182" s="9">
        <f t="shared" si="24"/>
        <v>18.399999999999999</v>
      </c>
      <c r="N182" s="9">
        <f t="shared" si="25"/>
        <v>8</v>
      </c>
      <c r="O182" s="9">
        <v>9.1999999999999993</v>
      </c>
      <c r="P182" s="9">
        <v>4</v>
      </c>
      <c r="Q182" s="9" t="s">
        <v>12</v>
      </c>
      <c r="R182" s="1">
        <v>0</v>
      </c>
      <c r="S182" s="26"/>
    </row>
    <row r="183" spans="1:19" ht="16.5" customHeight="1" x14ac:dyDescent="0.25">
      <c r="A183" s="9"/>
      <c r="B183" s="51" t="s">
        <v>105</v>
      </c>
      <c r="C183" s="52"/>
      <c r="D183" s="52"/>
      <c r="E183" s="52"/>
      <c r="F183" s="52"/>
      <c r="G183" s="53"/>
      <c r="H183" s="20"/>
      <c r="I183" s="9">
        <v>3</v>
      </c>
      <c r="J183" s="9"/>
      <c r="K183" s="9"/>
      <c r="L183" s="9"/>
      <c r="M183" s="9">
        <f t="shared" si="24"/>
        <v>24.900000000000002</v>
      </c>
      <c r="N183" s="9">
        <f t="shared" si="25"/>
        <v>10.5</v>
      </c>
      <c r="O183" s="9">
        <v>8.3000000000000007</v>
      </c>
      <c r="P183" s="9">
        <v>3.5</v>
      </c>
      <c r="Q183" s="9" t="s">
        <v>9</v>
      </c>
      <c r="R183" s="1">
        <v>0</v>
      </c>
      <c r="S183" s="26"/>
    </row>
    <row r="184" spans="1:19" ht="16.5" customHeight="1" x14ac:dyDescent="0.25">
      <c r="A184" s="9"/>
      <c r="B184" s="51" t="s">
        <v>111</v>
      </c>
      <c r="C184" s="52"/>
      <c r="D184" s="52"/>
      <c r="E184" s="52"/>
      <c r="F184" s="52"/>
      <c r="G184" s="53"/>
      <c r="H184" s="20"/>
      <c r="I184" s="9">
        <v>3</v>
      </c>
      <c r="J184" s="9"/>
      <c r="K184" s="9"/>
      <c r="L184" s="9"/>
      <c r="M184" s="9">
        <f t="shared" si="24"/>
        <v>27.599999999999998</v>
      </c>
      <c r="N184" s="9">
        <f t="shared" si="25"/>
        <v>12</v>
      </c>
      <c r="O184" s="9">
        <v>9.1999999999999993</v>
      </c>
      <c r="P184" s="9">
        <v>4</v>
      </c>
      <c r="Q184" s="9" t="s">
        <v>12</v>
      </c>
      <c r="R184" s="1">
        <v>0</v>
      </c>
      <c r="S184" s="26"/>
    </row>
    <row r="185" spans="1:19" ht="16.5" hidden="1" customHeight="1" x14ac:dyDescent="0.25">
      <c r="A185" s="21"/>
      <c r="H185" s="21"/>
      <c r="I185" s="21"/>
      <c r="J185" s="21"/>
      <c r="K185" s="21"/>
      <c r="L185" s="21"/>
      <c r="M185" s="9">
        <f t="shared" si="24"/>
        <v>0</v>
      </c>
      <c r="N185" s="9">
        <f t="shared" si="25"/>
        <v>0</v>
      </c>
      <c r="O185" s="21"/>
      <c r="P185" s="21"/>
      <c r="Q185" s="21"/>
      <c r="S185" s="25"/>
    </row>
    <row r="186" spans="1:19" ht="16.5" customHeight="1" x14ac:dyDescent="0.25">
      <c r="A186" s="9"/>
      <c r="B186" s="39" t="s">
        <v>42</v>
      </c>
      <c r="C186" s="40"/>
      <c r="D186" s="40"/>
      <c r="E186" s="40"/>
      <c r="F186" s="40"/>
      <c r="G186" s="41"/>
      <c r="H186" s="23"/>
      <c r="I186" s="24">
        <f>SUM(I173:I185)</f>
        <v>25</v>
      </c>
      <c r="J186" s="9"/>
      <c r="K186" s="9"/>
      <c r="L186" s="9"/>
      <c r="M186" s="9">
        <f t="shared" si="24"/>
        <v>210.5</v>
      </c>
      <c r="N186" s="9">
        <f t="shared" si="25"/>
        <v>88.5</v>
      </c>
      <c r="O186" s="24">
        <f>ROUND(SUM(M173:M185)/I186,2)</f>
        <v>8.42</v>
      </c>
      <c r="P186" s="24">
        <f>ROUND(SUM(N173:N185)/I186,2)</f>
        <v>3.54</v>
      </c>
      <c r="Q186" s="9"/>
      <c r="S186" s="25"/>
    </row>
    <row r="187" spans="1:19" ht="20.25" customHeight="1" x14ac:dyDescent="0.25">
      <c r="A187" s="27" t="s">
        <v>112</v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</row>
    <row r="188" spans="1:19" ht="16.5" customHeight="1" x14ac:dyDescent="0.25">
      <c r="A188" s="9"/>
      <c r="B188" s="51" t="s">
        <v>113</v>
      </c>
      <c r="C188" s="52"/>
      <c r="D188" s="52"/>
      <c r="E188" s="52"/>
      <c r="F188" s="52"/>
      <c r="G188" s="53"/>
      <c r="H188" s="20"/>
      <c r="I188" s="9">
        <v>2</v>
      </c>
      <c r="J188" s="9"/>
      <c r="K188" s="9"/>
      <c r="L188" s="9"/>
      <c r="M188" s="9">
        <f t="shared" ref="M188:M196" si="26">I188*O188</f>
        <v>0</v>
      </c>
      <c r="N188" s="9">
        <f t="shared" ref="N188:N196" si="27">I188*P188</f>
        <v>0</v>
      </c>
      <c r="O188" s="9"/>
      <c r="P188" s="9"/>
      <c r="Q188" s="9"/>
      <c r="R188" s="1">
        <v>0</v>
      </c>
      <c r="S188" s="26"/>
    </row>
    <row r="189" spans="1:19" ht="16.5" customHeight="1" x14ac:dyDescent="0.25">
      <c r="A189" s="9"/>
      <c r="B189" s="51" t="s">
        <v>114</v>
      </c>
      <c r="C189" s="52"/>
      <c r="D189" s="52"/>
      <c r="E189" s="52"/>
      <c r="F189" s="52"/>
      <c r="G189" s="53"/>
      <c r="H189" s="20"/>
      <c r="I189" s="9">
        <v>3</v>
      </c>
      <c r="J189" s="9"/>
      <c r="K189" s="9"/>
      <c r="L189" s="9"/>
      <c r="M189" s="9">
        <f t="shared" si="26"/>
        <v>27.900000000000002</v>
      </c>
      <c r="N189" s="9">
        <f t="shared" si="27"/>
        <v>12</v>
      </c>
      <c r="O189" s="9">
        <v>9.3000000000000007</v>
      </c>
      <c r="P189" s="9">
        <v>4</v>
      </c>
      <c r="Q189" s="9" t="s">
        <v>12</v>
      </c>
      <c r="R189" s="1">
        <v>0</v>
      </c>
      <c r="S189" s="26"/>
    </row>
    <row r="190" spans="1:19" ht="16.5" customHeight="1" x14ac:dyDescent="0.25">
      <c r="A190" s="9"/>
      <c r="B190" s="51" t="s">
        <v>115</v>
      </c>
      <c r="C190" s="52"/>
      <c r="D190" s="52"/>
      <c r="E190" s="52"/>
      <c r="F190" s="52"/>
      <c r="G190" s="53"/>
      <c r="H190" s="20"/>
      <c r="I190" s="9">
        <v>1</v>
      </c>
      <c r="J190" s="9"/>
      <c r="K190" s="9"/>
      <c r="L190" s="9"/>
      <c r="M190" s="9">
        <f t="shared" si="26"/>
        <v>6.8</v>
      </c>
      <c r="N190" s="9">
        <f t="shared" si="27"/>
        <v>2.5</v>
      </c>
      <c r="O190" s="9">
        <v>6.8</v>
      </c>
      <c r="P190" s="9">
        <v>2.5</v>
      </c>
      <c r="Q190" s="9" t="s">
        <v>5</v>
      </c>
      <c r="R190" s="1">
        <v>0</v>
      </c>
      <c r="S190" s="26"/>
    </row>
    <row r="191" spans="1:19" ht="31.2" customHeight="1" x14ac:dyDescent="0.25">
      <c r="A191" s="9"/>
      <c r="B191" s="51" t="s">
        <v>119</v>
      </c>
      <c r="C191" s="52"/>
      <c r="D191" s="52"/>
      <c r="E191" s="52"/>
      <c r="F191" s="52"/>
      <c r="G191" s="53"/>
      <c r="H191" s="20"/>
      <c r="I191" s="9">
        <v>2</v>
      </c>
      <c r="J191" s="9"/>
      <c r="K191" s="9"/>
      <c r="L191" s="9"/>
      <c r="M191" s="9">
        <f t="shared" si="26"/>
        <v>0</v>
      </c>
      <c r="N191" s="9">
        <f t="shared" si="27"/>
        <v>0</v>
      </c>
      <c r="O191" s="9"/>
      <c r="P191" s="9"/>
      <c r="Q191" s="9"/>
      <c r="R191" s="1">
        <v>0</v>
      </c>
      <c r="S191" s="26"/>
    </row>
    <row r="192" spans="1:19" ht="16.5" customHeight="1" x14ac:dyDescent="0.25">
      <c r="A192" s="9"/>
      <c r="B192" s="51" t="s">
        <v>117</v>
      </c>
      <c r="C192" s="52"/>
      <c r="D192" s="52"/>
      <c r="E192" s="52"/>
      <c r="F192" s="52"/>
      <c r="G192" s="53"/>
      <c r="H192" s="20"/>
      <c r="I192" s="9">
        <v>3</v>
      </c>
      <c r="J192" s="9"/>
      <c r="K192" s="9"/>
      <c r="L192" s="9"/>
      <c r="M192" s="9">
        <f t="shared" si="26"/>
        <v>17.399999999999999</v>
      </c>
      <c r="N192" s="9">
        <f t="shared" si="27"/>
        <v>6</v>
      </c>
      <c r="O192" s="9">
        <v>5.8</v>
      </c>
      <c r="P192" s="9">
        <v>2</v>
      </c>
      <c r="Q192" s="9" t="s">
        <v>3</v>
      </c>
      <c r="R192" s="1">
        <v>0</v>
      </c>
      <c r="S192" s="26"/>
    </row>
    <row r="193" spans="1:19" ht="16.5" customHeight="1" x14ac:dyDescent="0.25">
      <c r="A193" s="9"/>
      <c r="B193" s="51" t="s">
        <v>118</v>
      </c>
      <c r="C193" s="52"/>
      <c r="D193" s="52"/>
      <c r="E193" s="52"/>
      <c r="F193" s="52"/>
      <c r="G193" s="53"/>
      <c r="H193" s="20"/>
      <c r="I193" s="9">
        <v>3</v>
      </c>
      <c r="J193" s="9"/>
      <c r="K193" s="9"/>
      <c r="L193" s="9"/>
      <c r="M193" s="9">
        <f t="shared" si="26"/>
        <v>22.5</v>
      </c>
      <c r="N193" s="9">
        <f t="shared" si="27"/>
        <v>9</v>
      </c>
      <c r="O193" s="9">
        <v>7.5</v>
      </c>
      <c r="P193" s="9">
        <v>3</v>
      </c>
      <c r="Q193" s="9" t="s">
        <v>6</v>
      </c>
      <c r="R193" s="1">
        <v>0</v>
      </c>
      <c r="S193" s="26"/>
    </row>
    <row r="194" spans="1:19" ht="16.5" customHeight="1" x14ac:dyDescent="0.25">
      <c r="A194" s="9"/>
      <c r="B194" s="51" t="s">
        <v>116</v>
      </c>
      <c r="C194" s="52"/>
      <c r="D194" s="52"/>
      <c r="E194" s="52"/>
      <c r="F194" s="52"/>
      <c r="G194" s="53"/>
      <c r="H194" s="20"/>
      <c r="I194" s="9">
        <v>3</v>
      </c>
      <c r="J194" s="9"/>
      <c r="K194" s="9"/>
      <c r="L194" s="9"/>
      <c r="M194" s="9">
        <f t="shared" si="26"/>
        <v>24.599999999999998</v>
      </c>
      <c r="N194" s="9">
        <f t="shared" si="27"/>
        <v>10.5</v>
      </c>
      <c r="O194" s="9">
        <v>8.1999999999999993</v>
      </c>
      <c r="P194" s="9">
        <v>3.5</v>
      </c>
      <c r="Q194" s="9" t="s">
        <v>9</v>
      </c>
      <c r="R194" s="1">
        <v>0</v>
      </c>
      <c r="S194" s="26"/>
    </row>
    <row r="195" spans="1:19" ht="16.5" hidden="1" customHeight="1" x14ac:dyDescent="0.25">
      <c r="A195" s="21"/>
      <c r="H195" s="21"/>
      <c r="I195" s="21"/>
      <c r="J195" s="21"/>
      <c r="K195" s="21"/>
      <c r="L195" s="21"/>
      <c r="M195" s="9">
        <f t="shared" si="26"/>
        <v>0</v>
      </c>
      <c r="N195" s="9">
        <f t="shared" si="27"/>
        <v>0</v>
      </c>
      <c r="O195" s="21"/>
      <c r="P195" s="21"/>
      <c r="Q195" s="21"/>
      <c r="S195" s="25"/>
    </row>
    <row r="196" spans="1:19" ht="16.5" customHeight="1" x14ac:dyDescent="0.25">
      <c r="A196" s="9"/>
      <c r="B196" s="39" t="s">
        <v>42</v>
      </c>
      <c r="C196" s="40"/>
      <c r="D196" s="40"/>
      <c r="E196" s="40"/>
      <c r="F196" s="40"/>
      <c r="G196" s="41"/>
      <c r="H196" s="23"/>
      <c r="I196" s="24">
        <f>SUM(I188:I195)</f>
        <v>17</v>
      </c>
      <c r="J196" s="9"/>
      <c r="K196" s="9"/>
      <c r="L196" s="9"/>
      <c r="M196" s="9">
        <f t="shared" si="26"/>
        <v>99.28</v>
      </c>
      <c r="N196" s="9">
        <f t="shared" si="27"/>
        <v>39.950000000000003</v>
      </c>
      <c r="O196" s="24">
        <f>ROUND(SUM(M188:M195)/I196,2)</f>
        <v>5.84</v>
      </c>
      <c r="P196" s="24">
        <f>ROUND(SUM(N188:N195)/I196,2)</f>
        <v>2.35</v>
      </c>
      <c r="Q196" s="9"/>
      <c r="S196" s="25"/>
    </row>
    <row r="197" spans="1:19" ht="16.5" customHeight="1" x14ac:dyDescent="0.25">
      <c r="A197" s="21"/>
      <c r="B197" s="22"/>
      <c r="C197" s="22"/>
      <c r="D197" s="22"/>
      <c r="E197" s="22"/>
      <c r="F197" s="22"/>
      <c r="G197" s="22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9" spans="1:19" ht="18" x14ac:dyDescent="0.25">
      <c r="A199" s="35" t="s">
        <v>50</v>
      </c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</row>
    <row r="200" spans="1:19" ht="18" x14ac:dyDescent="0.25">
      <c r="A200" s="35" t="s">
        <v>123</v>
      </c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</row>
    <row r="201" spans="1:19" ht="18" x14ac:dyDescent="0.25">
      <c r="A201" s="35" t="s">
        <v>124</v>
      </c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</row>
    <row r="202" spans="1:19" ht="18" x14ac:dyDescent="0.25">
      <c r="A202" s="45" t="s">
        <v>53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</row>
    <row r="203" spans="1:19" ht="19.5" customHeight="1" x14ac:dyDescent="0.25">
      <c r="A203" s="17"/>
      <c r="B203" s="17"/>
      <c r="C203" s="8"/>
      <c r="D203" s="18"/>
      <c r="E203" s="10"/>
      <c r="F203" s="11"/>
      <c r="G203" s="46" t="s">
        <v>49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</row>
    <row r="204" spans="1:19" ht="31.5" customHeight="1" x14ac:dyDescent="0.3">
      <c r="A204" s="8"/>
      <c r="B204" s="8"/>
      <c r="C204" s="8"/>
      <c r="D204" s="8"/>
      <c r="E204" s="8"/>
      <c r="F204" s="8"/>
      <c r="G204" s="8"/>
      <c r="H204" s="12"/>
      <c r="I204" s="42" t="s">
        <v>40</v>
      </c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 spans="1:19" ht="16.8" x14ac:dyDescent="0.3">
      <c r="A205" s="8"/>
      <c r="B205" s="8"/>
      <c r="C205" s="8"/>
      <c r="D205" s="8"/>
      <c r="E205" s="8"/>
      <c r="F205" s="8"/>
      <c r="G205" s="8"/>
      <c r="H205" s="12"/>
      <c r="I205" s="12"/>
      <c r="J205" s="12"/>
      <c r="K205" s="12"/>
      <c r="L205" s="8"/>
      <c r="M205" s="8"/>
      <c r="N205" s="8"/>
      <c r="O205" s="8"/>
      <c r="P205" s="8"/>
      <c r="Q205" s="8"/>
    </row>
    <row r="206" spans="1:19" ht="33" customHeight="1" x14ac:dyDescent="0.3">
      <c r="A206" s="8"/>
      <c r="B206" s="8"/>
      <c r="C206" s="8"/>
      <c r="D206" s="8"/>
      <c r="E206" s="8"/>
      <c r="F206" s="8"/>
      <c r="G206" s="8"/>
      <c r="H206" s="12"/>
      <c r="I206" s="12"/>
      <c r="J206" s="12"/>
      <c r="K206" s="12"/>
      <c r="L206" s="8"/>
      <c r="M206" s="8"/>
      <c r="N206" s="8"/>
      <c r="O206" s="8"/>
      <c r="P206" s="8"/>
      <c r="Q206" s="8"/>
    </row>
    <row r="207" spans="1:19" ht="11.25" customHeight="1" x14ac:dyDescent="0.3">
      <c r="A207" s="8"/>
      <c r="B207" s="8"/>
      <c r="C207" s="8"/>
      <c r="D207" s="8"/>
      <c r="E207" s="8"/>
      <c r="F207" s="8"/>
      <c r="G207" s="8"/>
      <c r="H207" s="12"/>
      <c r="I207" s="12"/>
      <c r="J207" s="12"/>
      <c r="K207" s="12"/>
      <c r="L207" s="8"/>
      <c r="M207" s="8"/>
      <c r="N207" s="8"/>
      <c r="O207" s="8"/>
      <c r="P207" s="8"/>
      <c r="Q207" s="8"/>
    </row>
    <row r="208" spans="1:19" ht="17.399999999999999" x14ac:dyDescent="0.3">
      <c r="A208" s="8"/>
      <c r="B208" s="8"/>
      <c r="C208" s="8"/>
      <c r="D208" s="8"/>
      <c r="E208" s="8"/>
      <c r="F208" s="8"/>
      <c r="G208" s="47" t="s">
        <v>41</v>
      </c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</row>
    <row r="209" spans="1:20" ht="54" customHeight="1" x14ac:dyDescent="0.25">
      <c r="A209" s="48" t="s">
        <v>33</v>
      </c>
      <c r="B209" s="48"/>
      <c r="C209" s="48"/>
      <c r="D209" s="48"/>
      <c r="E209" s="48"/>
      <c r="F209" s="42" t="s">
        <v>24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</row>
    <row r="210" spans="1:20" ht="17.399999999999999" x14ac:dyDescent="0.25">
      <c r="A210" s="49" t="s">
        <v>34</v>
      </c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</row>
    <row r="211" spans="1:20" ht="4.5" customHeight="1" x14ac:dyDescent="0.2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20" ht="5.25" customHeight="1" x14ac:dyDescent="0.2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20" ht="16.5" customHeight="1" x14ac:dyDescent="0.25">
      <c r="A213" s="54" t="s">
        <v>125</v>
      </c>
      <c r="B213" s="54"/>
      <c r="C213" s="54"/>
      <c r="D213" s="54"/>
      <c r="E213" s="54"/>
      <c r="F213" s="54"/>
      <c r="G213" s="58" t="s">
        <v>126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</row>
    <row r="214" spans="1:20" ht="16.5" customHeight="1" x14ac:dyDescent="0.25">
      <c r="A214" s="54" t="s">
        <v>127</v>
      </c>
      <c r="B214" s="54"/>
      <c r="C214" s="54"/>
      <c r="D214" s="54"/>
      <c r="E214" s="54"/>
      <c r="F214" s="54"/>
      <c r="G214" s="8" t="s">
        <v>46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T214" s="2"/>
    </row>
    <row r="215" spans="1:20" ht="16.5" customHeight="1" x14ac:dyDescent="0.25">
      <c r="A215" s="54" t="s">
        <v>47</v>
      </c>
      <c r="B215" s="54"/>
      <c r="C215" s="54"/>
      <c r="D215" s="54"/>
      <c r="E215" s="54"/>
      <c r="F215" s="54"/>
      <c r="G215" s="58" t="s">
        <v>48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</row>
    <row r="216" spans="1:20" ht="5.2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19"/>
      <c r="K216" s="19"/>
      <c r="L216" s="19"/>
      <c r="M216" s="19"/>
      <c r="N216" s="19"/>
      <c r="O216" s="19"/>
      <c r="P216" s="19"/>
      <c r="Q216" s="19"/>
    </row>
    <row r="217" spans="1:20" ht="15" customHeight="1" x14ac:dyDescent="0.25">
      <c r="A217" s="36" t="s">
        <v>0</v>
      </c>
      <c r="B217" s="29" t="s">
        <v>1</v>
      </c>
      <c r="C217" s="30"/>
      <c r="D217" s="30"/>
      <c r="E217" s="30"/>
      <c r="F217" s="30"/>
      <c r="G217" s="31"/>
      <c r="H217" s="36" t="s">
        <v>32</v>
      </c>
      <c r="I217" s="36" t="s">
        <v>39</v>
      </c>
      <c r="J217" s="55" t="s">
        <v>2</v>
      </c>
      <c r="K217" s="56"/>
      <c r="L217" s="56"/>
      <c r="M217" s="56"/>
      <c r="N217" s="56"/>
      <c r="O217" s="56"/>
      <c r="P217" s="56"/>
      <c r="Q217" s="57"/>
      <c r="S217" s="36" t="s">
        <v>38</v>
      </c>
    </row>
    <row r="218" spans="1:20" ht="24" customHeight="1" x14ac:dyDescent="0.25">
      <c r="A218" s="37"/>
      <c r="B218" s="32"/>
      <c r="C218" s="33"/>
      <c r="D218" s="33"/>
      <c r="E218" s="33"/>
      <c r="F218" s="33"/>
      <c r="G218" s="34"/>
      <c r="H218" s="37"/>
      <c r="I218" s="37"/>
      <c r="J218" s="7" t="s">
        <v>28</v>
      </c>
      <c r="K218" s="7" t="s">
        <v>29</v>
      </c>
      <c r="L218" s="7" t="s">
        <v>30</v>
      </c>
      <c r="M218" s="7"/>
      <c r="N218" s="7"/>
      <c r="O218" s="6" t="s">
        <v>35</v>
      </c>
      <c r="P218" s="6" t="s">
        <v>36</v>
      </c>
      <c r="Q218" s="6" t="s">
        <v>37</v>
      </c>
      <c r="S218" s="37"/>
    </row>
    <row r="219" spans="1:20" ht="20.25" customHeight="1" x14ac:dyDescent="0.25">
      <c r="A219" s="27" t="s">
        <v>54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</row>
    <row r="220" spans="1:20" ht="16.5" customHeight="1" x14ac:dyDescent="0.25">
      <c r="A220" s="9"/>
      <c r="B220" s="51" t="s">
        <v>55</v>
      </c>
      <c r="C220" s="52"/>
      <c r="D220" s="52"/>
      <c r="E220" s="52"/>
      <c r="F220" s="52"/>
      <c r="G220" s="53"/>
      <c r="H220" s="20"/>
      <c r="I220" s="9">
        <v>2</v>
      </c>
      <c r="J220" s="9"/>
      <c r="K220" s="9"/>
      <c r="L220" s="9"/>
      <c r="M220" s="9">
        <f t="shared" ref="M220:M228" si="28">I220*O220</f>
        <v>14.8</v>
      </c>
      <c r="N220" s="9">
        <f t="shared" ref="N220:N228" si="29">I220*P220</f>
        <v>6</v>
      </c>
      <c r="O220" s="9">
        <v>7.4</v>
      </c>
      <c r="P220" s="9">
        <v>3</v>
      </c>
      <c r="Q220" s="9" t="s">
        <v>6</v>
      </c>
      <c r="R220" s="1">
        <v>0</v>
      </c>
      <c r="S220" s="26"/>
    </row>
    <row r="221" spans="1:20" ht="16.5" customHeight="1" x14ac:dyDescent="0.25">
      <c r="A221" s="9"/>
      <c r="B221" s="51" t="s">
        <v>56</v>
      </c>
      <c r="C221" s="52"/>
      <c r="D221" s="52"/>
      <c r="E221" s="52"/>
      <c r="F221" s="52"/>
      <c r="G221" s="53"/>
      <c r="H221" s="20"/>
      <c r="I221" s="9">
        <v>3</v>
      </c>
      <c r="J221" s="9"/>
      <c r="K221" s="9"/>
      <c r="L221" s="9"/>
      <c r="M221" s="9">
        <f t="shared" si="28"/>
        <v>16.799999999999997</v>
      </c>
      <c r="N221" s="9">
        <f t="shared" si="29"/>
        <v>6</v>
      </c>
      <c r="O221" s="9">
        <v>5.6</v>
      </c>
      <c r="P221" s="9">
        <v>2</v>
      </c>
      <c r="Q221" s="9" t="s">
        <v>3</v>
      </c>
      <c r="R221" s="1">
        <v>0</v>
      </c>
      <c r="S221" s="26"/>
    </row>
    <row r="222" spans="1:20" ht="31.2" customHeight="1" x14ac:dyDescent="0.25">
      <c r="A222" s="9"/>
      <c r="B222" s="51" t="s">
        <v>57</v>
      </c>
      <c r="C222" s="52"/>
      <c r="D222" s="52"/>
      <c r="E222" s="52"/>
      <c r="F222" s="52"/>
      <c r="G222" s="53"/>
      <c r="H222" s="20"/>
      <c r="I222" s="9">
        <v>3</v>
      </c>
      <c r="J222" s="9"/>
      <c r="K222" s="9"/>
      <c r="L222" s="9"/>
      <c r="M222" s="9">
        <f t="shared" si="28"/>
        <v>23.700000000000003</v>
      </c>
      <c r="N222" s="9">
        <f t="shared" si="29"/>
        <v>9</v>
      </c>
      <c r="O222" s="9">
        <v>7.9</v>
      </c>
      <c r="P222" s="9">
        <v>3</v>
      </c>
      <c r="Q222" s="9" t="s">
        <v>6</v>
      </c>
      <c r="R222" s="1">
        <v>0</v>
      </c>
      <c r="S222" s="26"/>
    </row>
    <row r="223" spans="1:20" ht="16.5" customHeight="1" x14ac:dyDescent="0.25">
      <c r="A223" s="9"/>
      <c r="B223" s="51" t="s">
        <v>58</v>
      </c>
      <c r="C223" s="52"/>
      <c r="D223" s="52"/>
      <c r="E223" s="52"/>
      <c r="F223" s="52"/>
      <c r="G223" s="53"/>
      <c r="H223" s="20"/>
      <c r="I223" s="9">
        <v>1</v>
      </c>
      <c r="J223" s="9"/>
      <c r="K223" s="9"/>
      <c r="L223" s="9"/>
      <c r="M223" s="9">
        <f t="shared" si="28"/>
        <v>8</v>
      </c>
      <c r="N223" s="9">
        <f t="shared" si="29"/>
        <v>3.5</v>
      </c>
      <c r="O223" s="9">
        <v>8</v>
      </c>
      <c r="P223" s="9">
        <v>3.5</v>
      </c>
      <c r="Q223" s="9" t="s">
        <v>9</v>
      </c>
      <c r="R223" s="1">
        <v>0</v>
      </c>
      <c r="S223" s="26"/>
    </row>
    <row r="224" spans="1:20" ht="16.5" customHeight="1" x14ac:dyDescent="0.25">
      <c r="A224" s="9"/>
      <c r="B224" s="51" t="s">
        <v>59</v>
      </c>
      <c r="C224" s="52"/>
      <c r="D224" s="52"/>
      <c r="E224" s="52"/>
      <c r="F224" s="52"/>
      <c r="G224" s="53"/>
      <c r="H224" s="20"/>
      <c r="I224" s="9">
        <v>1</v>
      </c>
      <c r="J224" s="9"/>
      <c r="K224" s="9"/>
      <c r="L224" s="9"/>
      <c r="M224" s="9">
        <f t="shared" si="28"/>
        <v>7.4</v>
      </c>
      <c r="N224" s="9">
        <f t="shared" si="29"/>
        <v>3</v>
      </c>
      <c r="O224" s="9">
        <v>7.4</v>
      </c>
      <c r="P224" s="9">
        <v>3</v>
      </c>
      <c r="Q224" s="9" t="s">
        <v>6</v>
      </c>
      <c r="R224" s="1">
        <v>0</v>
      </c>
      <c r="S224" s="26"/>
    </row>
    <row r="225" spans="1:19" ht="16.5" customHeight="1" x14ac:dyDescent="0.25">
      <c r="A225" s="9"/>
      <c r="B225" s="51" t="s">
        <v>60</v>
      </c>
      <c r="C225" s="52"/>
      <c r="D225" s="52"/>
      <c r="E225" s="52"/>
      <c r="F225" s="52"/>
      <c r="G225" s="53"/>
      <c r="H225" s="20"/>
      <c r="I225" s="9">
        <v>3</v>
      </c>
      <c r="J225" s="9"/>
      <c r="K225" s="9"/>
      <c r="L225" s="9"/>
      <c r="M225" s="9">
        <f t="shared" si="28"/>
        <v>26.400000000000002</v>
      </c>
      <c r="N225" s="9">
        <f t="shared" si="29"/>
        <v>11.100000000000001</v>
      </c>
      <c r="O225" s="9">
        <v>8.8000000000000007</v>
      </c>
      <c r="P225" s="9">
        <v>3.7</v>
      </c>
      <c r="Q225" s="9" t="s">
        <v>10</v>
      </c>
      <c r="R225" s="1">
        <v>0</v>
      </c>
      <c r="S225" s="26"/>
    </row>
    <row r="226" spans="1:19" ht="16.5" customHeight="1" x14ac:dyDescent="0.25">
      <c r="A226" s="9"/>
      <c r="B226" s="51" t="s">
        <v>61</v>
      </c>
      <c r="C226" s="52"/>
      <c r="D226" s="52"/>
      <c r="E226" s="52"/>
      <c r="F226" s="52"/>
      <c r="G226" s="53"/>
      <c r="H226" s="20"/>
      <c r="I226" s="9">
        <v>1</v>
      </c>
      <c r="J226" s="9"/>
      <c r="K226" s="9"/>
      <c r="L226" s="9"/>
      <c r="M226" s="9">
        <f t="shared" si="28"/>
        <v>3</v>
      </c>
      <c r="N226" s="9">
        <f t="shared" si="29"/>
        <v>0</v>
      </c>
      <c r="O226" s="9">
        <v>3</v>
      </c>
      <c r="P226" s="9">
        <v>0</v>
      </c>
      <c r="Q226" s="9" t="s">
        <v>7</v>
      </c>
      <c r="R226" s="1">
        <v>0</v>
      </c>
      <c r="S226" s="26"/>
    </row>
    <row r="227" spans="1:19" ht="16.5" hidden="1" customHeight="1" x14ac:dyDescent="0.25">
      <c r="A227" s="21"/>
      <c r="H227" s="21"/>
      <c r="I227" s="21"/>
      <c r="J227" s="21"/>
      <c r="K227" s="21"/>
      <c r="L227" s="21"/>
      <c r="M227" s="9">
        <f t="shared" si="28"/>
        <v>0</v>
      </c>
      <c r="N227" s="9">
        <f t="shared" si="29"/>
        <v>0</v>
      </c>
      <c r="O227" s="21"/>
      <c r="P227" s="21"/>
      <c r="Q227" s="21"/>
      <c r="S227" s="25"/>
    </row>
    <row r="228" spans="1:19" ht="16.5" customHeight="1" x14ac:dyDescent="0.25">
      <c r="A228" s="9"/>
      <c r="B228" s="39" t="s">
        <v>42</v>
      </c>
      <c r="C228" s="40"/>
      <c r="D228" s="40"/>
      <c r="E228" s="40"/>
      <c r="F228" s="40"/>
      <c r="G228" s="41"/>
      <c r="H228" s="23"/>
      <c r="I228" s="24">
        <f>SUM(I220:I227)</f>
        <v>14</v>
      </c>
      <c r="J228" s="9"/>
      <c r="K228" s="9"/>
      <c r="L228" s="9"/>
      <c r="M228" s="9">
        <f t="shared" si="28"/>
        <v>100.10000000000001</v>
      </c>
      <c r="N228" s="9">
        <f t="shared" si="29"/>
        <v>38.64</v>
      </c>
      <c r="O228" s="24">
        <f>ROUND(SUM(M220:M227)/I228,2)</f>
        <v>7.15</v>
      </c>
      <c r="P228" s="24">
        <f>ROUND(SUM(N220:N227)/I228,2)</f>
        <v>2.76</v>
      </c>
      <c r="Q228" s="9"/>
      <c r="S228" s="25"/>
    </row>
    <row r="229" spans="1:19" ht="20.25" customHeight="1" x14ac:dyDescent="0.25">
      <c r="A229" s="27" t="s">
        <v>62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</row>
    <row r="230" spans="1:19" ht="16.5" customHeight="1" x14ac:dyDescent="0.25">
      <c r="A230" s="9"/>
      <c r="B230" s="51" t="s">
        <v>63</v>
      </c>
      <c r="C230" s="52"/>
      <c r="D230" s="52"/>
      <c r="E230" s="52"/>
      <c r="F230" s="52"/>
      <c r="G230" s="53"/>
      <c r="H230" s="20"/>
      <c r="I230" s="9">
        <v>4</v>
      </c>
      <c r="J230" s="9"/>
      <c r="K230" s="9"/>
      <c r="L230" s="9"/>
      <c r="M230" s="9">
        <f t="shared" ref="M230:M238" si="30">I230*O230</f>
        <v>21.6</v>
      </c>
      <c r="N230" s="9">
        <f t="shared" ref="N230:N238" si="31">I230*P230</f>
        <v>6</v>
      </c>
      <c r="O230" s="9">
        <v>5.4</v>
      </c>
      <c r="P230" s="9">
        <v>1.5</v>
      </c>
      <c r="Q230" s="9" t="s">
        <v>4</v>
      </c>
      <c r="R230" s="1">
        <v>0</v>
      </c>
      <c r="S230" s="26"/>
    </row>
    <row r="231" spans="1:19" ht="16.5" customHeight="1" x14ac:dyDescent="0.25">
      <c r="A231" s="9"/>
      <c r="B231" s="51" t="s">
        <v>64</v>
      </c>
      <c r="C231" s="52"/>
      <c r="D231" s="52"/>
      <c r="E231" s="52"/>
      <c r="F231" s="52"/>
      <c r="G231" s="53"/>
      <c r="H231" s="20"/>
      <c r="I231" s="9">
        <v>4</v>
      </c>
      <c r="J231" s="9"/>
      <c r="K231" s="9"/>
      <c r="L231" s="9"/>
      <c r="M231" s="9">
        <f t="shared" si="30"/>
        <v>23.2</v>
      </c>
      <c r="N231" s="9">
        <f t="shared" si="31"/>
        <v>8</v>
      </c>
      <c r="O231" s="9">
        <v>5.8</v>
      </c>
      <c r="P231" s="9">
        <v>2</v>
      </c>
      <c r="Q231" s="9" t="s">
        <v>3</v>
      </c>
      <c r="R231" s="1">
        <v>0</v>
      </c>
      <c r="S231" s="26"/>
    </row>
    <row r="232" spans="1:19" ht="16.5" customHeight="1" x14ac:dyDescent="0.25">
      <c r="A232" s="9"/>
      <c r="B232" s="51" t="s">
        <v>65</v>
      </c>
      <c r="C232" s="52"/>
      <c r="D232" s="52"/>
      <c r="E232" s="52"/>
      <c r="F232" s="52"/>
      <c r="G232" s="53"/>
      <c r="H232" s="20"/>
      <c r="I232" s="9">
        <v>4</v>
      </c>
      <c r="J232" s="9"/>
      <c r="K232" s="9"/>
      <c r="L232" s="9"/>
      <c r="M232" s="9">
        <f t="shared" si="30"/>
        <v>32.4</v>
      </c>
      <c r="N232" s="9">
        <f t="shared" si="31"/>
        <v>14</v>
      </c>
      <c r="O232" s="9">
        <v>8.1</v>
      </c>
      <c r="P232" s="9">
        <v>3.5</v>
      </c>
      <c r="Q232" s="9" t="s">
        <v>9</v>
      </c>
      <c r="R232" s="1">
        <v>0</v>
      </c>
      <c r="S232" s="26"/>
    </row>
    <row r="233" spans="1:19" ht="16.5" customHeight="1" x14ac:dyDescent="0.25">
      <c r="A233" s="9"/>
      <c r="B233" s="51" t="s">
        <v>66</v>
      </c>
      <c r="C233" s="52"/>
      <c r="D233" s="52"/>
      <c r="E233" s="52"/>
      <c r="F233" s="52"/>
      <c r="G233" s="53"/>
      <c r="H233" s="20"/>
      <c r="I233" s="9">
        <v>1</v>
      </c>
      <c r="J233" s="9"/>
      <c r="K233" s="9"/>
      <c r="L233" s="9"/>
      <c r="M233" s="9">
        <f t="shared" si="30"/>
        <v>7.9</v>
      </c>
      <c r="N233" s="9">
        <f t="shared" si="31"/>
        <v>3</v>
      </c>
      <c r="O233" s="9">
        <v>7.9</v>
      </c>
      <c r="P233" s="9">
        <v>3</v>
      </c>
      <c r="Q233" s="9" t="s">
        <v>6</v>
      </c>
      <c r="R233" s="1">
        <v>0</v>
      </c>
      <c r="S233" s="26"/>
    </row>
    <row r="234" spans="1:19" ht="16.5" customHeight="1" x14ac:dyDescent="0.25">
      <c r="A234" s="9"/>
      <c r="B234" s="51" t="s">
        <v>67</v>
      </c>
      <c r="C234" s="52"/>
      <c r="D234" s="52"/>
      <c r="E234" s="52"/>
      <c r="F234" s="52"/>
      <c r="G234" s="53"/>
      <c r="H234" s="20"/>
      <c r="I234" s="9">
        <v>1</v>
      </c>
      <c r="J234" s="9"/>
      <c r="K234" s="9"/>
      <c r="L234" s="9"/>
      <c r="M234" s="9">
        <f t="shared" si="30"/>
        <v>8.1999999999999993</v>
      </c>
      <c r="N234" s="9">
        <f t="shared" si="31"/>
        <v>3.5</v>
      </c>
      <c r="O234" s="9">
        <v>8.1999999999999993</v>
      </c>
      <c r="P234" s="9">
        <v>3.5</v>
      </c>
      <c r="Q234" s="9" t="s">
        <v>9</v>
      </c>
      <c r="R234" s="1">
        <v>0</v>
      </c>
      <c r="S234" s="26"/>
    </row>
    <row r="235" spans="1:19" ht="16.5" customHeight="1" x14ac:dyDescent="0.25">
      <c r="A235" s="9"/>
      <c r="B235" s="51" t="s">
        <v>68</v>
      </c>
      <c r="C235" s="52"/>
      <c r="D235" s="52"/>
      <c r="E235" s="52"/>
      <c r="F235" s="52"/>
      <c r="G235" s="53"/>
      <c r="H235" s="20"/>
      <c r="I235" s="9">
        <v>1</v>
      </c>
      <c r="J235" s="9"/>
      <c r="K235" s="9"/>
      <c r="L235" s="9"/>
      <c r="M235" s="9">
        <f t="shared" si="30"/>
        <v>8.1</v>
      </c>
      <c r="N235" s="9">
        <f t="shared" si="31"/>
        <v>3.5</v>
      </c>
      <c r="O235" s="9">
        <v>8.1</v>
      </c>
      <c r="P235" s="9">
        <v>3.5</v>
      </c>
      <c r="Q235" s="9" t="s">
        <v>9</v>
      </c>
      <c r="R235" s="1">
        <v>0</v>
      </c>
      <c r="S235" s="26"/>
    </row>
    <row r="236" spans="1:19" ht="16.5" customHeight="1" x14ac:dyDescent="0.25">
      <c r="A236" s="9"/>
      <c r="B236" s="51" t="s">
        <v>69</v>
      </c>
      <c r="C236" s="52"/>
      <c r="D236" s="52"/>
      <c r="E236" s="52"/>
      <c r="F236" s="52"/>
      <c r="G236" s="53"/>
      <c r="H236" s="20"/>
      <c r="I236" s="9">
        <v>1</v>
      </c>
      <c r="J236" s="9"/>
      <c r="K236" s="9"/>
      <c r="L236" s="9"/>
      <c r="M236" s="9">
        <f t="shared" si="30"/>
        <v>8</v>
      </c>
      <c r="N236" s="9">
        <f t="shared" si="31"/>
        <v>3.5</v>
      </c>
      <c r="O236" s="9">
        <v>8</v>
      </c>
      <c r="P236" s="9">
        <v>3.5</v>
      </c>
      <c r="Q236" s="9" t="s">
        <v>9</v>
      </c>
      <c r="R236" s="1">
        <v>0</v>
      </c>
      <c r="S236" s="26"/>
    </row>
    <row r="237" spans="1:19" ht="16.5" hidden="1" customHeight="1" x14ac:dyDescent="0.25">
      <c r="A237" s="21"/>
      <c r="H237" s="21"/>
      <c r="I237" s="21"/>
      <c r="J237" s="21"/>
      <c r="K237" s="21"/>
      <c r="L237" s="21"/>
      <c r="M237" s="9">
        <f t="shared" si="30"/>
        <v>0</v>
      </c>
      <c r="N237" s="9">
        <f t="shared" si="31"/>
        <v>0</v>
      </c>
      <c r="O237" s="21"/>
      <c r="P237" s="21"/>
      <c r="Q237" s="21"/>
      <c r="S237" s="25"/>
    </row>
    <row r="238" spans="1:19" ht="16.5" customHeight="1" x14ac:dyDescent="0.25">
      <c r="A238" s="9"/>
      <c r="B238" s="39" t="s">
        <v>42</v>
      </c>
      <c r="C238" s="40"/>
      <c r="D238" s="40"/>
      <c r="E238" s="40"/>
      <c r="F238" s="40"/>
      <c r="G238" s="41"/>
      <c r="H238" s="23"/>
      <c r="I238" s="24">
        <f>SUM(I230:I237)</f>
        <v>16</v>
      </c>
      <c r="J238" s="9"/>
      <c r="K238" s="9"/>
      <c r="L238" s="9"/>
      <c r="M238" s="9">
        <f t="shared" si="30"/>
        <v>109.44</v>
      </c>
      <c r="N238" s="9">
        <f t="shared" si="31"/>
        <v>41.44</v>
      </c>
      <c r="O238" s="24">
        <f>ROUND(SUM(M230:M237)/I238,2)</f>
        <v>6.84</v>
      </c>
      <c r="P238" s="24">
        <f>ROUND(SUM(N230:N237)/I238,2)</f>
        <v>2.59</v>
      </c>
      <c r="Q238" s="9"/>
      <c r="S238" s="25"/>
    </row>
    <row r="239" spans="1:19" ht="20.25" customHeight="1" x14ac:dyDescent="0.25">
      <c r="A239" s="27" t="s">
        <v>131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</row>
    <row r="240" spans="1:19" ht="16.5" customHeight="1" x14ac:dyDescent="0.25">
      <c r="A240" s="9"/>
      <c r="B240" s="51" t="s">
        <v>61</v>
      </c>
      <c r="C240" s="52"/>
      <c r="D240" s="52"/>
      <c r="E240" s="52"/>
      <c r="F240" s="52"/>
      <c r="G240" s="53"/>
      <c r="H240" s="20"/>
      <c r="I240" s="9">
        <v>1</v>
      </c>
      <c r="J240" s="9"/>
      <c r="K240" s="9"/>
      <c r="L240" s="9"/>
      <c r="M240" s="9">
        <f>I240*O240</f>
        <v>6.4</v>
      </c>
      <c r="N240" s="9">
        <f>I240*P240</f>
        <v>2</v>
      </c>
      <c r="O240" s="9">
        <v>6.4</v>
      </c>
      <c r="P240" s="9">
        <v>2</v>
      </c>
      <c r="Q240" s="9" t="s">
        <v>3</v>
      </c>
      <c r="R240" s="1">
        <v>6</v>
      </c>
      <c r="S240" s="26" t="s">
        <v>132</v>
      </c>
    </row>
    <row r="241" spans="1:19" ht="16.5" hidden="1" customHeight="1" x14ac:dyDescent="0.25">
      <c r="A241" s="21"/>
      <c r="H241" s="21"/>
      <c r="I241" s="21"/>
      <c r="J241" s="21"/>
      <c r="K241" s="21"/>
      <c r="L241" s="21"/>
      <c r="M241" s="9">
        <f>I241*O241</f>
        <v>0</v>
      </c>
      <c r="N241" s="9">
        <f>I241*P241</f>
        <v>0</v>
      </c>
      <c r="O241" s="21"/>
      <c r="P241" s="21"/>
      <c r="Q241" s="21"/>
      <c r="S241" s="25"/>
    </row>
    <row r="242" spans="1:19" ht="16.5" customHeight="1" x14ac:dyDescent="0.25">
      <c r="A242" s="9"/>
      <c r="B242" s="39" t="s">
        <v>42</v>
      </c>
      <c r="C242" s="40"/>
      <c r="D242" s="40"/>
      <c r="E242" s="40"/>
      <c r="F242" s="40"/>
      <c r="G242" s="41"/>
      <c r="H242" s="23"/>
      <c r="I242" s="24">
        <f>SUM(I240:I241)</f>
        <v>1</v>
      </c>
      <c r="J242" s="9"/>
      <c r="K242" s="9"/>
      <c r="L242" s="9"/>
      <c r="M242" s="9">
        <f>I242*O242</f>
        <v>6.4</v>
      </c>
      <c r="N242" s="9">
        <f>I242*P242</f>
        <v>2</v>
      </c>
      <c r="O242" s="24">
        <f>ROUND(SUM(M240:M241)/I242,2)</f>
        <v>6.4</v>
      </c>
      <c r="P242" s="24">
        <f>ROUND(SUM(N240:N241)/I242,2)</f>
        <v>2</v>
      </c>
      <c r="Q242" s="9"/>
      <c r="S242" s="25"/>
    </row>
    <row r="243" spans="1:19" ht="20.25" customHeight="1" x14ac:dyDescent="0.25">
      <c r="A243" s="27" t="s">
        <v>70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</row>
    <row r="244" spans="1:19" ht="16.5" customHeight="1" x14ac:dyDescent="0.25">
      <c r="A244" s="9"/>
      <c r="B244" s="51" t="s">
        <v>72</v>
      </c>
      <c r="C244" s="52"/>
      <c r="D244" s="52"/>
      <c r="E244" s="52"/>
      <c r="F244" s="52"/>
      <c r="G244" s="53"/>
      <c r="H244" s="20"/>
      <c r="I244" s="9">
        <v>4</v>
      </c>
      <c r="J244" s="9"/>
      <c r="K244" s="9"/>
      <c r="L244" s="9"/>
      <c r="M244" s="9">
        <f t="shared" ref="M244:M252" si="32">I244*O244</f>
        <v>34</v>
      </c>
      <c r="N244" s="9">
        <f t="shared" ref="N244:N252" si="33">I244*P244</f>
        <v>14.8</v>
      </c>
      <c r="O244" s="9">
        <v>8.5</v>
      </c>
      <c r="P244" s="9">
        <v>3.7</v>
      </c>
      <c r="Q244" s="9" t="s">
        <v>10</v>
      </c>
      <c r="R244" s="1">
        <v>0</v>
      </c>
      <c r="S244" s="26"/>
    </row>
    <row r="245" spans="1:19" ht="16.5" customHeight="1" x14ac:dyDescent="0.25">
      <c r="A245" s="9"/>
      <c r="B245" s="51" t="s">
        <v>71</v>
      </c>
      <c r="C245" s="52"/>
      <c r="D245" s="52"/>
      <c r="E245" s="52"/>
      <c r="F245" s="52"/>
      <c r="G245" s="53"/>
      <c r="H245" s="20"/>
      <c r="I245" s="9">
        <v>4</v>
      </c>
      <c r="J245" s="9"/>
      <c r="K245" s="9"/>
      <c r="L245" s="9"/>
      <c r="M245" s="9">
        <f t="shared" si="32"/>
        <v>26.4</v>
      </c>
      <c r="N245" s="9">
        <f t="shared" si="33"/>
        <v>10</v>
      </c>
      <c r="O245" s="9">
        <v>6.6</v>
      </c>
      <c r="P245" s="9">
        <v>2.5</v>
      </c>
      <c r="Q245" s="9" t="s">
        <v>5</v>
      </c>
      <c r="R245" s="1">
        <v>0</v>
      </c>
      <c r="S245" s="26"/>
    </row>
    <row r="246" spans="1:19" ht="16.5" customHeight="1" x14ac:dyDescent="0.25">
      <c r="A246" s="9"/>
      <c r="B246" s="51" t="s">
        <v>74</v>
      </c>
      <c r="C246" s="52"/>
      <c r="D246" s="52"/>
      <c r="E246" s="52"/>
      <c r="F246" s="52"/>
      <c r="G246" s="53"/>
      <c r="H246" s="20"/>
      <c r="I246" s="9">
        <v>2</v>
      </c>
      <c r="J246" s="9"/>
      <c r="K246" s="9"/>
      <c r="L246" s="9"/>
      <c r="M246" s="9">
        <f t="shared" si="32"/>
        <v>15.4</v>
      </c>
      <c r="N246" s="9">
        <f t="shared" si="33"/>
        <v>6</v>
      </c>
      <c r="O246" s="9">
        <v>7.7</v>
      </c>
      <c r="P246" s="9">
        <v>3</v>
      </c>
      <c r="Q246" s="9" t="s">
        <v>6</v>
      </c>
      <c r="R246" s="1">
        <v>0</v>
      </c>
      <c r="S246" s="26"/>
    </row>
    <row r="247" spans="1:19" ht="16.5" customHeight="1" x14ac:dyDescent="0.25">
      <c r="A247" s="9"/>
      <c r="B247" s="51" t="s">
        <v>73</v>
      </c>
      <c r="C247" s="52"/>
      <c r="D247" s="52"/>
      <c r="E247" s="52"/>
      <c r="F247" s="52"/>
      <c r="G247" s="53"/>
      <c r="H247" s="20"/>
      <c r="I247" s="9">
        <v>1</v>
      </c>
      <c r="J247" s="9"/>
      <c r="K247" s="9"/>
      <c r="L247" s="9"/>
      <c r="M247" s="9">
        <f t="shared" si="32"/>
        <v>7.1</v>
      </c>
      <c r="N247" s="9">
        <f t="shared" si="33"/>
        <v>3</v>
      </c>
      <c r="O247" s="9">
        <v>7.1</v>
      </c>
      <c r="P247" s="9">
        <v>3</v>
      </c>
      <c r="Q247" s="9" t="s">
        <v>6</v>
      </c>
      <c r="R247" s="1">
        <v>0</v>
      </c>
      <c r="S247" s="26"/>
    </row>
    <row r="248" spans="1:19" ht="16.5" customHeight="1" x14ac:dyDescent="0.25">
      <c r="A248" s="9"/>
      <c r="B248" s="51" t="s">
        <v>76</v>
      </c>
      <c r="C248" s="52"/>
      <c r="D248" s="52"/>
      <c r="E248" s="52"/>
      <c r="F248" s="52"/>
      <c r="G248" s="53"/>
      <c r="H248" s="20"/>
      <c r="I248" s="9">
        <v>4</v>
      </c>
      <c r="J248" s="9"/>
      <c r="K248" s="9"/>
      <c r="L248" s="9"/>
      <c r="M248" s="9">
        <f t="shared" si="32"/>
        <v>27.2</v>
      </c>
      <c r="N248" s="9">
        <f t="shared" si="33"/>
        <v>10</v>
      </c>
      <c r="O248" s="9">
        <v>6.8</v>
      </c>
      <c r="P248" s="9">
        <v>2.5</v>
      </c>
      <c r="Q248" s="9" t="s">
        <v>5</v>
      </c>
      <c r="R248" s="1">
        <v>0</v>
      </c>
      <c r="S248" s="26"/>
    </row>
    <row r="249" spans="1:19" ht="16.5" customHeight="1" x14ac:dyDescent="0.25">
      <c r="A249" s="9"/>
      <c r="B249" s="51" t="s">
        <v>75</v>
      </c>
      <c r="C249" s="52"/>
      <c r="D249" s="52"/>
      <c r="E249" s="52"/>
      <c r="F249" s="52"/>
      <c r="G249" s="53"/>
      <c r="H249" s="20"/>
      <c r="I249" s="9">
        <v>1</v>
      </c>
      <c r="J249" s="9"/>
      <c r="K249" s="9"/>
      <c r="L249" s="9"/>
      <c r="M249" s="9">
        <f t="shared" si="32"/>
        <v>8.1</v>
      </c>
      <c r="N249" s="9">
        <f t="shared" si="33"/>
        <v>3.5</v>
      </c>
      <c r="O249" s="9">
        <v>8.1</v>
      </c>
      <c r="P249" s="9">
        <v>3.5</v>
      </c>
      <c r="Q249" s="9" t="s">
        <v>9</v>
      </c>
      <c r="R249" s="1">
        <v>0</v>
      </c>
      <c r="S249" s="26"/>
    </row>
    <row r="250" spans="1:19" ht="16.5" customHeight="1" x14ac:dyDescent="0.25">
      <c r="A250" s="9"/>
      <c r="B250" s="51" t="s">
        <v>77</v>
      </c>
      <c r="C250" s="52"/>
      <c r="D250" s="52"/>
      <c r="E250" s="52"/>
      <c r="F250" s="52"/>
      <c r="G250" s="53"/>
      <c r="H250" s="20"/>
      <c r="I250" s="9">
        <v>3</v>
      </c>
      <c r="J250" s="9"/>
      <c r="K250" s="9"/>
      <c r="L250" s="9"/>
      <c r="M250" s="9">
        <f t="shared" si="32"/>
        <v>23.700000000000003</v>
      </c>
      <c r="N250" s="9">
        <f t="shared" si="33"/>
        <v>9</v>
      </c>
      <c r="O250" s="9">
        <v>7.9</v>
      </c>
      <c r="P250" s="9">
        <v>3</v>
      </c>
      <c r="Q250" s="9" t="s">
        <v>6</v>
      </c>
      <c r="R250" s="1">
        <v>0</v>
      </c>
      <c r="S250" s="26"/>
    </row>
    <row r="251" spans="1:19" ht="16.5" hidden="1" customHeight="1" x14ac:dyDescent="0.25">
      <c r="A251" s="21"/>
      <c r="H251" s="21"/>
      <c r="I251" s="21"/>
      <c r="J251" s="21"/>
      <c r="K251" s="21"/>
      <c r="L251" s="21"/>
      <c r="M251" s="9">
        <f t="shared" si="32"/>
        <v>0</v>
      </c>
      <c r="N251" s="9">
        <f t="shared" si="33"/>
        <v>0</v>
      </c>
      <c r="O251" s="21"/>
      <c r="P251" s="21"/>
      <c r="Q251" s="21"/>
      <c r="S251" s="25"/>
    </row>
    <row r="252" spans="1:19" ht="16.5" customHeight="1" x14ac:dyDescent="0.25">
      <c r="A252" s="9"/>
      <c r="B252" s="39" t="s">
        <v>42</v>
      </c>
      <c r="C252" s="40"/>
      <c r="D252" s="40"/>
      <c r="E252" s="40"/>
      <c r="F252" s="40"/>
      <c r="G252" s="41"/>
      <c r="H252" s="23"/>
      <c r="I252" s="24">
        <f>SUM(I244:I251)</f>
        <v>19</v>
      </c>
      <c r="J252" s="9"/>
      <c r="K252" s="9"/>
      <c r="L252" s="9"/>
      <c r="M252" s="9">
        <f t="shared" si="32"/>
        <v>141.93</v>
      </c>
      <c r="N252" s="9">
        <f t="shared" si="33"/>
        <v>56.24</v>
      </c>
      <c r="O252" s="24">
        <f>ROUND(SUM(M244:M251)/I252,2)</f>
        <v>7.47</v>
      </c>
      <c r="P252" s="24">
        <f>ROUND(SUM(N244:N251)/I252,2)</f>
        <v>2.96</v>
      </c>
      <c r="Q252" s="9"/>
      <c r="S252" s="25"/>
    </row>
    <row r="253" spans="1:19" ht="20.25" customHeight="1" x14ac:dyDescent="0.25">
      <c r="A253" s="27" t="s">
        <v>78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</row>
    <row r="254" spans="1:19" ht="16.5" customHeight="1" x14ac:dyDescent="0.25">
      <c r="A254" s="9"/>
      <c r="B254" s="51" t="s">
        <v>79</v>
      </c>
      <c r="C254" s="52"/>
      <c r="D254" s="52"/>
      <c r="E254" s="52"/>
      <c r="F254" s="52"/>
      <c r="G254" s="53"/>
      <c r="H254" s="20"/>
      <c r="I254" s="9">
        <v>1</v>
      </c>
      <c r="J254" s="9"/>
      <c r="K254" s="9"/>
      <c r="L254" s="9"/>
      <c r="M254" s="9">
        <f>I254*O254</f>
        <v>9</v>
      </c>
      <c r="N254" s="9">
        <f>I254*P254</f>
        <v>4</v>
      </c>
      <c r="O254" s="9">
        <v>9</v>
      </c>
      <c r="P254" s="9">
        <v>4</v>
      </c>
      <c r="Q254" s="9" t="s">
        <v>12</v>
      </c>
      <c r="R254" s="1">
        <v>0</v>
      </c>
      <c r="S254" s="26"/>
    </row>
    <row r="255" spans="1:19" ht="16.5" customHeight="1" x14ac:dyDescent="0.25">
      <c r="A255" s="9"/>
      <c r="B255" s="51" t="s">
        <v>80</v>
      </c>
      <c r="C255" s="52"/>
      <c r="D255" s="52"/>
      <c r="E255" s="52"/>
      <c r="F255" s="52"/>
      <c r="G255" s="53"/>
      <c r="H255" s="20"/>
      <c r="I255" s="9">
        <v>3</v>
      </c>
      <c r="J255" s="9"/>
      <c r="K255" s="9"/>
      <c r="L255" s="9"/>
      <c r="M255" s="9">
        <f>I255*O255</f>
        <v>24.599999999999998</v>
      </c>
      <c r="N255" s="9">
        <f>I255*P255</f>
        <v>10.5</v>
      </c>
      <c r="O255" s="9">
        <v>8.1999999999999993</v>
      </c>
      <c r="P255" s="9">
        <v>3.5</v>
      </c>
      <c r="Q255" s="9" t="s">
        <v>9</v>
      </c>
      <c r="R255" s="1">
        <v>0</v>
      </c>
      <c r="S255" s="26"/>
    </row>
    <row r="256" spans="1:19" ht="16.5" customHeight="1" x14ac:dyDescent="0.25">
      <c r="A256" s="9"/>
      <c r="B256" s="51" t="s">
        <v>81</v>
      </c>
      <c r="C256" s="52"/>
      <c r="D256" s="52"/>
      <c r="E256" s="52"/>
      <c r="F256" s="52"/>
      <c r="G256" s="53"/>
      <c r="H256" s="20"/>
      <c r="I256" s="9">
        <v>3</v>
      </c>
      <c r="J256" s="9"/>
      <c r="K256" s="9"/>
      <c r="L256" s="9"/>
      <c r="M256" s="9">
        <f>I256*O256</f>
        <v>24.299999999999997</v>
      </c>
      <c r="N256" s="9">
        <f>I256*P256</f>
        <v>10.5</v>
      </c>
      <c r="O256" s="9">
        <v>8.1</v>
      </c>
      <c r="P256" s="9">
        <v>3.5</v>
      </c>
      <c r="Q256" s="9" t="s">
        <v>9</v>
      </c>
      <c r="R256" s="1">
        <v>0</v>
      </c>
      <c r="S256" s="26"/>
    </row>
    <row r="257" spans="1:19" ht="15" customHeight="1" x14ac:dyDescent="0.25">
      <c r="A257" s="36" t="s">
        <v>0</v>
      </c>
      <c r="B257" s="29" t="s">
        <v>1</v>
      </c>
      <c r="C257" s="30"/>
      <c r="D257" s="30"/>
      <c r="E257" s="30"/>
      <c r="F257" s="30"/>
      <c r="G257" s="31"/>
      <c r="H257" s="36" t="s">
        <v>32</v>
      </c>
      <c r="I257" s="36" t="s">
        <v>39</v>
      </c>
      <c r="J257" s="55" t="s">
        <v>2</v>
      </c>
      <c r="K257" s="56"/>
      <c r="L257" s="56"/>
      <c r="M257" s="56"/>
      <c r="N257" s="56"/>
      <c r="O257" s="56"/>
      <c r="P257" s="56"/>
      <c r="Q257" s="57"/>
      <c r="S257" s="36" t="s">
        <v>38</v>
      </c>
    </row>
    <row r="258" spans="1:19" ht="24" customHeight="1" x14ac:dyDescent="0.25">
      <c r="A258" s="37"/>
      <c r="B258" s="32"/>
      <c r="C258" s="33"/>
      <c r="D258" s="33"/>
      <c r="E258" s="33"/>
      <c r="F258" s="33"/>
      <c r="G258" s="34"/>
      <c r="H258" s="37"/>
      <c r="I258" s="37"/>
      <c r="J258" s="7" t="s">
        <v>28</v>
      </c>
      <c r="K258" s="7" t="s">
        <v>29</v>
      </c>
      <c r="L258" s="7" t="s">
        <v>30</v>
      </c>
      <c r="M258" s="7"/>
      <c r="N258" s="7"/>
      <c r="O258" s="6" t="s">
        <v>35</v>
      </c>
      <c r="P258" s="6" t="s">
        <v>36</v>
      </c>
      <c r="Q258" s="6" t="s">
        <v>37</v>
      </c>
      <c r="S258" s="37"/>
    </row>
    <row r="259" spans="1:19" ht="16.5" customHeight="1" x14ac:dyDescent="0.25">
      <c r="A259" s="9"/>
      <c r="B259" s="51" t="s">
        <v>82</v>
      </c>
      <c r="C259" s="52"/>
      <c r="D259" s="52"/>
      <c r="E259" s="52"/>
      <c r="F259" s="52"/>
      <c r="G259" s="53"/>
      <c r="H259" s="20"/>
      <c r="I259" s="9">
        <v>2</v>
      </c>
      <c r="J259" s="9"/>
      <c r="K259" s="9"/>
      <c r="L259" s="9"/>
      <c r="M259" s="9">
        <f t="shared" ref="M259:M266" si="34">I259*O259</f>
        <v>15.8</v>
      </c>
      <c r="N259" s="9">
        <f t="shared" ref="N259:N266" si="35">I259*P259</f>
        <v>6</v>
      </c>
      <c r="O259" s="9">
        <v>7.9</v>
      </c>
      <c r="P259" s="9">
        <v>3</v>
      </c>
      <c r="Q259" s="9" t="s">
        <v>6</v>
      </c>
      <c r="R259" s="1">
        <v>0</v>
      </c>
      <c r="S259" s="26"/>
    </row>
    <row r="260" spans="1:19" ht="16.5" customHeight="1" x14ac:dyDescent="0.25">
      <c r="A260" s="9"/>
      <c r="B260" s="51" t="s">
        <v>83</v>
      </c>
      <c r="C260" s="52"/>
      <c r="D260" s="52"/>
      <c r="E260" s="52"/>
      <c r="F260" s="52"/>
      <c r="G260" s="53"/>
      <c r="H260" s="20"/>
      <c r="I260" s="9">
        <v>2</v>
      </c>
      <c r="J260" s="9"/>
      <c r="K260" s="9"/>
      <c r="L260" s="9"/>
      <c r="M260" s="9">
        <f t="shared" si="34"/>
        <v>16.8</v>
      </c>
      <c r="N260" s="9">
        <f t="shared" si="35"/>
        <v>7</v>
      </c>
      <c r="O260" s="9">
        <v>8.4</v>
      </c>
      <c r="P260" s="9">
        <v>3.5</v>
      </c>
      <c r="Q260" s="9" t="s">
        <v>9</v>
      </c>
      <c r="R260" s="1">
        <v>0</v>
      </c>
      <c r="S260" s="26"/>
    </row>
    <row r="261" spans="1:19" ht="16.5" customHeight="1" x14ac:dyDescent="0.25">
      <c r="A261" s="9"/>
      <c r="B261" s="51" t="s">
        <v>84</v>
      </c>
      <c r="C261" s="52"/>
      <c r="D261" s="52"/>
      <c r="E261" s="52"/>
      <c r="F261" s="52"/>
      <c r="G261" s="53"/>
      <c r="H261" s="20"/>
      <c r="I261" s="9">
        <v>3</v>
      </c>
      <c r="J261" s="9"/>
      <c r="K261" s="9"/>
      <c r="L261" s="9"/>
      <c r="M261" s="9">
        <f t="shared" si="34"/>
        <v>25.200000000000003</v>
      </c>
      <c r="N261" s="9">
        <f t="shared" si="35"/>
        <v>10.5</v>
      </c>
      <c r="O261" s="9">
        <v>8.4</v>
      </c>
      <c r="P261" s="9">
        <v>3.5</v>
      </c>
      <c r="Q261" s="9" t="s">
        <v>9</v>
      </c>
      <c r="R261" s="1">
        <v>0</v>
      </c>
      <c r="S261" s="26"/>
    </row>
    <row r="262" spans="1:19" ht="16.5" customHeight="1" x14ac:dyDescent="0.25">
      <c r="A262" s="9"/>
      <c r="B262" s="51" t="s">
        <v>85</v>
      </c>
      <c r="C262" s="52"/>
      <c r="D262" s="52"/>
      <c r="E262" s="52"/>
      <c r="F262" s="52"/>
      <c r="G262" s="53"/>
      <c r="H262" s="20"/>
      <c r="I262" s="9">
        <v>2</v>
      </c>
      <c r="J262" s="9"/>
      <c r="K262" s="9"/>
      <c r="L262" s="9"/>
      <c r="M262" s="9">
        <f t="shared" si="34"/>
        <v>16.2</v>
      </c>
      <c r="N262" s="9">
        <f t="shared" si="35"/>
        <v>7</v>
      </c>
      <c r="O262" s="9">
        <v>8.1</v>
      </c>
      <c r="P262" s="9">
        <v>3.5</v>
      </c>
      <c r="Q262" s="9" t="s">
        <v>9</v>
      </c>
      <c r="R262" s="1">
        <v>0</v>
      </c>
      <c r="S262" s="26"/>
    </row>
    <row r="263" spans="1:19" ht="16.5" customHeight="1" x14ac:dyDescent="0.25">
      <c r="A263" s="9"/>
      <c r="B263" s="51" t="s">
        <v>86</v>
      </c>
      <c r="C263" s="52"/>
      <c r="D263" s="52"/>
      <c r="E263" s="52"/>
      <c r="F263" s="52"/>
      <c r="G263" s="53"/>
      <c r="H263" s="20"/>
      <c r="I263" s="9">
        <v>3</v>
      </c>
      <c r="J263" s="9"/>
      <c r="K263" s="9"/>
      <c r="L263" s="9"/>
      <c r="M263" s="9">
        <f t="shared" si="34"/>
        <v>27</v>
      </c>
      <c r="N263" s="9">
        <f t="shared" si="35"/>
        <v>12</v>
      </c>
      <c r="O263" s="9">
        <v>9</v>
      </c>
      <c r="P263" s="9">
        <v>4</v>
      </c>
      <c r="Q263" s="9" t="s">
        <v>12</v>
      </c>
      <c r="R263" s="1">
        <v>0</v>
      </c>
      <c r="S263" s="26"/>
    </row>
    <row r="264" spans="1:19" ht="16.5" customHeight="1" x14ac:dyDescent="0.25">
      <c r="A264" s="9"/>
      <c r="B264" s="51" t="s">
        <v>87</v>
      </c>
      <c r="C264" s="52"/>
      <c r="D264" s="52"/>
      <c r="E264" s="52"/>
      <c r="F264" s="52"/>
      <c r="G264" s="53"/>
      <c r="H264" s="20"/>
      <c r="I264" s="9">
        <v>3</v>
      </c>
      <c r="J264" s="9"/>
      <c r="K264" s="9"/>
      <c r="L264" s="9"/>
      <c r="M264" s="9">
        <f t="shared" si="34"/>
        <v>24.299999999999997</v>
      </c>
      <c r="N264" s="9">
        <f t="shared" si="35"/>
        <v>10.5</v>
      </c>
      <c r="O264" s="9">
        <v>8.1</v>
      </c>
      <c r="P264" s="9">
        <v>3.5</v>
      </c>
      <c r="Q264" s="9" t="s">
        <v>9</v>
      </c>
      <c r="R264" s="1">
        <v>0</v>
      </c>
      <c r="S264" s="26"/>
    </row>
    <row r="265" spans="1:19" ht="16.5" hidden="1" customHeight="1" x14ac:dyDescent="0.25">
      <c r="A265" s="21"/>
      <c r="H265" s="21"/>
      <c r="I265" s="21"/>
      <c r="J265" s="21"/>
      <c r="K265" s="21"/>
      <c r="L265" s="21"/>
      <c r="M265" s="9">
        <f t="shared" si="34"/>
        <v>0</v>
      </c>
      <c r="N265" s="9">
        <f t="shared" si="35"/>
        <v>0</v>
      </c>
      <c r="O265" s="21"/>
      <c r="P265" s="21"/>
      <c r="Q265" s="21"/>
      <c r="S265" s="25"/>
    </row>
    <row r="266" spans="1:19" ht="16.5" customHeight="1" x14ac:dyDescent="0.25">
      <c r="A266" s="9"/>
      <c r="B266" s="39" t="s">
        <v>42</v>
      </c>
      <c r="C266" s="40"/>
      <c r="D266" s="40"/>
      <c r="E266" s="40"/>
      <c r="F266" s="40"/>
      <c r="G266" s="41"/>
      <c r="H266" s="23"/>
      <c r="I266" s="24">
        <f>SUM(I254:I265)</f>
        <v>22</v>
      </c>
      <c r="J266" s="9"/>
      <c r="K266" s="9"/>
      <c r="L266" s="9"/>
      <c r="M266" s="9">
        <f t="shared" si="34"/>
        <v>183.26</v>
      </c>
      <c r="N266" s="9">
        <f t="shared" si="35"/>
        <v>78.099999999999994</v>
      </c>
      <c r="O266" s="24">
        <f>ROUND(SUM(M254:M265)/I266,2)</f>
        <v>8.33</v>
      </c>
      <c r="P266" s="24">
        <f>ROUND(SUM(N254:N265)/I266,2)</f>
        <v>3.55</v>
      </c>
      <c r="Q266" s="9"/>
      <c r="S266" s="25"/>
    </row>
    <row r="267" spans="1:19" ht="20.25" customHeight="1" x14ac:dyDescent="0.25">
      <c r="A267" s="27" t="s">
        <v>88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</row>
    <row r="268" spans="1:19" ht="16.5" customHeight="1" x14ac:dyDescent="0.25">
      <c r="A268" s="9"/>
      <c r="B268" s="51" t="s">
        <v>89</v>
      </c>
      <c r="C268" s="52"/>
      <c r="D268" s="52"/>
      <c r="E268" s="52"/>
      <c r="F268" s="52"/>
      <c r="G268" s="53"/>
      <c r="H268" s="20"/>
      <c r="I268" s="9">
        <v>2</v>
      </c>
      <c r="J268" s="9"/>
      <c r="K268" s="9"/>
      <c r="L268" s="9"/>
      <c r="M268" s="9">
        <f t="shared" ref="M268:M279" si="36">I268*O268</f>
        <v>17</v>
      </c>
      <c r="N268" s="9">
        <f t="shared" ref="N268:N279" si="37">I268*P268</f>
        <v>7.4</v>
      </c>
      <c r="O268" s="9">
        <v>8.5</v>
      </c>
      <c r="P268" s="9">
        <v>3.7</v>
      </c>
      <c r="Q268" s="9" t="s">
        <v>10</v>
      </c>
      <c r="R268" s="1">
        <v>0</v>
      </c>
      <c r="S268" s="26"/>
    </row>
    <row r="269" spans="1:19" ht="16.5" customHeight="1" x14ac:dyDescent="0.25">
      <c r="A269" s="9"/>
      <c r="B269" s="51" t="s">
        <v>90</v>
      </c>
      <c r="C269" s="52"/>
      <c r="D269" s="52"/>
      <c r="E269" s="52"/>
      <c r="F269" s="52"/>
      <c r="G269" s="53"/>
      <c r="H269" s="20"/>
      <c r="I269" s="9">
        <v>3</v>
      </c>
      <c r="J269" s="9"/>
      <c r="K269" s="9"/>
      <c r="L269" s="9"/>
      <c r="M269" s="9">
        <f t="shared" si="36"/>
        <v>26.400000000000002</v>
      </c>
      <c r="N269" s="9">
        <f t="shared" si="37"/>
        <v>11.100000000000001</v>
      </c>
      <c r="O269" s="9">
        <v>8.8000000000000007</v>
      </c>
      <c r="P269" s="9">
        <v>3.7</v>
      </c>
      <c r="Q269" s="9" t="s">
        <v>10</v>
      </c>
      <c r="R269" s="1">
        <v>0</v>
      </c>
      <c r="S269" s="26"/>
    </row>
    <row r="270" spans="1:19" ht="16.5" customHeight="1" x14ac:dyDescent="0.25">
      <c r="A270" s="9"/>
      <c r="B270" s="51" t="s">
        <v>91</v>
      </c>
      <c r="C270" s="52"/>
      <c r="D270" s="52"/>
      <c r="E270" s="52"/>
      <c r="F270" s="52"/>
      <c r="G270" s="53"/>
      <c r="H270" s="20"/>
      <c r="I270" s="9">
        <v>2</v>
      </c>
      <c r="J270" s="9"/>
      <c r="K270" s="9"/>
      <c r="L270" s="9"/>
      <c r="M270" s="9">
        <f t="shared" si="36"/>
        <v>16</v>
      </c>
      <c r="N270" s="9">
        <f t="shared" si="37"/>
        <v>7</v>
      </c>
      <c r="O270" s="9">
        <v>8</v>
      </c>
      <c r="P270" s="9">
        <v>3.5</v>
      </c>
      <c r="Q270" s="9" t="s">
        <v>9</v>
      </c>
      <c r="R270" s="1">
        <v>0</v>
      </c>
      <c r="S270" s="26"/>
    </row>
    <row r="271" spans="1:19" ht="16.5" customHeight="1" x14ac:dyDescent="0.25">
      <c r="A271" s="9"/>
      <c r="B271" s="51" t="s">
        <v>92</v>
      </c>
      <c r="C271" s="52"/>
      <c r="D271" s="52"/>
      <c r="E271" s="52"/>
      <c r="F271" s="52"/>
      <c r="G271" s="53"/>
      <c r="H271" s="20"/>
      <c r="I271" s="9">
        <v>3</v>
      </c>
      <c r="J271" s="9"/>
      <c r="K271" s="9"/>
      <c r="L271" s="9"/>
      <c r="M271" s="9">
        <f t="shared" si="36"/>
        <v>22.799999999999997</v>
      </c>
      <c r="N271" s="9">
        <f t="shared" si="37"/>
        <v>9</v>
      </c>
      <c r="O271" s="9">
        <v>7.6</v>
      </c>
      <c r="P271" s="9">
        <v>3</v>
      </c>
      <c r="Q271" s="9" t="s">
        <v>6</v>
      </c>
      <c r="R271" s="1">
        <v>0</v>
      </c>
      <c r="S271" s="26"/>
    </row>
    <row r="272" spans="1:19" ht="16.5" customHeight="1" x14ac:dyDescent="0.25">
      <c r="A272" s="9"/>
      <c r="B272" s="51" t="s">
        <v>93</v>
      </c>
      <c r="C272" s="52"/>
      <c r="D272" s="52"/>
      <c r="E272" s="52"/>
      <c r="F272" s="52"/>
      <c r="G272" s="53"/>
      <c r="H272" s="20"/>
      <c r="I272" s="9">
        <v>1</v>
      </c>
      <c r="J272" s="9"/>
      <c r="K272" s="9"/>
      <c r="L272" s="9"/>
      <c r="M272" s="9">
        <f t="shared" si="36"/>
        <v>9.1</v>
      </c>
      <c r="N272" s="9">
        <f t="shared" si="37"/>
        <v>4</v>
      </c>
      <c r="O272" s="9">
        <v>9.1</v>
      </c>
      <c r="P272" s="9">
        <v>4</v>
      </c>
      <c r="Q272" s="9" t="s">
        <v>12</v>
      </c>
      <c r="R272" s="1">
        <v>0</v>
      </c>
      <c r="S272" s="26"/>
    </row>
    <row r="273" spans="1:19" ht="16.5" customHeight="1" x14ac:dyDescent="0.25">
      <c r="A273" s="9"/>
      <c r="B273" s="51" t="s">
        <v>94</v>
      </c>
      <c r="C273" s="52"/>
      <c r="D273" s="52"/>
      <c r="E273" s="52"/>
      <c r="F273" s="52"/>
      <c r="G273" s="53"/>
      <c r="H273" s="20"/>
      <c r="I273" s="9">
        <v>1</v>
      </c>
      <c r="J273" s="9"/>
      <c r="K273" s="9"/>
      <c r="L273" s="9"/>
      <c r="M273" s="9">
        <f t="shared" si="36"/>
        <v>8.1999999999999993</v>
      </c>
      <c r="N273" s="9">
        <f t="shared" si="37"/>
        <v>3.5</v>
      </c>
      <c r="O273" s="9">
        <v>8.1999999999999993</v>
      </c>
      <c r="P273" s="9">
        <v>3.5</v>
      </c>
      <c r="Q273" s="9" t="s">
        <v>9</v>
      </c>
      <c r="R273" s="1">
        <v>0</v>
      </c>
      <c r="S273" s="26"/>
    </row>
    <row r="274" spans="1:19" ht="16.5" customHeight="1" x14ac:dyDescent="0.25">
      <c r="A274" s="9"/>
      <c r="B274" s="51" t="s">
        <v>95</v>
      </c>
      <c r="C274" s="52"/>
      <c r="D274" s="52"/>
      <c r="E274" s="52"/>
      <c r="F274" s="52"/>
      <c r="G274" s="53"/>
      <c r="H274" s="20"/>
      <c r="I274" s="9">
        <v>3</v>
      </c>
      <c r="J274" s="9"/>
      <c r="K274" s="9"/>
      <c r="L274" s="9"/>
      <c r="M274" s="9">
        <f t="shared" si="36"/>
        <v>25.200000000000003</v>
      </c>
      <c r="N274" s="9">
        <f t="shared" si="37"/>
        <v>10.5</v>
      </c>
      <c r="O274" s="9">
        <v>8.4</v>
      </c>
      <c r="P274" s="9">
        <v>3.5</v>
      </c>
      <c r="Q274" s="9" t="s">
        <v>9</v>
      </c>
      <c r="R274" s="1">
        <v>0</v>
      </c>
      <c r="S274" s="26"/>
    </row>
    <row r="275" spans="1:19" ht="16.5" customHeight="1" x14ac:dyDescent="0.25">
      <c r="A275" s="9"/>
      <c r="B275" s="51" t="s">
        <v>96</v>
      </c>
      <c r="C275" s="52"/>
      <c r="D275" s="52"/>
      <c r="E275" s="52"/>
      <c r="F275" s="52"/>
      <c r="G275" s="53"/>
      <c r="H275" s="20"/>
      <c r="I275" s="9">
        <v>3</v>
      </c>
      <c r="J275" s="9"/>
      <c r="K275" s="9"/>
      <c r="L275" s="9"/>
      <c r="M275" s="9">
        <f t="shared" si="36"/>
        <v>27.299999999999997</v>
      </c>
      <c r="N275" s="9">
        <f t="shared" si="37"/>
        <v>12</v>
      </c>
      <c r="O275" s="9">
        <v>9.1</v>
      </c>
      <c r="P275" s="9">
        <v>4</v>
      </c>
      <c r="Q275" s="9" t="s">
        <v>12</v>
      </c>
      <c r="R275" s="1">
        <v>0</v>
      </c>
      <c r="S275" s="26"/>
    </row>
    <row r="276" spans="1:19" ht="16.5" customHeight="1" x14ac:dyDescent="0.25">
      <c r="A276" s="9"/>
      <c r="B276" s="51" t="s">
        <v>97</v>
      </c>
      <c r="C276" s="52"/>
      <c r="D276" s="52"/>
      <c r="E276" s="52"/>
      <c r="F276" s="52"/>
      <c r="G276" s="53"/>
      <c r="H276" s="20"/>
      <c r="I276" s="9">
        <v>1</v>
      </c>
      <c r="J276" s="9"/>
      <c r="K276" s="9"/>
      <c r="L276" s="9"/>
      <c r="M276" s="9">
        <f t="shared" si="36"/>
        <v>8.5</v>
      </c>
      <c r="N276" s="9">
        <f t="shared" si="37"/>
        <v>3.7</v>
      </c>
      <c r="O276" s="9">
        <v>8.5</v>
      </c>
      <c r="P276" s="9">
        <v>3.7</v>
      </c>
      <c r="Q276" s="9" t="s">
        <v>10</v>
      </c>
      <c r="R276" s="1">
        <v>0</v>
      </c>
      <c r="S276" s="26"/>
    </row>
    <row r="277" spans="1:19" ht="16.5" customHeight="1" x14ac:dyDescent="0.25">
      <c r="A277" s="9"/>
      <c r="B277" s="51" t="s">
        <v>98</v>
      </c>
      <c r="C277" s="52"/>
      <c r="D277" s="52"/>
      <c r="E277" s="52"/>
      <c r="F277" s="52"/>
      <c r="G277" s="53"/>
      <c r="H277" s="20"/>
      <c r="I277" s="9">
        <v>3</v>
      </c>
      <c r="J277" s="9"/>
      <c r="K277" s="9"/>
      <c r="L277" s="9"/>
      <c r="M277" s="9">
        <f t="shared" si="36"/>
        <v>24</v>
      </c>
      <c r="N277" s="9">
        <f t="shared" si="37"/>
        <v>10.5</v>
      </c>
      <c r="O277" s="9">
        <v>8</v>
      </c>
      <c r="P277" s="9">
        <v>3.5</v>
      </c>
      <c r="Q277" s="9" t="s">
        <v>9</v>
      </c>
      <c r="R277" s="1">
        <v>0</v>
      </c>
      <c r="S277" s="26"/>
    </row>
    <row r="278" spans="1:19" ht="16.5" hidden="1" customHeight="1" x14ac:dyDescent="0.25">
      <c r="A278" s="21"/>
      <c r="H278" s="21"/>
      <c r="I278" s="21"/>
      <c r="J278" s="21"/>
      <c r="K278" s="21"/>
      <c r="L278" s="21"/>
      <c r="M278" s="9">
        <f t="shared" si="36"/>
        <v>0</v>
      </c>
      <c r="N278" s="9">
        <f t="shared" si="37"/>
        <v>0</v>
      </c>
      <c r="O278" s="21"/>
      <c r="P278" s="21"/>
      <c r="Q278" s="21"/>
      <c r="S278" s="25"/>
    </row>
    <row r="279" spans="1:19" ht="16.5" customHeight="1" x14ac:dyDescent="0.25">
      <c r="A279" s="9"/>
      <c r="B279" s="39" t="s">
        <v>42</v>
      </c>
      <c r="C279" s="40"/>
      <c r="D279" s="40"/>
      <c r="E279" s="40"/>
      <c r="F279" s="40"/>
      <c r="G279" s="41"/>
      <c r="H279" s="23"/>
      <c r="I279" s="24">
        <f>SUM(I268:I278)</f>
        <v>22</v>
      </c>
      <c r="J279" s="9"/>
      <c r="K279" s="9"/>
      <c r="L279" s="9"/>
      <c r="M279" s="9">
        <f t="shared" si="36"/>
        <v>184.58</v>
      </c>
      <c r="N279" s="9">
        <f t="shared" si="37"/>
        <v>78.760000000000005</v>
      </c>
      <c r="O279" s="24">
        <f>ROUND(SUM(M268:M278)/I279,2)</f>
        <v>8.39</v>
      </c>
      <c r="P279" s="24">
        <f>ROUND(SUM(N268:N278)/I279,2)</f>
        <v>3.58</v>
      </c>
      <c r="Q279" s="9"/>
      <c r="S279" s="25"/>
    </row>
    <row r="280" spans="1:19" ht="20.25" customHeight="1" x14ac:dyDescent="0.25">
      <c r="A280" s="27" t="s">
        <v>99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</row>
    <row r="281" spans="1:19" ht="16.5" customHeight="1" x14ac:dyDescent="0.25">
      <c r="A281" s="9"/>
      <c r="B281" s="51" t="s">
        <v>100</v>
      </c>
      <c r="C281" s="52"/>
      <c r="D281" s="52"/>
      <c r="E281" s="52"/>
      <c r="F281" s="52"/>
      <c r="G281" s="53"/>
      <c r="H281" s="20"/>
      <c r="I281" s="9">
        <v>2</v>
      </c>
      <c r="J281" s="9"/>
      <c r="K281" s="9"/>
      <c r="L281" s="9"/>
      <c r="M281" s="9">
        <f t="shared" ref="M281:M294" si="38">I281*O281</f>
        <v>16.8</v>
      </c>
      <c r="N281" s="9">
        <f t="shared" ref="N281:N294" si="39">I281*P281</f>
        <v>7</v>
      </c>
      <c r="O281" s="9">
        <v>8.4</v>
      </c>
      <c r="P281" s="9">
        <v>3.5</v>
      </c>
      <c r="Q281" s="9" t="s">
        <v>9</v>
      </c>
      <c r="R281" s="1">
        <v>0</v>
      </c>
      <c r="S281" s="26"/>
    </row>
    <row r="282" spans="1:19" ht="16.5" customHeight="1" x14ac:dyDescent="0.25">
      <c r="A282" s="9"/>
      <c r="B282" s="51" t="s">
        <v>101</v>
      </c>
      <c r="C282" s="52"/>
      <c r="D282" s="52"/>
      <c r="E282" s="52"/>
      <c r="F282" s="52"/>
      <c r="G282" s="53"/>
      <c r="H282" s="20"/>
      <c r="I282" s="9">
        <v>2</v>
      </c>
      <c r="J282" s="9"/>
      <c r="K282" s="9"/>
      <c r="L282" s="9"/>
      <c r="M282" s="9">
        <f t="shared" si="38"/>
        <v>16.399999999999999</v>
      </c>
      <c r="N282" s="9">
        <f t="shared" si="39"/>
        <v>7</v>
      </c>
      <c r="O282" s="9">
        <v>8.1999999999999993</v>
      </c>
      <c r="P282" s="9">
        <v>3.5</v>
      </c>
      <c r="Q282" s="9" t="s">
        <v>9</v>
      </c>
      <c r="R282" s="1">
        <v>0</v>
      </c>
      <c r="S282" s="26"/>
    </row>
    <row r="283" spans="1:19" ht="16.5" customHeight="1" x14ac:dyDescent="0.25">
      <c r="A283" s="9"/>
      <c r="B283" s="51" t="s">
        <v>102</v>
      </c>
      <c r="C283" s="52"/>
      <c r="D283" s="52"/>
      <c r="E283" s="52"/>
      <c r="F283" s="52"/>
      <c r="G283" s="53"/>
      <c r="H283" s="20"/>
      <c r="I283" s="9">
        <v>1</v>
      </c>
      <c r="J283" s="9"/>
      <c r="K283" s="9"/>
      <c r="L283" s="9"/>
      <c r="M283" s="9">
        <f t="shared" si="38"/>
        <v>8</v>
      </c>
      <c r="N283" s="9">
        <f t="shared" si="39"/>
        <v>3.5</v>
      </c>
      <c r="O283" s="9">
        <v>8</v>
      </c>
      <c r="P283" s="9">
        <v>3.5</v>
      </c>
      <c r="Q283" s="9" t="s">
        <v>9</v>
      </c>
      <c r="R283" s="1">
        <v>0</v>
      </c>
      <c r="S283" s="26"/>
    </row>
    <row r="284" spans="1:19" ht="16.5" customHeight="1" x14ac:dyDescent="0.25">
      <c r="A284" s="9"/>
      <c r="B284" s="51" t="s">
        <v>103</v>
      </c>
      <c r="C284" s="52"/>
      <c r="D284" s="52"/>
      <c r="E284" s="52"/>
      <c r="F284" s="52"/>
      <c r="G284" s="53"/>
      <c r="H284" s="20"/>
      <c r="I284" s="9">
        <v>2</v>
      </c>
      <c r="J284" s="9"/>
      <c r="K284" s="9"/>
      <c r="L284" s="9"/>
      <c r="M284" s="9">
        <f t="shared" si="38"/>
        <v>14.4</v>
      </c>
      <c r="N284" s="9">
        <f t="shared" si="39"/>
        <v>6</v>
      </c>
      <c r="O284" s="9">
        <v>7.2</v>
      </c>
      <c r="P284" s="9">
        <v>3</v>
      </c>
      <c r="Q284" s="9" t="s">
        <v>6</v>
      </c>
      <c r="R284" s="1">
        <v>0</v>
      </c>
      <c r="S284" s="26"/>
    </row>
    <row r="285" spans="1:19" ht="16.5" customHeight="1" x14ac:dyDescent="0.25">
      <c r="A285" s="9"/>
      <c r="B285" s="51" t="s">
        <v>104</v>
      </c>
      <c r="C285" s="52"/>
      <c r="D285" s="52"/>
      <c r="E285" s="52"/>
      <c r="F285" s="52"/>
      <c r="G285" s="53"/>
      <c r="H285" s="20"/>
      <c r="I285" s="9">
        <v>3</v>
      </c>
      <c r="J285" s="9"/>
      <c r="K285" s="9"/>
      <c r="L285" s="9"/>
      <c r="M285" s="9">
        <f t="shared" si="38"/>
        <v>25.5</v>
      </c>
      <c r="N285" s="9">
        <f t="shared" si="39"/>
        <v>11.100000000000001</v>
      </c>
      <c r="O285" s="9">
        <v>8.5</v>
      </c>
      <c r="P285" s="9">
        <v>3.7</v>
      </c>
      <c r="Q285" s="9" t="s">
        <v>10</v>
      </c>
      <c r="R285" s="1">
        <v>0</v>
      </c>
      <c r="S285" s="26"/>
    </row>
    <row r="286" spans="1:19" ht="16.5" customHeight="1" x14ac:dyDescent="0.25">
      <c r="A286" s="9"/>
      <c r="B286" s="51" t="s">
        <v>110</v>
      </c>
      <c r="C286" s="52"/>
      <c r="D286" s="52"/>
      <c r="E286" s="52"/>
      <c r="F286" s="52"/>
      <c r="G286" s="53"/>
      <c r="H286" s="20"/>
      <c r="I286" s="9">
        <v>1</v>
      </c>
      <c r="J286" s="9"/>
      <c r="K286" s="9"/>
      <c r="L286" s="9"/>
      <c r="M286" s="9">
        <f t="shared" si="38"/>
        <v>8.5</v>
      </c>
      <c r="N286" s="9">
        <f t="shared" si="39"/>
        <v>3.7</v>
      </c>
      <c r="O286" s="9">
        <v>8.5</v>
      </c>
      <c r="P286" s="9">
        <v>3.7</v>
      </c>
      <c r="Q286" s="9" t="s">
        <v>10</v>
      </c>
      <c r="R286" s="1">
        <v>0</v>
      </c>
      <c r="S286" s="26"/>
    </row>
    <row r="287" spans="1:19" ht="16.5" customHeight="1" x14ac:dyDescent="0.25">
      <c r="A287" s="9"/>
      <c r="B287" s="51" t="s">
        <v>106</v>
      </c>
      <c r="C287" s="52"/>
      <c r="D287" s="52"/>
      <c r="E287" s="52"/>
      <c r="F287" s="52"/>
      <c r="G287" s="53"/>
      <c r="H287" s="20"/>
      <c r="I287" s="9">
        <v>2</v>
      </c>
      <c r="J287" s="9"/>
      <c r="K287" s="9"/>
      <c r="L287" s="9"/>
      <c r="M287" s="9">
        <f t="shared" si="38"/>
        <v>16.600000000000001</v>
      </c>
      <c r="N287" s="9">
        <f t="shared" si="39"/>
        <v>7</v>
      </c>
      <c r="O287" s="9">
        <v>8.3000000000000007</v>
      </c>
      <c r="P287" s="9">
        <v>3.5</v>
      </c>
      <c r="Q287" s="9" t="s">
        <v>9</v>
      </c>
      <c r="R287" s="1">
        <v>0</v>
      </c>
      <c r="S287" s="26"/>
    </row>
    <row r="288" spans="1:19" ht="16.5" customHeight="1" x14ac:dyDescent="0.25">
      <c r="A288" s="9"/>
      <c r="B288" s="51" t="s">
        <v>107</v>
      </c>
      <c r="C288" s="52"/>
      <c r="D288" s="52"/>
      <c r="E288" s="52"/>
      <c r="F288" s="52"/>
      <c r="G288" s="53"/>
      <c r="H288" s="20"/>
      <c r="I288" s="9">
        <v>3</v>
      </c>
      <c r="J288" s="9"/>
      <c r="K288" s="9"/>
      <c r="L288" s="9"/>
      <c r="M288" s="9">
        <f t="shared" si="38"/>
        <v>25.799999999999997</v>
      </c>
      <c r="N288" s="9">
        <f t="shared" si="39"/>
        <v>11.100000000000001</v>
      </c>
      <c r="O288" s="9">
        <v>8.6</v>
      </c>
      <c r="P288" s="9">
        <v>3.7</v>
      </c>
      <c r="Q288" s="9" t="s">
        <v>10</v>
      </c>
      <c r="R288" s="1">
        <v>0</v>
      </c>
      <c r="S288" s="26"/>
    </row>
    <row r="289" spans="1:19" ht="16.5" customHeight="1" x14ac:dyDescent="0.25">
      <c r="A289" s="9"/>
      <c r="B289" s="51" t="s">
        <v>108</v>
      </c>
      <c r="C289" s="52"/>
      <c r="D289" s="52"/>
      <c r="E289" s="52"/>
      <c r="F289" s="52"/>
      <c r="G289" s="53"/>
      <c r="H289" s="20"/>
      <c r="I289" s="9">
        <v>1</v>
      </c>
      <c r="J289" s="9"/>
      <c r="K289" s="9"/>
      <c r="L289" s="9"/>
      <c r="M289" s="9">
        <f t="shared" si="38"/>
        <v>8</v>
      </c>
      <c r="N289" s="9">
        <f t="shared" si="39"/>
        <v>3.5</v>
      </c>
      <c r="O289" s="9">
        <v>8</v>
      </c>
      <c r="P289" s="9">
        <v>3.5</v>
      </c>
      <c r="Q289" s="9" t="s">
        <v>9</v>
      </c>
      <c r="R289" s="1">
        <v>0</v>
      </c>
      <c r="S289" s="26"/>
    </row>
    <row r="290" spans="1:19" ht="16.5" customHeight="1" x14ac:dyDescent="0.25">
      <c r="A290" s="9"/>
      <c r="B290" s="51" t="s">
        <v>111</v>
      </c>
      <c r="C290" s="52"/>
      <c r="D290" s="52"/>
      <c r="E290" s="52"/>
      <c r="F290" s="52"/>
      <c r="G290" s="53"/>
      <c r="H290" s="20"/>
      <c r="I290" s="9">
        <v>3</v>
      </c>
      <c r="J290" s="9"/>
      <c r="K290" s="9"/>
      <c r="L290" s="9"/>
      <c r="M290" s="9">
        <f t="shared" si="38"/>
        <v>24.900000000000002</v>
      </c>
      <c r="N290" s="9">
        <f t="shared" si="39"/>
        <v>10.5</v>
      </c>
      <c r="O290" s="9">
        <v>8.3000000000000007</v>
      </c>
      <c r="P290" s="9">
        <v>3.5</v>
      </c>
      <c r="Q290" s="9" t="s">
        <v>9</v>
      </c>
      <c r="R290" s="1">
        <v>0</v>
      </c>
      <c r="S290" s="26"/>
    </row>
    <row r="291" spans="1:19" ht="16.5" customHeight="1" x14ac:dyDescent="0.25">
      <c r="A291" s="9"/>
      <c r="B291" s="51" t="s">
        <v>105</v>
      </c>
      <c r="C291" s="52"/>
      <c r="D291" s="52"/>
      <c r="E291" s="52"/>
      <c r="F291" s="52"/>
      <c r="G291" s="53"/>
      <c r="H291" s="20"/>
      <c r="I291" s="9">
        <v>3</v>
      </c>
      <c r="J291" s="9"/>
      <c r="K291" s="9"/>
      <c r="L291" s="9"/>
      <c r="M291" s="9">
        <f t="shared" si="38"/>
        <v>25.799999999999997</v>
      </c>
      <c r="N291" s="9">
        <f t="shared" si="39"/>
        <v>11.100000000000001</v>
      </c>
      <c r="O291" s="9">
        <v>8.6</v>
      </c>
      <c r="P291" s="9">
        <v>3.7</v>
      </c>
      <c r="Q291" s="9" t="s">
        <v>10</v>
      </c>
      <c r="R291" s="1">
        <v>0</v>
      </c>
      <c r="S291" s="26"/>
    </row>
    <row r="292" spans="1:19" ht="16.5" customHeight="1" x14ac:dyDescent="0.25">
      <c r="A292" s="9"/>
      <c r="B292" s="51" t="s">
        <v>109</v>
      </c>
      <c r="C292" s="52"/>
      <c r="D292" s="52"/>
      <c r="E292" s="52"/>
      <c r="F292" s="52"/>
      <c r="G292" s="53"/>
      <c r="H292" s="20"/>
      <c r="I292" s="9">
        <v>2</v>
      </c>
      <c r="J292" s="9"/>
      <c r="K292" s="9"/>
      <c r="L292" s="9"/>
      <c r="M292" s="9">
        <f t="shared" si="38"/>
        <v>17.8</v>
      </c>
      <c r="N292" s="9">
        <f t="shared" si="39"/>
        <v>7.4</v>
      </c>
      <c r="O292" s="9">
        <v>8.9</v>
      </c>
      <c r="P292" s="9">
        <v>3.7</v>
      </c>
      <c r="Q292" s="9" t="s">
        <v>10</v>
      </c>
      <c r="R292" s="1">
        <v>0</v>
      </c>
      <c r="S292" s="26"/>
    </row>
    <row r="293" spans="1:19" ht="16.5" hidden="1" customHeight="1" x14ac:dyDescent="0.25">
      <c r="A293" s="21"/>
      <c r="H293" s="21"/>
      <c r="I293" s="21"/>
      <c r="J293" s="21"/>
      <c r="K293" s="21"/>
      <c r="L293" s="21"/>
      <c r="M293" s="9">
        <f t="shared" si="38"/>
        <v>0</v>
      </c>
      <c r="N293" s="9">
        <f t="shared" si="39"/>
        <v>0</v>
      </c>
      <c r="O293" s="21"/>
      <c r="P293" s="21"/>
      <c r="Q293" s="21"/>
      <c r="S293" s="25"/>
    </row>
    <row r="294" spans="1:19" ht="16.5" customHeight="1" x14ac:dyDescent="0.25">
      <c r="A294" s="9"/>
      <c r="B294" s="39" t="s">
        <v>42</v>
      </c>
      <c r="C294" s="40"/>
      <c r="D294" s="40"/>
      <c r="E294" s="40"/>
      <c r="F294" s="40"/>
      <c r="G294" s="41"/>
      <c r="H294" s="23"/>
      <c r="I294" s="24">
        <f>SUM(I281:I293)</f>
        <v>25</v>
      </c>
      <c r="J294" s="9"/>
      <c r="K294" s="9"/>
      <c r="L294" s="9"/>
      <c r="M294" s="9">
        <f t="shared" si="38"/>
        <v>208.5</v>
      </c>
      <c r="N294" s="9">
        <f t="shared" si="39"/>
        <v>89</v>
      </c>
      <c r="O294" s="24">
        <f>ROUND(SUM(M281:M293)/I294,2)</f>
        <v>8.34</v>
      </c>
      <c r="P294" s="24">
        <f>ROUND(SUM(N281:N293)/I294,2)</f>
        <v>3.56</v>
      </c>
      <c r="Q294" s="9"/>
      <c r="S294" s="25"/>
    </row>
    <row r="295" spans="1:19" ht="20.25" customHeight="1" x14ac:dyDescent="0.25">
      <c r="A295" s="27" t="s">
        <v>112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</row>
    <row r="296" spans="1:19" ht="16.5" customHeight="1" x14ac:dyDescent="0.25">
      <c r="A296" s="9"/>
      <c r="B296" s="51" t="s">
        <v>113</v>
      </c>
      <c r="C296" s="52"/>
      <c r="D296" s="52"/>
      <c r="E296" s="52"/>
      <c r="F296" s="52"/>
      <c r="G296" s="53"/>
      <c r="H296" s="20"/>
      <c r="I296" s="9">
        <v>2</v>
      </c>
      <c r="J296" s="9"/>
      <c r="K296" s="9"/>
      <c r="L296" s="9"/>
      <c r="M296" s="9">
        <f t="shared" ref="M296:M305" si="40">I296*O296</f>
        <v>0</v>
      </c>
      <c r="N296" s="9">
        <f t="shared" ref="N296:N305" si="41">I296*P296</f>
        <v>0</v>
      </c>
      <c r="O296" s="9"/>
      <c r="P296" s="9"/>
      <c r="Q296" s="9"/>
      <c r="R296" s="1">
        <v>0</v>
      </c>
      <c r="S296" s="26"/>
    </row>
    <row r="297" spans="1:19" ht="16.5" customHeight="1" x14ac:dyDescent="0.25">
      <c r="A297" s="9"/>
      <c r="B297" s="51" t="s">
        <v>114</v>
      </c>
      <c r="C297" s="52"/>
      <c r="D297" s="52"/>
      <c r="E297" s="52"/>
      <c r="F297" s="52"/>
      <c r="G297" s="53"/>
      <c r="H297" s="20"/>
      <c r="I297" s="9">
        <v>3</v>
      </c>
      <c r="J297" s="9"/>
      <c r="K297" s="9"/>
      <c r="L297" s="9"/>
      <c r="M297" s="9">
        <f t="shared" si="40"/>
        <v>26.400000000000002</v>
      </c>
      <c r="N297" s="9">
        <f t="shared" si="41"/>
        <v>11.100000000000001</v>
      </c>
      <c r="O297" s="9">
        <v>8.8000000000000007</v>
      </c>
      <c r="P297" s="9">
        <v>3.7</v>
      </c>
      <c r="Q297" s="9" t="s">
        <v>10</v>
      </c>
      <c r="R297" s="1">
        <v>0</v>
      </c>
      <c r="S297" s="26"/>
    </row>
    <row r="298" spans="1:19" ht="16.5" customHeight="1" x14ac:dyDescent="0.25">
      <c r="A298" s="9"/>
      <c r="B298" s="51" t="s">
        <v>133</v>
      </c>
      <c r="C298" s="52"/>
      <c r="D298" s="52"/>
      <c r="E298" s="52"/>
      <c r="F298" s="52"/>
      <c r="G298" s="53"/>
      <c r="H298" s="20"/>
      <c r="I298" s="9">
        <v>3</v>
      </c>
      <c r="J298" s="9"/>
      <c r="K298" s="9"/>
      <c r="L298" s="9"/>
      <c r="M298" s="9">
        <f t="shared" si="40"/>
        <v>23.700000000000003</v>
      </c>
      <c r="N298" s="9">
        <f t="shared" si="41"/>
        <v>9</v>
      </c>
      <c r="O298" s="9">
        <v>7.9</v>
      </c>
      <c r="P298" s="9">
        <v>3</v>
      </c>
      <c r="Q298" s="9" t="s">
        <v>6</v>
      </c>
      <c r="R298" s="1">
        <v>0</v>
      </c>
      <c r="S298" s="26"/>
    </row>
    <row r="299" spans="1:19" ht="16.5" customHeight="1" x14ac:dyDescent="0.25">
      <c r="A299" s="9"/>
      <c r="B299" s="51" t="s">
        <v>115</v>
      </c>
      <c r="C299" s="52"/>
      <c r="D299" s="52"/>
      <c r="E299" s="52"/>
      <c r="F299" s="52"/>
      <c r="G299" s="53"/>
      <c r="H299" s="20"/>
      <c r="I299" s="9">
        <v>1</v>
      </c>
      <c r="J299" s="9"/>
      <c r="K299" s="9"/>
      <c r="L299" s="9"/>
      <c r="M299" s="9">
        <f t="shared" si="40"/>
        <v>7.5</v>
      </c>
      <c r="N299" s="9">
        <f t="shared" si="41"/>
        <v>3</v>
      </c>
      <c r="O299" s="9">
        <v>7.5</v>
      </c>
      <c r="P299" s="9">
        <v>3</v>
      </c>
      <c r="Q299" s="9" t="s">
        <v>6</v>
      </c>
      <c r="R299" s="1">
        <v>0</v>
      </c>
      <c r="S299" s="26"/>
    </row>
    <row r="300" spans="1:19" ht="16.5" customHeight="1" x14ac:dyDescent="0.25">
      <c r="A300" s="9"/>
      <c r="B300" s="51" t="s">
        <v>116</v>
      </c>
      <c r="C300" s="52"/>
      <c r="D300" s="52"/>
      <c r="E300" s="52"/>
      <c r="F300" s="52"/>
      <c r="G300" s="53"/>
      <c r="H300" s="20"/>
      <c r="I300" s="9">
        <v>3</v>
      </c>
      <c r="J300" s="9"/>
      <c r="K300" s="9"/>
      <c r="L300" s="9"/>
      <c r="M300" s="9">
        <f t="shared" si="40"/>
        <v>24.599999999999998</v>
      </c>
      <c r="N300" s="9">
        <f t="shared" si="41"/>
        <v>10.5</v>
      </c>
      <c r="O300" s="9">
        <v>8.1999999999999993</v>
      </c>
      <c r="P300" s="9">
        <v>3.5</v>
      </c>
      <c r="Q300" s="9" t="s">
        <v>9</v>
      </c>
      <c r="R300" s="1">
        <v>0</v>
      </c>
      <c r="S300" s="26"/>
    </row>
    <row r="301" spans="1:19" ht="16.5" customHeight="1" x14ac:dyDescent="0.25">
      <c r="A301" s="9"/>
      <c r="B301" s="51" t="s">
        <v>117</v>
      </c>
      <c r="C301" s="52"/>
      <c r="D301" s="52"/>
      <c r="E301" s="52"/>
      <c r="F301" s="52"/>
      <c r="G301" s="53"/>
      <c r="H301" s="20"/>
      <c r="I301" s="9">
        <v>3</v>
      </c>
      <c r="J301" s="9"/>
      <c r="K301" s="9"/>
      <c r="L301" s="9"/>
      <c r="M301" s="9">
        <f t="shared" si="40"/>
        <v>19.5</v>
      </c>
      <c r="N301" s="9">
        <f t="shared" si="41"/>
        <v>7.5</v>
      </c>
      <c r="O301" s="9">
        <v>6.5</v>
      </c>
      <c r="P301" s="9">
        <v>2.5</v>
      </c>
      <c r="Q301" s="9" t="s">
        <v>5</v>
      </c>
      <c r="R301" s="1">
        <v>0</v>
      </c>
      <c r="S301" s="26"/>
    </row>
    <row r="302" spans="1:19" ht="16.5" customHeight="1" x14ac:dyDescent="0.25">
      <c r="A302" s="9"/>
      <c r="B302" s="51" t="s">
        <v>118</v>
      </c>
      <c r="C302" s="52"/>
      <c r="D302" s="52"/>
      <c r="E302" s="52"/>
      <c r="F302" s="52"/>
      <c r="G302" s="53"/>
      <c r="H302" s="20"/>
      <c r="I302" s="9">
        <v>3</v>
      </c>
      <c r="J302" s="9"/>
      <c r="K302" s="9"/>
      <c r="L302" s="9"/>
      <c r="M302" s="9">
        <f t="shared" si="40"/>
        <v>25.200000000000003</v>
      </c>
      <c r="N302" s="9">
        <f t="shared" si="41"/>
        <v>10.5</v>
      </c>
      <c r="O302" s="9">
        <v>8.4</v>
      </c>
      <c r="P302" s="9">
        <v>3.5</v>
      </c>
      <c r="Q302" s="9" t="s">
        <v>9</v>
      </c>
      <c r="R302" s="1">
        <v>0</v>
      </c>
      <c r="S302" s="26"/>
    </row>
    <row r="303" spans="1:19" ht="31.2" customHeight="1" x14ac:dyDescent="0.25">
      <c r="A303" s="9"/>
      <c r="B303" s="51" t="s">
        <v>119</v>
      </c>
      <c r="C303" s="52"/>
      <c r="D303" s="52"/>
      <c r="E303" s="52"/>
      <c r="F303" s="52"/>
      <c r="G303" s="53"/>
      <c r="H303" s="20"/>
      <c r="I303" s="9">
        <v>2</v>
      </c>
      <c r="J303" s="9"/>
      <c r="K303" s="9"/>
      <c r="L303" s="9"/>
      <c r="M303" s="9">
        <f t="shared" si="40"/>
        <v>0</v>
      </c>
      <c r="N303" s="9">
        <f t="shared" si="41"/>
        <v>0</v>
      </c>
      <c r="O303" s="9"/>
      <c r="P303" s="9"/>
      <c r="Q303" s="9"/>
      <c r="R303" s="1">
        <v>0</v>
      </c>
      <c r="S303" s="26"/>
    </row>
    <row r="304" spans="1:19" ht="16.5" hidden="1" customHeight="1" x14ac:dyDescent="0.25">
      <c r="A304" s="21"/>
      <c r="H304" s="21"/>
      <c r="I304" s="21"/>
      <c r="J304" s="21"/>
      <c r="K304" s="21"/>
      <c r="L304" s="21"/>
      <c r="M304" s="9">
        <f t="shared" si="40"/>
        <v>0</v>
      </c>
      <c r="N304" s="9">
        <f t="shared" si="41"/>
        <v>0</v>
      </c>
      <c r="O304" s="21"/>
      <c r="P304" s="21"/>
      <c r="Q304" s="21"/>
      <c r="S304" s="25"/>
    </row>
    <row r="305" spans="1:19" ht="16.5" customHeight="1" x14ac:dyDescent="0.25">
      <c r="A305" s="9"/>
      <c r="B305" s="39" t="s">
        <v>42</v>
      </c>
      <c r="C305" s="40"/>
      <c r="D305" s="40"/>
      <c r="E305" s="40"/>
      <c r="F305" s="40"/>
      <c r="G305" s="41"/>
      <c r="H305" s="23"/>
      <c r="I305" s="24">
        <f>SUM(I296:I304)</f>
        <v>20</v>
      </c>
      <c r="J305" s="9"/>
      <c r="K305" s="9"/>
      <c r="L305" s="9"/>
      <c r="M305" s="9">
        <f t="shared" si="40"/>
        <v>127</v>
      </c>
      <c r="N305" s="9">
        <f t="shared" si="41"/>
        <v>51.6</v>
      </c>
      <c r="O305" s="24">
        <f>ROUND(SUM(M296:M304)/I305,2)</f>
        <v>6.35</v>
      </c>
      <c r="P305" s="24">
        <f>ROUND(SUM(N296:N304)/I305,2)</f>
        <v>2.58</v>
      </c>
      <c r="Q305" s="9"/>
      <c r="S305" s="25"/>
    </row>
    <row r="306" spans="1:19" ht="16.5" customHeight="1" x14ac:dyDescent="0.25">
      <c r="A306" s="21"/>
      <c r="B306" s="22"/>
      <c r="C306" s="22"/>
      <c r="D306" s="22"/>
      <c r="E306" s="22"/>
      <c r="F306" s="22"/>
      <c r="G306" s="22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8" spans="1:19" ht="18" x14ac:dyDescent="0.25">
      <c r="A308" s="35" t="s">
        <v>128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</row>
    <row r="309" spans="1:19" ht="18" x14ac:dyDescent="0.25">
      <c r="A309" s="35" t="s">
        <v>129</v>
      </c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</row>
    <row r="310" spans="1:19" ht="18" x14ac:dyDescent="0.25">
      <c r="A310" s="35" t="s">
        <v>130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</row>
    <row r="311" spans="1:19" ht="18" x14ac:dyDescent="0.25">
      <c r="A311" s="45" t="s">
        <v>53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</row>
    <row r="312" spans="1:19" ht="19.5" customHeight="1" x14ac:dyDescent="0.25">
      <c r="A312" s="17"/>
      <c r="B312" s="17"/>
      <c r="C312" s="8"/>
      <c r="D312" s="18"/>
      <c r="E312" s="10"/>
      <c r="F312" s="11"/>
      <c r="G312" s="46" t="s">
        <v>49</v>
      </c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</row>
    <row r="313" spans="1:19" ht="31.5" customHeight="1" x14ac:dyDescent="0.3">
      <c r="A313" s="8"/>
      <c r="B313" s="8"/>
      <c r="C313" s="8"/>
      <c r="D313" s="8"/>
      <c r="E313" s="8"/>
      <c r="F313" s="8"/>
      <c r="G313" s="8"/>
      <c r="H313" s="12"/>
      <c r="I313" s="42" t="s">
        <v>40</v>
      </c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spans="1:19" ht="16.8" x14ac:dyDescent="0.3">
      <c r="A314" s="8"/>
      <c r="B314" s="8"/>
      <c r="C314" s="8"/>
      <c r="D314" s="8"/>
      <c r="E314" s="8"/>
      <c r="F314" s="8"/>
      <c r="G314" s="8"/>
      <c r="H314" s="12"/>
      <c r="I314" s="12"/>
      <c r="J314" s="12"/>
      <c r="K314" s="12"/>
      <c r="L314" s="8"/>
      <c r="M314" s="8"/>
      <c r="N314" s="8"/>
      <c r="O314" s="8"/>
      <c r="P314" s="8"/>
      <c r="Q314" s="8"/>
    </row>
    <row r="315" spans="1:19" ht="33" customHeight="1" x14ac:dyDescent="0.3">
      <c r="A315" s="8"/>
      <c r="B315" s="8"/>
      <c r="C315" s="8"/>
      <c r="D315" s="8"/>
      <c r="E315" s="8"/>
      <c r="F315" s="8"/>
      <c r="G315" s="8"/>
      <c r="H315" s="12"/>
      <c r="I315" s="12"/>
      <c r="J315" s="12"/>
      <c r="K315" s="12"/>
      <c r="L315" s="8"/>
      <c r="M315" s="8"/>
      <c r="N315" s="8"/>
      <c r="O315" s="8"/>
      <c r="P315" s="8"/>
      <c r="Q315" s="8"/>
    </row>
    <row r="316" spans="1:19" ht="11.25" customHeight="1" x14ac:dyDescent="0.3">
      <c r="A316" s="8"/>
      <c r="B316" s="8"/>
      <c r="C316" s="8"/>
      <c r="D316" s="8"/>
      <c r="E316" s="8"/>
      <c r="F316" s="8"/>
      <c r="G316" s="8"/>
      <c r="H316" s="12"/>
      <c r="I316" s="12"/>
      <c r="J316" s="12"/>
      <c r="K316" s="12"/>
      <c r="L316" s="8"/>
      <c r="M316" s="8"/>
      <c r="N316" s="8"/>
      <c r="O316" s="8"/>
      <c r="P316" s="8"/>
      <c r="Q316" s="8"/>
    </row>
    <row r="317" spans="1:19" ht="17.399999999999999" x14ac:dyDescent="0.3">
      <c r="A317" s="8"/>
      <c r="B317" s="8"/>
      <c r="C317" s="8"/>
      <c r="D317" s="8"/>
      <c r="E317" s="8"/>
      <c r="F317" s="8"/>
      <c r="G317" s="47" t="s">
        <v>41</v>
      </c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</row>
    <row r="318" spans="1:19" ht="54" customHeight="1" x14ac:dyDescent="0.25">
      <c r="A318" s="48" t="s">
        <v>33</v>
      </c>
      <c r="B318" s="48"/>
      <c r="C318" s="48"/>
      <c r="D318" s="48"/>
      <c r="E318" s="48"/>
      <c r="F318" s="42" t="s">
        <v>24</v>
      </c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</row>
    <row r="319" spans="1:19" ht="17.399999999999999" x14ac:dyDescent="0.25">
      <c r="A319" s="49" t="s">
        <v>34</v>
      </c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</row>
    <row r="320" spans="1:19" ht="4.5" customHeight="1" x14ac:dyDescent="0.2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20" ht="5.25" customHeight="1" x14ac:dyDescent="0.2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</row>
    <row r="322" spans="1:20" ht="16.5" customHeight="1" x14ac:dyDescent="0.25">
      <c r="A322" s="54" t="s">
        <v>134</v>
      </c>
      <c r="B322" s="54"/>
      <c r="C322" s="54"/>
      <c r="D322" s="54"/>
      <c r="E322" s="54"/>
      <c r="F322" s="54"/>
      <c r="G322" s="58" t="s">
        <v>135</v>
      </c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</row>
    <row r="323" spans="1:20" ht="16.5" customHeight="1" x14ac:dyDescent="0.25">
      <c r="A323" s="54" t="s">
        <v>136</v>
      </c>
      <c r="B323" s="54"/>
      <c r="C323" s="54"/>
      <c r="D323" s="54"/>
      <c r="E323" s="54"/>
      <c r="F323" s="54"/>
      <c r="G323" s="8" t="s">
        <v>46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T323" s="2"/>
    </row>
    <row r="324" spans="1:20" ht="16.5" customHeight="1" x14ac:dyDescent="0.25">
      <c r="A324" s="54" t="s">
        <v>47</v>
      </c>
      <c r="B324" s="54"/>
      <c r="C324" s="54"/>
      <c r="D324" s="54"/>
      <c r="E324" s="54"/>
      <c r="F324" s="54"/>
      <c r="G324" s="58" t="s">
        <v>48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</row>
    <row r="325" spans="1:20" ht="5.2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19"/>
      <c r="K325" s="19"/>
      <c r="L325" s="19"/>
      <c r="M325" s="19"/>
      <c r="N325" s="19"/>
      <c r="O325" s="19"/>
      <c r="P325" s="19"/>
      <c r="Q325" s="19"/>
    </row>
    <row r="326" spans="1:20" ht="15" customHeight="1" x14ac:dyDescent="0.25">
      <c r="A326" s="36" t="s">
        <v>0</v>
      </c>
      <c r="B326" s="29" t="s">
        <v>1</v>
      </c>
      <c r="C326" s="30"/>
      <c r="D326" s="30"/>
      <c r="E326" s="30"/>
      <c r="F326" s="30"/>
      <c r="G326" s="31"/>
      <c r="H326" s="36" t="s">
        <v>32</v>
      </c>
      <c r="I326" s="36" t="s">
        <v>39</v>
      </c>
      <c r="J326" s="55" t="s">
        <v>2</v>
      </c>
      <c r="K326" s="56"/>
      <c r="L326" s="56"/>
      <c r="M326" s="56"/>
      <c r="N326" s="56"/>
      <c r="O326" s="56"/>
      <c r="P326" s="56"/>
      <c r="Q326" s="57"/>
      <c r="S326" s="36" t="s">
        <v>38</v>
      </c>
    </row>
    <row r="327" spans="1:20" ht="24" customHeight="1" x14ac:dyDescent="0.25">
      <c r="A327" s="37"/>
      <c r="B327" s="32"/>
      <c r="C327" s="33"/>
      <c r="D327" s="33"/>
      <c r="E327" s="33"/>
      <c r="F327" s="33"/>
      <c r="G327" s="34"/>
      <c r="H327" s="37"/>
      <c r="I327" s="37"/>
      <c r="J327" s="7" t="s">
        <v>28</v>
      </c>
      <c r="K327" s="7" t="s">
        <v>29</v>
      </c>
      <c r="L327" s="7" t="s">
        <v>30</v>
      </c>
      <c r="M327" s="7"/>
      <c r="N327" s="7"/>
      <c r="O327" s="6" t="s">
        <v>35</v>
      </c>
      <c r="P327" s="6" t="s">
        <v>36</v>
      </c>
      <c r="Q327" s="6" t="s">
        <v>37</v>
      </c>
      <c r="S327" s="37"/>
    </row>
    <row r="328" spans="1:20" ht="20.25" customHeight="1" x14ac:dyDescent="0.25">
      <c r="A328" s="27" t="s">
        <v>54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</row>
    <row r="329" spans="1:20" ht="16.5" customHeight="1" x14ac:dyDescent="0.25">
      <c r="A329" s="9"/>
      <c r="B329" s="51" t="s">
        <v>61</v>
      </c>
      <c r="C329" s="52"/>
      <c r="D329" s="52"/>
      <c r="E329" s="52"/>
      <c r="F329" s="52"/>
      <c r="G329" s="53"/>
      <c r="H329" s="20"/>
      <c r="I329" s="9">
        <v>1</v>
      </c>
      <c r="J329" s="9"/>
      <c r="K329" s="9"/>
      <c r="L329" s="9"/>
      <c r="M329" s="9">
        <f t="shared" ref="M329:M337" si="42">I329*O329</f>
        <v>6</v>
      </c>
      <c r="N329" s="9">
        <f t="shared" ref="N329:N337" si="43">I329*P329</f>
        <v>2</v>
      </c>
      <c r="O329" s="9">
        <v>6</v>
      </c>
      <c r="P329" s="9">
        <v>2</v>
      </c>
      <c r="Q329" s="9" t="s">
        <v>3</v>
      </c>
      <c r="R329" s="1">
        <v>0</v>
      </c>
      <c r="S329" s="26"/>
    </row>
    <row r="330" spans="1:20" ht="16.5" customHeight="1" x14ac:dyDescent="0.25">
      <c r="A330" s="9"/>
      <c r="B330" s="51" t="s">
        <v>56</v>
      </c>
      <c r="C330" s="52"/>
      <c r="D330" s="52"/>
      <c r="E330" s="52"/>
      <c r="F330" s="52"/>
      <c r="G330" s="53"/>
      <c r="H330" s="20"/>
      <c r="I330" s="9">
        <v>3</v>
      </c>
      <c r="J330" s="9"/>
      <c r="K330" s="9"/>
      <c r="L330" s="9"/>
      <c r="M330" s="9">
        <f t="shared" si="42"/>
        <v>17.700000000000003</v>
      </c>
      <c r="N330" s="9">
        <f t="shared" si="43"/>
        <v>6</v>
      </c>
      <c r="O330" s="9">
        <v>5.9</v>
      </c>
      <c r="P330" s="9">
        <v>2</v>
      </c>
      <c r="Q330" s="9" t="s">
        <v>3</v>
      </c>
      <c r="R330" s="1">
        <v>0</v>
      </c>
      <c r="S330" s="26"/>
    </row>
    <row r="331" spans="1:20" ht="31.2" customHeight="1" x14ac:dyDescent="0.25">
      <c r="A331" s="9"/>
      <c r="B331" s="51" t="s">
        <v>57</v>
      </c>
      <c r="C331" s="52"/>
      <c r="D331" s="52"/>
      <c r="E331" s="52"/>
      <c r="F331" s="52"/>
      <c r="G331" s="53"/>
      <c r="H331" s="20"/>
      <c r="I331" s="9">
        <v>3</v>
      </c>
      <c r="J331" s="9"/>
      <c r="K331" s="9"/>
      <c r="L331" s="9"/>
      <c r="M331" s="9">
        <f t="shared" si="42"/>
        <v>23.700000000000003</v>
      </c>
      <c r="N331" s="9">
        <f t="shared" si="43"/>
        <v>9</v>
      </c>
      <c r="O331" s="9">
        <v>7.9</v>
      </c>
      <c r="P331" s="9">
        <v>3</v>
      </c>
      <c r="Q331" s="9" t="s">
        <v>6</v>
      </c>
      <c r="R331" s="1">
        <v>0</v>
      </c>
      <c r="S331" s="26"/>
    </row>
    <row r="332" spans="1:20" ht="16.5" customHeight="1" x14ac:dyDescent="0.25">
      <c r="A332" s="9"/>
      <c r="B332" s="51" t="s">
        <v>58</v>
      </c>
      <c r="C332" s="52"/>
      <c r="D332" s="52"/>
      <c r="E332" s="52"/>
      <c r="F332" s="52"/>
      <c r="G332" s="53"/>
      <c r="H332" s="20"/>
      <c r="I332" s="9">
        <v>1</v>
      </c>
      <c r="J332" s="9"/>
      <c r="K332" s="9"/>
      <c r="L332" s="9"/>
      <c r="M332" s="9">
        <f t="shared" si="42"/>
        <v>7.7</v>
      </c>
      <c r="N332" s="9">
        <f t="shared" si="43"/>
        <v>3</v>
      </c>
      <c r="O332" s="9">
        <v>7.7</v>
      </c>
      <c r="P332" s="9">
        <v>3</v>
      </c>
      <c r="Q332" s="9" t="s">
        <v>6</v>
      </c>
      <c r="R332" s="1">
        <v>0</v>
      </c>
      <c r="S332" s="26"/>
    </row>
    <row r="333" spans="1:20" ht="16.5" customHeight="1" x14ac:dyDescent="0.25">
      <c r="A333" s="9"/>
      <c r="B333" s="51" t="s">
        <v>59</v>
      </c>
      <c r="C333" s="52"/>
      <c r="D333" s="52"/>
      <c r="E333" s="52"/>
      <c r="F333" s="52"/>
      <c r="G333" s="53"/>
      <c r="H333" s="20"/>
      <c r="I333" s="9">
        <v>1</v>
      </c>
      <c r="J333" s="9"/>
      <c r="K333" s="9"/>
      <c r="L333" s="9"/>
      <c r="M333" s="9">
        <f t="shared" si="42"/>
        <v>7</v>
      </c>
      <c r="N333" s="9">
        <f t="shared" si="43"/>
        <v>3</v>
      </c>
      <c r="O333" s="9">
        <v>7</v>
      </c>
      <c r="P333" s="9">
        <v>3</v>
      </c>
      <c r="Q333" s="9" t="s">
        <v>6</v>
      </c>
      <c r="R333" s="1">
        <v>0</v>
      </c>
      <c r="S333" s="26"/>
    </row>
    <row r="334" spans="1:20" ht="16.5" customHeight="1" x14ac:dyDescent="0.25">
      <c r="A334" s="9"/>
      <c r="B334" s="51" t="s">
        <v>60</v>
      </c>
      <c r="C334" s="52"/>
      <c r="D334" s="52"/>
      <c r="E334" s="52"/>
      <c r="F334" s="52"/>
      <c r="G334" s="53"/>
      <c r="H334" s="20"/>
      <c r="I334" s="9">
        <v>3</v>
      </c>
      <c r="J334" s="9"/>
      <c r="K334" s="9"/>
      <c r="L334" s="9"/>
      <c r="M334" s="9">
        <f t="shared" si="42"/>
        <v>22.799999999999997</v>
      </c>
      <c r="N334" s="9">
        <f t="shared" si="43"/>
        <v>9</v>
      </c>
      <c r="O334" s="9">
        <v>7.6</v>
      </c>
      <c r="P334" s="9">
        <v>3</v>
      </c>
      <c r="Q334" s="9" t="s">
        <v>6</v>
      </c>
      <c r="R334" s="1">
        <v>0</v>
      </c>
      <c r="S334" s="26"/>
    </row>
    <row r="335" spans="1:20" ht="16.5" customHeight="1" x14ac:dyDescent="0.25">
      <c r="A335" s="9"/>
      <c r="B335" s="51" t="s">
        <v>55</v>
      </c>
      <c r="C335" s="52"/>
      <c r="D335" s="52"/>
      <c r="E335" s="52"/>
      <c r="F335" s="52"/>
      <c r="G335" s="53"/>
      <c r="H335" s="20"/>
      <c r="I335" s="9">
        <v>2</v>
      </c>
      <c r="J335" s="9"/>
      <c r="K335" s="9"/>
      <c r="L335" s="9"/>
      <c r="M335" s="9">
        <f t="shared" si="42"/>
        <v>13.6</v>
      </c>
      <c r="N335" s="9">
        <f t="shared" si="43"/>
        <v>5</v>
      </c>
      <c r="O335" s="9">
        <v>6.8</v>
      </c>
      <c r="P335" s="9">
        <v>2.5</v>
      </c>
      <c r="Q335" s="9" t="s">
        <v>5</v>
      </c>
      <c r="R335" s="1">
        <v>0</v>
      </c>
      <c r="S335" s="26"/>
    </row>
    <row r="336" spans="1:20" ht="16.5" hidden="1" customHeight="1" x14ac:dyDescent="0.25">
      <c r="A336" s="21"/>
      <c r="H336" s="21"/>
      <c r="I336" s="21"/>
      <c r="J336" s="21"/>
      <c r="K336" s="21"/>
      <c r="L336" s="21"/>
      <c r="M336" s="9">
        <f t="shared" si="42"/>
        <v>0</v>
      </c>
      <c r="N336" s="9">
        <f t="shared" si="43"/>
        <v>0</v>
      </c>
      <c r="O336" s="21"/>
      <c r="P336" s="21"/>
      <c r="Q336" s="21"/>
      <c r="S336" s="25"/>
    </row>
    <row r="337" spans="1:19" ht="16.5" customHeight="1" x14ac:dyDescent="0.25">
      <c r="A337" s="9"/>
      <c r="B337" s="39" t="s">
        <v>42</v>
      </c>
      <c r="C337" s="40"/>
      <c r="D337" s="40"/>
      <c r="E337" s="40"/>
      <c r="F337" s="40"/>
      <c r="G337" s="41"/>
      <c r="H337" s="23"/>
      <c r="I337" s="24">
        <f>SUM(I329:I336)</f>
        <v>14</v>
      </c>
      <c r="J337" s="9"/>
      <c r="K337" s="9"/>
      <c r="L337" s="9"/>
      <c r="M337" s="9">
        <f t="shared" si="42"/>
        <v>98.56</v>
      </c>
      <c r="N337" s="9">
        <f t="shared" si="43"/>
        <v>36.96</v>
      </c>
      <c r="O337" s="24">
        <f>ROUND(SUM(M329:M336)/I337,2)</f>
        <v>7.04</v>
      </c>
      <c r="P337" s="24">
        <f>ROUND(SUM(N329:N336)/I337,2)</f>
        <v>2.64</v>
      </c>
      <c r="Q337" s="9"/>
      <c r="S337" s="25"/>
    </row>
    <row r="338" spans="1:19" ht="20.25" customHeight="1" x14ac:dyDescent="0.25">
      <c r="A338" s="27" t="s">
        <v>62</v>
      </c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</row>
    <row r="339" spans="1:19" ht="16.5" customHeight="1" x14ac:dyDescent="0.25">
      <c r="A339" s="9"/>
      <c r="B339" s="51" t="s">
        <v>63</v>
      </c>
      <c r="C339" s="52"/>
      <c r="D339" s="52"/>
      <c r="E339" s="52"/>
      <c r="F339" s="52"/>
      <c r="G339" s="53"/>
      <c r="H339" s="20"/>
      <c r="I339" s="9">
        <v>4</v>
      </c>
      <c r="J339" s="9"/>
      <c r="K339" s="9"/>
      <c r="L339" s="9"/>
      <c r="M339" s="9">
        <f t="shared" ref="M339:M347" si="44">I339*O339</f>
        <v>28.4</v>
      </c>
      <c r="N339" s="9">
        <f t="shared" ref="N339:N347" si="45">I339*P339</f>
        <v>12</v>
      </c>
      <c r="O339" s="9">
        <v>7.1</v>
      </c>
      <c r="P339" s="9">
        <v>3</v>
      </c>
      <c r="Q339" s="9" t="s">
        <v>6</v>
      </c>
      <c r="R339" s="1">
        <v>0</v>
      </c>
      <c r="S339" s="26"/>
    </row>
    <row r="340" spans="1:19" ht="16.5" customHeight="1" x14ac:dyDescent="0.25">
      <c r="A340" s="9"/>
      <c r="B340" s="51" t="s">
        <v>64</v>
      </c>
      <c r="C340" s="52"/>
      <c r="D340" s="52"/>
      <c r="E340" s="52"/>
      <c r="F340" s="52"/>
      <c r="G340" s="53"/>
      <c r="H340" s="20"/>
      <c r="I340" s="9">
        <v>4</v>
      </c>
      <c r="J340" s="9"/>
      <c r="K340" s="9"/>
      <c r="L340" s="9"/>
      <c r="M340" s="9">
        <f t="shared" si="44"/>
        <v>27.2</v>
      </c>
      <c r="N340" s="9">
        <f t="shared" si="45"/>
        <v>10</v>
      </c>
      <c r="O340" s="9">
        <v>6.8</v>
      </c>
      <c r="P340" s="9">
        <v>2.5</v>
      </c>
      <c r="Q340" s="9" t="s">
        <v>5</v>
      </c>
      <c r="R340" s="1">
        <v>0</v>
      </c>
      <c r="S340" s="26"/>
    </row>
    <row r="341" spans="1:19" ht="16.5" customHeight="1" x14ac:dyDescent="0.25">
      <c r="A341" s="9"/>
      <c r="B341" s="51" t="s">
        <v>65</v>
      </c>
      <c r="C341" s="52"/>
      <c r="D341" s="52"/>
      <c r="E341" s="52"/>
      <c r="F341" s="52"/>
      <c r="G341" s="53"/>
      <c r="H341" s="20"/>
      <c r="I341" s="9">
        <v>4</v>
      </c>
      <c r="J341" s="9"/>
      <c r="K341" s="9"/>
      <c r="L341" s="9"/>
      <c r="M341" s="9">
        <f t="shared" si="44"/>
        <v>28</v>
      </c>
      <c r="N341" s="9">
        <f t="shared" si="45"/>
        <v>12</v>
      </c>
      <c r="O341" s="9">
        <v>7</v>
      </c>
      <c r="P341" s="9">
        <v>3</v>
      </c>
      <c r="Q341" s="9" t="s">
        <v>6</v>
      </c>
      <c r="R341" s="1">
        <v>0</v>
      </c>
      <c r="S341" s="26"/>
    </row>
    <row r="342" spans="1:19" ht="16.5" customHeight="1" x14ac:dyDescent="0.25">
      <c r="A342" s="9"/>
      <c r="B342" s="51" t="s">
        <v>66</v>
      </c>
      <c r="C342" s="52"/>
      <c r="D342" s="52"/>
      <c r="E342" s="52"/>
      <c r="F342" s="52"/>
      <c r="G342" s="53"/>
      <c r="H342" s="20"/>
      <c r="I342" s="9">
        <v>1</v>
      </c>
      <c r="J342" s="9"/>
      <c r="K342" s="9"/>
      <c r="L342" s="9"/>
      <c r="M342" s="9">
        <f t="shared" si="44"/>
        <v>7.7</v>
      </c>
      <c r="N342" s="9">
        <f t="shared" si="45"/>
        <v>3</v>
      </c>
      <c r="O342" s="9">
        <v>7.7</v>
      </c>
      <c r="P342" s="9">
        <v>3</v>
      </c>
      <c r="Q342" s="9" t="s">
        <v>6</v>
      </c>
      <c r="R342" s="1">
        <v>0</v>
      </c>
      <c r="S342" s="26"/>
    </row>
    <row r="343" spans="1:19" ht="16.5" customHeight="1" x14ac:dyDescent="0.25">
      <c r="A343" s="9"/>
      <c r="B343" s="51" t="s">
        <v>67</v>
      </c>
      <c r="C343" s="52"/>
      <c r="D343" s="52"/>
      <c r="E343" s="52"/>
      <c r="F343" s="52"/>
      <c r="G343" s="53"/>
      <c r="H343" s="20"/>
      <c r="I343" s="9">
        <v>1</v>
      </c>
      <c r="J343" s="9"/>
      <c r="K343" s="9"/>
      <c r="L343" s="9"/>
      <c r="M343" s="9">
        <f t="shared" si="44"/>
        <v>7.7</v>
      </c>
      <c r="N343" s="9">
        <f t="shared" si="45"/>
        <v>3</v>
      </c>
      <c r="O343" s="9">
        <v>7.7</v>
      </c>
      <c r="P343" s="9">
        <v>3</v>
      </c>
      <c r="Q343" s="9" t="s">
        <v>6</v>
      </c>
      <c r="R343" s="1">
        <v>0</v>
      </c>
      <c r="S343" s="26"/>
    </row>
    <row r="344" spans="1:19" ht="16.5" customHeight="1" x14ac:dyDescent="0.25">
      <c r="A344" s="9"/>
      <c r="B344" s="51" t="s">
        <v>68</v>
      </c>
      <c r="C344" s="52"/>
      <c r="D344" s="52"/>
      <c r="E344" s="52"/>
      <c r="F344" s="52"/>
      <c r="G344" s="53"/>
      <c r="H344" s="20"/>
      <c r="I344" s="9">
        <v>1</v>
      </c>
      <c r="J344" s="9"/>
      <c r="K344" s="9"/>
      <c r="L344" s="9"/>
      <c r="M344" s="9">
        <f t="shared" si="44"/>
        <v>7.8</v>
      </c>
      <c r="N344" s="9">
        <f t="shared" si="45"/>
        <v>3</v>
      </c>
      <c r="O344" s="9">
        <v>7.8</v>
      </c>
      <c r="P344" s="9">
        <v>3</v>
      </c>
      <c r="Q344" s="9" t="s">
        <v>6</v>
      </c>
      <c r="R344" s="1">
        <v>0</v>
      </c>
      <c r="S344" s="26"/>
    </row>
    <row r="345" spans="1:19" ht="16.5" customHeight="1" x14ac:dyDescent="0.25">
      <c r="A345" s="9"/>
      <c r="B345" s="51" t="s">
        <v>69</v>
      </c>
      <c r="C345" s="52"/>
      <c r="D345" s="52"/>
      <c r="E345" s="52"/>
      <c r="F345" s="52"/>
      <c r="G345" s="53"/>
      <c r="H345" s="20"/>
      <c r="I345" s="9">
        <v>1</v>
      </c>
      <c r="J345" s="9"/>
      <c r="K345" s="9"/>
      <c r="L345" s="9"/>
      <c r="M345" s="9">
        <f t="shared" si="44"/>
        <v>7.3</v>
      </c>
      <c r="N345" s="9">
        <f t="shared" si="45"/>
        <v>3</v>
      </c>
      <c r="O345" s="9">
        <v>7.3</v>
      </c>
      <c r="P345" s="9">
        <v>3</v>
      </c>
      <c r="Q345" s="9" t="s">
        <v>6</v>
      </c>
      <c r="R345" s="1">
        <v>0</v>
      </c>
      <c r="S345" s="26"/>
    </row>
    <row r="346" spans="1:19" ht="16.5" hidden="1" customHeight="1" x14ac:dyDescent="0.25">
      <c r="A346" s="21"/>
      <c r="H346" s="21"/>
      <c r="I346" s="21"/>
      <c r="J346" s="21"/>
      <c r="K346" s="21"/>
      <c r="L346" s="21"/>
      <c r="M346" s="9">
        <f t="shared" si="44"/>
        <v>0</v>
      </c>
      <c r="N346" s="9">
        <f t="shared" si="45"/>
        <v>0</v>
      </c>
      <c r="O346" s="21"/>
      <c r="P346" s="21"/>
      <c r="Q346" s="21"/>
      <c r="S346" s="25"/>
    </row>
    <row r="347" spans="1:19" ht="16.5" customHeight="1" x14ac:dyDescent="0.25">
      <c r="A347" s="9"/>
      <c r="B347" s="39" t="s">
        <v>42</v>
      </c>
      <c r="C347" s="40"/>
      <c r="D347" s="40"/>
      <c r="E347" s="40"/>
      <c r="F347" s="40"/>
      <c r="G347" s="41"/>
      <c r="H347" s="23"/>
      <c r="I347" s="24">
        <f>SUM(I339:I346)</f>
        <v>16</v>
      </c>
      <c r="J347" s="9"/>
      <c r="K347" s="9"/>
      <c r="L347" s="9"/>
      <c r="M347" s="9">
        <f t="shared" si="44"/>
        <v>114.08</v>
      </c>
      <c r="N347" s="9">
        <f t="shared" si="45"/>
        <v>46.08</v>
      </c>
      <c r="O347" s="24">
        <f>ROUND(SUM(M339:M346)/I347,2)</f>
        <v>7.13</v>
      </c>
      <c r="P347" s="24">
        <f>ROUND(SUM(N339:N346)/I347,2)</f>
        <v>2.88</v>
      </c>
      <c r="Q347" s="9"/>
      <c r="S347" s="25"/>
    </row>
    <row r="348" spans="1:19" ht="20.25" customHeight="1" x14ac:dyDescent="0.25">
      <c r="A348" s="27" t="s">
        <v>70</v>
      </c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</row>
    <row r="349" spans="1:19" ht="16.5" customHeight="1" x14ac:dyDescent="0.25">
      <c r="A349" s="9"/>
      <c r="B349" s="51" t="s">
        <v>71</v>
      </c>
      <c r="C349" s="52"/>
      <c r="D349" s="52"/>
      <c r="E349" s="52"/>
      <c r="F349" s="52"/>
      <c r="G349" s="53"/>
      <c r="H349" s="20"/>
      <c r="I349" s="9">
        <v>4</v>
      </c>
      <c r="J349" s="9"/>
      <c r="K349" s="9"/>
      <c r="L349" s="9"/>
      <c r="M349" s="9">
        <f t="shared" ref="M349:M357" si="46">I349*O349</f>
        <v>20.8</v>
      </c>
      <c r="N349" s="9">
        <f t="shared" ref="N349:N357" si="47">I349*P349</f>
        <v>6</v>
      </c>
      <c r="O349" s="9">
        <v>5.2</v>
      </c>
      <c r="P349" s="9">
        <v>1.5</v>
      </c>
      <c r="Q349" s="9" t="s">
        <v>4</v>
      </c>
      <c r="R349" s="1">
        <v>0</v>
      </c>
      <c r="S349" s="26"/>
    </row>
    <row r="350" spans="1:19" ht="16.5" customHeight="1" x14ac:dyDescent="0.25">
      <c r="A350" s="9"/>
      <c r="B350" s="51" t="s">
        <v>72</v>
      </c>
      <c r="C350" s="52"/>
      <c r="D350" s="52"/>
      <c r="E350" s="52"/>
      <c r="F350" s="52"/>
      <c r="G350" s="53"/>
      <c r="H350" s="20"/>
      <c r="I350" s="9">
        <v>4</v>
      </c>
      <c r="J350" s="9"/>
      <c r="K350" s="9"/>
      <c r="L350" s="9"/>
      <c r="M350" s="9">
        <f t="shared" si="46"/>
        <v>30.8</v>
      </c>
      <c r="N350" s="9">
        <f t="shared" si="47"/>
        <v>12</v>
      </c>
      <c r="O350" s="9">
        <v>7.7</v>
      </c>
      <c r="P350" s="9">
        <v>3</v>
      </c>
      <c r="Q350" s="9" t="s">
        <v>6</v>
      </c>
      <c r="R350" s="1">
        <v>0</v>
      </c>
      <c r="S350" s="26"/>
    </row>
    <row r="351" spans="1:19" ht="16.5" customHeight="1" x14ac:dyDescent="0.25">
      <c r="A351" s="9"/>
      <c r="B351" s="51" t="s">
        <v>73</v>
      </c>
      <c r="C351" s="52"/>
      <c r="D351" s="52"/>
      <c r="E351" s="52"/>
      <c r="F351" s="52"/>
      <c r="G351" s="53"/>
      <c r="H351" s="20"/>
      <c r="I351" s="9">
        <v>1</v>
      </c>
      <c r="J351" s="9"/>
      <c r="K351" s="9"/>
      <c r="L351" s="9"/>
      <c r="M351" s="9">
        <f t="shared" si="46"/>
        <v>7.3</v>
      </c>
      <c r="N351" s="9">
        <f t="shared" si="47"/>
        <v>3</v>
      </c>
      <c r="O351" s="9">
        <v>7.3</v>
      </c>
      <c r="P351" s="9">
        <v>3</v>
      </c>
      <c r="Q351" s="9" t="s">
        <v>6</v>
      </c>
      <c r="R351" s="1">
        <v>0</v>
      </c>
      <c r="S351" s="26"/>
    </row>
    <row r="352" spans="1:19" ht="16.5" customHeight="1" x14ac:dyDescent="0.25">
      <c r="A352" s="9"/>
      <c r="B352" s="51" t="s">
        <v>74</v>
      </c>
      <c r="C352" s="52"/>
      <c r="D352" s="52"/>
      <c r="E352" s="52"/>
      <c r="F352" s="52"/>
      <c r="G352" s="53"/>
      <c r="H352" s="20"/>
      <c r="I352" s="9">
        <v>2</v>
      </c>
      <c r="J352" s="9"/>
      <c r="K352" s="9"/>
      <c r="L352" s="9"/>
      <c r="M352" s="9">
        <f t="shared" si="46"/>
        <v>16</v>
      </c>
      <c r="N352" s="9">
        <f t="shared" si="47"/>
        <v>7</v>
      </c>
      <c r="O352" s="9">
        <v>8</v>
      </c>
      <c r="P352" s="9">
        <v>3.5</v>
      </c>
      <c r="Q352" s="9" t="s">
        <v>9</v>
      </c>
      <c r="R352" s="1">
        <v>0</v>
      </c>
      <c r="S352" s="26"/>
    </row>
    <row r="353" spans="1:19" ht="16.5" customHeight="1" x14ac:dyDescent="0.25">
      <c r="A353" s="9"/>
      <c r="B353" s="51" t="s">
        <v>75</v>
      </c>
      <c r="C353" s="52"/>
      <c r="D353" s="52"/>
      <c r="E353" s="52"/>
      <c r="F353" s="52"/>
      <c r="G353" s="53"/>
      <c r="H353" s="20"/>
      <c r="I353" s="9">
        <v>1</v>
      </c>
      <c r="J353" s="9"/>
      <c r="K353" s="9"/>
      <c r="L353" s="9"/>
      <c r="M353" s="9">
        <f t="shared" si="46"/>
        <v>8.1</v>
      </c>
      <c r="N353" s="9">
        <f t="shared" si="47"/>
        <v>3.5</v>
      </c>
      <c r="O353" s="9">
        <v>8.1</v>
      </c>
      <c r="P353" s="9">
        <v>3.5</v>
      </c>
      <c r="Q353" s="9" t="s">
        <v>9</v>
      </c>
      <c r="R353" s="1">
        <v>0</v>
      </c>
      <c r="S353" s="26"/>
    </row>
    <row r="354" spans="1:19" ht="16.5" customHeight="1" x14ac:dyDescent="0.25">
      <c r="A354" s="9"/>
      <c r="B354" s="51" t="s">
        <v>76</v>
      </c>
      <c r="C354" s="52"/>
      <c r="D354" s="52"/>
      <c r="E354" s="52"/>
      <c r="F354" s="52"/>
      <c r="G354" s="53"/>
      <c r="H354" s="20"/>
      <c r="I354" s="9">
        <v>4</v>
      </c>
      <c r="J354" s="9"/>
      <c r="K354" s="9"/>
      <c r="L354" s="9"/>
      <c r="M354" s="9">
        <f t="shared" si="46"/>
        <v>36</v>
      </c>
      <c r="N354" s="9">
        <f t="shared" si="47"/>
        <v>16</v>
      </c>
      <c r="O354" s="9">
        <v>9</v>
      </c>
      <c r="P354" s="9">
        <v>4</v>
      </c>
      <c r="Q354" s="9" t="s">
        <v>12</v>
      </c>
      <c r="R354" s="1">
        <v>0</v>
      </c>
      <c r="S354" s="26"/>
    </row>
    <row r="355" spans="1:19" ht="16.5" customHeight="1" x14ac:dyDescent="0.25">
      <c r="A355" s="9"/>
      <c r="B355" s="51" t="s">
        <v>77</v>
      </c>
      <c r="C355" s="52"/>
      <c r="D355" s="52"/>
      <c r="E355" s="52"/>
      <c r="F355" s="52"/>
      <c r="G355" s="53"/>
      <c r="H355" s="20"/>
      <c r="I355" s="9">
        <v>3</v>
      </c>
      <c r="J355" s="9"/>
      <c r="K355" s="9"/>
      <c r="L355" s="9"/>
      <c r="M355" s="9">
        <f t="shared" si="46"/>
        <v>17.399999999999999</v>
      </c>
      <c r="N355" s="9">
        <f t="shared" si="47"/>
        <v>6</v>
      </c>
      <c r="O355" s="9">
        <v>5.8</v>
      </c>
      <c r="P355" s="9">
        <v>2</v>
      </c>
      <c r="Q355" s="9" t="s">
        <v>3</v>
      </c>
      <c r="R355" s="1">
        <v>0</v>
      </c>
      <c r="S355" s="26"/>
    </row>
    <row r="356" spans="1:19" ht="16.5" hidden="1" customHeight="1" x14ac:dyDescent="0.25">
      <c r="A356" s="21"/>
      <c r="H356" s="21"/>
      <c r="I356" s="21"/>
      <c r="J356" s="21"/>
      <c r="K356" s="21"/>
      <c r="L356" s="21"/>
      <c r="M356" s="9">
        <f t="shared" si="46"/>
        <v>0</v>
      </c>
      <c r="N356" s="9">
        <f t="shared" si="47"/>
        <v>0</v>
      </c>
      <c r="O356" s="21"/>
      <c r="P356" s="21"/>
      <c r="Q356" s="21"/>
      <c r="S356" s="25"/>
    </row>
    <row r="357" spans="1:19" ht="16.5" customHeight="1" x14ac:dyDescent="0.25">
      <c r="A357" s="9"/>
      <c r="B357" s="39" t="s">
        <v>42</v>
      </c>
      <c r="C357" s="40"/>
      <c r="D357" s="40"/>
      <c r="E357" s="40"/>
      <c r="F357" s="40"/>
      <c r="G357" s="41"/>
      <c r="H357" s="23"/>
      <c r="I357" s="24">
        <f>SUM(I349:I356)</f>
        <v>19</v>
      </c>
      <c r="J357" s="9"/>
      <c r="K357" s="9"/>
      <c r="L357" s="9"/>
      <c r="M357" s="9">
        <f t="shared" si="46"/>
        <v>136.41999999999999</v>
      </c>
      <c r="N357" s="9">
        <f t="shared" si="47"/>
        <v>53.58</v>
      </c>
      <c r="O357" s="24">
        <f>ROUND(SUM(M349:M356)/I357,2)</f>
        <v>7.18</v>
      </c>
      <c r="P357" s="24">
        <f>ROUND(SUM(N349:N356)/I357,2)</f>
        <v>2.82</v>
      </c>
      <c r="Q357" s="9"/>
      <c r="S357" s="25"/>
    </row>
    <row r="358" spans="1:19" ht="20.25" customHeight="1" x14ac:dyDescent="0.25">
      <c r="A358" s="27" t="s">
        <v>78</v>
      </c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</row>
    <row r="359" spans="1:19" ht="16.5" customHeight="1" x14ac:dyDescent="0.25">
      <c r="A359" s="9"/>
      <c r="B359" s="51" t="s">
        <v>79</v>
      </c>
      <c r="C359" s="52"/>
      <c r="D359" s="52"/>
      <c r="E359" s="52"/>
      <c r="F359" s="52"/>
      <c r="G359" s="53"/>
      <c r="H359" s="20"/>
      <c r="I359" s="9">
        <v>1</v>
      </c>
      <c r="J359" s="9"/>
      <c r="K359" s="9"/>
      <c r="L359" s="9"/>
      <c r="M359" s="9">
        <f t="shared" ref="M359:M365" si="48">I359*O359</f>
        <v>8</v>
      </c>
      <c r="N359" s="9">
        <f t="shared" ref="N359:N365" si="49">I359*P359</f>
        <v>3.5</v>
      </c>
      <c r="O359" s="9">
        <v>8</v>
      </c>
      <c r="P359" s="9">
        <v>3.5</v>
      </c>
      <c r="Q359" s="9" t="s">
        <v>9</v>
      </c>
      <c r="R359" s="1">
        <v>0</v>
      </c>
      <c r="S359" s="26"/>
    </row>
    <row r="360" spans="1:19" ht="16.5" customHeight="1" x14ac:dyDescent="0.25">
      <c r="A360" s="9"/>
      <c r="B360" s="51" t="s">
        <v>80</v>
      </c>
      <c r="C360" s="52"/>
      <c r="D360" s="52"/>
      <c r="E360" s="52"/>
      <c r="F360" s="52"/>
      <c r="G360" s="53"/>
      <c r="H360" s="20"/>
      <c r="I360" s="9">
        <v>3</v>
      </c>
      <c r="J360" s="9"/>
      <c r="K360" s="9"/>
      <c r="L360" s="9"/>
      <c r="M360" s="9">
        <f t="shared" si="48"/>
        <v>23.1</v>
      </c>
      <c r="N360" s="9">
        <f t="shared" si="49"/>
        <v>9</v>
      </c>
      <c r="O360" s="9">
        <v>7.7</v>
      </c>
      <c r="P360" s="9">
        <v>3</v>
      </c>
      <c r="Q360" s="9" t="s">
        <v>6</v>
      </c>
      <c r="R360" s="1">
        <v>0</v>
      </c>
      <c r="S360" s="26"/>
    </row>
    <row r="361" spans="1:19" ht="16.5" customHeight="1" x14ac:dyDescent="0.25">
      <c r="A361" s="9"/>
      <c r="B361" s="51" t="s">
        <v>87</v>
      </c>
      <c r="C361" s="52"/>
      <c r="D361" s="52"/>
      <c r="E361" s="52"/>
      <c r="F361" s="52"/>
      <c r="G361" s="53"/>
      <c r="H361" s="20"/>
      <c r="I361" s="9">
        <v>3</v>
      </c>
      <c r="J361" s="9"/>
      <c r="K361" s="9"/>
      <c r="L361" s="9"/>
      <c r="M361" s="9">
        <f t="shared" si="48"/>
        <v>20.700000000000003</v>
      </c>
      <c r="N361" s="9">
        <f t="shared" si="49"/>
        <v>7.5</v>
      </c>
      <c r="O361" s="9">
        <v>6.9</v>
      </c>
      <c r="P361" s="9">
        <v>2.5</v>
      </c>
      <c r="Q361" s="9" t="s">
        <v>5</v>
      </c>
      <c r="R361" s="1">
        <v>0</v>
      </c>
      <c r="S361" s="26"/>
    </row>
    <row r="362" spans="1:19" ht="16.5" customHeight="1" x14ac:dyDescent="0.25">
      <c r="A362" s="9"/>
      <c r="B362" s="51" t="s">
        <v>82</v>
      </c>
      <c r="C362" s="52"/>
      <c r="D362" s="52"/>
      <c r="E362" s="52"/>
      <c r="F362" s="52"/>
      <c r="G362" s="53"/>
      <c r="H362" s="20"/>
      <c r="I362" s="9">
        <v>2</v>
      </c>
      <c r="J362" s="9"/>
      <c r="K362" s="9"/>
      <c r="L362" s="9"/>
      <c r="M362" s="9">
        <f t="shared" si="48"/>
        <v>14.8</v>
      </c>
      <c r="N362" s="9">
        <f t="shared" si="49"/>
        <v>6</v>
      </c>
      <c r="O362" s="9">
        <v>7.4</v>
      </c>
      <c r="P362" s="9">
        <v>3</v>
      </c>
      <c r="Q362" s="9" t="s">
        <v>6</v>
      </c>
      <c r="R362" s="1">
        <v>0</v>
      </c>
      <c r="S362" s="26"/>
    </row>
    <row r="363" spans="1:19" ht="16.5" customHeight="1" x14ac:dyDescent="0.25">
      <c r="A363" s="9"/>
      <c r="B363" s="51" t="s">
        <v>83</v>
      </c>
      <c r="C363" s="52"/>
      <c r="D363" s="52"/>
      <c r="E363" s="52"/>
      <c r="F363" s="52"/>
      <c r="G363" s="53"/>
      <c r="H363" s="20"/>
      <c r="I363" s="9">
        <v>2</v>
      </c>
      <c r="J363" s="9"/>
      <c r="K363" s="9"/>
      <c r="L363" s="9"/>
      <c r="M363" s="9">
        <f t="shared" si="48"/>
        <v>15.4</v>
      </c>
      <c r="N363" s="9">
        <f t="shared" si="49"/>
        <v>6</v>
      </c>
      <c r="O363" s="9">
        <v>7.7</v>
      </c>
      <c r="P363" s="9">
        <v>3</v>
      </c>
      <c r="Q363" s="9" t="s">
        <v>6</v>
      </c>
      <c r="R363" s="1">
        <v>0</v>
      </c>
      <c r="S363" s="26"/>
    </row>
    <row r="364" spans="1:19" ht="16.5" customHeight="1" x14ac:dyDescent="0.25">
      <c r="A364" s="9"/>
      <c r="B364" s="51" t="s">
        <v>84</v>
      </c>
      <c r="C364" s="52"/>
      <c r="D364" s="52"/>
      <c r="E364" s="52"/>
      <c r="F364" s="52"/>
      <c r="G364" s="53"/>
      <c r="H364" s="20"/>
      <c r="I364" s="9">
        <v>3</v>
      </c>
      <c r="J364" s="9"/>
      <c r="K364" s="9"/>
      <c r="L364" s="9"/>
      <c r="M364" s="9">
        <f t="shared" si="48"/>
        <v>22.5</v>
      </c>
      <c r="N364" s="9">
        <f t="shared" si="49"/>
        <v>9</v>
      </c>
      <c r="O364" s="9">
        <v>7.5</v>
      </c>
      <c r="P364" s="9">
        <v>3</v>
      </c>
      <c r="Q364" s="9" t="s">
        <v>6</v>
      </c>
      <c r="R364" s="1">
        <v>0</v>
      </c>
      <c r="S364" s="26"/>
    </row>
    <row r="365" spans="1:19" ht="16.5" customHeight="1" x14ac:dyDescent="0.25">
      <c r="A365" s="9"/>
      <c r="B365" s="51" t="s">
        <v>85</v>
      </c>
      <c r="C365" s="52"/>
      <c r="D365" s="52"/>
      <c r="E365" s="52"/>
      <c r="F365" s="52"/>
      <c r="G365" s="53"/>
      <c r="H365" s="20"/>
      <c r="I365" s="9">
        <v>2</v>
      </c>
      <c r="J365" s="9"/>
      <c r="K365" s="9"/>
      <c r="L365" s="9"/>
      <c r="M365" s="9">
        <f t="shared" si="48"/>
        <v>14.8</v>
      </c>
      <c r="N365" s="9">
        <f t="shared" si="49"/>
        <v>6</v>
      </c>
      <c r="O365" s="9">
        <v>7.4</v>
      </c>
      <c r="P365" s="9">
        <v>3</v>
      </c>
      <c r="Q365" s="9" t="s">
        <v>6</v>
      </c>
      <c r="R365" s="1">
        <v>0</v>
      </c>
      <c r="S365" s="26"/>
    </row>
    <row r="366" spans="1:19" ht="15" customHeight="1" x14ac:dyDescent="0.25">
      <c r="A366" s="36" t="s">
        <v>0</v>
      </c>
      <c r="B366" s="29" t="s">
        <v>1</v>
      </c>
      <c r="C366" s="30"/>
      <c r="D366" s="30"/>
      <c r="E366" s="30"/>
      <c r="F366" s="30"/>
      <c r="G366" s="31"/>
      <c r="H366" s="36" t="s">
        <v>32</v>
      </c>
      <c r="I366" s="36" t="s">
        <v>39</v>
      </c>
      <c r="J366" s="55" t="s">
        <v>2</v>
      </c>
      <c r="K366" s="56"/>
      <c r="L366" s="56"/>
      <c r="M366" s="56"/>
      <c r="N366" s="56"/>
      <c r="O366" s="56"/>
      <c r="P366" s="56"/>
      <c r="Q366" s="57"/>
      <c r="S366" s="36" t="s">
        <v>38</v>
      </c>
    </row>
    <row r="367" spans="1:19" ht="24" customHeight="1" x14ac:dyDescent="0.25">
      <c r="A367" s="37"/>
      <c r="B367" s="32"/>
      <c r="C367" s="33"/>
      <c r="D367" s="33"/>
      <c r="E367" s="33"/>
      <c r="F367" s="33"/>
      <c r="G367" s="34"/>
      <c r="H367" s="37"/>
      <c r="I367" s="37"/>
      <c r="J367" s="7" t="s">
        <v>28</v>
      </c>
      <c r="K367" s="7" t="s">
        <v>29</v>
      </c>
      <c r="L367" s="7" t="s">
        <v>30</v>
      </c>
      <c r="M367" s="7"/>
      <c r="N367" s="7"/>
      <c r="O367" s="6" t="s">
        <v>35</v>
      </c>
      <c r="P367" s="6" t="s">
        <v>36</v>
      </c>
      <c r="Q367" s="6" t="s">
        <v>37</v>
      </c>
      <c r="S367" s="37"/>
    </row>
    <row r="368" spans="1:19" ht="16.5" customHeight="1" x14ac:dyDescent="0.25">
      <c r="A368" s="9"/>
      <c r="B368" s="51" t="s">
        <v>86</v>
      </c>
      <c r="C368" s="52"/>
      <c r="D368" s="52"/>
      <c r="E368" s="52"/>
      <c r="F368" s="52"/>
      <c r="G368" s="53"/>
      <c r="H368" s="20"/>
      <c r="I368" s="9">
        <v>3</v>
      </c>
      <c r="J368" s="9"/>
      <c r="K368" s="9"/>
      <c r="L368" s="9"/>
      <c r="M368" s="9">
        <f>I368*O368</f>
        <v>25.799999999999997</v>
      </c>
      <c r="N368" s="9">
        <f>I368*P368</f>
        <v>11.100000000000001</v>
      </c>
      <c r="O368" s="9">
        <v>8.6</v>
      </c>
      <c r="P368" s="9">
        <v>3.7</v>
      </c>
      <c r="Q368" s="9" t="s">
        <v>10</v>
      </c>
      <c r="R368" s="1">
        <v>0</v>
      </c>
      <c r="S368" s="26"/>
    </row>
    <row r="369" spans="1:19" ht="16.5" customHeight="1" x14ac:dyDescent="0.25">
      <c r="A369" s="9"/>
      <c r="B369" s="51" t="s">
        <v>81</v>
      </c>
      <c r="C369" s="52"/>
      <c r="D369" s="52"/>
      <c r="E369" s="52"/>
      <c r="F369" s="52"/>
      <c r="G369" s="53"/>
      <c r="H369" s="20"/>
      <c r="I369" s="9">
        <v>3</v>
      </c>
      <c r="J369" s="9"/>
      <c r="K369" s="9"/>
      <c r="L369" s="9"/>
      <c r="M369" s="9">
        <f>I369*O369</f>
        <v>23.700000000000003</v>
      </c>
      <c r="N369" s="9">
        <f>I369*P369</f>
        <v>9</v>
      </c>
      <c r="O369" s="9">
        <v>7.9</v>
      </c>
      <c r="P369" s="9">
        <v>3</v>
      </c>
      <c r="Q369" s="9" t="s">
        <v>6</v>
      </c>
      <c r="R369" s="1">
        <v>0</v>
      </c>
      <c r="S369" s="26"/>
    </row>
    <row r="370" spans="1:19" ht="16.5" hidden="1" customHeight="1" x14ac:dyDescent="0.25">
      <c r="A370" s="21"/>
      <c r="H370" s="21"/>
      <c r="I370" s="21"/>
      <c r="J370" s="21"/>
      <c r="K370" s="21"/>
      <c r="L370" s="21"/>
      <c r="M370" s="9">
        <f>I370*O370</f>
        <v>0</v>
      </c>
      <c r="N370" s="9">
        <f>I370*P370</f>
        <v>0</v>
      </c>
      <c r="O370" s="21"/>
      <c r="P370" s="21"/>
      <c r="Q370" s="21"/>
      <c r="S370" s="25"/>
    </row>
    <row r="371" spans="1:19" ht="16.5" customHeight="1" x14ac:dyDescent="0.25">
      <c r="A371" s="9"/>
      <c r="B371" s="39" t="s">
        <v>42</v>
      </c>
      <c r="C371" s="40"/>
      <c r="D371" s="40"/>
      <c r="E371" s="40"/>
      <c r="F371" s="40"/>
      <c r="G371" s="41"/>
      <c r="H371" s="23"/>
      <c r="I371" s="24">
        <f>SUM(I359:I370)</f>
        <v>22</v>
      </c>
      <c r="J371" s="9"/>
      <c r="K371" s="9"/>
      <c r="L371" s="9"/>
      <c r="M371" s="9">
        <f>I371*O371</f>
        <v>168.74</v>
      </c>
      <c r="N371" s="9">
        <f>I371*P371</f>
        <v>67.099999999999994</v>
      </c>
      <c r="O371" s="24">
        <f>ROUND(SUM(M359:M370)/I371,2)</f>
        <v>7.67</v>
      </c>
      <c r="P371" s="24">
        <f>ROUND(SUM(N359:N370)/I371,2)</f>
        <v>3.05</v>
      </c>
      <c r="Q371" s="9"/>
      <c r="S371" s="25"/>
    </row>
    <row r="372" spans="1:19" ht="20.25" customHeight="1" x14ac:dyDescent="0.25">
      <c r="A372" s="27" t="s">
        <v>88</v>
      </c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</row>
    <row r="373" spans="1:19" ht="16.5" customHeight="1" x14ac:dyDescent="0.25">
      <c r="A373" s="9"/>
      <c r="B373" s="51" t="s">
        <v>96</v>
      </c>
      <c r="C373" s="52"/>
      <c r="D373" s="52"/>
      <c r="E373" s="52"/>
      <c r="F373" s="52"/>
      <c r="G373" s="53"/>
      <c r="H373" s="20"/>
      <c r="I373" s="9">
        <v>3</v>
      </c>
      <c r="J373" s="9"/>
      <c r="K373" s="9"/>
      <c r="L373" s="9"/>
      <c r="M373" s="9">
        <f t="shared" ref="M373:M384" si="50">I373*O373</f>
        <v>22.5</v>
      </c>
      <c r="N373" s="9">
        <f t="shared" ref="N373:N384" si="51">I373*P373</f>
        <v>9</v>
      </c>
      <c r="O373" s="9">
        <v>7.5</v>
      </c>
      <c r="P373" s="9">
        <v>3</v>
      </c>
      <c r="Q373" s="9" t="s">
        <v>6</v>
      </c>
      <c r="R373" s="1">
        <v>0</v>
      </c>
      <c r="S373" s="26"/>
    </row>
    <row r="374" spans="1:19" ht="16.5" customHeight="1" x14ac:dyDescent="0.25">
      <c r="A374" s="9"/>
      <c r="B374" s="51" t="s">
        <v>90</v>
      </c>
      <c r="C374" s="52"/>
      <c r="D374" s="52"/>
      <c r="E374" s="52"/>
      <c r="F374" s="52"/>
      <c r="G374" s="53"/>
      <c r="H374" s="20"/>
      <c r="I374" s="9">
        <v>3</v>
      </c>
      <c r="J374" s="9"/>
      <c r="K374" s="9"/>
      <c r="L374" s="9"/>
      <c r="M374" s="9">
        <f t="shared" si="50"/>
        <v>25.799999999999997</v>
      </c>
      <c r="N374" s="9">
        <f t="shared" si="51"/>
        <v>11.100000000000001</v>
      </c>
      <c r="O374" s="9">
        <v>8.6</v>
      </c>
      <c r="P374" s="9">
        <v>3.7</v>
      </c>
      <c r="Q374" s="9" t="s">
        <v>10</v>
      </c>
      <c r="R374" s="1">
        <v>0</v>
      </c>
      <c r="S374" s="26"/>
    </row>
    <row r="375" spans="1:19" ht="16.5" customHeight="1" x14ac:dyDescent="0.25">
      <c r="A375" s="9"/>
      <c r="B375" s="51" t="s">
        <v>91</v>
      </c>
      <c r="C375" s="52"/>
      <c r="D375" s="52"/>
      <c r="E375" s="52"/>
      <c r="F375" s="52"/>
      <c r="G375" s="53"/>
      <c r="H375" s="20"/>
      <c r="I375" s="9">
        <v>2</v>
      </c>
      <c r="J375" s="9"/>
      <c r="K375" s="9"/>
      <c r="L375" s="9"/>
      <c r="M375" s="9">
        <f t="shared" si="50"/>
        <v>15.6</v>
      </c>
      <c r="N375" s="9">
        <f t="shared" si="51"/>
        <v>6</v>
      </c>
      <c r="O375" s="9">
        <v>7.8</v>
      </c>
      <c r="P375" s="9">
        <v>3</v>
      </c>
      <c r="Q375" s="9" t="s">
        <v>6</v>
      </c>
      <c r="R375" s="1">
        <v>0</v>
      </c>
      <c r="S375" s="26"/>
    </row>
    <row r="376" spans="1:19" ht="16.5" customHeight="1" x14ac:dyDescent="0.25">
      <c r="A376" s="9"/>
      <c r="B376" s="51" t="s">
        <v>92</v>
      </c>
      <c r="C376" s="52"/>
      <c r="D376" s="52"/>
      <c r="E376" s="52"/>
      <c r="F376" s="52"/>
      <c r="G376" s="53"/>
      <c r="H376" s="20"/>
      <c r="I376" s="9">
        <v>3</v>
      </c>
      <c r="J376" s="9"/>
      <c r="K376" s="9"/>
      <c r="L376" s="9"/>
      <c r="M376" s="9">
        <f t="shared" si="50"/>
        <v>22.200000000000003</v>
      </c>
      <c r="N376" s="9">
        <f t="shared" si="51"/>
        <v>9</v>
      </c>
      <c r="O376" s="9">
        <v>7.4</v>
      </c>
      <c r="P376" s="9">
        <v>3</v>
      </c>
      <c r="Q376" s="9" t="s">
        <v>6</v>
      </c>
      <c r="R376" s="1">
        <v>0</v>
      </c>
      <c r="S376" s="26"/>
    </row>
    <row r="377" spans="1:19" ht="16.5" customHeight="1" x14ac:dyDescent="0.25">
      <c r="A377" s="9"/>
      <c r="B377" s="51" t="s">
        <v>93</v>
      </c>
      <c r="C377" s="52"/>
      <c r="D377" s="52"/>
      <c r="E377" s="52"/>
      <c r="F377" s="52"/>
      <c r="G377" s="53"/>
      <c r="H377" s="20"/>
      <c r="I377" s="9">
        <v>1</v>
      </c>
      <c r="J377" s="9"/>
      <c r="K377" s="9"/>
      <c r="L377" s="9"/>
      <c r="M377" s="9">
        <f t="shared" si="50"/>
        <v>7.6</v>
      </c>
      <c r="N377" s="9">
        <f t="shared" si="51"/>
        <v>3</v>
      </c>
      <c r="O377" s="9">
        <v>7.6</v>
      </c>
      <c r="P377" s="9">
        <v>3</v>
      </c>
      <c r="Q377" s="9" t="s">
        <v>6</v>
      </c>
      <c r="R377" s="1">
        <v>0</v>
      </c>
      <c r="S377" s="26"/>
    </row>
    <row r="378" spans="1:19" ht="16.5" customHeight="1" x14ac:dyDescent="0.25">
      <c r="A378" s="9"/>
      <c r="B378" s="51" t="s">
        <v>94</v>
      </c>
      <c r="C378" s="52"/>
      <c r="D378" s="52"/>
      <c r="E378" s="52"/>
      <c r="F378" s="52"/>
      <c r="G378" s="53"/>
      <c r="H378" s="20"/>
      <c r="I378" s="9">
        <v>1</v>
      </c>
      <c r="J378" s="9"/>
      <c r="K378" s="9"/>
      <c r="L378" s="9"/>
      <c r="M378" s="9">
        <f t="shared" si="50"/>
        <v>8</v>
      </c>
      <c r="N378" s="9">
        <f t="shared" si="51"/>
        <v>3.5</v>
      </c>
      <c r="O378" s="9">
        <v>8</v>
      </c>
      <c r="P378" s="9">
        <v>3.5</v>
      </c>
      <c r="Q378" s="9" t="s">
        <v>9</v>
      </c>
      <c r="R378" s="1">
        <v>0</v>
      </c>
      <c r="S378" s="26"/>
    </row>
    <row r="379" spans="1:19" ht="16.5" customHeight="1" x14ac:dyDescent="0.25">
      <c r="A379" s="9"/>
      <c r="B379" s="51" t="s">
        <v>97</v>
      </c>
      <c r="C379" s="52"/>
      <c r="D379" s="52"/>
      <c r="E379" s="52"/>
      <c r="F379" s="52"/>
      <c r="G379" s="53"/>
      <c r="H379" s="20"/>
      <c r="I379" s="9">
        <v>1</v>
      </c>
      <c r="J379" s="9"/>
      <c r="K379" s="9"/>
      <c r="L379" s="9"/>
      <c r="M379" s="9">
        <f t="shared" si="50"/>
        <v>8.5</v>
      </c>
      <c r="N379" s="9">
        <f t="shared" si="51"/>
        <v>3.7</v>
      </c>
      <c r="O379" s="9">
        <v>8.5</v>
      </c>
      <c r="P379" s="9">
        <v>3.7</v>
      </c>
      <c r="Q379" s="9" t="s">
        <v>10</v>
      </c>
      <c r="R379" s="1">
        <v>0</v>
      </c>
      <c r="S379" s="26"/>
    </row>
    <row r="380" spans="1:19" ht="16.5" customHeight="1" x14ac:dyDescent="0.25">
      <c r="A380" s="9"/>
      <c r="B380" s="51" t="s">
        <v>89</v>
      </c>
      <c r="C380" s="52"/>
      <c r="D380" s="52"/>
      <c r="E380" s="52"/>
      <c r="F380" s="52"/>
      <c r="G380" s="53"/>
      <c r="H380" s="20"/>
      <c r="I380" s="9">
        <v>2</v>
      </c>
      <c r="J380" s="9"/>
      <c r="K380" s="9"/>
      <c r="L380" s="9"/>
      <c r="M380" s="9">
        <f t="shared" si="50"/>
        <v>16.399999999999999</v>
      </c>
      <c r="N380" s="9">
        <f t="shared" si="51"/>
        <v>7</v>
      </c>
      <c r="O380" s="9">
        <v>8.1999999999999993</v>
      </c>
      <c r="P380" s="9">
        <v>3.5</v>
      </c>
      <c r="Q380" s="9" t="s">
        <v>9</v>
      </c>
      <c r="R380" s="1">
        <v>0</v>
      </c>
      <c r="S380" s="26"/>
    </row>
    <row r="381" spans="1:19" ht="16.5" customHeight="1" x14ac:dyDescent="0.25">
      <c r="A381" s="9"/>
      <c r="B381" s="51" t="s">
        <v>95</v>
      </c>
      <c r="C381" s="52"/>
      <c r="D381" s="52"/>
      <c r="E381" s="52"/>
      <c r="F381" s="52"/>
      <c r="G381" s="53"/>
      <c r="H381" s="20"/>
      <c r="I381" s="9">
        <v>3</v>
      </c>
      <c r="J381" s="9"/>
      <c r="K381" s="9"/>
      <c r="L381" s="9"/>
      <c r="M381" s="9">
        <f t="shared" si="50"/>
        <v>24.299999999999997</v>
      </c>
      <c r="N381" s="9">
        <f t="shared" si="51"/>
        <v>10.5</v>
      </c>
      <c r="O381" s="9">
        <v>8.1</v>
      </c>
      <c r="P381" s="9">
        <v>3.5</v>
      </c>
      <c r="Q381" s="9" t="s">
        <v>9</v>
      </c>
      <c r="R381" s="1">
        <v>0</v>
      </c>
      <c r="S381" s="26"/>
    </row>
    <row r="382" spans="1:19" ht="16.5" customHeight="1" x14ac:dyDescent="0.25">
      <c r="A382" s="9"/>
      <c r="B382" s="51" t="s">
        <v>98</v>
      </c>
      <c r="C382" s="52"/>
      <c r="D382" s="52"/>
      <c r="E382" s="52"/>
      <c r="F382" s="52"/>
      <c r="G382" s="53"/>
      <c r="H382" s="20"/>
      <c r="I382" s="9">
        <v>3</v>
      </c>
      <c r="J382" s="9"/>
      <c r="K382" s="9"/>
      <c r="L382" s="9"/>
      <c r="M382" s="9">
        <f t="shared" si="50"/>
        <v>21</v>
      </c>
      <c r="N382" s="9">
        <f t="shared" si="51"/>
        <v>9</v>
      </c>
      <c r="O382" s="9">
        <v>7</v>
      </c>
      <c r="P382" s="9">
        <v>3</v>
      </c>
      <c r="Q382" s="9" t="s">
        <v>6</v>
      </c>
      <c r="R382" s="1">
        <v>0</v>
      </c>
      <c r="S382" s="26"/>
    </row>
    <row r="383" spans="1:19" ht="16.5" hidden="1" customHeight="1" x14ac:dyDescent="0.25">
      <c r="A383" s="21"/>
      <c r="H383" s="21"/>
      <c r="I383" s="21"/>
      <c r="J383" s="21"/>
      <c r="K383" s="21"/>
      <c r="L383" s="21"/>
      <c r="M383" s="9">
        <f t="shared" si="50"/>
        <v>0</v>
      </c>
      <c r="N383" s="9">
        <f t="shared" si="51"/>
        <v>0</v>
      </c>
      <c r="O383" s="21"/>
      <c r="P383" s="21"/>
      <c r="Q383" s="21"/>
      <c r="S383" s="25"/>
    </row>
    <row r="384" spans="1:19" ht="16.5" customHeight="1" x14ac:dyDescent="0.25">
      <c r="A384" s="9"/>
      <c r="B384" s="39" t="s">
        <v>42</v>
      </c>
      <c r="C384" s="40"/>
      <c r="D384" s="40"/>
      <c r="E384" s="40"/>
      <c r="F384" s="40"/>
      <c r="G384" s="41"/>
      <c r="H384" s="23"/>
      <c r="I384" s="24">
        <f>SUM(I373:I383)</f>
        <v>22</v>
      </c>
      <c r="J384" s="9"/>
      <c r="K384" s="9"/>
      <c r="L384" s="9"/>
      <c r="M384" s="9">
        <f t="shared" si="50"/>
        <v>171.82</v>
      </c>
      <c r="N384" s="9">
        <f t="shared" si="51"/>
        <v>71.72</v>
      </c>
      <c r="O384" s="24">
        <f>ROUND(SUM(M373:M383)/I384,2)</f>
        <v>7.81</v>
      </c>
      <c r="P384" s="24">
        <f>ROUND(SUM(N373:N383)/I384,2)</f>
        <v>3.26</v>
      </c>
      <c r="Q384" s="9"/>
      <c r="S384" s="25"/>
    </row>
    <row r="385" spans="1:19" ht="20.25" customHeight="1" x14ac:dyDescent="0.25">
      <c r="A385" s="27" t="s">
        <v>99</v>
      </c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</row>
    <row r="386" spans="1:19" ht="16.5" customHeight="1" x14ac:dyDescent="0.25">
      <c r="A386" s="9"/>
      <c r="B386" s="51" t="s">
        <v>100</v>
      </c>
      <c r="C386" s="52"/>
      <c r="D386" s="52"/>
      <c r="E386" s="52"/>
      <c r="F386" s="52"/>
      <c r="G386" s="53"/>
      <c r="H386" s="20"/>
      <c r="I386" s="9">
        <v>2</v>
      </c>
      <c r="J386" s="9"/>
      <c r="K386" s="9"/>
      <c r="L386" s="9"/>
      <c r="M386" s="9">
        <f t="shared" ref="M386:M399" si="52">I386*O386</f>
        <v>18.8</v>
      </c>
      <c r="N386" s="9">
        <f t="shared" ref="N386:N399" si="53">I386*P386</f>
        <v>8</v>
      </c>
      <c r="O386" s="9">
        <v>9.4</v>
      </c>
      <c r="P386" s="9">
        <v>4</v>
      </c>
      <c r="Q386" s="9" t="s">
        <v>12</v>
      </c>
      <c r="R386" s="1">
        <v>0</v>
      </c>
      <c r="S386" s="26"/>
    </row>
    <row r="387" spans="1:19" ht="16.5" customHeight="1" x14ac:dyDescent="0.25">
      <c r="A387" s="9"/>
      <c r="B387" s="51" t="s">
        <v>101</v>
      </c>
      <c r="C387" s="52"/>
      <c r="D387" s="52"/>
      <c r="E387" s="52"/>
      <c r="F387" s="52"/>
      <c r="G387" s="53"/>
      <c r="H387" s="20"/>
      <c r="I387" s="9">
        <v>2</v>
      </c>
      <c r="J387" s="9"/>
      <c r="K387" s="9"/>
      <c r="L387" s="9"/>
      <c r="M387" s="9">
        <f t="shared" si="52"/>
        <v>15.2</v>
      </c>
      <c r="N387" s="9">
        <f t="shared" si="53"/>
        <v>6</v>
      </c>
      <c r="O387" s="9">
        <v>7.6</v>
      </c>
      <c r="P387" s="9">
        <v>3</v>
      </c>
      <c r="Q387" s="9" t="s">
        <v>6</v>
      </c>
      <c r="R387" s="1">
        <v>0</v>
      </c>
      <c r="S387" s="26"/>
    </row>
    <row r="388" spans="1:19" ht="16.5" customHeight="1" x14ac:dyDescent="0.25">
      <c r="A388" s="9"/>
      <c r="B388" s="51" t="s">
        <v>102</v>
      </c>
      <c r="C388" s="52"/>
      <c r="D388" s="52"/>
      <c r="E388" s="52"/>
      <c r="F388" s="52"/>
      <c r="G388" s="53"/>
      <c r="H388" s="20"/>
      <c r="I388" s="9">
        <v>1</v>
      </c>
      <c r="J388" s="9"/>
      <c r="K388" s="9"/>
      <c r="L388" s="9"/>
      <c r="M388" s="9">
        <f t="shared" si="52"/>
        <v>7.9</v>
      </c>
      <c r="N388" s="9">
        <f t="shared" si="53"/>
        <v>3</v>
      </c>
      <c r="O388" s="9">
        <v>7.9</v>
      </c>
      <c r="P388" s="9">
        <v>3</v>
      </c>
      <c r="Q388" s="9" t="s">
        <v>6</v>
      </c>
      <c r="R388" s="1">
        <v>0</v>
      </c>
      <c r="S388" s="26"/>
    </row>
    <row r="389" spans="1:19" ht="16.5" customHeight="1" x14ac:dyDescent="0.25">
      <c r="A389" s="9"/>
      <c r="B389" s="51" t="s">
        <v>103</v>
      </c>
      <c r="C389" s="52"/>
      <c r="D389" s="52"/>
      <c r="E389" s="52"/>
      <c r="F389" s="52"/>
      <c r="G389" s="53"/>
      <c r="H389" s="20"/>
      <c r="I389" s="9">
        <v>2</v>
      </c>
      <c r="J389" s="9"/>
      <c r="K389" s="9"/>
      <c r="L389" s="9"/>
      <c r="M389" s="9">
        <f t="shared" si="52"/>
        <v>14.8</v>
      </c>
      <c r="N389" s="9">
        <f t="shared" si="53"/>
        <v>6</v>
      </c>
      <c r="O389" s="9">
        <v>7.4</v>
      </c>
      <c r="P389" s="9">
        <v>3</v>
      </c>
      <c r="Q389" s="9" t="s">
        <v>6</v>
      </c>
      <c r="R389" s="1">
        <v>0</v>
      </c>
      <c r="S389" s="26"/>
    </row>
    <row r="390" spans="1:19" ht="16.5" customHeight="1" x14ac:dyDescent="0.25">
      <c r="A390" s="9"/>
      <c r="B390" s="51" t="s">
        <v>104</v>
      </c>
      <c r="C390" s="52"/>
      <c r="D390" s="52"/>
      <c r="E390" s="52"/>
      <c r="F390" s="52"/>
      <c r="G390" s="53"/>
      <c r="H390" s="20"/>
      <c r="I390" s="9">
        <v>3</v>
      </c>
      <c r="J390" s="9"/>
      <c r="K390" s="9"/>
      <c r="L390" s="9"/>
      <c r="M390" s="9">
        <f t="shared" si="52"/>
        <v>25.5</v>
      </c>
      <c r="N390" s="9">
        <f t="shared" si="53"/>
        <v>11.100000000000001</v>
      </c>
      <c r="O390" s="9">
        <v>8.5</v>
      </c>
      <c r="P390" s="9">
        <v>3.7</v>
      </c>
      <c r="Q390" s="9" t="s">
        <v>10</v>
      </c>
      <c r="R390" s="1">
        <v>0</v>
      </c>
      <c r="S390" s="26"/>
    </row>
    <row r="391" spans="1:19" ht="16.5" customHeight="1" x14ac:dyDescent="0.25">
      <c r="A391" s="9"/>
      <c r="B391" s="51" t="s">
        <v>110</v>
      </c>
      <c r="C391" s="52"/>
      <c r="D391" s="52"/>
      <c r="E391" s="52"/>
      <c r="F391" s="52"/>
      <c r="G391" s="53"/>
      <c r="H391" s="20"/>
      <c r="I391" s="9">
        <v>1</v>
      </c>
      <c r="J391" s="9"/>
      <c r="K391" s="9"/>
      <c r="L391" s="9"/>
      <c r="M391" s="9">
        <f t="shared" si="52"/>
        <v>9</v>
      </c>
      <c r="N391" s="9">
        <f t="shared" si="53"/>
        <v>4</v>
      </c>
      <c r="O391" s="9">
        <v>9</v>
      </c>
      <c r="P391" s="9">
        <v>4</v>
      </c>
      <c r="Q391" s="9" t="s">
        <v>12</v>
      </c>
      <c r="R391" s="1">
        <v>0</v>
      </c>
      <c r="S391" s="26"/>
    </row>
    <row r="392" spans="1:19" ht="16.5" customHeight="1" x14ac:dyDescent="0.25">
      <c r="A392" s="9"/>
      <c r="B392" s="51" t="s">
        <v>106</v>
      </c>
      <c r="C392" s="52"/>
      <c r="D392" s="52"/>
      <c r="E392" s="52"/>
      <c r="F392" s="52"/>
      <c r="G392" s="53"/>
      <c r="H392" s="20"/>
      <c r="I392" s="9">
        <v>2</v>
      </c>
      <c r="J392" s="9"/>
      <c r="K392" s="9"/>
      <c r="L392" s="9"/>
      <c r="M392" s="9">
        <f t="shared" si="52"/>
        <v>17.2</v>
      </c>
      <c r="N392" s="9">
        <f t="shared" si="53"/>
        <v>7.4</v>
      </c>
      <c r="O392" s="9">
        <v>8.6</v>
      </c>
      <c r="P392" s="9">
        <v>3.7</v>
      </c>
      <c r="Q392" s="9" t="s">
        <v>10</v>
      </c>
      <c r="R392" s="1">
        <v>0</v>
      </c>
      <c r="S392" s="26"/>
    </row>
    <row r="393" spans="1:19" ht="16.5" customHeight="1" x14ac:dyDescent="0.25">
      <c r="A393" s="9"/>
      <c r="B393" s="51" t="s">
        <v>107</v>
      </c>
      <c r="C393" s="52"/>
      <c r="D393" s="52"/>
      <c r="E393" s="52"/>
      <c r="F393" s="52"/>
      <c r="G393" s="53"/>
      <c r="H393" s="20"/>
      <c r="I393" s="9">
        <v>3</v>
      </c>
      <c r="J393" s="9"/>
      <c r="K393" s="9"/>
      <c r="L393" s="9"/>
      <c r="M393" s="9">
        <f t="shared" si="52"/>
        <v>21.9</v>
      </c>
      <c r="N393" s="9">
        <f t="shared" si="53"/>
        <v>9</v>
      </c>
      <c r="O393" s="9">
        <v>7.3</v>
      </c>
      <c r="P393" s="9">
        <v>3</v>
      </c>
      <c r="Q393" s="9" t="s">
        <v>6</v>
      </c>
      <c r="R393" s="1">
        <v>0</v>
      </c>
      <c r="S393" s="26"/>
    </row>
    <row r="394" spans="1:19" ht="16.5" customHeight="1" x14ac:dyDescent="0.25">
      <c r="A394" s="9"/>
      <c r="B394" s="51" t="s">
        <v>108</v>
      </c>
      <c r="C394" s="52"/>
      <c r="D394" s="52"/>
      <c r="E394" s="52"/>
      <c r="F394" s="52"/>
      <c r="G394" s="53"/>
      <c r="H394" s="20"/>
      <c r="I394" s="9">
        <v>1</v>
      </c>
      <c r="J394" s="9"/>
      <c r="K394" s="9"/>
      <c r="L394" s="9"/>
      <c r="M394" s="9">
        <f t="shared" si="52"/>
        <v>9</v>
      </c>
      <c r="N394" s="9">
        <f t="shared" si="53"/>
        <v>4</v>
      </c>
      <c r="O394" s="9">
        <v>9</v>
      </c>
      <c r="P394" s="9">
        <v>4</v>
      </c>
      <c r="Q394" s="9" t="s">
        <v>12</v>
      </c>
      <c r="R394" s="1">
        <v>0</v>
      </c>
      <c r="S394" s="26"/>
    </row>
    <row r="395" spans="1:19" ht="16.5" customHeight="1" x14ac:dyDescent="0.25">
      <c r="A395" s="9"/>
      <c r="B395" s="51" t="s">
        <v>111</v>
      </c>
      <c r="C395" s="52"/>
      <c r="D395" s="52"/>
      <c r="E395" s="52"/>
      <c r="F395" s="52"/>
      <c r="G395" s="53"/>
      <c r="H395" s="20"/>
      <c r="I395" s="9">
        <v>3</v>
      </c>
      <c r="J395" s="9"/>
      <c r="K395" s="9"/>
      <c r="L395" s="9"/>
      <c r="M395" s="9">
        <f t="shared" si="52"/>
        <v>26.700000000000003</v>
      </c>
      <c r="N395" s="9">
        <f t="shared" si="53"/>
        <v>11.100000000000001</v>
      </c>
      <c r="O395" s="9">
        <v>8.9</v>
      </c>
      <c r="P395" s="9">
        <v>3.7</v>
      </c>
      <c r="Q395" s="9" t="s">
        <v>10</v>
      </c>
      <c r="R395" s="1">
        <v>0</v>
      </c>
      <c r="S395" s="26"/>
    </row>
    <row r="396" spans="1:19" ht="16.5" customHeight="1" x14ac:dyDescent="0.25">
      <c r="A396" s="9"/>
      <c r="B396" s="51" t="s">
        <v>105</v>
      </c>
      <c r="C396" s="52"/>
      <c r="D396" s="52"/>
      <c r="E396" s="52"/>
      <c r="F396" s="52"/>
      <c r="G396" s="53"/>
      <c r="H396" s="20"/>
      <c r="I396" s="9">
        <v>3</v>
      </c>
      <c r="J396" s="9"/>
      <c r="K396" s="9"/>
      <c r="L396" s="9"/>
      <c r="M396" s="9">
        <f t="shared" si="52"/>
        <v>24.900000000000002</v>
      </c>
      <c r="N396" s="9">
        <f t="shared" si="53"/>
        <v>10.5</v>
      </c>
      <c r="O396" s="9">
        <v>8.3000000000000007</v>
      </c>
      <c r="P396" s="9">
        <v>3.5</v>
      </c>
      <c r="Q396" s="9" t="s">
        <v>9</v>
      </c>
      <c r="R396" s="1">
        <v>0</v>
      </c>
      <c r="S396" s="26"/>
    </row>
    <row r="397" spans="1:19" ht="16.5" customHeight="1" x14ac:dyDescent="0.25">
      <c r="A397" s="9"/>
      <c r="B397" s="51" t="s">
        <v>109</v>
      </c>
      <c r="C397" s="52"/>
      <c r="D397" s="52"/>
      <c r="E397" s="52"/>
      <c r="F397" s="52"/>
      <c r="G397" s="53"/>
      <c r="H397" s="20"/>
      <c r="I397" s="9">
        <v>2</v>
      </c>
      <c r="J397" s="9"/>
      <c r="K397" s="9"/>
      <c r="L397" s="9"/>
      <c r="M397" s="9">
        <f t="shared" si="52"/>
        <v>16.8</v>
      </c>
      <c r="N397" s="9">
        <f t="shared" si="53"/>
        <v>7</v>
      </c>
      <c r="O397" s="9">
        <v>8.4</v>
      </c>
      <c r="P397" s="9">
        <v>3.5</v>
      </c>
      <c r="Q397" s="9" t="s">
        <v>9</v>
      </c>
      <c r="R397" s="1">
        <v>0</v>
      </c>
      <c r="S397" s="26"/>
    </row>
    <row r="398" spans="1:19" ht="16.5" hidden="1" customHeight="1" x14ac:dyDescent="0.25">
      <c r="A398" s="21"/>
      <c r="H398" s="21"/>
      <c r="I398" s="21"/>
      <c r="J398" s="21"/>
      <c r="K398" s="21"/>
      <c r="L398" s="21"/>
      <c r="M398" s="9">
        <f t="shared" si="52"/>
        <v>0</v>
      </c>
      <c r="N398" s="9">
        <f t="shared" si="53"/>
        <v>0</v>
      </c>
      <c r="O398" s="21"/>
      <c r="P398" s="21"/>
      <c r="Q398" s="21"/>
      <c r="S398" s="25"/>
    </row>
    <row r="399" spans="1:19" ht="16.5" customHeight="1" x14ac:dyDescent="0.25">
      <c r="A399" s="9"/>
      <c r="B399" s="39" t="s">
        <v>42</v>
      </c>
      <c r="C399" s="40"/>
      <c r="D399" s="40"/>
      <c r="E399" s="40"/>
      <c r="F399" s="40"/>
      <c r="G399" s="41"/>
      <c r="H399" s="23"/>
      <c r="I399" s="24">
        <f>SUM(I386:I398)</f>
        <v>25</v>
      </c>
      <c r="J399" s="9"/>
      <c r="K399" s="9"/>
      <c r="L399" s="9"/>
      <c r="M399" s="9">
        <f t="shared" si="52"/>
        <v>207.75</v>
      </c>
      <c r="N399" s="9">
        <f t="shared" si="53"/>
        <v>87</v>
      </c>
      <c r="O399" s="24">
        <f>ROUND(SUM(M386:M398)/I399,2)</f>
        <v>8.31</v>
      </c>
      <c r="P399" s="24">
        <f>ROUND(SUM(N386:N398)/I399,2)</f>
        <v>3.48</v>
      </c>
      <c r="Q399" s="9"/>
      <c r="S399" s="25"/>
    </row>
    <row r="400" spans="1:19" ht="20.25" customHeight="1" x14ac:dyDescent="0.25">
      <c r="A400" s="27" t="s">
        <v>112</v>
      </c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</row>
    <row r="401" spans="1:19" ht="16.5" customHeight="1" x14ac:dyDescent="0.25">
      <c r="A401" s="9"/>
      <c r="B401" s="51" t="s">
        <v>113</v>
      </c>
      <c r="C401" s="52"/>
      <c r="D401" s="52"/>
      <c r="E401" s="52"/>
      <c r="F401" s="52"/>
      <c r="G401" s="53"/>
      <c r="H401" s="20"/>
      <c r="I401" s="9">
        <v>2</v>
      </c>
      <c r="J401" s="9"/>
      <c r="K401" s="9"/>
      <c r="L401" s="9"/>
      <c r="M401" s="9">
        <f t="shared" ref="M401:M409" si="54">I401*O401</f>
        <v>0</v>
      </c>
      <c r="N401" s="9">
        <f t="shared" ref="N401:N409" si="55">I401*P401</f>
        <v>0</v>
      </c>
      <c r="O401" s="9"/>
      <c r="P401" s="9"/>
      <c r="Q401" s="9"/>
      <c r="R401" s="1">
        <v>0</v>
      </c>
      <c r="S401" s="26"/>
    </row>
    <row r="402" spans="1:19" ht="16.5" customHeight="1" x14ac:dyDescent="0.25">
      <c r="A402" s="9"/>
      <c r="B402" s="51" t="s">
        <v>114</v>
      </c>
      <c r="C402" s="52"/>
      <c r="D402" s="52"/>
      <c r="E402" s="52"/>
      <c r="F402" s="52"/>
      <c r="G402" s="53"/>
      <c r="H402" s="20"/>
      <c r="I402" s="9">
        <v>3</v>
      </c>
      <c r="J402" s="9"/>
      <c r="K402" s="9"/>
      <c r="L402" s="9"/>
      <c r="M402" s="9">
        <f t="shared" si="54"/>
        <v>23.1</v>
      </c>
      <c r="N402" s="9">
        <f t="shared" si="55"/>
        <v>9</v>
      </c>
      <c r="O402" s="9">
        <v>7.7</v>
      </c>
      <c r="P402" s="9">
        <v>3</v>
      </c>
      <c r="Q402" s="9" t="s">
        <v>6</v>
      </c>
      <c r="R402" s="1">
        <v>0</v>
      </c>
      <c r="S402" s="26"/>
    </row>
    <row r="403" spans="1:19" ht="16.5" customHeight="1" x14ac:dyDescent="0.25">
      <c r="A403" s="9"/>
      <c r="B403" s="51" t="s">
        <v>115</v>
      </c>
      <c r="C403" s="52"/>
      <c r="D403" s="52"/>
      <c r="E403" s="52"/>
      <c r="F403" s="52"/>
      <c r="G403" s="53"/>
      <c r="H403" s="20"/>
      <c r="I403" s="9">
        <v>1</v>
      </c>
      <c r="J403" s="9"/>
      <c r="K403" s="9"/>
      <c r="L403" s="9"/>
      <c r="M403" s="9">
        <f t="shared" si="54"/>
        <v>8.1</v>
      </c>
      <c r="N403" s="9">
        <f t="shared" si="55"/>
        <v>3.5</v>
      </c>
      <c r="O403" s="9">
        <v>8.1</v>
      </c>
      <c r="P403" s="9">
        <v>3.5</v>
      </c>
      <c r="Q403" s="9" t="s">
        <v>9</v>
      </c>
      <c r="R403" s="1">
        <v>0</v>
      </c>
      <c r="S403" s="26"/>
    </row>
    <row r="404" spans="1:19" ht="16.5" customHeight="1" x14ac:dyDescent="0.25">
      <c r="A404" s="9"/>
      <c r="B404" s="51" t="s">
        <v>116</v>
      </c>
      <c r="C404" s="52"/>
      <c r="D404" s="52"/>
      <c r="E404" s="52"/>
      <c r="F404" s="52"/>
      <c r="G404" s="53"/>
      <c r="H404" s="20"/>
      <c r="I404" s="9">
        <v>3</v>
      </c>
      <c r="J404" s="9"/>
      <c r="K404" s="9"/>
      <c r="L404" s="9"/>
      <c r="M404" s="9">
        <f t="shared" si="54"/>
        <v>25.200000000000003</v>
      </c>
      <c r="N404" s="9">
        <f t="shared" si="55"/>
        <v>10.5</v>
      </c>
      <c r="O404" s="9">
        <v>8.4</v>
      </c>
      <c r="P404" s="9">
        <v>3.5</v>
      </c>
      <c r="Q404" s="9" t="s">
        <v>9</v>
      </c>
      <c r="R404" s="1">
        <v>0</v>
      </c>
      <c r="S404" s="26"/>
    </row>
    <row r="405" spans="1:19" ht="16.5" customHeight="1" x14ac:dyDescent="0.25">
      <c r="A405" s="9"/>
      <c r="B405" s="51" t="s">
        <v>117</v>
      </c>
      <c r="C405" s="52"/>
      <c r="D405" s="52"/>
      <c r="E405" s="52"/>
      <c r="F405" s="52"/>
      <c r="G405" s="53"/>
      <c r="H405" s="20"/>
      <c r="I405" s="9">
        <v>3</v>
      </c>
      <c r="J405" s="9"/>
      <c r="K405" s="9"/>
      <c r="L405" s="9"/>
      <c r="M405" s="9">
        <f t="shared" si="54"/>
        <v>21.299999999999997</v>
      </c>
      <c r="N405" s="9">
        <f t="shared" si="55"/>
        <v>9</v>
      </c>
      <c r="O405" s="9">
        <v>7.1</v>
      </c>
      <c r="P405" s="9">
        <v>3</v>
      </c>
      <c r="Q405" s="9" t="s">
        <v>6</v>
      </c>
      <c r="R405" s="1">
        <v>0</v>
      </c>
      <c r="S405" s="26"/>
    </row>
    <row r="406" spans="1:19" ht="31.2" customHeight="1" x14ac:dyDescent="0.25">
      <c r="A406" s="9"/>
      <c r="B406" s="51" t="s">
        <v>119</v>
      </c>
      <c r="C406" s="52"/>
      <c r="D406" s="52"/>
      <c r="E406" s="52"/>
      <c r="F406" s="52"/>
      <c r="G406" s="53"/>
      <c r="H406" s="20"/>
      <c r="I406" s="9">
        <v>2</v>
      </c>
      <c r="J406" s="9"/>
      <c r="K406" s="9"/>
      <c r="L406" s="9"/>
      <c r="M406" s="9">
        <f t="shared" si="54"/>
        <v>0</v>
      </c>
      <c r="N406" s="9">
        <f t="shared" si="55"/>
        <v>0</v>
      </c>
      <c r="O406" s="9"/>
      <c r="P406" s="9"/>
      <c r="Q406" s="9"/>
      <c r="R406" s="1">
        <v>0</v>
      </c>
      <c r="S406" s="26"/>
    </row>
    <row r="407" spans="1:19" ht="16.5" customHeight="1" x14ac:dyDescent="0.25">
      <c r="A407" s="9"/>
      <c r="B407" s="51" t="s">
        <v>118</v>
      </c>
      <c r="C407" s="52"/>
      <c r="D407" s="52"/>
      <c r="E407" s="52"/>
      <c r="F407" s="52"/>
      <c r="G407" s="53"/>
      <c r="H407" s="20"/>
      <c r="I407" s="9">
        <v>3</v>
      </c>
      <c r="J407" s="9"/>
      <c r="K407" s="9"/>
      <c r="L407" s="9"/>
      <c r="M407" s="9">
        <f t="shared" si="54"/>
        <v>23.1</v>
      </c>
      <c r="N407" s="9">
        <f t="shared" si="55"/>
        <v>9</v>
      </c>
      <c r="O407" s="9">
        <v>7.7</v>
      </c>
      <c r="P407" s="9">
        <v>3</v>
      </c>
      <c r="Q407" s="9" t="s">
        <v>6</v>
      </c>
      <c r="R407" s="1">
        <v>0</v>
      </c>
      <c r="S407" s="26"/>
    </row>
    <row r="408" spans="1:19" ht="16.5" hidden="1" customHeight="1" x14ac:dyDescent="0.25">
      <c r="A408" s="21"/>
      <c r="H408" s="21"/>
      <c r="I408" s="21"/>
      <c r="J408" s="21"/>
      <c r="K408" s="21"/>
      <c r="L408" s="21"/>
      <c r="M408" s="9">
        <f t="shared" si="54"/>
        <v>0</v>
      </c>
      <c r="N408" s="9">
        <f t="shared" si="55"/>
        <v>0</v>
      </c>
      <c r="O408" s="21"/>
      <c r="P408" s="21"/>
      <c r="Q408" s="21"/>
      <c r="S408" s="25"/>
    </row>
    <row r="409" spans="1:19" ht="16.5" customHeight="1" x14ac:dyDescent="0.25">
      <c r="A409" s="9"/>
      <c r="B409" s="39" t="s">
        <v>42</v>
      </c>
      <c r="C409" s="40"/>
      <c r="D409" s="40"/>
      <c r="E409" s="40"/>
      <c r="F409" s="40"/>
      <c r="G409" s="41"/>
      <c r="H409" s="23"/>
      <c r="I409" s="24">
        <f>SUM(I401:I408)</f>
        <v>17</v>
      </c>
      <c r="J409" s="9"/>
      <c r="K409" s="9"/>
      <c r="L409" s="9"/>
      <c r="M409" s="9">
        <f t="shared" si="54"/>
        <v>100.81</v>
      </c>
      <c r="N409" s="9">
        <f t="shared" si="55"/>
        <v>40.97</v>
      </c>
      <c r="O409" s="24">
        <f>ROUND(SUM(M401:M408)/I409,2)</f>
        <v>5.93</v>
      </c>
      <c r="P409" s="24">
        <f>ROUND(SUM(N401:N408)/I409,2)</f>
        <v>2.41</v>
      </c>
      <c r="Q409" s="9"/>
      <c r="S409" s="25"/>
    </row>
    <row r="410" spans="1:19" ht="16.5" customHeight="1" x14ac:dyDescent="0.25">
      <c r="A410" s="21"/>
      <c r="B410" s="22"/>
      <c r="C410" s="22"/>
      <c r="D410" s="22"/>
      <c r="E410" s="22"/>
      <c r="F410" s="22"/>
      <c r="G410" s="22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2" spans="1:19" ht="18" x14ac:dyDescent="0.25">
      <c r="A412" s="35" t="s">
        <v>50</v>
      </c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</row>
    <row r="413" spans="1:19" ht="18" x14ac:dyDescent="0.25">
      <c r="A413" s="35" t="s">
        <v>137</v>
      </c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</row>
    <row r="414" spans="1:19" ht="18" x14ac:dyDescent="0.25">
      <c r="A414" s="35" t="s">
        <v>138</v>
      </c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</row>
    <row r="415" spans="1:19" ht="18" x14ac:dyDescent="0.25">
      <c r="A415" s="45" t="s">
        <v>53</v>
      </c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</row>
    <row r="416" spans="1:19" ht="19.5" customHeight="1" x14ac:dyDescent="0.25">
      <c r="A416" s="17"/>
      <c r="B416" s="17"/>
      <c r="C416" s="8"/>
      <c r="D416" s="18"/>
      <c r="E416" s="10"/>
      <c r="F416" s="11"/>
      <c r="G416" s="46" t="s">
        <v>49</v>
      </c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</row>
    <row r="417" spans="1:20" ht="31.5" customHeight="1" x14ac:dyDescent="0.3">
      <c r="A417" s="8"/>
      <c r="B417" s="8"/>
      <c r="C417" s="8"/>
      <c r="D417" s="8"/>
      <c r="E417" s="8"/>
      <c r="F417" s="8"/>
      <c r="G417" s="8"/>
      <c r="H417" s="12"/>
      <c r="I417" s="42" t="s">
        <v>40</v>
      </c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 spans="1:20" ht="16.8" x14ac:dyDescent="0.3">
      <c r="A418" s="8"/>
      <c r="B418" s="8"/>
      <c r="C418" s="8"/>
      <c r="D418" s="8"/>
      <c r="E418" s="8"/>
      <c r="F418" s="8"/>
      <c r="G418" s="8"/>
      <c r="H418" s="12"/>
      <c r="I418" s="12"/>
      <c r="J418" s="12"/>
      <c r="K418" s="12"/>
      <c r="L418" s="8"/>
      <c r="M418" s="8"/>
      <c r="N418" s="8"/>
      <c r="O418" s="8"/>
      <c r="P418" s="8"/>
      <c r="Q418" s="8"/>
    </row>
    <row r="419" spans="1:20" ht="33" customHeight="1" x14ac:dyDescent="0.3">
      <c r="A419" s="8"/>
      <c r="B419" s="8"/>
      <c r="C419" s="8"/>
      <c r="D419" s="8"/>
      <c r="E419" s="8"/>
      <c r="F419" s="8"/>
      <c r="G419" s="8"/>
      <c r="H419" s="12"/>
      <c r="I419" s="12"/>
      <c r="J419" s="12"/>
      <c r="K419" s="12"/>
      <c r="L419" s="8"/>
      <c r="M419" s="8"/>
      <c r="N419" s="8"/>
      <c r="O419" s="8"/>
      <c r="P419" s="8"/>
      <c r="Q419" s="8"/>
    </row>
    <row r="420" spans="1:20" ht="11.25" customHeight="1" x14ac:dyDescent="0.3">
      <c r="A420" s="8"/>
      <c r="B420" s="8"/>
      <c r="C420" s="8"/>
      <c r="D420" s="8"/>
      <c r="E420" s="8"/>
      <c r="F420" s="8"/>
      <c r="G420" s="8"/>
      <c r="H420" s="12"/>
      <c r="I420" s="12"/>
      <c r="J420" s="12"/>
      <c r="K420" s="12"/>
      <c r="L420" s="8"/>
      <c r="M420" s="8"/>
      <c r="N420" s="8"/>
      <c r="O420" s="8"/>
      <c r="P420" s="8"/>
      <c r="Q420" s="8"/>
    </row>
    <row r="421" spans="1:20" ht="17.399999999999999" x14ac:dyDescent="0.3">
      <c r="A421" s="8"/>
      <c r="B421" s="8"/>
      <c r="C421" s="8"/>
      <c r="D421" s="8"/>
      <c r="E421" s="8"/>
      <c r="F421" s="8"/>
      <c r="G421" s="47" t="s">
        <v>41</v>
      </c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</row>
    <row r="422" spans="1:20" ht="54" customHeight="1" x14ac:dyDescent="0.25">
      <c r="A422" s="48" t="s">
        <v>33</v>
      </c>
      <c r="B422" s="48"/>
      <c r="C422" s="48"/>
      <c r="D422" s="48"/>
      <c r="E422" s="48"/>
      <c r="F422" s="42" t="s">
        <v>24</v>
      </c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</row>
    <row r="423" spans="1:20" ht="17.399999999999999" x14ac:dyDescent="0.25">
      <c r="A423" s="49" t="s">
        <v>34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</row>
    <row r="424" spans="1:20" ht="4.5" customHeight="1" x14ac:dyDescent="0.2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</row>
    <row r="425" spans="1:20" ht="5.25" customHeight="1" x14ac:dyDescent="0.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</row>
    <row r="426" spans="1:20" ht="16.5" customHeight="1" x14ac:dyDescent="0.25">
      <c r="A426" s="54" t="s">
        <v>139</v>
      </c>
      <c r="B426" s="54"/>
      <c r="C426" s="54"/>
      <c r="D426" s="54"/>
      <c r="E426" s="54"/>
      <c r="F426" s="54"/>
      <c r="G426" s="58" t="s">
        <v>140</v>
      </c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</row>
    <row r="427" spans="1:20" ht="16.5" customHeight="1" x14ac:dyDescent="0.25">
      <c r="A427" s="54" t="s">
        <v>141</v>
      </c>
      <c r="B427" s="54"/>
      <c r="C427" s="54"/>
      <c r="D427" s="54"/>
      <c r="E427" s="54"/>
      <c r="F427" s="54"/>
      <c r="G427" s="8" t="s">
        <v>46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T427" s="2"/>
    </row>
    <row r="428" spans="1:20" ht="16.5" customHeight="1" x14ac:dyDescent="0.25">
      <c r="A428" s="54" t="s">
        <v>47</v>
      </c>
      <c r="B428" s="54"/>
      <c r="C428" s="54"/>
      <c r="D428" s="54"/>
      <c r="E428" s="54"/>
      <c r="F428" s="54"/>
      <c r="G428" s="58" t="s">
        <v>48</v>
      </c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</row>
    <row r="429" spans="1:20" ht="5.2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19"/>
      <c r="K429" s="19"/>
      <c r="L429" s="19"/>
      <c r="M429" s="19"/>
      <c r="N429" s="19"/>
      <c r="O429" s="19"/>
      <c r="P429" s="19"/>
      <c r="Q429" s="19"/>
    </row>
    <row r="430" spans="1:20" ht="15" customHeight="1" x14ac:dyDescent="0.25">
      <c r="A430" s="36" t="s">
        <v>0</v>
      </c>
      <c r="B430" s="29" t="s">
        <v>1</v>
      </c>
      <c r="C430" s="30"/>
      <c r="D430" s="30"/>
      <c r="E430" s="30"/>
      <c r="F430" s="30"/>
      <c r="G430" s="31"/>
      <c r="H430" s="36" t="s">
        <v>32</v>
      </c>
      <c r="I430" s="36" t="s">
        <v>39</v>
      </c>
      <c r="J430" s="55" t="s">
        <v>2</v>
      </c>
      <c r="K430" s="56"/>
      <c r="L430" s="56"/>
      <c r="M430" s="56"/>
      <c r="N430" s="56"/>
      <c r="O430" s="56"/>
      <c r="P430" s="56"/>
      <c r="Q430" s="57"/>
      <c r="S430" s="36" t="s">
        <v>38</v>
      </c>
    </row>
    <row r="431" spans="1:20" ht="24" customHeight="1" x14ac:dyDescent="0.25">
      <c r="A431" s="37"/>
      <c r="B431" s="32"/>
      <c r="C431" s="33"/>
      <c r="D431" s="33"/>
      <c r="E431" s="33"/>
      <c r="F431" s="33"/>
      <c r="G431" s="34"/>
      <c r="H431" s="37"/>
      <c r="I431" s="37"/>
      <c r="J431" s="7" t="s">
        <v>28</v>
      </c>
      <c r="K431" s="7" t="s">
        <v>29</v>
      </c>
      <c r="L431" s="7" t="s">
        <v>30</v>
      </c>
      <c r="M431" s="7"/>
      <c r="N431" s="7"/>
      <c r="O431" s="6" t="s">
        <v>35</v>
      </c>
      <c r="P431" s="6" t="s">
        <v>36</v>
      </c>
      <c r="Q431" s="6" t="s">
        <v>37</v>
      </c>
      <c r="S431" s="37"/>
    </row>
    <row r="432" spans="1:20" ht="20.25" customHeight="1" x14ac:dyDescent="0.25">
      <c r="A432" s="27" t="s">
        <v>54</v>
      </c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</row>
    <row r="433" spans="1:19" ht="16.5" customHeight="1" x14ac:dyDescent="0.25">
      <c r="A433" s="9"/>
      <c r="B433" s="51" t="s">
        <v>55</v>
      </c>
      <c r="C433" s="52"/>
      <c r="D433" s="52"/>
      <c r="E433" s="52"/>
      <c r="F433" s="52"/>
      <c r="G433" s="53"/>
      <c r="H433" s="20"/>
      <c r="I433" s="9">
        <v>2</v>
      </c>
      <c r="J433" s="9"/>
      <c r="K433" s="9"/>
      <c r="L433" s="9"/>
      <c r="M433" s="9">
        <f t="shared" ref="M433:M441" si="56">I433*O433</f>
        <v>14.2</v>
      </c>
      <c r="N433" s="9">
        <f t="shared" ref="N433:N441" si="57">I433*P433</f>
        <v>6</v>
      </c>
      <c r="O433" s="9">
        <v>7.1</v>
      </c>
      <c r="P433" s="9">
        <v>3</v>
      </c>
      <c r="Q433" s="9" t="s">
        <v>6</v>
      </c>
      <c r="R433" s="1">
        <v>0</v>
      </c>
      <c r="S433" s="26"/>
    </row>
    <row r="434" spans="1:19" ht="16.5" customHeight="1" x14ac:dyDescent="0.25">
      <c r="A434" s="9"/>
      <c r="B434" s="51" t="s">
        <v>56</v>
      </c>
      <c r="C434" s="52"/>
      <c r="D434" s="52"/>
      <c r="E434" s="52"/>
      <c r="F434" s="52"/>
      <c r="G434" s="53"/>
      <c r="H434" s="20"/>
      <c r="I434" s="9">
        <v>3</v>
      </c>
      <c r="J434" s="9"/>
      <c r="K434" s="9"/>
      <c r="L434" s="9"/>
      <c r="M434" s="9">
        <f t="shared" si="56"/>
        <v>9</v>
      </c>
      <c r="N434" s="9">
        <f t="shared" si="57"/>
        <v>0</v>
      </c>
      <c r="O434" s="9">
        <v>3</v>
      </c>
      <c r="P434" s="9">
        <v>0</v>
      </c>
      <c r="Q434" s="9" t="s">
        <v>7</v>
      </c>
      <c r="R434" s="1">
        <v>0</v>
      </c>
      <c r="S434" s="26"/>
    </row>
    <row r="435" spans="1:19" ht="31.2" customHeight="1" x14ac:dyDescent="0.25">
      <c r="A435" s="9"/>
      <c r="B435" s="51" t="s">
        <v>57</v>
      </c>
      <c r="C435" s="52"/>
      <c r="D435" s="52"/>
      <c r="E435" s="52"/>
      <c r="F435" s="52"/>
      <c r="G435" s="53"/>
      <c r="H435" s="20"/>
      <c r="I435" s="9">
        <v>3</v>
      </c>
      <c r="J435" s="9"/>
      <c r="K435" s="9"/>
      <c r="L435" s="9"/>
      <c r="M435" s="9">
        <f t="shared" si="56"/>
        <v>20.399999999999999</v>
      </c>
      <c r="N435" s="9">
        <f t="shared" si="57"/>
        <v>7.5</v>
      </c>
      <c r="O435" s="9">
        <v>6.8</v>
      </c>
      <c r="P435" s="9">
        <v>2.5</v>
      </c>
      <c r="Q435" s="9" t="s">
        <v>5</v>
      </c>
      <c r="R435" s="1">
        <v>0</v>
      </c>
      <c r="S435" s="26"/>
    </row>
    <row r="436" spans="1:19" ht="16.5" customHeight="1" x14ac:dyDescent="0.25">
      <c r="A436" s="9"/>
      <c r="B436" s="51" t="s">
        <v>58</v>
      </c>
      <c r="C436" s="52"/>
      <c r="D436" s="52"/>
      <c r="E436" s="52"/>
      <c r="F436" s="52"/>
      <c r="G436" s="53"/>
      <c r="H436" s="20"/>
      <c r="I436" s="9">
        <v>1</v>
      </c>
      <c r="J436" s="9"/>
      <c r="K436" s="9"/>
      <c r="L436" s="9"/>
      <c r="M436" s="9">
        <f t="shared" si="56"/>
        <v>7.4</v>
      </c>
      <c r="N436" s="9">
        <f t="shared" si="57"/>
        <v>3</v>
      </c>
      <c r="O436" s="9">
        <v>7.4</v>
      </c>
      <c r="P436" s="9">
        <v>3</v>
      </c>
      <c r="Q436" s="9" t="s">
        <v>6</v>
      </c>
      <c r="R436" s="1">
        <v>0</v>
      </c>
      <c r="S436" s="26"/>
    </row>
    <row r="437" spans="1:19" ht="16.5" customHeight="1" x14ac:dyDescent="0.25">
      <c r="A437" s="9"/>
      <c r="B437" s="51" t="s">
        <v>59</v>
      </c>
      <c r="C437" s="52"/>
      <c r="D437" s="52"/>
      <c r="E437" s="52"/>
      <c r="F437" s="52"/>
      <c r="G437" s="53"/>
      <c r="H437" s="20"/>
      <c r="I437" s="9">
        <v>1</v>
      </c>
      <c r="J437" s="9"/>
      <c r="K437" s="9"/>
      <c r="L437" s="9"/>
      <c r="M437" s="9">
        <f t="shared" si="56"/>
        <v>6.2</v>
      </c>
      <c r="N437" s="9">
        <f t="shared" si="57"/>
        <v>2</v>
      </c>
      <c r="O437" s="9">
        <v>6.2</v>
      </c>
      <c r="P437" s="9">
        <v>2</v>
      </c>
      <c r="Q437" s="9" t="s">
        <v>3</v>
      </c>
      <c r="R437" s="1">
        <v>0</v>
      </c>
      <c r="S437" s="26"/>
    </row>
    <row r="438" spans="1:19" ht="16.5" customHeight="1" x14ac:dyDescent="0.25">
      <c r="A438" s="9"/>
      <c r="B438" s="51" t="s">
        <v>60</v>
      </c>
      <c r="C438" s="52"/>
      <c r="D438" s="52"/>
      <c r="E438" s="52"/>
      <c r="F438" s="52"/>
      <c r="G438" s="53"/>
      <c r="H438" s="20"/>
      <c r="I438" s="9">
        <v>3</v>
      </c>
      <c r="J438" s="9"/>
      <c r="K438" s="9"/>
      <c r="L438" s="9"/>
      <c r="M438" s="9">
        <f t="shared" si="56"/>
        <v>23.700000000000003</v>
      </c>
      <c r="N438" s="9">
        <f t="shared" si="57"/>
        <v>9</v>
      </c>
      <c r="O438" s="9">
        <v>7.9</v>
      </c>
      <c r="P438" s="9">
        <v>3</v>
      </c>
      <c r="Q438" s="9" t="s">
        <v>6</v>
      </c>
      <c r="R438" s="1">
        <v>0</v>
      </c>
      <c r="S438" s="26"/>
    </row>
    <row r="439" spans="1:19" ht="16.5" customHeight="1" x14ac:dyDescent="0.25">
      <c r="A439" s="9"/>
      <c r="B439" s="51" t="s">
        <v>61</v>
      </c>
      <c r="C439" s="52"/>
      <c r="D439" s="52"/>
      <c r="E439" s="52"/>
      <c r="F439" s="52"/>
      <c r="G439" s="53"/>
      <c r="H439" s="20"/>
      <c r="I439" s="9">
        <v>1</v>
      </c>
      <c r="J439" s="9"/>
      <c r="K439" s="9"/>
      <c r="L439" s="9"/>
      <c r="M439" s="9">
        <f t="shared" si="56"/>
        <v>6.9</v>
      </c>
      <c r="N439" s="9">
        <f t="shared" si="57"/>
        <v>2.5</v>
      </c>
      <c r="O439" s="9">
        <v>6.9</v>
      </c>
      <c r="P439" s="9">
        <v>2.5</v>
      </c>
      <c r="Q439" s="9" t="s">
        <v>5</v>
      </c>
      <c r="R439" s="1">
        <v>0</v>
      </c>
      <c r="S439" s="26"/>
    </row>
    <row r="440" spans="1:19" ht="16.5" hidden="1" customHeight="1" x14ac:dyDescent="0.25">
      <c r="A440" s="21"/>
      <c r="H440" s="21"/>
      <c r="I440" s="21"/>
      <c r="J440" s="21"/>
      <c r="K440" s="21"/>
      <c r="L440" s="21"/>
      <c r="M440" s="9">
        <f t="shared" si="56"/>
        <v>0</v>
      </c>
      <c r="N440" s="9">
        <f t="shared" si="57"/>
        <v>0</v>
      </c>
      <c r="O440" s="21"/>
      <c r="P440" s="21"/>
      <c r="Q440" s="21"/>
      <c r="S440" s="25"/>
    </row>
    <row r="441" spans="1:19" ht="16.5" customHeight="1" x14ac:dyDescent="0.25">
      <c r="A441" s="9"/>
      <c r="B441" s="39" t="s">
        <v>42</v>
      </c>
      <c r="C441" s="40"/>
      <c r="D441" s="40"/>
      <c r="E441" s="40"/>
      <c r="F441" s="40"/>
      <c r="G441" s="41"/>
      <c r="H441" s="23"/>
      <c r="I441" s="24">
        <f>SUM(I433:I440)</f>
        <v>14</v>
      </c>
      <c r="J441" s="9"/>
      <c r="K441" s="9"/>
      <c r="L441" s="9"/>
      <c r="M441" s="9">
        <f t="shared" si="56"/>
        <v>87.78</v>
      </c>
      <c r="N441" s="9">
        <f t="shared" si="57"/>
        <v>29.96</v>
      </c>
      <c r="O441" s="24">
        <f>ROUND(SUM(M433:M440)/I441,2)</f>
        <v>6.27</v>
      </c>
      <c r="P441" s="24">
        <f>ROUND(SUM(N433:N440)/I441,2)</f>
        <v>2.14</v>
      </c>
      <c r="Q441" s="9"/>
      <c r="S441" s="25"/>
    </row>
    <row r="442" spans="1:19" ht="20.25" customHeight="1" x14ac:dyDescent="0.25">
      <c r="A442" s="27" t="s">
        <v>62</v>
      </c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</row>
    <row r="443" spans="1:19" ht="16.5" customHeight="1" x14ac:dyDescent="0.25">
      <c r="A443" s="9"/>
      <c r="B443" s="51" t="s">
        <v>63</v>
      </c>
      <c r="C443" s="52"/>
      <c r="D443" s="52"/>
      <c r="E443" s="52"/>
      <c r="F443" s="52"/>
      <c r="G443" s="53"/>
      <c r="H443" s="20"/>
      <c r="I443" s="9">
        <v>4</v>
      </c>
      <c r="J443" s="9"/>
      <c r="K443" s="9"/>
      <c r="L443" s="9"/>
      <c r="M443" s="9">
        <f t="shared" ref="M443:M451" si="58">I443*O443</f>
        <v>24.8</v>
      </c>
      <c r="N443" s="9">
        <f t="shared" ref="N443:N451" si="59">I443*P443</f>
        <v>8</v>
      </c>
      <c r="O443" s="9">
        <v>6.2</v>
      </c>
      <c r="P443" s="9">
        <v>2</v>
      </c>
      <c r="Q443" s="9" t="s">
        <v>3</v>
      </c>
      <c r="R443" s="1">
        <v>0</v>
      </c>
      <c r="S443" s="26"/>
    </row>
    <row r="444" spans="1:19" ht="16.5" customHeight="1" x14ac:dyDescent="0.25">
      <c r="A444" s="9"/>
      <c r="B444" s="51" t="s">
        <v>64</v>
      </c>
      <c r="C444" s="52"/>
      <c r="D444" s="52"/>
      <c r="E444" s="52"/>
      <c r="F444" s="52"/>
      <c r="G444" s="53"/>
      <c r="H444" s="20"/>
      <c r="I444" s="9">
        <v>4</v>
      </c>
      <c r="J444" s="9"/>
      <c r="K444" s="9"/>
      <c r="L444" s="9"/>
      <c r="M444" s="9">
        <f t="shared" si="58"/>
        <v>27.2</v>
      </c>
      <c r="N444" s="9">
        <f t="shared" si="59"/>
        <v>10</v>
      </c>
      <c r="O444" s="9">
        <v>6.8</v>
      </c>
      <c r="P444" s="9">
        <v>2.5</v>
      </c>
      <c r="Q444" s="9" t="s">
        <v>5</v>
      </c>
      <c r="R444" s="1">
        <v>0</v>
      </c>
      <c r="S444" s="26"/>
    </row>
    <row r="445" spans="1:19" ht="16.5" customHeight="1" x14ac:dyDescent="0.25">
      <c r="A445" s="9"/>
      <c r="B445" s="51" t="s">
        <v>65</v>
      </c>
      <c r="C445" s="52"/>
      <c r="D445" s="52"/>
      <c r="E445" s="52"/>
      <c r="F445" s="52"/>
      <c r="G445" s="53"/>
      <c r="H445" s="20"/>
      <c r="I445" s="9">
        <v>4</v>
      </c>
      <c r="J445" s="9"/>
      <c r="K445" s="9"/>
      <c r="L445" s="9"/>
      <c r="M445" s="9">
        <f t="shared" si="58"/>
        <v>29.2</v>
      </c>
      <c r="N445" s="9">
        <f t="shared" si="59"/>
        <v>12</v>
      </c>
      <c r="O445" s="9">
        <v>7.3</v>
      </c>
      <c r="P445" s="9">
        <v>3</v>
      </c>
      <c r="Q445" s="9" t="s">
        <v>6</v>
      </c>
      <c r="R445" s="1">
        <v>0</v>
      </c>
      <c r="S445" s="26"/>
    </row>
    <row r="446" spans="1:19" ht="16.5" customHeight="1" x14ac:dyDescent="0.25">
      <c r="A446" s="9"/>
      <c r="B446" s="51" t="s">
        <v>66</v>
      </c>
      <c r="C446" s="52"/>
      <c r="D446" s="52"/>
      <c r="E446" s="52"/>
      <c r="F446" s="52"/>
      <c r="G446" s="53"/>
      <c r="H446" s="20"/>
      <c r="I446" s="9">
        <v>1</v>
      </c>
      <c r="J446" s="9"/>
      <c r="K446" s="9"/>
      <c r="L446" s="9"/>
      <c r="M446" s="9">
        <f t="shared" si="58"/>
        <v>8</v>
      </c>
      <c r="N446" s="9">
        <f t="shared" si="59"/>
        <v>3.5</v>
      </c>
      <c r="O446" s="9">
        <v>8</v>
      </c>
      <c r="P446" s="9">
        <v>3.5</v>
      </c>
      <c r="Q446" s="9" t="s">
        <v>9</v>
      </c>
      <c r="R446" s="1">
        <v>0</v>
      </c>
      <c r="S446" s="26"/>
    </row>
    <row r="447" spans="1:19" ht="16.5" customHeight="1" x14ac:dyDescent="0.25">
      <c r="A447" s="9"/>
      <c r="B447" s="51" t="s">
        <v>67</v>
      </c>
      <c r="C447" s="52"/>
      <c r="D447" s="52"/>
      <c r="E447" s="52"/>
      <c r="F447" s="52"/>
      <c r="G447" s="53"/>
      <c r="H447" s="20"/>
      <c r="I447" s="9">
        <v>1</v>
      </c>
      <c r="J447" s="9"/>
      <c r="K447" s="9"/>
      <c r="L447" s="9"/>
      <c r="M447" s="9">
        <f t="shared" si="58"/>
        <v>8</v>
      </c>
      <c r="N447" s="9">
        <f t="shared" si="59"/>
        <v>3.5</v>
      </c>
      <c r="O447" s="9">
        <v>8</v>
      </c>
      <c r="P447" s="9">
        <v>3.5</v>
      </c>
      <c r="Q447" s="9" t="s">
        <v>9</v>
      </c>
      <c r="R447" s="1">
        <v>0</v>
      </c>
      <c r="S447" s="26"/>
    </row>
    <row r="448" spans="1:19" ht="16.5" customHeight="1" x14ac:dyDescent="0.25">
      <c r="A448" s="9"/>
      <c r="B448" s="51" t="s">
        <v>68</v>
      </c>
      <c r="C448" s="52"/>
      <c r="D448" s="52"/>
      <c r="E448" s="52"/>
      <c r="F448" s="52"/>
      <c r="G448" s="53"/>
      <c r="H448" s="20"/>
      <c r="I448" s="9">
        <v>1</v>
      </c>
      <c r="J448" s="9"/>
      <c r="K448" s="9"/>
      <c r="L448" s="9"/>
      <c r="M448" s="9">
        <f t="shared" si="58"/>
        <v>7.6</v>
      </c>
      <c r="N448" s="9">
        <f t="shared" si="59"/>
        <v>3</v>
      </c>
      <c r="O448" s="9">
        <v>7.6</v>
      </c>
      <c r="P448" s="9">
        <v>3</v>
      </c>
      <c r="Q448" s="9" t="s">
        <v>6</v>
      </c>
      <c r="R448" s="1">
        <v>0</v>
      </c>
      <c r="S448" s="26"/>
    </row>
    <row r="449" spans="1:19" ht="16.5" customHeight="1" x14ac:dyDescent="0.25">
      <c r="A449" s="9"/>
      <c r="B449" s="51" t="s">
        <v>69</v>
      </c>
      <c r="C449" s="52"/>
      <c r="D449" s="52"/>
      <c r="E449" s="52"/>
      <c r="F449" s="52"/>
      <c r="G449" s="53"/>
      <c r="H449" s="20"/>
      <c r="I449" s="9">
        <v>1</v>
      </c>
      <c r="J449" s="9"/>
      <c r="K449" s="9"/>
      <c r="L449" s="9"/>
      <c r="M449" s="9">
        <f t="shared" si="58"/>
        <v>7.6</v>
      </c>
      <c r="N449" s="9">
        <f t="shared" si="59"/>
        <v>3</v>
      </c>
      <c r="O449" s="9">
        <v>7.6</v>
      </c>
      <c r="P449" s="9">
        <v>3</v>
      </c>
      <c r="Q449" s="9" t="s">
        <v>6</v>
      </c>
      <c r="R449" s="1">
        <v>0</v>
      </c>
      <c r="S449" s="26"/>
    </row>
    <row r="450" spans="1:19" ht="16.5" hidden="1" customHeight="1" x14ac:dyDescent="0.25">
      <c r="A450" s="21"/>
      <c r="H450" s="21"/>
      <c r="I450" s="21"/>
      <c r="J450" s="21"/>
      <c r="K450" s="21"/>
      <c r="L450" s="21"/>
      <c r="M450" s="9">
        <f t="shared" si="58"/>
        <v>0</v>
      </c>
      <c r="N450" s="9">
        <f t="shared" si="59"/>
        <v>0</v>
      </c>
      <c r="O450" s="21"/>
      <c r="P450" s="21"/>
      <c r="Q450" s="21"/>
      <c r="S450" s="25"/>
    </row>
    <row r="451" spans="1:19" ht="16.5" customHeight="1" x14ac:dyDescent="0.25">
      <c r="A451" s="9"/>
      <c r="B451" s="39" t="s">
        <v>42</v>
      </c>
      <c r="C451" s="40"/>
      <c r="D451" s="40"/>
      <c r="E451" s="40"/>
      <c r="F451" s="40"/>
      <c r="G451" s="41"/>
      <c r="H451" s="23"/>
      <c r="I451" s="24">
        <f>SUM(I443:I450)</f>
        <v>16</v>
      </c>
      <c r="J451" s="9"/>
      <c r="K451" s="9"/>
      <c r="L451" s="9"/>
      <c r="M451" s="9">
        <f t="shared" si="58"/>
        <v>112.48</v>
      </c>
      <c r="N451" s="9">
        <f t="shared" si="59"/>
        <v>43.04</v>
      </c>
      <c r="O451" s="24">
        <f>ROUND(SUM(M443:M450)/I451,2)</f>
        <v>7.03</v>
      </c>
      <c r="P451" s="24">
        <f>ROUND(SUM(N443:N450)/I451,2)</f>
        <v>2.69</v>
      </c>
      <c r="Q451" s="9"/>
      <c r="S451" s="25"/>
    </row>
    <row r="452" spans="1:19" ht="20.25" customHeight="1" x14ac:dyDescent="0.25">
      <c r="A452" s="27" t="s">
        <v>145</v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</row>
    <row r="453" spans="1:19" ht="16.5" customHeight="1" x14ac:dyDescent="0.25">
      <c r="A453" s="9"/>
      <c r="B453" s="51" t="s">
        <v>56</v>
      </c>
      <c r="C453" s="52"/>
      <c r="D453" s="52"/>
      <c r="E453" s="52"/>
      <c r="F453" s="52"/>
      <c r="G453" s="53"/>
      <c r="H453" s="20"/>
      <c r="I453" s="9">
        <v>3</v>
      </c>
      <c r="J453" s="9"/>
      <c r="K453" s="9"/>
      <c r="L453" s="9"/>
      <c r="M453" s="9">
        <f>I453*O453</f>
        <v>14.100000000000001</v>
      </c>
      <c r="N453" s="9">
        <f>I453*P453</f>
        <v>3</v>
      </c>
      <c r="O453" s="9">
        <v>4.7</v>
      </c>
      <c r="P453" s="9">
        <v>1</v>
      </c>
      <c r="Q453" s="9" t="s">
        <v>8</v>
      </c>
      <c r="R453" s="1">
        <v>6</v>
      </c>
      <c r="S453" s="26" t="s">
        <v>132</v>
      </c>
    </row>
    <row r="454" spans="1:19" ht="16.5" hidden="1" customHeight="1" x14ac:dyDescent="0.25">
      <c r="A454" s="21"/>
      <c r="H454" s="21"/>
      <c r="I454" s="21"/>
      <c r="J454" s="21"/>
      <c r="K454" s="21"/>
      <c r="L454" s="21"/>
      <c r="M454" s="9">
        <f>I454*O454</f>
        <v>0</v>
      </c>
      <c r="N454" s="9">
        <f>I454*P454</f>
        <v>0</v>
      </c>
      <c r="O454" s="21"/>
      <c r="P454" s="21"/>
      <c r="Q454" s="21"/>
      <c r="S454" s="25"/>
    </row>
    <row r="455" spans="1:19" ht="16.5" customHeight="1" x14ac:dyDescent="0.25">
      <c r="A455" s="9"/>
      <c r="B455" s="39" t="s">
        <v>42</v>
      </c>
      <c r="C455" s="40"/>
      <c r="D455" s="40"/>
      <c r="E455" s="40"/>
      <c r="F455" s="40"/>
      <c r="G455" s="41"/>
      <c r="H455" s="23"/>
      <c r="I455" s="24">
        <f>SUM(I453:I454)</f>
        <v>3</v>
      </c>
      <c r="J455" s="9"/>
      <c r="K455" s="9"/>
      <c r="L455" s="9"/>
      <c r="M455" s="9">
        <f>I455*O455</f>
        <v>14.100000000000001</v>
      </c>
      <c r="N455" s="9">
        <f>I455*P455</f>
        <v>3</v>
      </c>
      <c r="O455" s="24">
        <f>ROUND(SUM(M453:M454)/I455,2)</f>
        <v>4.7</v>
      </c>
      <c r="P455" s="24">
        <f>ROUND(SUM(N453:N454)/I455,2)</f>
        <v>1</v>
      </c>
      <c r="Q455" s="9"/>
      <c r="S455" s="25"/>
    </row>
    <row r="456" spans="1:19" ht="20.25" customHeight="1" x14ac:dyDescent="0.25">
      <c r="A456" s="27" t="s">
        <v>70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</row>
    <row r="457" spans="1:19" ht="16.5" customHeight="1" x14ac:dyDescent="0.25">
      <c r="A457" s="9"/>
      <c r="B457" s="51" t="s">
        <v>71</v>
      </c>
      <c r="C457" s="52"/>
      <c r="D457" s="52"/>
      <c r="E457" s="52"/>
      <c r="F457" s="52"/>
      <c r="G457" s="53"/>
      <c r="H457" s="20"/>
      <c r="I457" s="9">
        <v>4</v>
      </c>
      <c r="J457" s="9"/>
      <c r="K457" s="9"/>
      <c r="L457" s="9"/>
      <c r="M457" s="9">
        <f t="shared" ref="M457:M465" si="60">I457*O457</f>
        <v>30</v>
      </c>
      <c r="N457" s="9">
        <f t="shared" ref="N457:N465" si="61">I457*P457</f>
        <v>12</v>
      </c>
      <c r="O457" s="9">
        <v>7.5</v>
      </c>
      <c r="P457" s="9">
        <v>3</v>
      </c>
      <c r="Q457" s="9" t="s">
        <v>6</v>
      </c>
      <c r="R457" s="1">
        <v>0</v>
      </c>
      <c r="S457" s="26"/>
    </row>
    <row r="458" spans="1:19" ht="16.5" customHeight="1" x14ac:dyDescent="0.25">
      <c r="A458" s="9"/>
      <c r="B458" s="51" t="s">
        <v>74</v>
      </c>
      <c r="C458" s="52"/>
      <c r="D458" s="52"/>
      <c r="E458" s="52"/>
      <c r="F458" s="52"/>
      <c r="G458" s="53"/>
      <c r="H458" s="20"/>
      <c r="I458" s="9">
        <v>2</v>
      </c>
      <c r="J458" s="9"/>
      <c r="K458" s="9"/>
      <c r="L458" s="9"/>
      <c r="M458" s="9">
        <f t="shared" si="60"/>
        <v>15.2</v>
      </c>
      <c r="N458" s="9">
        <f t="shared" si="61"/>
        <v>6</v>
      </c>
      <c r="O458" s="9">
        <v>7.6</v>
      </c>
      <c r="P458" s="9">
        <v>3</v>
      </c>
      <c r="Q458" s="9" t="s">
        <v>6</v>
      </c>
      <c r="R458" s="1">
        <v>0</v>
      </c>
      <c r="S458" s="26"/>
    </row>
    <row r="459" spans="1:19" ht="16.5" customHeight="1" x14ac:dyDescent="0.25">
      <c r="A459" s="9"/>
      <c r="B459" s="51" t="s">
        <v>73</v>
      </c>
      <c r="C459" s="52"/>
      <c r="D459" s="52"/>
      <c r="E459" s="52"/>
      <c r="F459" s="52"/>
      <c r="G459" s="53"/>
      <c r="H459" s="20"/>
      <c r="I459" s="9">
        <v>1</v>
      </c>
      <c r="J459" s="9"/>
      <c r="K459" s="9"/>
      <c r="L459" s="9"/>
      <c r="M459" s="9">
        <f t="shared" si="60"/>
        <v>7.9</v>
      </c>
      <c r="N459" s="9">
        <f t="shared" si="61"/>
        <v>3</v>
      </c>
      <c r="O459" s="9">
        <v>7.9</v>
      </c>
      <c r="P459" s="9">
        <v>3</v>
      </c>
      <c r="Q459" s="9" t="s">
        <v>6</v>
      </c>
      <c r="R459" s="1">
        <v>0</v>
      </c>
      <c r="S459" s="26"/>
    </row>
    <row r="460" spans="1:19" ht="16.5" customHeight="1" x14ac:dyDescent="0.25">
      <c r="A460" s="9"/>
      <c r="B460" s="51" t="s">
        <v>72</v>
      </c>
      <c r="C460" s="52"/>
      <c r="D460" s="52"/>
      <c r="E460" s="52"/>
      <c r="F460" s="52"/>
      <c r="G460" s="53"/>
      <c r="H460" s="20"/>
      <c r="I460" s="9">
        <v>4</v>
      </c>
      <c r="J460" s="9"/>
      <c r="K460" s="9"/>
      <c r="L460" s="9"/>
      <c r="M460" s="9">
        <f t="shared" si="60"/>
        <v>29.2</v>
      </c>
      <c r="N460" s="9">
        <f t="shared" si="61"/>
        <v>12</v>
      </c>
      <c r="O460" s="9">
        <v>7.3</v>
      </c>
      <c r="P460" s="9">
        <v>3</v>
      </c>
      <c r="Q460" s="9" t="s">
        <v>6</v>
      </c>
      <c r="R460" s="1">
        <v>0</v>
      </c>
      <c r="S460" s="26"/>
    </row>
    <row r="461" spans="1:19" ht="16.5" customHeight="1" x14ac:dyDescent="0.25">
      <c r="A461" s="9"/>
      <c r="B461" s="51" t="s">
        <v>75</v>
      </c>
      <c r="C461" s="52"/>
      <c r="D461" s="52"/>
      <c r="E461" s="52"/>
      <c r="F461" s="52"/>
      <c r="G461" s="53"/>
      <c r="H461" s="20"/>
      <c r="I461" s="9">
        <v>1</v>
      </c>
      <c r="J461" s="9"/>
      <c r="K461" s="9"/>
      <c r="L461" s="9"/>
      <c r="M461" s="9">
        <f t="shared" si="60"/>
        <v>6.3</v>
      </c>
      <c r="N461" s="9">
        <f t="shared" si="61"/>
        <v>2</v>
      </c>
      <c r="O461" s="9">
        <v>6.3</v>
      </c>
      <c r="P461" s="9">
        <v>2</v>
      </c>
      <c r="Q461" s="9" t="s">
        <v>3</v>
      </c>
      <c r="R461" s="1">
        <v>0</v>
      </c>
      <c r="S461" s="26"/>
    </row>
    <row r="462" spans="1:19" ht="16.5" customHeight="1" x14ac:dyDescent="0.25">
      <c r="A462" s="9"/>
      <c r="B462" s="51" t="s">
        <v>77</v>
      </c>
      <c r="C462" s="52"/>
      <c r="D462" s="52"/>
      <c r="E462" s="52"/>
      <c r="F462" s="52"/>
      <c r="G462" s="53"/>
      <c r="H462" s="20"/>
      <c r="I462" s="9">
        <v>3</v>
      </c>
      <c r="J462" s="9"/>
      <c r="K462" s="9"/>
      <c r="L462" s="9"/>
      <c r="M462" s="9">
        <f t="shared" si="60"/>
        <v>22.799999999999997</v>
      </c>
      <c r="N462" s="9">
        <f t="shared" si="61"/>
        <v>9</v>
      </c>
      <c r="O462" s="9">
        <v>7.6</v>
      </c>
      <c r="P462" s="9">
        <v>3</v>
      </c>
      <c r="Q462" s="9" t="s">
        <v>6</v>
      </c>
      <c r="R462" s="1">
        <v>0</v>
      </c>
      <c r="S462" s="26"/>
    </row>
    <row r="463" spans="1:19" ht="16.5" customHeight="1" x14ac:dyDescent="0.25">
      <c r="A463" s="9"/>
      <c r="B463" s="51" t="s">
        <v>76</v>
      </c>
      <c r="C463" s="52"/>
      <c r="D463" s="52"/>
      <c r="E463" s="52"/>
      <c r="F463" s="52"/>
      <c r="G463" s="53"/>
      <c r="H463" s="20"/>
      <c r="I463" s="9">
        <v>4</v>
      </c>
      <c r="J463" s="9"/>
      <c r="K463" s="9"/>
      <c r="L463" s="9"/>
      <c r="M463" s="9">
        <f t="shared" si="60"/>
        <v>32.4</v>
      </c>
      <c r="N463" s="9">
        <f t="shared" si="61"/>
        <v>14</v>
      </c>
      <c r="O463" s="9">
        <v>8.1</v>
      </c>
      <c r="P463" s="9">
        <v>3.5</v>
      </c>
      <c r="Q463" s="9" t="s">
        <v>9</v>
      </c>
      <c r="R463" s="1">
        <v>0</v>
      </c>
      <c r="S463" s="26"/>
    </row>
    <row r="464" spans="1:19" ht="16.5" hidden="1" customHeight="1" x14ac:dyDescent="0.25">
      <c r="A464" s="21"/>
      <c r="H464" s="21"/>
      <c r="I464" s="21"/>
      <c r="J464" s="21"/>
      <c r="K464" s="21"/>
      <c r="L464" s="21"/>
      <c r="M464" s="9">
        <f t="shared" si="60"/>
        <v>0</v>
      </c>
      <c r="N464" s="9">
        <f t="shared" si="61"/>
        <v>0</v>
      </c>
      <c r="O464" s="21"/>
      <c r="P464" s="21"/>
      <c r="Q464" s="21"/>
      <c r="S464" s="25"/>
    </row>
    <row r="465" spans="1:19" ht="16.5" customHeight="1" x14ac:dyDescent="0.25">
      <c r="A465" s="9"/>
      <c r="B465" s="39" t="s">
        <v>42</v>
      </c>
      <c r="C465" s="40"/>
      <c r="D465" s="40"/>
      <c r="E465" s="40"/>
      <c r="F465" s="40"/>
      <c r="G465" s="41"/>
      <c r="H465" s="23"/>
      <c r="I465" s="24">
        <f>SUM(I457:I464)</f>
        <v>19</v>
      </c>
      <c r="J465" s="9"/>
      <c r="K465" s="9"/>
      <c r="L465" s="9"/>
      <c r="M465" s="9">
        <f t="shared" si="60"/>
        <v>143.83000000000001</v>
      </c>
      <c r="N465" s="9">
        <f t="shared" si="61"/>
        <v>57.949999999999996</v>
      </c>
      <c r="O465" s="24">
        <f>ROUND(SUM(M457:M464)/I465,2)</f>
        <v>7.57</v>
      </c>
      <c r="P465" s="24">
        <f>ROUND(SUM(N457:N464)/I465,2)</f>
        <v>3.05</v>
      </c>
      <c r="Q465" s="9"/>
      <c r="S465" s="25"/>
    </row>
    <row r="466" spans="1:19" ht="20.25" customHeight="1" x14ac:dyDescent="0.25">
      <c r="A466" s="27" t="s">
        <v>78</v>
      </c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</row>
    <row r="467" spans="1:19" ht="16.5" customHeight="1" x14ac:dyDescent="0.25">
      <c r="A467" s="9"/>
      <c r="B467" s="51" t="s">
        <v>79</v>
      </c>
      <c r="C467" s="52"/>
      <c r="D467" s="52"/>
      <c r="E467" s="52"/>
      <c r="F467" s="52"/>
      <c r="G467" s="53"/>
      <c r="H467" s="20"/>
      <c r="I467" s="9">
        <v>1</v>
      </c>
      <c r="J467" s="9"/>
      <c r="K467" s="9"/>
      <c r="L467" s="9"/>
      <c r="M467" s="9">
        <f>I467*O467</f>
        <v>8.5</v>
      </c>
      <c r="N467" s="9">
        <f>I467*P467</f>
        <v>3.7</v>
      </c>
      <c r="O467" s="9">
        <v>8.5</v>
      </c>
      <c r="P467" s="9">
        <v>3.7</v>
      </c>
      <c r="Q467" s="9" t="s">
        <v>10</v>
      </c>
      <c r="R467" s="1">
        <v>0</v>
      </c>
      <c r="S467" s="26"/>
    </row>
    <row r="468" spans="1:19" ht="16.5" customHeight="1" x14ac:dyDescent="0.25">
      <c r="A468" s="9"/>
      <c r="B468" s="51" t="s">
        <v>80</v>
      </c>
      <c r="C468" s="52"/>
      <c r="D468" s="52"/>
      <c r="E468" s="52"/>
      <c r="F468" s="52"/>
      <c r="G468" s="53"/>
      <c r="H468" s="20"/>
      <c r="I468" s="9">
        <v>3</v>
      </c>
      <c r="J468" s="9"/>
      <c r="K468" s="9"/>
      <c r="L468" s="9"/>
      <c r="M468" s="9">
        <f>I468*O468</f>
        <v>22.5</v>
      </c>
      <c r="N468" s="9">
        <f>I468*P468</f>
        <v>9</v>
      </c>
      <c r="O468" s="9">
        <v>7.5</v>
      </c>
      <c r="P468" s="9">
        <v>3</v>
      </c>
      <c r="Q468" s="9" t="s">
        <v>6</v>
      </c>
      <c r="R468" s="1">
        <v>0</v>
      </c>
      <c r="S468" s="26"/>
    </row>
    <row r="469" spans="1:19" ht="16.5" customHeight="1" x14ac:dyDescent="0.25">
      <c r="A469" s="9"/>
      <c r="B469" s="51" t="s">
        <v>81</v>
      </c>
      <c r="C469" s="52"/>
      <c r="D469" s="52"/>
      <c r="E469" s="52"/>
      <c r="F469" s="52"/>
      <c r="G469" s="53"/>
      <c r="H469" s="20"/>
      <c r="I469" s="9">
        <v>3</v>
      </c>
      <c r="J469" s="9"/>
      <c r="K469" s="9"/>
      <c r="L469" s="9"/>
      <c r="M469" s="9">
        <f>I469*O469</f>
        <v>22.799999999999997</v>
      </c>
      <c r="N469" s="9">
        <f>I469*P469</f>
        <v>9</v>
      </c>
      <c r="O469" s="9">
        <v>7.6</v>
      </c>
      <c r="P469" s="9">
        <v>3</v>
      </c>
      <c r="Q469" s="9" t="s">
        <v>6</v>
      </c>
      <c r="R469" s="1">
        <v>0</v>
      </c>
      <c r="S469" s="26"/>
    </row>
    <row r="470" spans="1:19" ht="15" customHeight="1" x14ac:dyDescent="0.25">
      <c r="A470" s="36" t="s">
        <v>0</v>
      </c>
      <c r="B470" s="29" t="s">
        <v>1</v>
      </c>
      <c r="C470" s="30"/>
      <c r="D470" s="30"/>
      <c r="E470" s="30"/>
      <c r="F470" s="30"/>
      <c r="G470" s="31"/>
      <c r="H470" s="36" t="s">
        <v>32</v>
      </c>
      <c r="I470" s="36" t="s">
        <v>39</v>
      </c>
      <c r="J470" s="55" t="s">
        <v>2</v>
      </c>
      <c r="K470" s="56"/>
      <c r="L470" s="56"/>
      <c r="M470" s="56"/>
      <c r="N470" s="56"/>
      <c r="O470" s="56"/>
      <c r="P470" s="56"/>
      <c r="Q470" s="57"/>
      <c r="S470" s="36" t="s">
        <v>38</v>
      </c>
    </row>
    <row r="471" spans="1:19" ht="24" customHeight="1" x14ac:dyDescent="0.25">
      <c r="A471" s="37"/>
      <c r="B471" s="32"/>
      <c r="C471" s="33"/>
      <c r="D471" s="33"/>
      <c r="E471" s="33"/>
      <c r="F471" s="33"/>
      <c r="G471" s="34"/>
      <c r="H471" s="37"/>
      <c r="I471" s="37"/>
      <c r="J471" s="7" t="s">
        <v>28</v>
      </c>
      <c r="K471" s="7" t="s">
        <v>29</v>
      </c>
      <c r="L471" s="7" t="s">
        <v>30</v>
      </c>
      <c r="M471" s="7"/>
      <c r="N471" s="7"/>
      <c r="O471" s="6" t="s">
        <v>35</v>
      </c>
      <c r="P471" s="6" t="s">
        <v>36</v>
      </c>
      <c r="Q471" s="6" t="s">
        <v>37</v>
      </c>
      <c r="S471" s="37"/>
    </row>
    <row r="472" spans="1:19" ht="16.5" customHeight="1" x14ac:dyDescent="0.25">
      <c r="A472" s="9"/>
      <c r="B472" s="51" t="s">
        <v>82</v>
      </c>
      <c r="C472" s="52"/>
      <c r="D472" s="52"/>
      <c r="E472" s="52"/>
      <c r="F472" s="52"/>
      <c r="G472" s="53"/>
      <c r="H472" s="20"/>
      <c r="I472" s="9">
        <v>2</v>
      </c>
      <c r="J472" s="9"/>
      <c r="K472" s="9"/>
      <c r="L472" s="9"/>
      <c r="M472" s="9">
        <f t="shared" ref="M472:M479" si="62">I472*O472</f>
        <v>15.4</v>
      </c>
      <c r="N472" s="9">
        <f t="shared" ref="N472:N479" si="63">I472*P472</f>
        <v>6</v>
      </c>
      <c r="O472" s="9">
        <v>7.7</v>
      </c>
      <c r="P472" s="9">
        <v>3</v>
      </c>
      <c r="Q472" s="9" t="s">
        <v>6</v>
      </c>
      <c r="R472" s="1">
        <v>0</v>
      </c>
      <c r="S472" s="26"/>
    </row>
    <row r="473" spans="1:19" ht="16.5" customHeight="1" x14ac:dyDescent="0.25">
      <c r="A473" s="9"/>
      <c r="B473" s="51" t="s">
        <v>83</v>
      </c>
      <c r="C473" s="52"/>
      <c r="D473" s="52"/>
      <c r="E473" s="52"/>
      <c r="F473" s="52"/>
      <c r="G473" s="53"/>
      <c r="H473" s="20"/>
      <c r="I473" s="9">
        <v>2</v>
      </c>
      <c r="J473" s="9"/>
      <c r="K473" s="9"/>
      <c r="L473" s="9"/>
      <c r="M473" s="9">
        <f t="shared" si="62"/>
        <v>15.2</v>
      </c>
      <c r="N473" s="9">
        <f t="shared" si="63"/>
        <v>6</v>
      </c>
      <c r="O473" s="9">
        <v>7.6</v>
      </c>
      <c r="P473" s="9">
        <v>3</v>
      </c>
      <c r="Q473" s="9" t="s">
        <v>6</v>
      </c>
      <c r="R473" s="1">
        <v>0</v>
      </c>
      <c r="S473" s="26"/>
    </row>
    <row r="474" spans="1:19" ht="16.5" customHeight="1" x14ac:dyDescent="0.25">
      <c r="A474" s="9"/>
      <c r="B474" s="51" t="s">
        <v>84</v>
      </c>
      <c r="C474" s="52"/>
      <c r="D474" s="52"/>
      <c r="E474" s="52"/>
      <c r="F474" s="52"/>
      <c r="G474" s="53"/>
      <c r="H474" s="20"/>
      <c r="I474" s="9">
        <v>3</v>
      </c>
      <c r="J474" s="9"/>
      <c r="K474" s="9"/>
      <c r="L474" s="9"/>
      <c r="M474" s="9">
        <f t="shared" si="62"/>
        <v>23.1</v>
      </c>
      <c r="N474" s="9">
        <f t="shared" si="63"/>
        <v>9</v>
      </c>
      <c r="O474" s="9">
        <v>7.7</v>
      </c>
      <c r="P474" s="9">
        <v>3</v>
      </c>
      <c r="Q474" s="9" t="s">
        <v>6</v>
      </c>
      <c r="R474" s="1">
        <v>0</v>
      </c>
      <c r="S474" s="26"/>
    </row>
    <row r="475" spans="1:19" ht="16.5" customHeight="1" x14ac:dyDescent="0.25">
      <c r="A475" s="9"/>
      <c r="B475" s="51" t="s">
        <v>85</v>
      </c>
      <c r="C475" s="52"/>
      <c r="D475" s="52"/>
      <c r="E475" s="52"/>
      <c r="F475" s="52"/>
      <c r="G475" s="53"/>
      <c r="H475" s="20"/>
      <c r="I475" s="9">
        <v>2</v>
      </c>
      <c r="J475" s="9"/>
      <c r="K475" s="9"/>
      <c r="L475" s="9"/>
      <c r="M475" s="9">
        <f t="shared" si="62"/>
        <v>14.2</v>
      </c>
      <c r="N475" s="9">
        <f t="shared" si="63"/>
        <v>6</v>
      </c>
      <c r="O475" s="9">
        <v>7.1</v>
      </c>
      <c r="P475" s="9">
        <v>3</v>
      </c>
      <c r="Q475" s="9" t="s">
        <v>6</v>
      </c>
      <c r="R475" s="1">
        <v>0</v>
      </c>
      <c r="S475" s="26"/>
    </row>
    <row r="476" spans="1:19" ht="16.5" customHeight="1" x14ac:dyDescent="0.25">
      <c r="A476" s="9"/>
      <c r="B476" s="51" t="s">
        <v>86</v>
      </c>
      <c r="C476" s="52"/>
      <c r="D476" s="52"/>
      <c r="E476" s="52"/>
      <c r="F476" s="52"/>
      <c r="G476" s="53"/>
      <c r="H476" s="20"/>
      <c r="I476" s="9">
        <v>3</v>
      </c>
      <c r="J476" s="9"/>
      <c r="K476" s="9"/>
      <c r="L476" s="9"/>
      <c r="M476" s="9">
        <f t="shared" si="62"/>
        <v>24.900000000000002</v>
      </c>
      <c r="N476" s="9">
        <f t="shared" si="63"/>
        <v>10.5</v>
      </c>
      <c r="O476" s="9">
        <v>8.3000000000000007</v>
      </c>
      <c r="P476" s="9">
        <v>3.5</v>
      </c>
      <c r="Q476" s="9" t="s">
        <v>9</v>
      </c>
      <c r="R476" s="1">
        <v>0</v>
      </c>
      <c r="S476" s="26"/>
    </row>
    <row r="477" spans="1:19" ht="16.5" customHeight="1" x14ac:dyDescent="0.25">
      <c r="A477" s="9"/>
      <c r="B477" s="51" t="s">
        <v>87</v>
      </c>
      <c r="C477" s="52"/>
      <c r="D477" s="52"/>
      <c r="E477" s="52"/>
      <c r="F477" s="52"/>
      <c r="G477" s="53"/>
      <c r="H477" s="20"/>
      <c r="I477" s="9">
        <v>3</v>
      </c>
      <c r="J477" s="9"/>
      <c r="K477" s="9"/>
      <c r="L477" s="9"/>
      <c r="M477" s="9">
        <f t="shared" si="62"/>
        <v>22.799999999999997</v>
      </c>
      <c r="N477" s="9">
        <f t="shared" si="63"/>
        <v>9</v>
      </c>
      <c r="O477" s="9">
        <v>7.6</v>
      </c>
      <c r="P477" s="9">
        <v>3</v>
      </c>
      <c r="Q477" s="9" t="s">
        <v>6</v>
      </c>
      <c r="R477" s="1">
        <v>0</v>
      </c>
      <c r="S477" s="26"/>
    </row>
    <row r="478" spans="1:19" ht="16.5" hidden="1" customHeight="1" x14ac:dyDescent="0.25">
      <c r="A478" s="21"/>
      <c r="H478" s="21"/>
      <c r="I478" s="21"/>
      <c r="J478" s="21"/>
      <c r="K478" s="21"/>
      <c r="L478" s="21"/>
      <c r="M478" s="9">
        <f t="shared" si="62"/>
        <v>0</v>
      </c>
      <c r="N478" s="9">
        <f t="shared" si="63"/>
        <v>0</v>
      </c>
      <c r="O478" s="21"/>
      <c r="P478" s="21"/>
      <c r="Q478" s="21"/>
      <c r="S478" s="25"/>
    </row>
    <row r="479" spans="1:19" ht="16.5" customHeight="1" x14ac:dyDescent="0.25">
      <c r="A479" s="9"/>
      <c r="B479" s="39" t="s">
        <v>42</v>
      </c>
      <c r="C479" s="40"/>
      <c r="D479" s="40"/>
      <c r="E479" s="40"/>
      <c r="F479" s="40"/>
      <c r="G479" s="41"/>
      <c r="H479" s="23"/>
      <c r="I479" s="24">
        <f>SUM(I467:I478)</f>
        <v>22</v>
      </c>
      <c r="J479" s="9"/>
      <c r="K479" s="9"/>
      <c r="L479" s="9"/>
      <c r="M479" s="9">
        <f t="shared" si="62"/>
        <v>169.4</v>
      </c>
      <c r="N479" s="9">
        <f t="shared" si="63"/>
        <v>68.2</v>
      </c>
      <c r="O479" s="24">
        <f>ROUND(SUM(M467:M478)/I479,2)</f>
        <v>7.7</v>
      </c>
      <c r="P479" s="24">
        <f>ROUND(SUM(N467:N478)/I479,2)</f>
        <v>3.1</v>
      </c>
      <c r="Q479" s="9"/>
      <c r="S479" s="25"/>
    </row>
    <row r="480" spans="1:19" ht="20.25" customHeight="1" x14ac:dyDescent="0.25">
      <c r="A480" s="27" t="s">
        <v>88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</row>
    <row r="481" spans="1:19" ht="16.5" customHeight="1" x14ac:dyDescent="0.25">
      <c r="A481" s="9"/>
      <c r="B481" s="51" t="s">
        <v>96</v>
      </c>
      <c r="C481" s="52"/>
      <c r="D481" s="52"/>
      <c r="E481" s="52"/>
      <c r="F481" s="52"/>
      <c r="G481" s="53"/>
      <c r="H481" s="20"/>
      <c r="I481" s="9">
        <v>3</v>
      </c>
      <c r="J481" s="9"/>
      <c r="K481" s="9"/>
      <c r="L481" s="9"/>
      <c r="M481" s="9">
        <f t="shared" ref="M481:M492" si="64">I481*O481</f>
        <v>27</v>
      </c>
      <c r="N481" s="9">
        <f t="shared" ref="N481:N492" si="65">I481*P481</f>
        <v>12</v>
      </c>
      <c r="O481" s="9">
        <v>9</v>
      </c>
      <c r="P481" s="9">
        <v>4</v>
      </c>
      <c r="Q481" s="9" t="s">
        <v>12</v>
      </c>
      <c r="R481" s="1">
        <v>0</v>
      </c>
      <c r="S481" s="26"/>
    </row>
    <row r="482" spans="1:19" ht="16.5" customHeight="1" x14ac:dyDescent="0.25">
      <c r="A482" s="9"/>
      <c r="B482" s="51" t="s">
        <v>90</v>
      </c>
      <c r="C482" s="52"/>
      <c r="D482" s="52"/>
      <c r="E482" s="52"/>
      <c r="F482" s="52"/>
      <c r="G482" s="53"/>
      <c r="H482" s="20"/>
      <c r="I482" s="9">
        <v>3</v>
      </c>
      <c r="J482" s="9"/>
      <c r="K482" s="9"/>
      <c r="L482" s="9"/>
      <c r="M482" s="9">
        <f t="shared" si="64"/>
        <v>24.599999999999998</v>
      </c>
      <c r="N482" s="9">
        <f t="shared" si="65"/>
        <v>10.5</v>
      </c>
      <c r="O482" s="9">
        <v>8.1999999999999993</v>
      </c>
      <c r="P482" s="9">
        <v>3.5</v>
      </c>
      <c r="Q482" s="9" t="s">
        <v>9</v>
      </c>
      <c r="R482" s="1">
        <v>0</v>
      </c>
      <c r="S482" s="26"/>
    </row>
    <row r="483" spans="1:19" ht="16.5" customHeight="1" x14ac:dyDescent="0.25">
      <c r="A483" s="9"/>
      <c r="B483" s="51" t="s">
        <v>91</v>
      </c>
      <c r="C483" s="52"/>
      <c r="D483" s="52"/>
      <c r="E483" s="52"/>
      <c r="F483" s="52"/>
      <c r="G483" s="53"/>
      <c r="H483" s="20"/>
      <c r="I483" s="9">
        <v>2</v>
      </c>
      <c r="J483" s="9"/>
      <c r="K483" s="9"/>
      <c r="L483" s="9"/>
      <c r="M483" s="9">
        <f t="shared" si="64"/>
        <v>16.2</v>
      </c>
      <c r="N483" s="9">
        <f t="shared" si="65"/>
        <v>7</v>
      </c>
      <c r="O483" s="9">
        <v>8.1</v>
      </c>
      <c r="P483" s="9">
        <v>3.5</v>
      </c>
      <c r="Q483" s="9" t="s">
        <v>9</v>
      </c>
      <c r="R483" s="1">
        <v>0</v>
      </c>
      <c r="S483" s="26"/>
    </row>
    <row r="484" spans="1:19" ht="16.5" customHeight="1" x14ac:dyDescent="0.25">
      <c r="A484" s="9"/>
      <c r="B484" s="51" t="s">
        <v>92</v>
      </c>
      <c r="C484" s="52"/>
      <c r="D484" s="52"/>
      <c r="E484" s="52"/>
      <c r="F484" s="52"/>
      <c r="G484" s="53"/>
      <c r="H484" s="20"/>
      <c r="I484" s="9">
        <v>3</v>
      </c>
      <c r="J484" s="9"/>
      <c r="K484" s="9"/>
      <c r="L484" s="9"/>
      <c r="M484" s="9">
        <f t="shared" si="64"/>
        <v>26.700000000000003</v>
      </c>
      <c r="N484" s="9">
        <f t="shared" si="65"/>
        <v>11.100000000000001</v>
      </c>
      <c r="O484" s="9">
        <v>8.9</v>
      </c>
      <c r="P484" s="9">
        <v>3.7</v>
      </c>
      <c r="Q484" s="9" t="s">
        <v>10</v>
      </c>
      <c r="R484" s="1">
        <v>0</v>
      </c>
      <c r="S484" s="26"/>
    </row>
    <row r="485" spans="1:19" ht="16.5" customHeight="1" x14ac:dyDescent="0.25">
      <c r="A485" s="9"/>
      <c r="B485" s="51" t="s">
        <v>93</v>
      </c>
      <c r="C485" s="52"/>
      <c r="D485" s="52"/>
      <c r="E485" s="52"/>
      <c r="F485" s="52"/>
      <c r="G485" s="53"/>
      <c r="H485" s="20"/>
      <c r="I485" s="9">
        <v>1</v>
      </c>
      <c r="J485" s="9"/>
      <c r="K485" s="9"/>
      <c r="L485" s="9"/>
      <c r="M485" s="9">
        <f t="shared" si="64"/>
        <v>7.6</v>
      </c>
      <c r="N485" s="9">
        <f t="shared" si="65"/>
        <v>3</v>
      </c>
      <c r="O485" s="9">
        <v>7.6</v>
      </c>
      <c r="P485" s="9">
        <v>3</v>
      </c>
      <c r="Q485" s="9" t="s">
        <v>6</v>
      </c>
      <c r="R485" s="1">
        <v>0</v>
      </c>
      <c r="S485" s="26"/>
    </row>
    <row r="486" spans="1:19" ht="16.5" customHeight="1" x14ac:dyDescent="0.25">
      <c r="A486" s="9"/>
      <c r="B486" s="51" t="s">
        <v>94</v>
      </c>
      <c r="C486" s="52"/>
      <c r="D486" s="52"/>
      <c r="E486" s="52"/>
      <c r="F486" s="52"/>
      <c r="G486" s="53"/>
      <c r="H486" s="20"/>
      <c r="I486" s="9">
        <v>1</v>
      </c>
      <c r="J486" s="9"/>
      <c r="K486" s="9"/>
      <c r="L486" s="9"/>
      <c r="M486" s="9">
        <f t="shared" si="64"/>
        <v>7.3</v>
      </c>
      <c r="N486" s="9">
        <f t="shared" si="65"/>
        <v>3</v>
      </c>
      <c r="O486" s="9">
        <v>7.3</v>
      </c>
      <c r="P486" s="9">
        <v>3</v>
      </c>
      <c r="Q486" s="9" t="s">
        <v>6</v>
      </c>
      <c r="R486" s="1">
        <v>0</v>
      </c>
      <c r="S486" s="26"/>
    </row>
    <row r="487" spans="1:19" ht="16.5" customHeight="1" x14ac:dyDescent="0.25">
      <c r="A487" s="9"/>
      <c r="B487" s="51" t="s">
        <v>97</v>
      </c>
      <c r="C487" s="52"/>
      <c r="D487" s="52"/>
      <c r="E487" s="52"/>
      <c r="F487" s="52"/>
      <c r="G487" s="53"/>
      <c r="H487" s="20"/>
      <c r="I487" s="9">
        <v>1</v>
      </c>
      <c r="J487" s="9"/>
      <c r="K487" s="9"/>
      <c r="L487" s="9"/>
      <c r="M487" s="9">
        <f t="shared" si="64"/>
        <v>8</v>
      </c>
      <c r="N487" s="9">
        <f t="shared" si="65"/>
        <v>3.5</v>
      </c>
      <c r="O487" s="9">
        <v>8</v>
      </c>
      <c r="P487" s="9">
        <v>3.5</v>
      </c>
      <c r="Q487" s="9" t="s">
        <v>9</v>
      </c>
      <c r="R487" s="1">
        <v>0</v>
      </c>
      <c r="S487" s="26"/>
    </row>
    <row r="488" spans="1:19" ht="16.5" customHeight="1" x14ac:dyDescent="0.25">
      <c r="A488" s="9"/>
      <c r="B488" s="51" t="s">
        <v>98</v>
      </c>
      <c r="C488" s="52"/>
      <c r="D488" s="52"/>
      <c r="E488" s="52"/>
      <c r="F488" s="52"/>
      <c r="G488" s="53"/>
      <c r="H488" s="20"/>
      <c r="I488" s="9">
        <v>3</v>
      </c>
      <c r="J488" s="9"/>
      <c r="K488" s="9"/>
      <c r="L488" s="9"/>
      <c r="M488" s="9">
        <f t="shared" si="64"/>
        <v>22.200000000000003</v>
      </c>
      <c r="N488" s="9">
        <f t="shared" si="65"/>
        <v>9</v>
      </c>
      <c r="O488" s="9">
        <v>7.4</v>
      </c>
      <c r="P488" s="9">
        <v>3</v>
      </c>
      <c r="Q488" s="9" t="s">
        <v>6</v>
      </c>
      <c r="R488" s="1">
        <v>0</v>
      </c>
      <c r="S488" s="26"/>
    </row>
    <row r="489" spans="1:19" ht="16.5" customHeight="1" x14ac:dyDescent="0.25">
      <c r="A489" s="9"/>
      <c r="B489" s="51" t="s">
        <v>95</v>
      </c>
      <c r="C489" s="52"/>
      <c r="D489" s="52"/>
      <c r="E489" s="52"/>
      <c r="F489" s="52"/>
      <c r="G489" s="53"/>
      <c r="H489" s="20"/>
      <c r="I489" s="9">
        <v>3</v>
      </c>
      <c r="J489" s="9"/>
      <c r="K489" s="9"/>
      <c r="L489" s="9"/>
      <c r="M489" s="9">
        <f t="shared" si="64"/>
        <v>26.400000000000002</v>
      </c>
      <c r="N489" s="9">
        <f t="shared" si="65"/>
        <v>11.100000000000001</v>
      </c>
      <c r="O489" s="9">
        <v>8.8000000000000007</v>
      </c>
      <c r="P489" s="9">
        <v>3.7</v>
      </c>
      <c r="Q489" s="9" t="s">
        <v>10</v>
      </c>
      <c r="R489" s="1">
        <v>0</v>
      </c>
      <c r="S489" s="26"/>
    </row>
    <row r="490" spans="1:19" ht="16.5" customHeight="1" x14ac:dyDescent="0.25">
      <c r="A490" s="9"/>
      <c r="B490" s="51" t="s">
        <v>89</v>
      </c>
      <c r="C490" s="52"/>
      <c r="D490" s="52"/>
      <c r="E490" s="52"/>
      <c r="F490" s="52"/>
      <c r="G490" s="53"/>
      <c r="H490" s="20"/>
      <c r="I490" s="9">
        <v>2</v>
      </c>
      <c r="J490" s="9"/>
      <c r="K490" s="9"/>
      <c r="L490" s="9"/>
      <c r="M490" s="9">
        <f t="shared" si="64"/>
        <v>17.2</v>
      </c>
      <c r="N490" s="9">
        <f t="shared" si="65"/>
        <v>7.4</v>
      </c>
      <c r="O490" s="9">
        <v>8.6</v>
      </c>
      <c r="P490" s="9">
        <v>3.7</v>
      </c>
      <c r="Q490" s="9" t="s">
        <v>10</v>
      </c>
      <c r="R490" s="1">
        <v>0</v>
      </c>
      <c r="S490" s="26"/>
    </row>
    <row r="491" spans="1:19" ht="16.5" hidden="1" customHeight="1" x14ac:dyDescent="0.25">
      <c r="A491" s="21"/>
      <c r="H491" s="21"/>
      <c r="I491" s="21"/>
      <c r="J491" s="21"/>
      <c r="K491" s="21"/>
      <c r="L491" s="21"/>
      <c r="M491" s="9">
        <f t="shared" si="64"/>
        <v>0</v>
      </c>
      <c r="N491" s="9">
        <f t="shared" si="65"/>
        <v>0</v>
      </c>
      <c r="O491" s="21"/>
      <c r="P491" s="21"/>
      <c r="Q491" s="21"/>
      <c r="S491" s="25"/>
    </row>
    <row r="492" spans="1:19" ht="16.5" customHeight="1" x14ac:dyDescent="0.25">
      <c r="A492" s="9"/>
      <c r="B492" s="39" t="s">
        <v>42</v>
      </c>
      <c r="C492" s="40"/>
      <c r="D492" s="40"/>
      <c r="E492" s="40"/>
      <c r="F492" s="40"/>
      <c r="G492" s="41"/>
      <c r="H492" s="23"/>
      <c r="I492" s="24">
        <f>SUM(I481:I491)</f>
        <v>22</v>
      </c>
      <c r="J492" s="9"/>
      <c r="K492" s="9"/>
      <c r="L492" s="9"/>
      <c r="M492" s="9">
        <f t="shared" si="64"/>
        <v>183.26</v>
      </c>
      <c r="N492" s="9">
        <f t="shared" si="65"/>
        <v>77.66</v>
      </c>
      <c r="O492" s="24">
        <f>ROUND(SUM(M481:M491)/I492,2)</f>
        <v>8.33</v>
      </c>
      <c r="P492" s="24">
        <f>ROUND(SUM(N481:N491)/I492,2)</f>
        <v>3.53</v>
      </c>
      <c r="Q492" s="9"/>
      <c r="S492" s="25"/>
    </row>
    <row r="493" spans="1:19" ht="20.25" customHeight="1" x14ac:dyDescent="0.25">
      <c r="A493" s="27" t="s">
        <v>99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</row>
    <row r="494" spans="1:19" ht="16.5" customHeight="1" x14ac:dyDescent="0.25">
      <c r="A494" s="9"/>
      <c r="B494" s="51" t="s">
        <v>100</v>
      </c>
      <c r="C494" s="52"/>
      <c r="D494" s="52"/>
      <c r="E494" s="52"/>
      <c r="F494" s="52"/>
      <c r="G494" s="53"/>
      <c r="H494" s="20"/>
      <c r="I494" s="9">
        <v>2</v>
      </c>
      <c r="J494" s="9"/>
      <c r="K494" s="9"/>
      <c r="L494" s="9"/>
      <c r="M494" s="9">
        <f t="shared" ref="M494:M507" si="66">I494*O494</f>
        <v>16.2</v>
      </c>
      <c r="N494" s="9">
        <f t="shared" ref="N494:N507" si="67">I494*P494</f>
        <v>7</v>
      </c>
      <c r="O494" s="9">
        <v>8.1</v>
      </c>
      <c r="P494" s="9">
        <v>3.5</v>
      </c>
      <c r="Q494" s="9" t="s">
        <v>9</v>
      </c>
      <c r="R494" s="1">
        <v>0</v>
      </c>
      <c r="S494" s="26"/>
    </row>
    <row r="495" spans="1:19" ht="16.5" customHeight="1" x14ac:dyDescent="0.25">
      <c r="A495" s="9"/>
      <c r="B495" s="51" t="s">
        <v>101</v>
      </c>
      <c r="C495" s="52"/>
      <c r="D495" s="52"/>
      <c r="E495" s="52"/>
      <c r="F495" s="52"/>
      <c r="G495" s="53"/>
      <c r="H495" s="20"/>
      <c r="I495" s="9">
        <v>2</v>
      </c>
      <c r="J495" s="9"/>
      <c r="K495" s="9"/>
      <c r="L495" s="9"/>
      <c r="M495" s="9">
        <f t="shared" si="66"/>
        <v>14.4</v>
      </c>
      <c r="N495" s="9">
        <f t="shared" si="67"/>
        <v>6</v>
      </c>
      <c r="O495" s="9">
        <v>7.2</v>
      </c>
      <c r="P495" s="9">
        <v>3</v>
      </c>
      <c r="Q495" s="9" t="s">
        <v>6</v>
      </c>
      <c r="R495" s="1">
        <v>0</v>
      </c>
      <c r="S495" s="26"/>
    </row>
    <row r="496" spans="1:19" ht="16.5" customHeight="1" x14ac:dyDescent="0.25">
      <c r="A496" s="9"/>
      <c r="B496" s="51" t="s">
        <v>102</v>
      </c>
      <c r="C496" s="52"/>
      <c r="D496" s="52"/>
      <c r="E496" s="52"/>
      <c r="F496" s="52"/>
      <c r="G496" s="53"/>
      <c r="H496" s="20"/>
      <c r="I496" s="9">
        <v>1</v>
      </c>
      <c r="J496" s="9"/>
      <c r="K496" s="9"/>
      <c r="L496" s="9"/>
      <c r="M496" s="9">
        <f t="shared" si="66"/>
        <v>7.8</v>
      </c>
      <c r="N496" s="9">
        <f t="shared" si="67"/>
        <v>3</v>
      </c>
      <c r="O496" s="9">
        <v>7.8</v>
      </c>
      <c r="P496" s="9">
        <v>3</v>
      </c>
      <c r="Q496" s="9" t="s">
        <v>6</v>
      </c>
      <c r="R496" s="1">
        <v>0</v>
      </c>
      <c r="S496" s="26"/>
    </row>
    <row r="497" spans="1:19" ht="16.5" customHeight="1" x14ac:dyDescent="0.25">
      <c r="A497" s="9"/>
      <c r="B497" s="51" t="s">
        <v>103</v>
      </c>
      <c r="C497" s="52"/>
      <c r="D497" s="52"/>
      <c r="E497" s="52"/>
      <c r="F497" s="52"/>
      <c r="G497" s="53"/>
      <c r="H497" s="20"/>
      <c r="I497" s="9">
        <v>2</v>
      </c>
      <c r="J497" s="9"/>
      <c r="K497" s="9"/>
      <c r="L497" s="9"/>
      <c r="M497" s="9">
        <f t="shared" si="66"/>
        <v>15.8</v>
      </c>
      <c r="N497" s="9">
        <f t="shared" si="67"/>
        <v>6</v>
      </c>
      <c r="O497" s="9">
        <v>7.9</v>
      </c>
      <c r="P497" s="9">
        <v>3</v>
      </c>
      <c r="Q497" s="9" t="s">
        <v>6</v>
      </c>
      <c r="R497" s="1">
        <v>0</v>
      </c>
      <c r="S497" s="26"/>
    </row>
    <row r="498" spans="1:19" ht="16.5" customHeight="1" x14ac:dyDescent="0.25">
      <c r="A498" s="9"/>
      <c r="B498" s="51" t="s">
        <v>104</v>
      </c>
      <c r="C498" s="52"/>
      <c r="D498" s="52"/>
      <c r="E498" s="52"/>
      <c r="F498" s="52"/>
      <c r="G498" s="53"/>
      <c r="H498" s="20"/>
      <c r="I498" s="9">
        <v>3</v>
      </c>
      <c r="J498" s="9"/>
      <c r="K498" s="9"/>
      <c r="L498" s="9"/>
      <c r="M498" s="9">
        <f t="shared" si="66"/>
        <v>25.5</v>
      </c>
      <c r="N498" s="9">
        <f t="shared" si="67"/>
        <v>11.100000000000001</v>
      </c>
      <c r="O498" s="9">
        <v>8.5</v>
      </c>
      <c r="P498" s="9">
        <v>3.7</v>
      </c>
      <c r="Q498" s="9" t="s">
        <v>10</v>
      </c>
      <c r="R498" s="1">
        <v>0</v>
      </c>
      <c r="S498" s="26"/>
    </row>
    <row r="499" spans="1:19" ht="16.5" customHeight="1" x14ac:dyDescent="0.25">
      <c r="A499" s="9"/>
      <c r="B499" s="51" t="s">
        <v>105</v>
      </c>
      <c r="C499" s="52"/>
      <c r="D499" s="52"/>
      <c r="E499" s="52"/>
      <c r="F499" s="52"/>
      <c r="G499" s="53"/>
      <c r="H499" s="20"/>
      <c r="I499" s="9">
        <v>3</v>
      </c>
      <c r="J499" s="9"/>
      <c r="K499" s="9"/>
      <c r="L499" s="9"/>
      <c r="M499" s="9">
        <f t="shared" si="66"/>
        <v>24.900000000000002</v>
      </c>
      <c r="N499" s="9">
        <f t="shared" si="67"/>
        <v>10.5</v>
      </c>
      <c r="O499" s="9">
        <v>8.3000000000000007</v>
      </c>
      <c r="P499" s="9">
        <v>3.5</v>
      </c>
      <c r="Q499" s="9" t="s">
        <v>9</v>
      </c>
      <c r="R499" s="1">
        <v>0</v>
      </c>
      <c r="S499" s="26"/>
    </row>
    <row r="500" spans="1:19" ht="16.5" customHeight="1" x14ac:dyDescent="0.25">
      <c r="A500" s="9"/>
      <c r="B500" s="51" t="s">
        <v>106</v>
      </c>
      <c r="C500" s="52"/>
      <c r="D500" s="52"/>
      <c r="E500" s="52"/>
      <c r="F500" s="52"/>
      <c r="G500" s="53"/>
      <c r="H500" s="20"/>
      <c r="I500" s="9">
        <v>2</v>
      </c>
      <c r="J500" s="9"/>
      <c r="K500" s="9"/>
      <c r="L500" s="9"/>
      <c r="M500" s="9">
        <f t="shared" si="66"/>
        <v>14.6</v>
      </c>
      <c r="N500" s="9">
        <f t="shared" si="67"/>
        <v>6</v>
      </c>
      <c r="O500" s="9">
        <v>7.3</v>
      </c>
      <c r="P500" s="9">
        <v>3</v>
      </c>
      <c r="Q500" s="9" t="s">
        <v>6</v>
      </c>
      <c r="R500" s="1">
        <v>0</v>
      </c>
      <c r="S500" s="26"/>
    </row>
    <row r="501" spans="1:19" ht="16.5" customHeight="1" x14ac:dyDescent="0.25">
      <c r="A501" s="9"/>
      <c r="B501" s="51" t="s">
        <v>107</v>
      </c>
      <c r="C501" s="52"/>
      <c r="D501" s="52"/>
      <c r="E501" s="52"/>
      <c r="F501" s="52"/>
      <c r="G501" s="53"/>
      <c r="H501" s="20"/>
      <c r="I501" s="9">
        <v>3</v>
      </c>
      <c r="J501" s="9"/>
      <c r="K501" s="9"/>
      <c r="L501" s="9"/>
      <c r="M501" s="9">
        <f t="shared" si="66"/>
        <v>29.700000000000003</v>
      </c>
      <c r="N501" s="9">
        <f t="shared" si="67"/>
        <v>12</v>
      </c>
      <c r="O501" s="9">
        <v>9.9</v>
      </c>
      <c r="P501" s="9">
        <v>4</v>
      </c>
      <c r="Q501" s="9" t="s">
        <v>12</v>
      </c>
      <c r="R501" s="1">
        <v>0</v>
      </c>
      <c r="S501" s="26"/>
    </row>
    <row r="502" spans="1:19" ht="16.5" customHeight="1" x14ac:dyDescent="0.25">
      <c r="A502" s="9"/>
      <c r="B502" s="51" t="s">
        <v>108</v>
      </c>
      <c r="C502" s="52"/>
      <c r="D502" s="52"/>
      <c r="E502" s="52"/>
      <c r="F502" s="52"/>
      <c r="G502" s="53"/>
      <c r="H502" s="20"/>
      <c r="I502" s="9">
        <v>1</v>
      </c>
      <c r="J502" s="9"/>
      <c r="K502" s="9"/>
      <c r="L502" s="9"/>
      <c r="M502" s="9">
        <f t="shared" si="66"/>
        <v>8</v>
      </c>
      <c r="N502" s="9">
        <f t="shared" si="67"/>
        <v>3.5</v>
      </c>
      <c r="O502" s="9">
        <v>8</v>
      </c>
      <c r="P502" s="9">
        <v>3.5</v>
      </c>
      <c r="Q502" s="9" t="s">
        <v>9</v>
      </c>
      <c r="R502" s="1">
        <v>0</v>
      </c>
      <c r="S502" s="26"/>
    </row>
    <row r="503" spans="1:19" ht="16.5" customHeight="1" x14ac:dyDescent="0.25">
      <c r="A503" s="9"/>
      <c r="B503" s="51" t="s">
        <v>111</v>
      </c>
      <c r="C503" s="52"/>
      <c r="D503" s="52"/>
      <c r="E503" s="52"/>
      <c r="F503" s="52"/>
      <c r="G503" s="53"/>
      <c r="H503" s="20"/>
      <c r="I503" s="9">
        <v>3</v>
      </c>
      <c r="J503" s="9"/>
      <c r="K503" s="9"/>
      <c r="L503" s="9"/>
      <c r="M503" s="9">
        <f t="shared" si="66"/>
        <v>24.900000000000002</v>
      </c>
      <c r="N503" s="9">
        <f t="shared" si="67"/>
        <v>10.5</v>
      </c>
      <c r="O503" s="9">
        <v>8.3000000000000007</v>
      </c>
      <c r="P503" s="9">
        <v>3.5</v>
      </c>
      <c r="Q503" s="9" t="s">
        <v>9</v>
      </c>
      <c r="R503" s="1">
        <v>0</v>
      </c>
      <c r="S503" s="26"/>
    </row>
    <row r="504" spans="1:19" ht="16.5" customHeight="1" x14ac:dyDescent="0.25">
      <c r="A504" s="9"/>
      <c r="B504" s="51" t="s">
        <v>110</v>
      </c>
      <c r="C504" s="52"/>
      <c r="D504" s="52"/>
      <c r="E504" s="52"/>
      <c r="F504" s="52"/>
      <c r="G504" s="53"/>
      <c r="H504" s="20"/>
      <c r="I504" s="9">
        <v>1</v>
      </c>
      <c r="J504" s="9"/>
      <c r="K504" s="9"/>
      <c r="L504" s="9"/>
      <c r="M504" s="9">
        <f t="shared" si="66"/>
        <v>8.5</v>
      </c>
      <c r="N504" s="9">
        <f t="shared" si="67"/>
        <v>3.7</v>
      </c>
      <c r="O504" s="9">
        <v>8.5</v>
      </c>
      <c r="P504" s="9">
        <v>3.7</v>
      </c>
      <c r="Q504" s="9" t="s">
        <v>10</v>
      </c>
      <c r="R504" s="1">
        <v>0</v>
      </c>
      <c r="S504" s="26"/>
    </row>
    <row r="505" spans="1:19" ht="16.5" customHeight="1" x14ac:dyDescent="0.25">
      <c r="A505" s="9"/>
      <c r="B505" s="51" t="s">
        <v>109</v>
      </c>
      <c r="C505" s="52"/>
      <c r="D505" s="52"/>
      <c r="E505" s="52"/>
      <c r="F505" s="52"/>
      <c r="G505" s="53"/>
      <c r="H505" s="20"/>
      <c r="I505" s="9">
        <v>2</v>
      </c>
      <c r="J505" s="9"/>
      <c r="K505" s="9"/>
      <c r="L505" s="9"/>
      <c r="M505" s="9">
        <f t="shared" si="66"/>
        <v>16.600000000000001</v>
      </c>
      <c r="N505" s="9">
        <f t="shared" si="67"/>
        <v>7</v>
      </c>
      <c r="O505" s="9">
        <v>8.3000000000000007</v>
      </c>
      <c r="P505" s="9">
        <v>3.5</v>
      </c>
      <c r="Q505" s="9" t="s">
        <v>9</v>
      </c>
      <c r="R505" s="1">
        <v>0</v>
      </c>
      <c r="S505" s="26"/>
    </row>
    <row r="506" spans="1:19" ht="16.5" hidden="1" customHeight="1" x14ac:dyDescent="0.25">
      <c r="A506" s="21"/>
      <c r="H506" s="21"/>
      <c r="I506" s="21"/>
      <c r="J506" s="21"/>
      <c r="K506" s="21"/>
      <c r="L506" s="21"/>
      <c r="M506" s="9">
        <f t="shared" si="66"/>
        <v>0</v>
      </c>
      <c r="N506" s="9">
        <f t="shared" si="67"/>
        <v>0</v>
      </c>
      <c r="O506" s="21"/>
      <c r="P506" s="21"/>
      <c r="Q506" s="21"/>
      <c r="S506" s="25"/>
    </row>
    <row r="507" spans="1:19" ht="16.5" customHeight="1" x14ac:dyDescent="0.25">
      <c r="A507" s="9"/>
      <c r="B507" s="39" t="s">
        <v>42</v>
      </c>
      <c r="C507" s="40"/>
      <c r="D507" s="40"/>
      <c r="E507" s="40"/>
      <c r="F507" s="40"/>
      <c r="G507" s="41"/>
      <c r="H507" s="23"/>
      <c r="I507" s="24">
        <f>SUM(I494:I506)</f>
        <v>25</v>
      </c>
      <c r="J507" s="9"/>
      <c r="K507" s="9"/>
      <c r="L507" s="9"/>
      <c r="M507" s="9">
        <f t="shared" si="66"/>
        <v>206.99999999999997</v>
      </c>
      <c r="N507" s="9">
        <f t="shared" si="67"/>
        <v>86.25</v>
      </c>
      <c r="O507" s="24">
        <f>ROUND(SUM(M494:M506)/I507,2)</f>
        <v>8.2799999999999994</v>
      </c>
      <c r="P507" s="24">
        <f>ROUND(SUM(N494:N506)/I507,2)</f>
        <v>3.45</v>
      </c>
      <c r="Q507" s="9"/>
      <c r="S507" s="25"/>
    </row>
    <row r="508" spans="1:19" ht="20.25" customHeight="1" x14ac:dyDescent="0.25">
      <c r="A508" s="27" t="s">
        <v>112</v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</row>
    <row r="509" spans="1:19" ht="16.5" customHeight="1" x14ac:dyDescent="0.25">
      <c r="A509" s="9"/>
      <c r="B509" s="51" t="s">
        <v>113</v>
      </c>
      <c r="C509" s="52"/>
      <c r="D509" s="52"/>
      <c r="E509" s="52"/>
      <c r="F509" s="52"/>
      <c r="G509" s="53"/>
      <c r="H509" s="20"/>
      <c r="I509" s="9">
        <v>2</v>
      </c>
      <c r="J509" s="9"/>
      <c r="K509" s="9"/>
      <c r="L509" s="9"/>
      <c r="M509" s="9">
        <f t="shared" ref="M509:M517" si="68">I509*O509</f>
        <v>0</v>
      </c>
      <c r="N509" s="9">
        <f t="shared" ref="N509:N517" si="69">I509*P509</f>
        <v>0</v>
      </c>
      <c r="O509" s="9"/>
      <c r="P509" s="9"/>
      <c r="Q509" s="9"/>
      <c r="R509" s="1">
        <v>0</v>
      </c>
      <c r="S509" s="26"/>
    </row>
    <row r="510" spans="1:19" ht="16.5" customHeight="1" x14ac:dyDescent="0.25">
      <c r="A510" s="9"/>
      <c r="B510" s="51" t="s">
        <v>114</v>
      </c>
      <c r="C510" s="52"/>
      <c r="D510" s="52"/>
      <c r="E510" s="52"/>
      <c r="F510" s="52"/>
      <c r="G510" s="53"/>
      <c r="H510" s="20"/>
      <c r="I510" s="9">
        <v>3</v>
      </c>
      <c r="J510" s="9"/>
      <c r="K510" s="9"/>
      <c r="L510" s="9"/>
      <c r="M510" s="9">
        <f t="shared" si="68"/>
        <v>27</v>
      </c>
      <c r="N510" s="9">
        <f t="shared" si="69"/>
        <v>12</v>
      </c>
      <c r="O510" s="9">
        <v>9</v>
      </c>
      <c r="P510" s="9">
        <v>4</v>
      </c>
      <c r="Q510" s="9" t="s">
        <v>12</v>
      </c>
      <c r="R510" s="1">
        <v>0</v>
      </c>
      <c r="S510" s="26"/>
    </row>
    <row r="511" spans="1:19" ht="16.5" customHeight="1" x14ac:dyDescent="0.25">
      <c r="A511" s="9"/>
      <c r="B511" s="51" t="s">
        <v>115</v>
      </c>
      <c r="C511" s="52"/>
      <c r="D511" s="52"/>
      <c r="E511" s="52"/>
      <c r="F511" s="52"/>
      <c r="G511" s="53"/>
      <c r="H511" s="20"/>
      <c r="I511" s="9">
        <v>1</v>
      </c>
      <c r="J511" s="9"/>
      <c r="K511" s="9"/>
      <c r="L511" s="9"/>
      <c r="M511" s="9">
        <f t="shared" si="68"/>
        <v>7.5</v>
      </c>
      <c r="N511" s="9">
        <f t="shared" si="69"/>
        <v>3</v>
      </c>
      <c r="O511" s="9">
        <v>7.5</v>
      </c>
      <c r="P511" s="9">
        <v>3</v>
      </c>
      <c r="Q511" s="9" t="s">
        <v>6</v>
      </c>
      <c r="R511" s="1">
        <v>0</v>
      </c>
      <c r="S511" s="26"/>
    </row>
    <row r="512" spans="1:19" ht="16.5" customHeight="1" x14ac:dyDescent="0.25">
      <c r="A512" s="9"/>
      <c r="B512" s="51" t="s">
        <v>116</v>
      </c>
      <c r="C512" s="52"/>
      <c r="D512" s="52"/>
      <c r="E512" s="52"/>
      <c r="F512" s="52"/>
      <c r="G512" s="53"/>
      <c r="H512" s="20"/>
      <c r="I512" s="9">
        <v>3</v>
      </c>
      <c r="J512" s="9"/>
      <c r="K512" s="9"/>
      <c r="L512" s="9"/>
      <c r="M512" s="9">
        <f t="shared" si="68"/>
        <v>22.5</v>
      </c>
      <c r="N512" s="9">
        <f t="shared" si="69"/>
        <v>9</v>
      </c>
      <c r="O512" s="9">
        <v>7.5</v>
      </c>
      <c r="P512" s="9">
        <v>3</v>
      </c>
      <c r="Q512" s="9" t="s">
        <v>6</v>
      </c>
      <c r="R512" s="1">
        <v>0</v>
      </c>
      <c r="S512" s="26"/>
    </row>
    <row r="513" spans="1:19" ht="16.5" customHeight="1" x14ac:dyDescent="0.25">
      <c r="A513" s="9"/>
      <c r="B513" s="51" t="s">
        <v>117</v>
      </c>
      <c r="C513" s="52"/>
      <c r="D513" s="52"/>
      <c r="E513" s="52"/>
      <c r="F513" s="52"/>
      <c r="G513" s="53"/>
      <c r="H513" s="20"/>
      <c r="I513" s="9">
        <v>3</v>
      </c>
      <c r="J513" s="9"/>
      <c r="K513" s="9"/>
      <c r="L513" s="9"/>
      <c r="M513" s="9">
        <f t="shared" si="68"/>
        <v>25.799999999999997</v>
      </c>
      <c r="N513" s="9">
        <f t="shared" si="69"/>
        <v>11.100000000000001</v>
      </c>
      <c r="O513" s="9">
        <v>8.6</v>
      </c>
      <c r="P513" s="9">
        <v>3.7</v>
      </c>
      <c r="Q513" s="9" t="s">
        <v>10</v>
      </c>
      <c r="R513" s="1">
        <v>0</v>
      </c>
      <c r="S513" s="26"/>
    </row>
    <row r="514" spans="1:19" ht="16.5" customHeight="1" x14ac:dyDescent="0.25">
      <c r="A514" s="9"/>
      <c r="B514" s="51" t="s">
        <v>118</v>
      </c>
      <c r="C514" s="52"/>
      <c r="D514" s="52"/>
      <c r="E514" s="52"/>
      <c r="F514" s="52"/>
      <c r="G514" s="53"/>
      <c r="H514" s="20"/>
      <c r="I514" s="9">
        <v>3</v>
      </c>
      <c r="J514" s="9"/>
      <c r="K514" s="9"/>
      <c r="L514" s="9"/>
      <c r="M514" s="9">
        <f t="shared" si="68"/>
        <v>24.299999999999997</v>
      </c>
      <c r="N514" s="9">
        <f t="shared" si="69"/>
        <v>10.5</v>
      </c>
      <c r="O514" s="9">
        <v>8.1</v>
      </c>
      <c r="P514" s="9">
        <v>3.5</v>
      </c>
      <c r="Q514" s="9" t="s">
        <v>9</v>
      </c>
      <c r="R514" s="1">
        <v>0</v>
      </c>
      <c r="S514" s="26"/>
    </row>
    <row r="515" spans="1:19" ht="31.2" customHeight="1" x14ac:dyDescent="0.25">
      <c r="A515" s="9"/>
      <c r="B515" s="51" t="s">
        <v>119</v>
      </c>
      <c r="C515" s="52"/>
      <c r="D515" s="52"/>
      <c r="E515" s="52"/>
      <c r="F515" s="52"/>
      <c r="G515" s="53"/>
      <c r="H515" s="20"/>
      <c r="I515" s="9">
        <v>2</v>
      </c>
      <c r="J515" s="9"/>
      <c r="K515" s="9"/>
      <c r="L515" s="9"/>
      <c r="M515" s="9">
        <f t="shared" si="68"/>
        <v>0</v>
      </c>
      <c r="N515" s="9">
        <f t="shared" si="69"/>
        <v>0</v>
      </c>
      <c r="O515" s="9"/>
      <c r="P515" s="9"/>
      <c r="Q515" s="9"/>
      <c r="R515" s="1">
        <v>0</v>
      </c>
      <c r="S515" s="26"/>
    </row>
    <row r="516" spans="1:19" ht="16.5" hidden="1" customHeight="1" x14ac:dyDescent="0.25">
      <c r="A516" s="21"/>
      <c r="H516" s="21"/>
      <c r="I516" s="21"/>
      <c r="J516" s="21"/>
      <c r="K516" s="21"/>
      <c r="L516" s="21"/>
      <c r="M516" s="9">
        <f t="shared" si="68"/>
        <v>0</v>
      </c>
      <c r="N516" s="9">
        <f t="shared" si="69"/>
        <v>0</v>
      </c>
      <c r="O516" s="21"/>
      <c r="P516" s="21"/>
      <c r="Q516" s="21"/>
      <c r="S516" s="25"/>
    </row>
    <row r="517" spans="1:19" ht="16.5" customHeight="1" x14ac:dyDescent="0.25">
      <c r="A517" s="9"/>
      <c r="B517" s="39" t="s">
        <v>42</v>
      </c>
      <c r="C517" s="40"/>
      <c r="D517" s="40"/>
      <c r="E517" s="40"/>
      <c r="F517" s="40"/>
      <c r="G517" s="41"/>
      <c r="H517" s="23"/>
      <c r="I517" s="24">
        <f>SUM(I509:I516)</f>
        <v>17</v>
      </c>
      <c r="J517" s="9"/>
      <c r="K517" s="9"/>
      <c r="L517" s="9"/>
      <c r="M517" s="9">
        <f t="shared" si="68"/>
        <v>107.1</v>
      </c>
      <c r="N517" s="9">
        <f t="shared" si="69"/>
        <v>45.56</v>
      </c>
      <c r="O517" s="24">
        <f>ROUND(SUM(M509:M516)/I517,2)</f>
        <v>6.3</v>
      </c>
      <c r="P517" s="24">
        <f>ROUND(SUM(N509:N516)/I517,2)</f>
        <v>2.68</v>
      </c>
      <c r="Q517" s="9"/>
      <c r="S517" s="25"/>
    </row>
    <row r="518" spans="1:19" ht="16.5" customHeight="1" x14ac:dyDescent="0.25">
      <c r="A518" s="21"/>
      <c r="B518" s="22"/>
      <c r="C518" s="22"/>
      <c r="D518" s="22"/>
      <c r="E518" s="22"/>
      <c r="F518" s="22"/>
      <c r="G518" s="22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20" spans="1:19" ht="18" x14ac:dyDescent="0.25">
      <c r="A520" s="35" t="s">
        <v>142</v>
      </c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</row>
    <row r="521" spans="1:19" ht="18" x14ac:dyDescent="0.25">
      <c r="A521" s="35" t="s">
        <v>143</v>
      </c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</row>
    <row r="522" spans="1:19" ht="18" x14ac:dyDescent="0.25">
      <c r="A522" s="35" t="s">
        <v>144</v>
      </c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</row>
    <row r="523" spans="1:19" ht="18" x14ac:dyDescent="0.25">
      <c r="A523" s="45" t="s">
        <v>53</v>
      </c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</row>
    <row r="524" spans="1:19" ht="19.5" customHeight="1" x14ac:dyDescent="0.25">
      <c r="A524" s="17"/>
      <c r="B524" s="17"/>
      <c r="C524" s="8"/>
      <c r="D524" s="18"/>
      <c r="E524" s="10"/>
      <c r="F524" s="11"/>
      <c r="G524" s="46" t="s">
        <v>49</v>
      </c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</row>
    <row r="525" spans="1:19" ht="31.5" customHeight="1" x14ac:dyDescent="0.3">
      <c r="A525" s="8"/>
      <c r="B525" s="8"/>
      <c r="C525" s="8"/>
      <c r="D525" s="8"/>
      <c r="E525" s="8"/>
      <c r="F525" s="8"/>
      <c r="G525" s="8"/>
      <c r="H525" s="12"/>
      <c r="I525" s="42" t="s">
        <v>40</v>
      </c>
      <c r="J525" s="43"/>
      <c r="K525" s="43"/>
      <c r="L525" s="43"/>
      <c r="M525" s="43"/>
      <c r="N525" s="43"/>
      <c r="O525" s="43"/>
      <c r="P525" s="43"/>
      <c r="Q525" s="43"/>
      <c r="R525" s="43"/>
      <c r="S525" s="43"/>
    </row>
    <row r="526" spans="1:19" ht="16.8" x14ac:dyDescent="0.3">
      <c r="A526" s="8"/>
      <c r="B526" s="8"/>
      <c r="C526" s="8"/>
      <c r="D526" s="8"/>
      <c r="E526" s="8"/>
      <c r="F526" s="8"/>
      <c r="G526" s="8"/>
      <c r="H526" s="12"/>
      <c r="I526" s="12"/>
      <c r="J526" s="12"/>
      <c r="K526" s="12"/>
      <c r="L526" s="8"/>
      <c r="M526" s="8"/>
      <c r="N526" s="8"/>
      <c r="O526" s="8"/>
      <c r="P526" s="8"/>
      <c r="Q526" s="8"/>
    </row>
    <row r="527" spans="1:19" ht="33" customHeight="1" x14ac:dyDescent="0.3">
      <c r="A527" s="8"/>
      <c r="B527" s="8"/>
      <c r="C527" s="8"/>
      <c r="D527" s="8"/>
      <c r="E527" s="8"/>
      <c r="F527" s="8"/>
      <c r="G527" s="8"/>
      <c r="H527" s="12"/>
      <c r="I527" s="12"/>
      <c r="J527" s="12"/>
      <c r="K527" s="12"/>
      <c r="L527" s="8"/>
      <c r="M527" s="8"/>
      <c r="N527" s="8"/>
      <c r="O527" s="8"/>
      <c r="P527" s="8"/>
      <c r="Q527" s="8"/>
    </row>
    <row r="528" spans="1:19" ht="11.25" customHeight="1" x14ac:dyDescent="0.3">
      <c r="A528" s="8"/>
      <c r="B528" s="8"/>
      <c r="C528" s="8"/>
      <c r="D528" s="8"/>
      <c r="E528" s="8"/>
      <c r="F528" s="8"/>
      <c r="G528" s="8"/>
      <c r="H528" s="12"/>
      <c r="I528" s="12"/>
      <c r="J528" s="12"/>
      <c r="K528" s="12"/>
      <c r="L528" s="8"/>
      <c r="M528" s="8"/>
      <c r="N528" s="8"/>
      <c r="O528" s="8"/>
      <c r="P528" s="8"/>
      <c r="Q528" s="8"/>
    </row>
    <row r="529" spans="1:20" ht="17.399999999999999" x14ac:dyDescent="0.3">
      <c r="A529" s="8"/>
      <c r="B529" s="8"/>
      <c r="C529" s="8"/>
      <c r="D529" s="8"/>
      <c r="E529" s="8"/>
      <c r="F529" s="8"/>
      <c r="G529" s="47" t="s">
        <v>41</v>
      </c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</row>
    <row r="530" spans="1:20" ht="54" customHeight="1" x14ac:dyDescent="0.25">
      <c r="A530" s="48" t="s">
        <v>33</v>
      </c>
      <c r="B530" s="48"/>
      <c r="C530" s="48"/>
      <c r="D530" s="48"/>
      <c r="E530" s="48"/>
      <c r="F530" s="42" t="s">
        <v>24</v>
      </c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</row>
    <row r="531" spans="1:20" ht="17.399999999999999" x14ac:dyDescent="0.25">
      <c r="A531" s="49" t="s">
        <v>34</v>
      </c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</row>
    <row r="532" spans="1:20" ht="4.5" customHeight="1" x14ac:dyDescent="0.2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</row>
    <row r="533" spans="1:20" ht="5.25" customHeight="1" x14ac:dyDescent="0.2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</row>
    <row r="534" spans="1:20" ht="16.5" customHeight="1" x14ac:dyDescent="0.25">
      <c r="A534" s="54" t="s">
        <v>146</v>
      </c>
      <c r="B534" s="54"/>
      <c r="C534" s="54"/>
      <c r="D534" s="54"/>
      <c r="E534" s="54"/>
      <c r="F534" s="54"/>
      <c r="G534" s="58" t="s">
        <v>147</v>
      </c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</row>
    <row r="535" spans="1:20" ht="16.5" customHeight="1" x14ac:dyDescent="0.25">
      <c r="A535" s="54" t="s">
        <v>148</v>
      </c>
      <c r="B535" s="54"/>
      <c r="C535" s="54"/>
      <c r="D535" s="54"/>
      <c r="E535" s="54"/>
      <c r="F535" s="54"/>
      <c r="G535" s="8" t="s">
        <v>46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T535" s="2"/>
    </row>
    <row r="536" spans="1:20" ht="16.5" customHeight="1" x14ac:dyDescent="0.25">
      <c r="A536" s="54" t="s">
        <v>47</v>
      </c>
      <c r="B536" s="54"/>
      <c r="C536" s="54"/>
      <c r="D536" s="54"/>
      <c r="E536" s="54"/>
      <c r="F536" s="54"/>
      <c r="G536" s="58" t="s">
        <v>48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</row>
    <row r="537" spans="1:20" ht="5.2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19"/>
      <c r="K537" s="19"/>
      <c r="L537" s="19"/>
      <c r="M537" s="19"/>
      <c r="N537" s="19"/>
      <c r="O537" s="19"/>
      <c r="P537" s="19"/>
      <c r="Q537" s="19"/>
    </row>
    <row r="538" spans="1:20" ht="15" customHeight="1" x14ac:dyDescent="0.25">
      <c r="A538" s="36" t="s">
        <v>0</v>
      </c>
      <c r="B538" s="29" t="s">
        <v>1</v>
      </c>
      <c r="C538" s="30"/>
      <c r="D538" s="30"/>
      <c r="E538" s="30"/>
      <c r="F538" s="30"/>
      <c r="G538" s="31"/>
      <c r="H538" s="36" t="s">
        <v>32</v>
      </c>
      <c r="I538" s="36" t="s">
        <v>39</v>
      </c>
      <c r="J538" s="55" t="s">
        <v>2</v>
      </c>
      <c r="K538" s="56"/>
      <c r="L538" s="56"/>
      <c r="M538" s="56"/>
      <c r="N538" s="56"/>
      <c r="O538" s="56"/>
      <c r="P538" s="56"/>
      <c r="Q538" s="57"/>
      <c r="S538" s="36" t="s">
        <v>38</v>
      </c>
    </row>
    <row r="539" spans="1:20" ht="24" customHeight="1" x14ac:dyDescent="0.25">
      <c r="A539" s="37"/>
      <c r="B539" s="32"/>
      <c r="C539" s="33"/>
      <c r="D539" s="33"/>
      <c r="E539" s="33"/>
      <c r="F539" s="33"/>
      <c r="G539" s="34"/>
      <c r="H539" s="37"/>
      <c r="I539" s="37"/>
      <c r="J539" s="7" t="s">
        <v>28</v>
      </c>
      <c r="K539" s="7" t="s">
        <v>29</v>
      </c>
      <c r="L539" s="7" t="s">
        <v>30</v>
      </c>
      <c r="M539" s="7"/>
      <c r="N539" s="7"/>
      <c r="O539" s="6" t="s">
        <v>35</v>
      </c>
      <c r="P539" s="6" t="s">
        <v>36</v>
      </c>
      <c r="Q539" s="6" t="s">
        <v>37</v>
      </c>
      <c r="S539" s="37"/>
    </row>
    <row r="540" spans="1:20" ht="20.25" customHeight="1" x14ac:dyDescent="0.25">
      <c r="A540" s="27" t="s">
        <v>54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</row>
    <row r="541" spans="1:20" ht="16.5" customHeight="1" x14ac:dyDescent="0.25">
      <c r="A541" s="9"/>
      <c r="B541" s="51" t="s">
        <v>61</v>
      </c>
      <c r="C541" s="52"/>
      <c r="D541" s="52"/>
      <c r="E541" s="52"/>
      <c r="F541" s="52"/>
      <c r="G541" s="53"/>
      <c r="H541" s="20"/>
      <c r="I541" s="9">
        <v>1</v>
      </c>
      <c r="J541" s="9"/>
      <c r="K541" s="9"/>
      <c r="L541" s="9"/>
      <c r="M541" s="9">
        <f t="shared" ref="M541:M549" si="70">I541*O541</f>
        <v>8.6999999999999993</v>
      </c>
      <c r="N541" s="9">
        <f t="shared" ref="N541:N549" si="71">I541*P541</f>
        <v>3.7</v>
      </c>
      <c r="O541" s="9">
        <v>8.6999999999999993</v>
      </c>
      <c r="P541" s="9">
        <v>3.7</v>
      </c>
      <c r="Q541" s="9" t="s">
        <v>10</v>
      </c>
      <c r="R541" s="1">
        <v>0</v>
      </c>
      <c r="S541" s="26"/>
    </row>
    <row r="542" spans="1:20" ht="16.5" customHeight="1" x14ac:dyDescent="0.25">
      <c r="A542" s="9"/>
      <c r="B542" s="51" t="s">
        <v>56</v>
      </c>
      <c r="C542" s="52"/>
      <c r="D542" s="52"/>
      <c r="E542" s="52"/>
      <c r="F542" s="52"/>
      <c r="G542" s="53"/>
      <c r="H542" s="20"/>
      <c r="I542" s="9">
        <v>3</v>
      </c>
      <c r="J542" s="9"/>
      <c r="K542" s="9"/>
      <c r="L542" s="9"/>
      <c r="M542" s="9">
        <f t="shared" si="70"/>
        <v>20.700000000000003</v>
      </c>
      <c r="N542" s="9">
        <f t="shared" si="71"/>
        <v>7.5</v>
      </c>
      <c r="O542" s="9">
        <v>6.9</v>
      </c>
      <c r="P542" s="9">
        <v>2.5</v>
      </c>
      <c r="Q542" s="9" t="s">
        <v>5</v>
      </c>
      <c r="R542" s="1">
        <v>0</v>
      </c>
      <c r="S542" s="26"/>
    </row>
    <row r="543" spans="1:20" ht="31.2" customHeight="1" x14ac:dyDescent="0.25">
      <c r="A543" s="9"/>
      <c r="B543" s="51" t="s">
        <v>57</v>
      </c>
      <c r="C543" s="52"/>
      <c r="D543" s="52"/>
      <c r="E543" s="52"/>
      <c r="F543" s="52"/>
      <c r="G543" s="53"/>
      <c r="H543" s="20"/>
      <c r="I543" s="9">
        <v>3</v>
      </c>
      <c r="J543" s="9"/>
      <c r="K543" s="9"/>
      <c r="L543" s="9"/>
      <c r="M543" s="9">
        <f t="shared" si="70"/>
        <v>21.9</v>
      </c>
      <c r="N543" s="9">
        <f t="shared" si="71"/>
        <v>9</v>
      </c>
      <c r="O543" s="9">
        <v>7.3</v>
      </c>
      <c r="P543" s="9">
        <v>3</v>
      </c>
      <c r="Q543" s="9" t="s">
        <v>6</v>
      </c>
      <c r="R543" s="1">
        <v>0</v>
      </c>
      <c r="S543" s="26"/>
    </row>
    <row r="544" spans="1:20" ht="16.5" customHeight="1" x14ac:dyDescent="0.25">
      <c r="A544" s="9"/>
      <c r="B544" s="51" t="s">
        <v>58</v>
      </c>
      <c r="C544" s="52"/>
      <c r="D544" s="52"/>
      <c r="E544" s="52"/>
      <c r="F544" s="52"/>
      <c r="G544" s="53"/>
      <c r="H544" s="20"/>
      <c r="I544" s="9">
        <v>1</v>
      </c>
      <c r="J544" s="9"/>
      <c r="K544" s="9"/>
      <c r="L544" s="9"/>
      <c r="M544" s="9">
        <f t="shared" si="70"/>
        <v>7.1</v>
      </c>
      <c r="N544" s="9">
        <f t="shared" si="71"/>
        <v>3</v>
      </c>
      <c r="O544" s="9">
        <v>7.1</v>
      </c>
      <c r="P544" s="9">
        <v>3</v>
      </c>
      <c r="Q544" s="9" t="s">
        <v>6</v>
      </c>
      <c r="R544" s="1">
        <v>0</v>
      </c>
      <c r="S544" s="26"/>
    </row>
    <row r="545" spans="1:19" ht="16.5" customHeight="1" x14ac:dyDescent="0.25">
      <c r="A545" s="9"/>
      <c r="B545" s="51" t="s">
        <v>59</v>
      </c>
      <c r="C545" s="52"/>
      <c r="D545" s="52"/>
      <c r="E545" s="52"/>
      <c r="F545" s="52"/>
      <c r="G545" s="53"/>
      <c r="H545" s="20"/>
      <c r="I545" s="9">
        <v>1</v>
      </c>
      <c r="J545" s="9"/>
      <c r="K545" s="9"/>
      <c r="L545" s="9"/>
      <c r="M545" s="9">
        <f t="shared" si="70"/>
        <v>7.1</v>
      </c>
      <c r="N545" s="9">
        <f t="shared" si="71"/>
        <v>3</v>
      </c>
      <c r="O545" s="9">
        <v>7.1</v>
      </c>
      <c r="P545" s="9">
        <v>3</v>
      </c>
      <c r="Q545" s="9" t="s">
        <v>6</v>
      </c>
      <c r="R545" s="1">
        <v>0</v>
      </c>
      <c r="S545" s="26"/>
    </row>
    <row r="546" spans="1:19" ht="16.5" customHeight="1" x14ac:dyDescent="0.25">
      <c r="A546" s="9"/>
      <c r="B546" s="51" t="s">
        <v>60</v>
      </c>
      <c r="C546" s="52"/>
      <c r="D546" s="52"/>
      <c r="E546" s="52"/>
      <c r="F546" s="52"/>
      <c r="G546" s="53"/>
      <c r="H546" s="20"/>
      <c r="I546" s="9">
        <v>3</v>
      </c>
      <c r="J546" s="9"/>
      <c r="K546" s="9"/>
      <c r="L546" s="9"/>
      <c r="M546" s="9">
        <f t="shared" si="70"/>
        <v>21</v>
      </c>
      <c r="N546" s="9">
        <f t="shared" si="71"/>
        <v>9</v>
      </c>
      <c r="O546" s="9">
        <v>7</v>
      </c>
      <c r="P546" s="9">
        <v>3</v>
      </c>
      <c r="Q546" s="9" t="s">
        <v>6</v>
      </c>
      <c r="R546" s="1">
        <v>0</v>
      </c>
      <c r="S546" s="26"/>
    </row>
    <row r="547" spans="1:19" ht="16.5" customHeight="1" x14ac:dyDescent="0.25">
      <c r="A547" s="9"/>
      <c r="B547" s="51" t="s">
        <v>55</v>
      </c>
      <c r="C547" s="52"/>
      <c r="D547" s="52"/>
      <c r="E547" s="52"/>
      <c r="F547" s="52"/>
      <c r="G547" s="53"/>
      <c r="H547" s="20"/>
      <c r="I547" s="9">
        <v>2</v>
      </c>
      <c r="J547" s="9"/>
      <c r="K547" s="9"/>
      <c r="L547" s="9"/>
      <c r="M547" s="9">
        <f t="shared" si="70"/>
        <v>14.2</v>
      </c>
      <c r="N547" s="9">
        <f t="shared" si="71"/>
        <v>6</v>
      </c>
      <c r="O547" s="9">
        <v>7.1</v>
      </c>
      <c r="P547" s="9">
        <v>3</v>
      </c>
      <c r="Q547" s="9" t="s">
        <v>6</v>
      </c>
      <c r="R547" s="1">
        <v>0</v>
      </c>
      <c r="S547" s="26"/>
    </row>
    <row r="548" spans="1:19" ht="16.5" hidden="1" customHeight="1" x14ac:dyDescent="0.25">
      <c r="A548" s="21"/>
      <c r="H548" s="21"/>
      <c r="I548" s="21"/>
      <c r="J548" s="21"/>
      <c r="K548" s="21"/>
      <c r="L548" s="21"/>
      <c r="M548" s="9">
        <f t="shared" si="70"/>
        <v>0</v>
      </c>
      <c r="N548" s="9">
        <f t="shared" si="71"/>
        <v>0</v>
      </c>
      <c r="O548" s="21"/>
      <c r="P548" s="21"/>
      <c r="Q548" s="21"/>
      <c r="S548" s="25"/>
    </row>
    <row r="549" spans="1:19" ht="16.5" customHeight="1" x14ac:dyDescent="0.25">
      <c r="A549" s="9"/>
      <c r="B549" s="39" t="s">
        <v>42</v>
      </c>
      <c r="C549" s="40"/>
      <c r="D549" s="40"/>
      <c r="E549" s="40"/>
      <c r="F549" s="40"/>
      <c r="G549" s="41"/>
      <c r="H549" s="23"/>
      <c r="I549" s="24">
        <f>SUM(I541:I548)</f>
        <v>14</v>
      </c>
      <c r="J549" s="9"/>
      <c r="K549" s="9"/>
      <c r="L549" s="9"/>
      <c r="M549" s="9">
        <f t="shared" si="70"/>
        <v>100.66000000000001</v>
      </c>
      <c r="N549" s="9">
        <f t="shared" si="71"/>
        <v>41.16</v>
      </c>
      <c r="O549" s="24">
        <f>ROUND(SUM(M541:M548)/I549,2)</f>
        <v>7.19</v>
      </c>
      <c r="P549" s="24">
        <f>ROUND(SUM(N541:N548)/I549,2)</f>
        <v>2.94</v>
      </c>
      <c r="Q549" s="9"/>
      <c r="S549" s="25"/>
    </row>
    <row r="550" spans="1:19" ht="20.25" customHeight="1" x14ac:dyDescent="0.25">
      <c r="A550" s="27" t="s">
        <v>62</v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</row>
    <row r="551" spans="1:19" ht="16.5" customHeight="1" x14ac:dyDescent="0.25">
      <c r="A551" s="9"/>
      <c r="B551" s="51" t="s">
        <v>63</v>
      </c>
      <c r="C551" s="52"/>
      <c r="D551" s="52"/>
      <c r="E551" s="52"/>
      <c r="F551" s="52"/>
      <c r="G551" s="53"/>
      <c r="H551" s="20"/>
      <c r="I551" s="9">
        <v>4</v>
      </c>
      <c r="J551" s="9"/>
      <c r="K551" s="9"/>
      <c r="L551" s="9"/>
      <c r="M551" s="9">
        <f t="shared" ref="M551:M559" si="72">I551*O551</f>
        <v>28</v>
      </c>
      <c r="N551" s="9">
        <f t="shared" ref="N551:N559" si="73">I551*P551</f>
        <v>12</v>
      </c>
      <c r="O551" s="9">
        <v>7</v>
      </c>
      <c r="P551" s="9">
        <v>3</v>
      </c>
      <c r="Q551" s="9" t="s">
        <v>6</v>
      </c>
      <c r="R551" s="1">
        <v>0</v>
      </c>
      <c r="S551" s="26"/>
    </row>
    <row r="552" spans="1:19" ht="16.5" customHeight="1" x14ac:dyDescent="0.25">
      <c r="A552" s="9"/>
      <c r="B552" s="51" t="s">
        <v>64</v>
      </c>
      <c r="C552" s="52"/>
      <c r="D552" s="52"/>
      <c r="E552" s="52"/>
      <c r="F552" s="52"/>
      <c r="G552" s="53"/>
      <c r="H552" s="20"/>
      <c r="I552" s="9">
        <v>4</v>
      </c>
      <c r="J552" s="9"/>
      <c r="K552" s="9"/>
      <c r="L552" s="9"/>
      <c r="M552" s="9">
        <f t="shared" si="72"/>
        <v>23.2</v>
      </c>
      <c r="N552" s="9">
        <f t="shared" si="73"/>
        <v>8</v>
      </c>
      <c r="O552" s="9">
        <v>5.8</v>
      </c>
      <c r="P552" s="9">
        <v>2</v>
      </c>
      <c r="Q552" s="9" t="s">
        <v>3</v>
      </c>
      <c r="R552" s="1">
        <v>0</v>
      </c>
      <c r="S552" s="26"/>
    </row>
    <row r="553" spans="1:19" ht="16.5" customHeight="1" x14ac:dyDescent="0.25">
      <c r="A553" s="9"/>
      <c r="B553" s="51" t="s">
        <v>65</v>
      </c>
      <c r="C553" s="52"/>
      <c r="D553" s="52"/>
      <c r="E553" s="52"/>
      <c r="F553" s="52"/>
      <c r="G553" s="53"/>
      <c r="H553" s="20"/>
      <c r="I553" s="9">
        <v>4</v>
      </c>
      <c r="J553" s="9"/>
      <c r="K553" s="9"/>
      <c r="L553" s="9"/>
      <c r="M553" s="9">
        <f t="shared" si="72"/>
        <v>29.6</v>
      </c>
      <c r="N553" s="9">
        <f t="shared" si="73"/>
        <v>12</v>
      </c>
      <c r="O553" s="9">
        <v>7.4</v>
      </c>
      <c r="P553" s="9">
        <v>3</v>
      </c>
      <c r="Q553" s="9" t="s">
        <v>6</v>
      </c>
      <c r="R553" s="1">
        <v>0</v>
      </c>
      <c r="S553" s="26"/>
    </row>
    <row r="554" spans="1:19" ht="16.5" customHeight="1" x14ac:dyDescent="0.25">
      <c r="A554" s="9"/>
      <c r="B554" s="51" t="s">
        <v>66</v>
      </c>
      <c r="C554" s="52"/>
      <c r="D554" s="52"/>
      <c r="E554" s="52"/>
      <c r="F554" s="52"/>
      <c r="G554" s="53"/>
      <c r="H554" s="20"/>
      <c r="I554" s="9">
        <v>1</v>
      </c>
      <c r="J554" s="9"/>
      <c r="K554" s="9"/>
      <c r="L554" s="9"/>
      <c r="M554" s="9">
        <f t="shared" si="72"/>
        <v>8</v>
      </c>
      <c r="N554" s="9">
        <f t="shared" si="73"/>
        <v>3.5</v>
      </c>
      <c r="O554" s="9">
        <v>8</v>
      </c>
      <c r="P554" s="9">
        <v>3.5</v>
      </c>
      <c r="Q554" s="9" t="s">
        <v>9</v>
      </c>
      <c r="R554" s="1">
        <v>0</v>
      </c>
      <c r="S554" s="26"/>
    </row>
    <row r="555" spans="1:19" ht="16.5" customHeight="1" x14ac:dyDescent="0.25">
      <c r="A555" s="9"/>
      <c r="B555" s="51" t="s">
        <v>67</v>
      </c>
      <c r="C555" s="52"/>
      <c r="D555" s="52"/>
      <c r="E555" s="52"/>
      <c r="F555" s="52"/>
      <c r="G555" s="53"/>
      <c r="H555" s="20"/>
      <c r="I555" s="9">
        <v>1</v>
      </c>
      <c r="J555" s="9"/>
      <c r="K555" s="9"/>
      <c r="L555" s="9"/>
      <c r="M555" s="9">
        <f t="shared" si="72"/>
        <v>7.7</v>
      </c>
      <c r="N555" s="9">
        <f t="shared" si="73"/>
        <v>3</v>
      </c>
      <c r="O555" s="9">
        <v>7.7</v>
      </c>
      <c r="P555" s="9">
        <v>3</v>
      </c>
      <c r="Q555" s="9" t="s">
        <v>6</v>
      </c>
      <c r="R555" s="1">
        <v>0</v>
      </c>
      <c r="S555" s="26"/>
    </row>
    <row r="556" spans="1:19" ht="16.5" customHeight="1" x14ac:dyDescent="0.25">
      <c r="A556" s="9"/>
      <c r="B556" s="51" t="s">
        <v>69</v>
      </c>
      <c r="C556" s="52"/>
      <c r="D556" s="52"/>
      <c r="E556" s="52"/>
      <c r="F556" s="52"/>
      <c r="G556" s="53"/>
      <c r="H556" s="20"/>
      <c r="I556" s="9">
        <v>1</v>
      </c>
      <c r="J556" s="9"/>
      <c r="K556" s="9"/>
      <c r="L556" s="9"/>
      <c r="M556" s="9">
        <f t="shared" si="72"/>
        <v>7.6</v>
      </c>
      <c r="N556" s="9">
        <f t="shared" si="73"/>
        <v>3</v>
      </c>
      <c r="O556" s="9">
        <v>7.6</v>
      </c>
      <c r="P556" s="9">
        <v>3</v>
      </c>
      <c r="Q556" s="9" t="s">
        <v>6</v>
      </c>
      <c r="R556" s="1">
        <v>0</v>
      </c>
      <c r="S556" s="26"/>
    </row>
    <row r="557" spans="1:19" ht="16.5" customHeight="1" x14ac:dyDescent="0.25">
      <c r="A557" s="9"/>
      <c r="B557" s="51" t="s">
        <v>68</v>
      </c>
      <c r="C557" s="52"/>
      <c r="D557" s="52"/>
      <c r="E557" s="52"/>
      <c r="F557" s="52"/>
      <c r="G557" s="53"/>
      <c r="H557" s="20"/>
      <c r="I557" s="9">
        <v>1</v>
      </c>
      <c r="J557" s="9"/>
      <c r="K557" s="9"/>
      <c r="L557" s="9"/>
      <c r="M557" s="9">
        <f t="shared" si="72"/>
        <v>7.3</v>
      </c>
      <c r="N557" s="9">
        <f t="shared" si="73"/>
        <v>3</v>
      </c>
      <c r="O557" s="9">
        <v>7.3</v>
      </c>
      <c r="P557" s="9">
        <v>3</v>
      </c>
      <c r="Q557" s="9" t="s">
        <v>6</v>
      </c>
      <c r="R557" s="1">
        <v>0</v>
      </c>
      <c r="S557" s="26"/>
    </row>
    <row r="558" spans="1:19" ht="16.5" hidden="1" customHeight="1" x14ac:dyDescent="0.25">
      <c r="A558" s="21"/>
      <c r="H558" s="21"/>
      <c r="I558" s="21"/>
      <c r="J558" s="21"/>
      <c r="K558" s="21"/>
      <c r="L558" s="21"/>
      <c r="M558" s="9">
        <f t="shared" si="72"/>
        <v>0</v>
      </c>
      <c r="N558" s="9">
        <f t="shared" si="73"/>
        <v>0</v>
      </c>
      <c r="O558" s="21"/>
      <c r="P558" s="21"/>
      <c r="Q558" s="21"/>
      <c r="S558" s="25"/>
    </row>
    <row r="559" spans="1:19" ht="16.5" customHeight="1" x14ac:dyDescent="0.25">
      <c r="A559" s="9"/>
      <c r="B559" s="39" t="s">
        <v>42</v>
      </c>
      <c r="C559" s="40"/>
      <c r="D559" s="40"/>
      <c r="E559" s="40"/>
      <c r="F559" s="40"/>
      <c r="G559" s="41"/>
      <c r="H559" s="23"/>
      <c r="I559" s="24">
        <f>SUM(I551:I558)</f>
        <v>16</v>
      </c>
      <c r="J559" s="9"/>
      <c r="K559" s="9"/>
      <c r="L559" s="9"/>
      <c r="M559" s="9">
        <f t="shared" si="72"/>
        <v>111.36</v>
      </c>
      <c r="N559" s="9">
        <f t="shared" si="73"/>
        <v>44.48</v>
      </c>
      <c r="O559" s="24">
        <f>ROUND(SUM(M551:M558)/I559,2)</f>
        <v>6.96</v>
      </c>
      <c r="P559" s="24">
        <f>ROUND(SUM(N551:N558)/I559,2)</f>
        <v>2.78</v>
      </c>
      <c r="Q559" s="9"/>
      <c r="S559" s="25"/>
    </row>
    <row r="560" spans="1:19" ht="20.25" customHeight="1" x14ac:dyDescent="0.25">
      <c r="A560" s="27" t="s">
        <v>70</v>
      </c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</row>
    <row r="561" spans="1:19" ht="16.5" customHeight="1" x14ac:dyDescent="0.25">
      <c r="A561" s="9"/>
      <c r="B561" s="51" t="s">
        <v>71</v>
      </c>
      <c r="C561" s="52"/>
      <c r="D561" s="52"/>
      <c r="E561" s="52"/>
      <c r="F561" s="52"/>
      <c r="G561" s="53"/>
      <c r="H561" s="20"/>
      <c r="I561" s="9">
        <v>4</v>
      </c>
      <c r="J561" s="9"/>
      <c r="K561" s="9"/>
      <c r="L561" s="9"/>
      <c r="M561" s="9">
        <f t="shared" ref="M561:M569" si="74">I561*O561</f>
        <v>27.2</v>
      </c>
      <c r="N561" s="9">
        <f t="shared" ref="N561:N569" si="75">I561*P561</f>
        <v>10</v>
      </c>
      <c r="O561" s="9">
        <v>6.8</v>
      </c>
      <c r="P561" s="9">
        <v>2.5</v>
      </c>
      <c r="Q561" s="9" t="s">
        <v>5</v>
      </c>
      <c r="R561" s="1">
        <v>0</v>
      </c>
      <c r="S561" s="26"/>
    </row>
    <row r="562" spans="1:19" ht="16.5" customHeight="1" x14ac:dyDescent="0.25">
      <c r="A562" s="9"/>
      <c r="B562" s="51" t="s">
        <v>72</v>
      </c>
      <c r="C562" s="52"/>
      <c r="D562" s="52"/>
      <c r="E562" s="52"/>
      <c r="F562" s="52"/>
      <c r="G562" s="53"/>
      <c r="H562" s="20"/>
      <c r="I562" s="9">
        <v>4</v>
      </c>
      <c r="J562" s="9"/>
      <c r="K562" s="9"/>
      <c r="L562" s="9"/>
      <c r="M562" s="9">
        <f t="shared" si="74"/>
        <v>32</v>
      </c>
      <c r="N562" s="9">
        <f t="shared" si="75"/>
        <v>14</v>
      </c>
      <c r="O562" s="9">
        <v>8</v>
      </c>
      <c r="P562" s="9">
        <v>3.5</v>
      </c>
      <c r="Q562" s="9" t="s">
        <v>9</v>
      </c>
      <c r="R562" s="1">
        <v>0</v>
      </c>
      <c r="S562" s="26"/>
    </row>
    <row r="563" spans="1:19" ht="16.5" customHeight="1" x14ac:dyDescent="0.25">
      <c r="A563" s="9"/>
      <c r="B563" s="51" t="s">
        <v>73</v>
      </c>
      <c r="C563" s="52"/>
      <c r="D563" s="52"/>
      <c r="E563" s="52"/>
      <c r="F563" s="52"/>
      <c r="G563" s="53"/>
      <c r="H563" s="20"/>
      <c r="I563" s="9">
        <v>1</v>
      </c>
      <c r="J563" s="9"/>
      <c r="K563" s="9"/>
      <c r="L563" s="9"/>
      <c r="M563" s="9">
        <f t="shared" si="74"/>
        <v>7.6</v>
      </c>
      <c r="N563" s="9">
        <f t="shared" si="75"/>
        <v>3</v>
      </c>
      <c r="O563" s="9">
        <v>7.6</v>
      </c>
      <c r="P563" s="9">
        <v>3</v>
      </c>
      <c r="Q563" s="9" t="s">
        <v>6</v>
      </c>
      <c r="R563" s="1">
        <v>0</v>
      </c>
      <c r="S563" s="26"/>
    </row>
    <row r="564" spans="1:19" ht="16.5" customHeight="1" x14ac:dyDescent="0.25">
      <c r="A564" s="9"/>
      <c r="B564" s="51" t="s">
        <v>74</v>
      </c>
      <c r="C564" s="52"/>
      <c r="D564" s="52"/>
      <c r="E564" s="52"/>
      <c r="F564" s="52"/>
      <c r="G564" s="53"/>
      <c r="H564" s="20"/>
      <c r="I564" s="9">
        <v>2</v>
      </c>
      <c r="J564" s="9"/>
      <c r="K564" s="9"/>
      <c r="L564" s="9"/>
      <c r="M564" s="9">
        <f t="shared" si="74"/>
        <v>14</v>
      </c>
      <c r="N564" s="9">
        <f t="shared" si="75"/>
        <v>6</v>
      </c>
      <c r="O564" s="9">
        <v>7</v>
      </c>
      <c r="P564" s="9">
        <v>3</v>
      </c>
      <c r="Q564" s="9" t="s">
        <v>6</v>
      </c>
      <c r="R564" s="1">
        <v>0</v>
      </c>
      <c r="S564" s="26"/>
    </row>
    <row r="565" spans="1:19" ht="16.5" customHeight="1" x14ac:dyDescent="0.25">
      <c r="A565" s="9"/>
      <c r="B565" s="51" t="s">
        <v>75</v>
      </c>
      <c r="C565" s="52"/>
      <c r="D565" s="52"/>
      <c r="E565" s="52"/>
      <c r="F565" s="52"/>
      <c r="G565" s="53"/>
      <c r="H565" s="20"/>
      <c r="I565" s="9">
        <v>1</v>
      </c>
      <c r="J565" s="9"/>
      <c r="K565" s="9"/>
      <c r="L565" s="9"/>
      <c r="M565" s="9">
        <f t="shared" si="74"/>
        <v>8.1</v>
      </c>
      <c r="N565" s="9">
        <f t="shared" si="75"/>
        <v>3.5</v>
      </c>
      <c r="O565" s="9">
        <v>8.1</v>
      </c>
      <c r="P565" s="9">
        <v>3.5</v>
      </c>
      <c r="Q565" s="9" t="s">
        <v>9</v>
      </c>
      <c r="R565" s="1">
        <v>0</v>
      </c>
      <c r="S565" s="26"/>
    </row>
    <row r="566" spans="1:19" ht="16.5" customHeight="1" x14ac:dyDescent="0.25">
      <c r="A566" s="9"/>
      <c r="B566" s="51" t="s">
        <v>76</v>
      </c>
      <c r="C566" s="52"/>
      <c r="D566" s="52"/>
      <c r="E566" s="52"/>
      <c r="F566" s="52"/>
      <c r="G566" s="53"/>
      <c r="H566" s="20"/>
      <c r="I566" s="9">
        <v>4</v>
      </c>
      <c r="J566" s="9"/>
      <c r="K566" s="9"/>
      <c r="L566" s="9"/>
      <c r="M566" s="9">
        <f t="shared" si="74"/>
        <v>31.6</v>
      </c>
      <c r="N566" s="9">
        <f t="shared" si="75"/>
        <v>12</v>
      </c>
      <c r="O566" s="9">
        <v>7.9</v>
      </c>
      <c r="P566" s="9">
        <v>3</v>
      </c>
      <c r="Q566" s="9" t="s">
        <v>6</v>
      </c>
      <c r="R566" s="1">
        <v>0</v>
      </c>
      <c r="S566" s="26"/>
    </row>
    <row r="567" spans="1:19" ht="16.5" customHeight="1" x14ac:dyDescent="0.25">
      <c r="A567" s="9"/>
      <c r="B567" s="51" t="s">
        <v>77</v>
      </c>
      <c r="C567" s="52"/>
      <c r="D567" s="52"/>
      <c r="E567" s="52"/>
      <c r="F567" s="52"/>
      <c r="G567" s="53"/>
      <c r="H567" s="20"/>
      <c r="I567" s="9">
        <v>3</v>
      </c>
      <c r="J567" s="9"/>
      <c r="K567" s="9"/>
      <c r="L567" s="9"/>
      <c r="M567" s="9">
        <f t="shared" si="74"/>
        <v>23.700000000000003</v>
      </c>
      <c r="N567" s="9">
        <f t="shared" si="75"/>
        <v>9</v>
      </c>
      <c r="O567" s="9">
        <v>7.9</v>
      </c>
      <c r="P567" s="9">
        <v>3</v>
      </c>
      <c r="Q567" s="9" t="s">
        <v>6</v>
      </c>
      <c r="R567" s="1">
        <v>0</v>
      </c>
      <c r="S567" s="26"/>
    </row>
    <row r="568" spans="1:19" ht="16.5" hidden="1" customHeight="1" x14ac:dyDescent="0.25">
      <c r="A568" s="21"/>
      <c r="H568" s="21"/>
      <c r="I568" s="21"/>
      <c r="J568" s="21"/>
      <c r="K568" s="21"/>
      <c r="L568" s="21"/>
      <c r="M568" s="9">
        <f t="shared" si="74"/>
        <v>0</v>
      </c>
      <c r="N568" s="9">
        <f t="shared" si="75"/>
        <v>0</v>
      </c>
      <c r="O568" s="21"/>
      <c r="P568" s="21"/>
      <c r="Q568" s="21"/>
      <c r="S568" s="25"/>
    </row>
    <row r="569" spans="1:19" ht="16.5" customHeight="1" x14ac:dyDescent="0.25">
      <c r="A569" s="9"/>
      <c r="B569" s="39" t="s">
        <v>42</v>
      </c>
      <c r="C569" s="40"/>
      <c r="D569" s="40"/>
      <c r="E569" s="40"/>
      <c r="F569" s="40"/>
      <c r="G569" s="41"/>
      <c r="H569" s="23"/>
      <c r="I569" s="24">
        <f>SUM(I561:I568)</f>
        <v>19</v>
      </c>
      <c r="J569" s="9"/>
      <c r="K569" s="9"/>
      <c r="L569" s="9"/>
      <c r="M569" s="9">
        <f t="shared" si="74"/>
        <v>144.21</v>
      </c>
      <c r="N569" s="9">
        <f t="shared" si="75"/>
        <v>57.569999999999993</v>
      </c>
      <c r="O569" s="24">
        <f>ROUND(SUM(M561:M568)/I569,2)</f>
        <v>7.59</v>
      </c>
      <c r="P569" s="24">
        <f>ROUND(SUM(N561:N568)/I569,2)</f>
        <v>3.03</v>
      </c>
      <c r="Q569" s="9"/>
      <c r="S569" s="25"/>
    </row>
    <row r="570" spans="1:19" ht="20.25" customHeight="1" x14ac:dyDescent="0.25">
      <c r="A570" s="27" t="s">
        <v>78</v>
      </c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</row>
    <row r="571" spans="1:19" ht="16.5" customHeight="1" x14ac:dyDescent="0.25">
      <c r="A571" s="9"/>
      <c r="B571" s="51" t="s">
        <v>79</v>
      </c>
      <c r="C571" s="52"/>
      <c r="D571" s="52"/>
      <c r="E571" s="52"/>
      <c r="F571" s="52"/>
      <c r="G571" s="53"/>
      <c r="H571" s="20"/>
      <c r="I571" s="9">
        <v>1</v>
      </c>
      <c r="J571" s="9"/>
      <c r="K571" s="9"/>
      <c r="L571" s="9"/>
      <c r="M571" s="9">
        <f t="shared" ref="M571:M577" si="76">I571*O571</f>
        <v>8</v>
      </c>
      <c r="N571" s="9">
        <f t="shared" ref="N571:N577" si="77">I571*P571</f>
        <v>3.5</v>
      </c>
      <c r="O571" s="9">
        <v>8</v>
      </c>
      <c r="P571" s="9">
        <v>3.5</v>
      </c>
      <c r="Q571" s="9" t="s">
        <v>9</v>
      </c>
      <c r="R571" s="1">
        <v>0</v>
      </c>
      <c r="S571" s="26"/>
    </row>
    <row r="572" spans="1:19" ht="16.5" customHeight="1" x14ac:dyDescent="0.25">
      <c r="A572" s="9"/>
      <c r="B572" s="51" t="s">
        <v>80</v>
      </c>
      <c r="C572" s="52"/>
      <c r="D572" s="52"/>
      <c r="E572" s="52"/>
      <c r="F572" s="52"/>
      <c r="G572" s="53"/>
      <c r="H572" s="20"/>
      <c r="I572" s="9">
        <v>3</v>
      </c>
      <c r="J572" s="9"/>
      <c r="K572" s="9"/>
      <c r="L572" s="9"/>
      <c r="M572" s="9">
        <f t="shared" si="76"/>
        <v>23.1</v>
      </c>
      <c r="N572" s="9">
        <f t="shared" si="77"/>
        <v>9</v>
      </c>
      <c r="O572" s="9">
        <v>7.7</v>
      </c>
      <c r="P572" s="9">
        <v>3</v>
      </c>
      <c r="Q572" s="9" t="s">
        <v>6</v>
      </c>
      <c r="R572" s="1">
        <v>0</v>
      </c>
      <c r="S572" s="26"/>
    </row>
    <row r="573" spans="1:19" ht="16.5" customHeight="1" x14ac:dyDescent="0.25">
      <c r="A573" s="9"/>
      <c r="B573" s="51" t="s">
        <v>81</v>
      </c>
      <c r="C573" s="52"/>
      <c r="D573" s="52"/>
      <c r="E573" s="52"/>
      <c r="F573" s="52"/>
      <c r="G573" s="53"/>
      <c r="H573" s="20"/>
      <c r="I573" s="9">
        <v>3</v>
      </c>
      <c r="J573" s="9"/>
      <c r="K573" s="9"/>
      <c r="L573" s="9"/>
      <c r="M573" s="9">
        <f t="shared" si="76"/>
        <v>24</v>
      </c>
      <c r="N573" s="9">
        <f t="shared" si="77"/>
        <v>10.5</v>
      </c>
      <c r="O573" s="9">
        <v>8</v>
      </c>
      <c r="P573" s="9">
        <v>3.5</v>
      </c>
      <c r="Q573" s="9" t="s">
        <v>9</v>
      </c>
      <c r="R573" s="1">
        <v>0</v>
      </c>
      <c r="S573" s="26"/>
    </row>
    <row r="574" spans="1:19" ht="16.5" customHeight="1" x14ac:dyDescent="0.25">
      <c r="A574" s="9"/>
      <c r="B574" s="51" t="s">
        <v>82</v>
      </c>
      <c r="C574" s="52"/>
      <c r="D574" s="52"/>
      <c r="E574" s="52"/>
      <c r="F574" s="52"/>
      <c r="G574" s="53"/>
      <c r="H574" s="20"/>
      <c r="I574" s="9">
        <v>2</v>
      </c>
      <c r="J574" s="9"/>
      <c r="K574" s="9"/>
      <c r="L574" s="9"/>
      <c r="M574" s="9">
        <f t="shared" si="76"/>
        <v>14.6</v>
      </c>
      <c r="N574" s="9">
        <f t="shared" si="77"/>
        <v>6</v>
      </c>
      <c r="O574" s="9">
        <v>7.3</v>
      </c>
      <c r="P574" s="9">
        <v>3</v>
      </c>
      <c r="Q574" s="9" t="s">
        <v>6</v>
      </c>
      <c r="R574" s="1">
        <v>0</v>
      </c>
      <c r="S574" s="26"/>
    </row>
    <row r="575" spans="1:19" ht="16.5" customHeight="1" x14ac:dyDescent="0.25">
      <c r="A575" s="9"/>
      <c r="B575" s="51" t="s">
        <v>83</v>
      </c>
      <c r="C575" s="52"/>
      <c r="D575" s="52"/>
      <c r="E575" s="52"/>
      <c r="F575" s="52"/>
      <c r="G575" s="53"/>
      <c r="H575" s="20"/>
      <c r="I575" s="9">
        <v>2</v>
      </c>
      <c r="J575" s="9"/>
      <c r="K575" s="9"/>
      <c r="L575" s="9"/>
      <c r="M575" s="9">
        <f t="shared" si="76"/>
        <v>16.399999999999999</v>
      </c>
      <c r="N575" s="9">
        <f t="shared" si="77"/>
        <v>7</v>
      </c>
      <c r="O575" s="9">
        <v>8.1999999999999993</v>
      </c>
      <c r="P575" s="9">
        <v>3.5</v>
      </c>
      <c r="Q575" s="9" t="s">
        <v>9</v>
      </c>
      <c r="R575" s="1">
        <v>0</v>
      </c>
      <c r="S575" s="26"/>
    </row>
    <row r="576" spans="1:19" ht="16.5" customHeight="1" x14ac:dyDescent="0.25">
      <c r="A576" s="9"/>
      <c r="B576" s="51" t="s">
        <v>84</v>
      </c>
      <c r="C576" s="52"/>
      <c r="D576" s="52"/>
      <c r="E576" s="52"/>
      <c r="F576" s="52"/>
      <c r="G576" s="53"/>
      <c r="H576" s="20"/>
      <c r="I576" s="9">
        <v>3</v>
      </c>
      <c r="J576" s="9"/>
      <c r="K576" s="9"/>
      <c r="L576" s="9"/>
      <c r="M576" s="9">
        <f t="shared" si="76"/>
        <v>21.9</v>
      </c>
      <c r="N576" s="9">
        <f t="shared" si="77"/>
        <v>9</v>
      </c>
      <c r="O576" s="9">
        <v>7.3</v>
      </c>
      <c r="P576" s="9">
        <v>3</v>
      </c>
      <c r="Q576" s="9" t="s">
        <v>6</v>
      </c>
      <c r="R576" s="1">
        <v>0</v>
      </c>
      <c r="S576" s="26"/>
    </row>
    <row r="577" spans="1:19" ht="16.5" customHeight="1" x14ac:dyDescent="0.25">
      <c r="A577" s="9"/>
      <c r="B577" s="51" t="s">
        <v>85</v>
      </c>
      <c r="C577" s="52"/>
      <c r="D577" s="52"/>
      <c r="E577" s="52"/>
      <c r="F577" s="52"/>
      <c r="G577" s="53"/>
      <c r="H577" s="20"/>
      <c r="I577" s="9">
        <v>2</v>
      </c>
      <c r="J577" s="9"/>
      <c r="K577" s="9"/>
      <c r="L577" s="9"/>
      <c r="M577" s="9">
        <f t="shared" si="76"/>
        <v>15</v>
      </c>
      <c r="N577" s="9">
        <f t="shared" si="77"/>
        <v>6</v>
      </c>
      <c r="O577" s="9">
        <v>7.5</v>
      </c>
      <c r="P577" s="9">
        <v>3</v>
      </c>
      <c r="Q577" s="9" t="s">
        <v>6</v>
      </c>
      <c r="R577" s="1">
        <v>0</v>
      </c>
      <c r="S577" s="26"/>
    </row>
    <row r="578" spans="1:19" ht="15" customHeight="1" x14ac:dyDescent="0.25">
      <c r="A578" s="36" t="s">
        <v>0</v>
      </c>
      <c r="B578" s="29" t="s">
        <v>1</v>
      </c>
      <c r="C578" s="30"/>
      <c r="D578" s="30"/>
      <c r="E578" s="30"/>
      <c r="F578" s="30"/>
      <c r="G578" s="31"/>
      <c r="H578" s="36" t="s">
        <v>32</v>
      </c>
      <c r="I578" s="36" t="s">
        <v>39</v>
      </c>
      <c r="J578" s="55" t="s">
        <v>2</v>
      </c>
      <c r="K578" s="56"/>
      <c r="L578" s="56"/>
      <c r="M578" s="56"/>
      <c r="N578" s="56"/>
      <c r="O578" s="56"/>
      <c r="P578" s="56"/>
      <c r="Q578" s="57"/>
      <c r="S578" s="36" t="s">
        <v>38</v>
      </c>
    </row>
    <row r="579" spans="1:19" ht="24" customHeight="1" x14ac:dyDescent="0.25">
      <c r="A579" s="37"/>
      <c r="B579" s="32"/>
      <c r="C579" s="33"/>
      <c r="D579" s="33"/>
      <c r="E579" s="33"/>
      <c r="F579" s="33"/>
      <c r="G579" s="34"/>
      <c r="H579" s="37"/>
      <c r="I579" s="37"/>
      <c r="J579" s="7" t="s">
        <v>28</v>
      </c>
      <c r="K579" s="7" t="s">
        <v>29</v>
      </c>
      <c r="L579" s="7" t="s">
        <v>30</v>
      </c>
      <c r="M579" s="7"/>
      <c r="N579" s="7"/>
      <c r="O579" s="6" t="s">
        <v>35</v>
      </c>
      <c r="P579" s="6" t="s">
        <v>36</v>
      </c>
      <c r="Q579" s="6" t="s">
        <v>37</v>
      </c>
      <c r="S579" s="37"/>
    </row>
    <row r="580" spans="1:19" ht="16.5" customHeight="1" x14ac:dyDescent="0.25">
      <c r="A580" s="9"/>
      <c r="B580" s="51" t="s">
        <v>86</v>
      </c>
      <c r="C580" s="52"/>
      <c r="D580" s="52"/>
      <c r="E580" s="52"/>
      <c r="F580" s="52"/>
      <c r="G580" s="53"/>
      <c r="H580" s="20"/>
      <c r="I580" s="9">
        <v>3</v>
      </c>
      <c r="J580" s="9"/>
      <c r="K580" s="9"/>
      <c r="L580" s="9"/>
      <c r="M580" s="9">
        <f>I580*O580</f>
        <v>27.599999999999998</v>
      </c>
      <c r="N580" s="9">
        <f>I580*P580</f>
        <v>12</v>
      </c>
      <c r="O580" s="9">
        <v>9.1999999999999993</v>
      </c>
      <c r="P580" s="9">
        <v>4</v>
      </c>
      <c r="Q580" s="9" t="s">
        <v>12</v>
      </c>
      <c r="R580" s="1">
        <v>0</v>
      </c>
      <c r="S580" s="26"/>
    </row>
    <row r="581" spans="1:19" ht="16.5" customHeight="1" x14ac:dyDescent="0.25">
      <c r="A581" s="9"/>
      <c r="B581" s="51" t="s">
        <v>87</v>
      </c>
      <c r="C581" s="52"/>
      <c r="D581" s="52"/>
      <c r="E581" s="52"/>
      <c r="F581" s="52"/>
      <c r="G581" s="53"/>
      <c r="H581" s="20"/>
      <c r="I581" s="9">
        <v>3</v>
      </c>
      <c r="J581" s="9"/>
      <c r="K581" s="9"/>
      <c r="L581" s="9"/>
      <c r="M581" s="9">
        <f>I581*O581</f>
        <v>25.200000000000003</v>
      </c>
      <c r="N581" s="9">
        <f>I581*P581</f>
        <v>10.5</v>
      </c>
      <c r="O581" s="9">
        <v>8.4</v>
      </c>
      <c r="P581" s="9">
        <v>3.5</v>
      </c>
      <c r="Q581" s="9" t="s">
        <v>9</v>
      </c>
      <c r="R581" s="1">
        <v>0</v>
      </c>
      <c r="S581" s="26"/>
    </row>
    <row r="582" spans="1:19" ht="16.5" hidden="1" customHeight="1" x14ac:dyDescent="0.25">
      <c r="A582" s="21"/>
      <c r="H582" s="21"/>
      <c r="I582" s="21"/>
      <c r="J582" s="21"/>
      <c r="K582" s="21"/>
      <c r="L582" s="21"/>
      <c r="M582" s="9">
        <f>I582*O582</f>
        <v>0</v>
      </c>
      <c r="N582" s="9">
        <f>I582*P582</f>
        <v>0</v>
      </c>
      <c r="O582" s="21"/>
      <c r="P582" s="21"/>
      <c r="Q582" s="21"/>
      <c r="S582" s="25"/>
    </row>
    <row r="583" spans="1:19" ht="16.5" customHeight="1" x14ac:dyDescent="0.25">
      <c r="A583" s="9"/>
      <c r="B583" s="39" t="s">
        <v>42</v>
      </c>
      <c r="C583" s="40"/>
      <c r="D583" s="40"/>
      <c r="E583" s="40"/>
      <c r="F583" s="40"/>
      <c r="G583" s="41"/>
      <c r="H583" s="23"/>
      <c r="I583" s="24">
        <f>SUM(I571:I582)</f>
        <v>22</v>
      </c>
      <c r="J583" s="9"/>
      <c r="K583" s="9"/>
      <c r="L583" s="9"/>
      <c r="M583" s="9">
        <f>I583*O583</f>
        <v>175.78</v>
      </c>
      <c r="N583" s="9">
        <f>I583*P583</f>
        <v>73.47999999999999</v>
      </c>
      <c r="O583" s="24">
        <f>ROUND(SUM(M571:M582)/I583,2)</f>
        <v>7.99</v>
      </c>
      <c r="P583" s="24">
        <f>ROUND(SUM(N571:N582)/I583,2)</f>
        <v>3.34</v>
      </c>
      <c r="Q583" s="9"/>
      <c r="S583" s="25"/>
    </row>
    <row r="584" spans="1:19" ht="20.25" customHeight="1" x14ac:dyDescent="0.25">
      <c r="A584" s="27" t="s">
        <v>88</v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</row>
    <row r="585" spans="1:19" ht="16.5" customHeight="1" x14ac:dyDescent="0.25">
      <c r="A585" s="9"/>
      <c r="B585" s="51" t="s">
        <v>96</v>
      </c>
      <c r="C585" s="52"/>
      <c r="D585" s="52"/>
      <c r="E585" s="52"/>
      <c r="F585" s="52"/>
      <c r="G585" s="53"/>
      <c r="H585" s="20"/>
      <c r="I585" s="9">
        <v>3</v>
      </c>
      <c r="J585" s="9"/>
      <c r="K585" s="9"/>
      <c r="L585" s="9"/>
      <c r="M585" s="9">
        <f t="shared" ref="M585:M596" si="78">I585*O585</f>
        <v>24</v>
      </c>
      <c r="N585" s="9">
        <f t="shared" ref="N585:N596" si="79">I585*P585</f>
        <v>10.5</v>
      </c>
      <c r="O585" s="9">
        <v>8</v>
      </c>
      <c r="P585" s="9">
        <v>3.5</v>
      </c>
      <c r="Q585" s="9" t="s">
        <v>9</v>
      </c>
      <c r="R585" s="1">
        <v>0</v>
      </c>
      <c r="S585" s="26"/>
    </row>
    <row r="586" spans="1:19" ht="16.5" customHeight="1" x14ac:dyDescent="0.25">
      <c r="A586" s="9"/>
      <c r="B586" s="51" t="s">
        <v>90</v>
      </c>
      <c r="C586" s="52"/>
      <c r="D586" s="52"/>
      <c r="E586" s="52"/>
      <c r="F586" s="52"/>
      <c r="G586" s="53"/>
      <c r="H586" s="20"/>
      <c r="I586" s="9">
        <v>3</v>
      </c>
      <c r="J586" s="9"/>
      <c r="K586" s="9"/>
      <c r="L586" s="9"/>
      <c r="M586" s="9">
        <f t="shared" si="78"/>
        <v>23.700000000000003</v>
      </c>
      <c r="N586" s="9">
        <f t="shared" si="79"/>
        <v>9</v>
      </c>
      <c r="O586" s="9">
        <v>7.9</v>
      </c>
      <c r="P586" s="9">
        <v>3</v>
      </c>
      <c r="Q586" s="9" t="s">
        <v>6</v>
      </c>
      <c r="R586" s="1">
        <v>0</v>
      </c>
      <c r="S586" s="26"/>
    </row>
    <row r="587" spans="1:19" ht="16.5" customHeight="1" x14ac:dyDescent="0.25">
      <c r="A587" s="9"/>
      <c r="B587" s="51" t="s">
        <v>91</v>
      </c>
      <c r="C587" s="52"/>
      <c r="D587" s="52"/>
      <c r="E587" s="52"/>
      <c r="F587" s="52"/>
      <c r="G587" s="53"/>
      <c r="H587" s="20"/>
      <c r="I587" s="9">
        <v>2</v>
      </c>
      <c r="J587" s="9"/>
      <c r="K587" s="9"/>
      <c r="L587" s="9"/>
      <c r="M587" s="9">
        <f t="shared" si="78"/>
        <v>15</v>
      </c>
      <c r="N587" s="9">
        <f t="shared" si="79"/>
        <v>6</v>
      </c>
      <c r="O587" s="9">
        <v>7.5</v>
      </c>
      <c r="P587" s="9">
        <v>3</v>
      </c>
      <c r="Q587" s="9" t="s">
        <v>6</v>
      </c>
      <c r="R587" s="1">
        <v>0</v>
      </c>
      <c r="S587" s="26"/>
    </row>
    <row r="588" spans="1:19" ht="16.5" customHeight="1" x14ac:dyDescent="0.25">
      <c r="A588" s="9"/>
      <c r="B588" s="51" t="s">
        <v>92</v>
      </c>
      <c r="C588" s="52"/>
      <c r="D588" s="52"/>
      <c r="E588" s="52"/>
      <c r="F588" s="52"/>
      <c r="G588" s="53"/>
      <c r="H588" s="20"/>
      <c r="I588" s="9">
        <v>3</v>
      </c>
      <c r="J588" s="9"/>
      <c r="K588" s="9"/>
      <c r="L588" s="9"/>
      <c r="M588" s="9">
        <f t="shared" si="78"/>
        <v>22.5</v>
      </c>
      <c r="N588" s="9">
        <f t="shared" si="79"/>
        <v>9</v>
      </c>
      <c r="O588" s="9">
        <v>7.5</v>
      </c>
      <c r="P588" s="9">
        <v>3</v>
      </c>
      <c r="Q588" s="9" t="s">
        <v>6</v>
      </c>
      <c r="R588" s="1">
        <v>0</v>
      </c>
      <c r="S588" s="26"/>
    </row>
    <row r="589" spans="1:19" ht="16.5" customHeight="1" x14ac:dyDescent="0.25">
      <c r="A589" s="9"/>
      <c r="B589" s="51" t="s">
        <v>93</v>
      </c>
      <c r="C589" s="52"/>
      <c r="D589" s="52"/>
      <c r="E589" s="52"/>
      <c r="F589" s="52"/>
      <c r="G589" s="53"/>
      <c r="H589" s="20"/>
      <c r="I589" s="9">
        <v>1</v>
      </c>
      <c r="J589" s="9"/>
      <c r="K589" s="9"/>
      <c r="L589" s="9"/>
      <c r="M589" s="9">
        <f t="shared" si="78"/>
        <v>8.1999999999999993</v>
      </c>
      <c r="N589" s="9">
        <f t="shared" si="79"/>
        <v>3.5</v>
      </c>
      <c r="O589" s="9">
        <v>8.1999999999999993</v>
      </c>
      <c r="P589" s="9">
        <v>3.5</v>
      </c>
      <c r="Q589" s="9" t="s">
        <v>9</v>
      </c>
      <c r="R589" s="1">
        <v>0</v>
      </c>
      <c r="S589" s="26"/>
    </row>
    <row r="590" spans="1:19" ht="16.5" customHeight="1" x14ac:dyDescent="0.25">
      <c r="A590" s="9"/>
      <c r="B590" s="51" t="s">
        <v>94</v>
      </c>
      <c r="C590" s="52"/>
      <c r="D590" s="52"/>
      <c r="E590" s="52"/>
      <c r="F590" s="52"/>
      <c r="G590" s="53"/>
      <c r="H590" s="20"/>
      <c r="I590" s="9">
        <v>1</v>
      </c>
      <c r="J590" s="9"/>
      <c r="K590" s="9"/>
      <c r="L590" s="9"/>
      <c r="M590" s="9">
        <f t="shared" si="78"/>
        <v>7.5</v>
      </c>
      <c r="N590" s="9">
        <f t="shared" si="79"/>
        <v>3</v>
      </c>
      <c r="O590" s="9">
        <v>7.5</v>
      </c>
      <c r="P590" s="9">
        <v>3</v>
      </c>
      <c r="Q590" s="9" t="s">
        <v>6</v>
      </c>
      <c r="R590" s="1">
        <v>0</v>
      </c>
      <c r="S590" s="26"/>
    </row>
    <row r="591" spans="1:19" ht="16.5" customHeight="1" x14ac:dyDescent="0.25">
      <c r="A591" s="9"/>
      <c r="B591" s="51" t="s">
        <v>95</v>
      </c>
      <c r="C591" s="52"/>
      <c r="D591" s="52"/>
      <c r="E591" s="52"/>
      <c r="F591" s="52"/>
      <c r="G591" s="53"/>
      <c r="H591" s="20"/>
      <c r="I591" s="9">
        <v>3</v>
      </c>
      <c r="J591" s="9"/>
      <c r="K591" s="9"/>
      <c r="L591" s="9"/>
      <c r="M591" s="9">
        <f t="shared" si="78"/>
        <v>23.1</v>
      </c>
      <c r="N591" s="9">
        <f t="shared" si="79"/>
        <v>9</v>
      </c>
      <c r="O591" s="9">
        <v>7.7</v>
      </c>
      <c r="P591" s="9">
        <v>3</v>
      </c>
      <c r="Q591" s="9" t="s">
        <v>6</v>
      </c>
      <c r="R591" s="1">
        <v>0</v>
      </c>
      <c r="S591" s="26"/>
    </row>
    <row r="592" spans="1:19" ht="16.5" customHeight="1" x14ac:dyDescent="0.25">
      <c r="A592" s="9"/>
      <c r="B592" s="51" t="s">
        <v>98</v>
      </c>
      <c r="C592" s="52"/>
      <c r="D592" s="52"/>
      <c r="E592" s="52"/>
      <c r="F592" s="52"/>
      <c r="G592" s="53"/>
      <c r="H592" s="20"/>
      <c r="I592" s="9">
        <v>3</v>
      </c>
      <c r="J592" s="9"/>
      <c r="K592" s="9"/>
      <c r="L592" s="9"/>
      <c r="M592" s="9">
        <f t="shared" si="78"/>
        <v>21.299999999999997</v>
      </c>
      <c r="N592" s="9">
        <f t="shared" si="79"/>
        <v>9</v>
      </c>
      <c r="O592" s="9">
        <v>7.1</v>
      </c>
      <c r="P592" s="9">
        <v>3</v>
      </c>
      <c r="Q592" s="9" t="s">
        <v>6</v>
      </c>
      <c r="R592" s="1">
        <v>0</v>
      </c>
      <c r="S592" s="26"/>
    </row>
    <row r="593" spans="1:19" ht="16.5" customHeight="1" x14ac:dyDescent="0.25">
      <c r="A593" s="9"/>
      <c r="B593" s="51" t="s">
        <v>97</v>
      </c>
      <c r="C593" s="52"/>
      <c r="D593" s="52"/>
      <c r="E593" s="52"/>
      <c r="F593" s="52"/>
      <c r="G593" s="53"/>
      <c r="H593" s="20"/>
      <c r="I593" s="9">
        <v>1</v>
      </c>
      <c r="J593" s="9"/>
      <c r="K593" s="9"/>
      <c r="L593" s="9"/>
      <c r="M593" s="9">
        <f t="shared" si="78"/>
        <v>7</v>
      </c>
      <c r="N593" s="9">
        <f t="shared" si="79"/>
        <v>3</v>
      </c>
      <c r="O593" s="9">
        <v>7</v>
      </c>
      <c r="P593" s="9">
        <v>3</v>
      </c>
      <c r="Q593" s="9" t="s">
        <v>6</v>
      </c>
      <c r="R593" s="1">
        <v>0</v>
      </c>
      <c r="S593" s="26"/>
    </row>
    <row r="594" spans="1:19" ht="16.5" customHeight="1" x14ac:dyDescent="0.25">
      <c r="A594" s="9"/>
      <c r="B594" s="51" t="s">
        <v>89</v>
      </c>
      <c r="C594" s="52"/>
      <c r="D594" s="52"/>
      <c r="E594" s="52"/>
      <c r="F594" s="52"/>
      <c r="G594" s="53"/>
      <c r="H594" s="20"/>
      <c r="I594" s="9">
        <v>2</v>
      </c>
      <c r="J594" s="9"/>
      <c r="K594" s="9"/>
      <c r="L594" s="9"/>
      <c r="M594" s="9">
        <f t="shared" si="78"/>
        <v>16</v>
      </c>
      <c r="N594" s="9">
        <f t="shared" si="79"/>
        <v>7</v>
      </c>
      <c r="O594" s="9">
        <v>8</v>
      </c>
      <c r="P594" s="9">
        <v>3.5</v>
      </c>
      <c r="Q594" s="9" t="s">
        <v>9</v>
      </c>
      <c r="R594" s="1">
        <v>0</v>
      </c>
      <c r="S594" s="26"/>
    </row>
    <row r="595" spans="1:19" ht="16.5" hidden="1" customHeight="1" x14ac:dyDescent="0.25">
      <c r="A595" s="21"/>
      <c r="H595" s="21"/>
      <c r="I595" s="21"/>
      <c r="J595" s="21"/>
      <c r="K595" s="21"/>
      <c r="L595" s="21"/>
      <c r="M595" s="9">
        <f t="shared" si="78"/>
        <v>0</v>
      </c>
      <c r="N595" s="9">
        <f t="shared" si="79"/>
        <v>0</v>
      </c>
      <c r="O595" s="21"/>
      <c r="P595" s="21"/>
      <c r="Q595" s="21"/>
      <c r="S595" s="25"/>
    </row>
    <row r="596" spans="1:19" ht="16.5" customHeight="1" x14ac:dyDescent="0.25">
      <c r="A596" s="9"/>
      <c r="B596" s="39" t="s">
        <v>42</v>
      </c>
      <c r="C596" s="40"/>
      <c r="D596" s="40"/>
      <c r="E596" s="40"/>
      <c r="F596" s="40"/>
      <c r="G596" s="41"/>
      <c r="H596" s="23"/>
      <c r="I596" s="24">
        <f>SUM(I585:I595)</f>
        <v>22</v>
      </c>
      <c r="J596" s="9"/>
      <c r="K596" s="9"/>
      <c r="L596" s="9"/>
      <c r="M596" s="9">
        <f t="shared" si="78"/>
        <v>168.3</v>
      </c>
      <c r="N596" s="9">
        <f t="shared" si="79"/>
        <v>69.08</v>
      </c>
      <c r="O596" s="24">
        <f>ROUND(SUM(M585:M595)/I596,2)</f>
        <v>7.65</v>
      </c>
      <c r="P596" s="24">
        <f>ROUND(SUM(N585:N595)/I596,2)</f>
        <v>3.14</v>
      </c>
      <c r="Q596" s="9"/>
      <c r="S596" s="25"/>
    </row>
    <row r="597" spans="1:19" ht="20.25" customHeight="1" x14ac:dyDescent="0.25">
      <c r="A597" s="27" t="s">
        <v>99</v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</row>
    <row r="598" spans="1:19" ht="16.5" customHeight="1" x14ac:dyDescent="0.25">
      <c r="A598" s="9"/>
      <c r="B598" s="51" t="s">
        <v>100</v>
      </c>
      <c r="C598" s="52"/>
      <c r="D598" s="52"/>
      <c r="E598" s="52"/>
      <c r="F598" s="52"/>
      <c r="G598" s="53"/>
      <c r="H598" s="20"/>
      <c r="I598" s="9">
        <v>2</v>
      </c>
      <c r="J598" s="9"/>
      <c r="K598" s="9"/>
      <c r="L598" s="9"/>
      <c r="M598" s="9">
        <f t="shared" ref="M598:M611" si="80">I598*O598</f>
        <v>16</v>
      </c>
      <c r="N598" s="9">
        <f t="shared" ref="N598:N611" si="81">I598*P598</f>
        <v>7</v>
      </c>
      <c r="O598" s="9">
        <v>8</v>
      </c>
      <c r="P598" s="9">
        <v>3.5</v>
      </c>
      <c r="Q598" s="9" t="s">
        <v>9</v>
      </c>
      <c r="R598" s="1">
        <v>0</v>
      </c>
      <c r="S598" s="26"/>
    </row>
    <row r="599" spans="1:19" ht="16.5" customHeight="1" x14ac:dyDescent="0.25">
      <c r="A599" s="9"/>
      <c r="B599" s="51" t="s">
        <v>101</v>
      </c>
      <c r="C599" s="52"/>
      <c r="D599" s="52"/>
      <c r="E599" s="52"/>
      <c r="F599" s="52"/>
      <c r="G599" s="53"/>
      <c r="H599" s="20"/>
      <c r="I599" s="9">
        <v>2</v>
      </c>
      <c r="J599" s="9"/>
      <c r="K599" s="9"/>
      <c r="L599" s="9"/>
      <c r="M599" s="9">
        <f t="shared" si="80"/>
        <v>15</v>
      </c>
      <c r="N599" s="9">
        <f t="shared" si="81"/>
        <v>6</v>
      </c>
      <c r="O599" s="9">
        <v>7.5</v>
      </c>
      <c r="P599" s="9">
        <v>3</v>
      </c>
      <c r="Q599" s="9" t="s">
        <v>6</v>
      </c>
      <c r="R599" s="1">
        <v>0</v>
      </c>
      <c r="S599" s="26"/>
    </row>
    <row r="600" spans="1:19" ht="16.5" customHeight="1" x14ac:dyDescent="0.25">
      <c r="A600" s="9"/>
      <c r="B600" s="51" t="s">
        <v>102</v>
      </c>
      <c r="C600" s="52"/>
      <c r="D600" s="52"/>
      <c r="E600" s="52"/>
      <c r="F600" s="52"/>
      <c r="G600" s="53"/>
      <c r="H600" s="20"/>
      <c r="I600" s="9">
        <v>1</v>
      </c>
      <c r="J600" s="9"/>
      <c r="K600" s="9"/>
      <c r="L600" s="9"/>
      <c r="M600" s="9">
        <f t="shared" si="80"/>
        <v>7.9</v>
      </c>
      <c r="N600" s="9">
        <f t="shared" si="81"/>
        <v>3</v>
      </c>
      <c r="O600" s="9">
        <v>7.9</v>
      </c>
      <c r="P600" s="9">
        <v>3</v>
      </c>
      <c r="Q600" s="9" t="s">
        <v>6</v>
      </c>
      <c r="R600" s="1">
        <v>0</v>
      </c>
      <c r="S600" s="26"/>
    </row>
    <row r="601" spans="1:19" ht="16.5" customHeight="1" x14ac:dyDescent="0.25">
      <c r="A601" s="9"/>
      <c r="B601" s="51" t="s">
        <v>103</v>
      </c>
      <c r="C601" s="52"/>
      <c r="D601" s="52"/>
      <c r="E601" s="52"/>
      <c r="F601" s="52"/>
      <c r="G601" s="53"/>
      <c r="H601" s="20"/>
      <c r="I601" s="9">
        <v>2</v>
      </c>
      <c r="J601" s="9"/>
      <c r="K601" s="9"/>
      <c r="L601" s="9"/>
      <c r="M601" s="9">
        <f t="shared" si="80"/>
        <v>11.8</v>
      </c>
      <c r="N601" s="9">
        <f t="shared" si="81"/>
        <v>4</v>
      </c>
      <c r="O601" s="9">
        <v>5.9</v>
      </c>
      <c r="P601" s="9">
        <v>2</v>
      </c>
      <c r="Q601" s="9" t="s">
        <v>3</v>
      </c>
      <c r="R601" s="1">
        <v>0</v>
      </c>
      <c r="S601" s="26"/>
    </row>
    <row r="602" spans="1:19" ht="16.5" customHeight="1" x14ac:dyDescent="0.25">
      <c r="A602" s="9"/>
      <c r="B602" s="51" t="s">
        <v>104</v>
      </c>
      <c r="C602" s="52"/>
      <c r="D602" s="52"/>
      <c r="E602" s="52"/>
      <c r="F602" s="52"/>
      <c r="G602" s="53"/>
      <c r="H602" s="20"/>
      <c r="I602" s="9">
        <v>3</v>
      </c>
      <c r="J602" s="9"/>
      <c r="K602" s="9"/>
      <c r="L602" s="9"/>
      <c r="M602" s="9">
        <f t="shared" si="80"/>
        <v>20.399999999999999</v>
      </c>
      <c r="N602" s="9">
        <f t="shared" si="81"/>
        <v>7.5</v>
      </c>
      <c r="O602" s="9">
        <v>6.8</v>
      </c>
      <c r="P602" s="9">
        <v>2.5</v>
      </c>
      <c r="Q602" s="9" t="s">
        <v>5</v>
      </c>
      <c r="R602" s="1">
        <v>0</v>
      </c>
      <c r="S602" s="26"/>
    </row>
    <row r="603" spans="1:19" ht="16.5" customHeight="1" x14ac:dyDescent="0.25">
      <c r="A603" s="9"/>
      <c r="B603" s="51" t="s">
        <v>105</v>
      </c>
      <c r="C603" s="52"/>
      <c r="D603" s="52"/>
      <c r="E603" s="52"/>
      <c r="F603" s="52"/>
      <c r="G603" s="53"/>
      <c r="H603" s="20"/>
      <c r="I603" s="9">
        <v>3</v>
      </c>
      <c r="J603" s="9"/>
      <c r="K603" s="9"/>
      <c r="L603" s="9"/>
      <c r="M603" s="9">
        <f t="shared" si="80"/>
        <v>24.900000000000002</v>
      </c>
      <c r="N603" s="9">
        <f t="shared" si="81"/>
        <v>10.5</v>
      </c>
      <c r="O603" s="9">
        <v>8.3000000000000007</v>
      </c>
      <c r="P603" s="9">
        <v>3.5</v>
      </c>
      <c r="Q603" s="9" t="s">
        <v>9</v>
      </c>
      <c r="R603" s="1">
        <v>0</v>
      </c>
      <c r="S603" s="26"/>
    </row>
    <row r="604" spans="1:19" ht="16.5" customHeight="1" x14ac:dyDescent="0.25">
      <c r="A604" s="9"/>
      <c r="B604" s="51" t="s">
        <v>106</v>
      </c>
      <c r="C604" s="52"/>
      <c r="D604" s="52"/>
      <c r="E604" s="52"/>
      <c r="F604" s="52"/>
      <c r="G604" s="53"/>
      <c r="H604" s="20"/>
      <c r="I604" s="9">
        <v>2</v>
      </c>
      <c r="J604" s="9"/>
      <c r="K604" s="9"/>
      <c r="L604" s="9"/>
      <c r="M604" s="9">
        <f t="shared" si="80"/>
        <v>14.6</v>
      </c>
      <c r="N604" s="9">
        <f t="shared" si="81"/>
        <v>6</v>
      </c>
      <c r="O604" s="9">
        <v>7.3</v>
      </c>
      <c r="P604" s="9">
        <v>3</v>
      </c>
      <c r="Q604" s="9" t="s">
        <v>6</v>
      </c>
      <c r="R604" s="1">
        <v>0</v>
      </c>
      <c r="S604" s="26"/>
    </row>
    <row r="605" spans="1:19" ht="16.5" customHeight="1" x14ac:dyDescent="0.25">
      <c r="A605" s="9"/>
      <c r="B605" s="51" t="s">
        <v>107</v>
      </c>
      <c r="C605" s="52"/>
      <c r="D605" s="52"/>
      <c r="E605" s="52"/>
      <c r="F605" s="52"/>
      <c r="G605" s="53"/>
      <c r="H605" s="20"/>
      <c r="I605" s="9">
        <v>3</v>
      </c>
      <c r="J605" s="9"/>
      <c r="K605" s="9"/>
      <c r="L605" s="9"/>
      <c r="M605" s="9">
        <f t="shared" si="80"/>
        <v>24.299999999999997</v>
      </c>
      <c r="N605" s="9">
        <f t="shared" si="81"/>
        <v>10.5</v>
      </c>
      <c r="O605" s="9">
        <v>8.1</v>
      </c>
      <c r="P605" s="9">
        <v>3.5</v>
      </c>
      <c r="Q605" s="9" t="s">
        <v>9</v>
      </c>
      <c r="R605" s="1">
        <v>0</v>
      </c>
      <c r="S605" s="26"/>
    </row>
    <row r="606" spans="1:19" ht="16.5" customHeight="1" x14ac:dyDescent="0.25">
      <c r="A606" s="9"/>
      <c r="B606" s="51" t="s">
        <v>108</v>
      </c>
      <c r="C606" s="52"/>
      <c r="D606" s="52"/>
      <c r="E606" s="52"/>
      <c r="F606" s="52"/>
      <c r="G606" s="53"/>
      <c r="H606" s="20"/>
      <c r="I606" s="9">
        <v>1</v>
      </c>
      <c r="J606" s="9"/>
      <c r="K606" s="9"/>
      <c r="L606" s="9"/>
      <c r="M606" s="9">
        <f t="shared" si="80"/>
        <v>8</v>
      </c>
      <c r="N606" s="9">
        <f t="shared" si="81"/>
        <v>3.5</v>
      </c>
      <c r="O606" s="9">
        <v>8</v>
      </c>
      <c r="P606" s="9">
        <v>3.5</v>
      </c>
      <c r="Q606" s="9" t="s">
        <v>9</v>
      </c>
      <c r="R606" s="1">
        <v>0</v>
      </c>
      <c r="S606" s="26"/>
    </row>
    <row r="607" spans="1:19" ht="16.5" customHeight="1" x14ac:dyDescent="0.25">
      <c r="A607" s="9"/>
      <c r="B607" s="51" t="s">
        <v>111</v>
      </c>
      <c r="C607" s="52"/>
      <c r="D607" s="52"/>
      <c r="E607" s="52"/>
      <c r="F607" s="52"/>
      <c r="G607" s="53"/>
      <c r="H607" s="20"/>
      <c r="I607" s="9">
        <v>3</v>
      </c>
      <c r="J607" s="9"/>
      <c r="K607" s="9"/>
      <c r="L607" s="9"/>
      <c r="M607" s="9">
        <f t="shared" si="80"/>
        <v>26.099999999999998</v>
      </c>
      <c r="N607" s="9">
        <f t="shared" si="81"/>
        <v>11.100000000000001</v>
      </c>
      <c r="O607" s="9">
        <v>8.6999999999999993</v>
      </c>
      <c r="P607" s="9">
        <v>3.7</v>
      </c>
      <c r="Q607" s="9" t="s">
        <v>10</v>
      </c>
      <c r="R607" s="1">
        <v>0</v>
      </c>
      <c r="S607" s="26"/>
    </row>
    <row r="608" spans="1:19" ht="16.5" customHeight="1" x14ac:dyDescent="0.25">
      <c r="A608" s="9"/>
      <c r="B608" s="51" t="s">
        <v>110</v>
      </c>
      <c r="C608" s="52"/>
      <c r="D608" s="52"/>
      <c r="E608" s="52"/>
      <c r="F608" s="52"/>
      <c r="G608" s="53"/>
      <c r="H608" s="20"/>
      <c r="I608" s="9">
        <v>1</v>
      </c>
      <c r="J608" s="9"/>
      <c r="K608" s="9"/>
      <c r="L608" s="9"/>
      <c r="M608" s="9">
        <f t="shared" si="80"/>
        <v>8</v>
      </c>
      <c r="N608" s="9">
        <f t="shared" si="81"/>
        <v>3.5</v>
      </c>
      <c r="O608" s="9">
        <v>8</v>
      </c>
      <c r="P608" s="9">
        <v>3.5</v>
      </c>
      <c r="Q608" s="9" t="s">
        <v>9</v>
      </c>
      <c r="R608" s="1">
        <v>0</v>
      </c>
      <c r="S608" s="26"/>
    </row>
    <row r="609" spans="1:19" ht="16.5" customHeight="1" x14ac:dyDescent="0.25">
      <c r="A609" s="9"/>
      <c r="B609" s="51" t="s">
        <v>109</v>
      </c>
      <c r="C609" s="52"/>
      <c r="D609" s="52"/>
      <c r="E609" s="52"/>
      <c r="F609" s="52"/>
      <c r="G609" s="53"/>
      <c r="H609" s="20"/>
      <c r="I609" s="9">
        <v>2</v>
      </c>
      <c r="J609" s="9"/>
      <c r="K609" s="9"/>
      <c r="L609" s="9"/>
      <c r="M609" s="9">
        <f t="shared" si="80"/>
        <v>16</v>
      </c>
      <c r="N609" s="9">
        <f t="shared" si="81"/>
        <v>7</v>
      </c>
      <c r="O609" s="9">
        <v>8</v>
      </c>
      <c r="P609" s="9">
        <v>3.5</v>
      </c>
      <c r="Q609" s="9" t="s">
        <v>9</v>
      </c>
      <c r="R609" s="1">
        <v>0</v>
      </c>
      <c r="S609" s="26"/>
    </row>
    <row r="610" spans="1:19" ht="16.5" hidden="1" customHeight="1" x14ac:dyDescent="0.25">
      <c r="A610" s="21"/>
      <c r="H610" s="21"/>
      <c r="I610" s="21"/>
      <c r="J610" s="21"/>
      <c r="K610" s="21"/>
      <c r="L610" s="21"/>
      <c r="M610" s="9">
        <f t="shared" si="80"/>
        <v>0</v>
      </c>
      <c r="N610" s="9">
        <f t="shared" si="81"/>
        <v>0</v>
      </c>
      <c r="O610" s="21"/>
      <c r="P610" s="21"/>
      <c r="Q610" s="21"/>
      <c r="S610" s="25"/>
    </row>
    <row r="611" spans="1:19" ht="16.5" customHeight="1" x14ac:dyDescent="0.25">
      <c r="A611" s="9"/>
      <c r="B611" s="39" t="s">
        <v>42</v>
      </c>
      <c r="C611" s="40"/>
      <c r="D611" s="40"/>
      <c r="E611" s="40"/>
      <c r="F611" s="40"/>
      <c r="G611" s="41"/>
      <c r="H611" s="23"/>
      <c r="I611" s="24">
        <f>SUM(I598:I610)</f>
        <v>25</v>
      </c>
      <c r="J611" s="9"/>
      <c r="K611" s="9"/>
      <c r="L611" s="9"/>
      <c r="M611" s="9">
        <f t="shared" si="80"/>
        <v>193</v>
      </c>
      <c r="N611" s="9">
        <f t="shared" si="81"/>
        <v>79.5</v>
      </c>
      <c r="O611" s="24">
        <f>ROUND(SUM(M598:M610)/I611,2)</f>
        <v>7.72</v>
      </c>
      <c r="P611" s="24">
        <f>ROUND(SUM(N598:N610)/I611,2)</f>
        <v>3.18</v>
      </c>
      <c r="Q611" s="9"/>
      <c r="S611" s="25"/>
    </row>
    <row r="612" spans="1:19" ht="20.25" customHeight="1" x14ac:dyDescent="0.25">
      <c r="A612" s="27" t="s">
        <v>112</v>
      </c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</row>
    <row r="613" spans="1:19" ht="16.5" customHeight="1" x14ac:dyDescent="0.25">
      <c r="A613" s="9"/>
      <c r="B613" s="51" t="s">
        <v>113</v>
      </c>
      <c r="C613" s="52"/>
      <c r="D613" s="52"/>
      <c r="E613" s="52"/>
      <c r="F613" s="52"/>
      <c r="G613" s="53"/>
      <c r="H613" s="20"/>
      <c r="I613" s="9">
        <v>2</v>
      </c>
      <c r="J613" s="9"/>
      <c r="K613" s="9"/>
      <c r="L613" s="9"/>
      <c r="M613" s="9">
        <f t="shared" ref="M613:M621" si="82">I613*O613</f>
        <v>0</v>
      </c>
      <c r="N613" s="9">
        <f t="shared" ref="N613:N621" si="83">I613*P613</f>
        <v>0</v>
      </c>
      <c r="O613" s="9"/>
      <c r="P613" s="9"/>
      <c r="Q613" s="9"/>
      <c r="R613" s="1">
        <v>0</v>
      </c>
      <c r="S613" s="26"/>
    </row>
    <row r="614" spans="1:19" ht="16.5" customHeight="1" x14ac:dyDescent="0.25">
      <c r="A614" s="9"/>
      <c r="B614" s="51" t="s">
        <v>114</v>
      </c>
      <c r="C614" s="52"/>
      <c r="D614" s="52"/>
      <c r="E614" s="52"/>
      <c r="F614" s="52"/>
      <c r="G614" s="53"/>
      <c r="H614" s="20"/>
      <c r="I614" s="9">
        <v>3</v>
      </c>
      <c r="J614" s="9"/>
      <c r="K614" s="9"/>
      <c r="L614" s="9"/>
      <c r="M614" s="9">
        <f t="shared" si="82"/>
        <v>24.900000000000002</v>
      </c>
      <c r="N614" s="9">
        <f t="shared" si="83"/>
        <v>10.5</v>
      </c>
      <c r="O614" s="9">
        <v>8.3000000000000007</v>
      </c>
      <c r="P614" s="9">
        <v>3.5</v>
      </c>
      <c r="Q614" s="9" t="s">
        <v>9</v>
      </c>
      <c r="R614" s="1">
        <v>0</v>
      </c>
      <c r="S614" s="26"/>
    </row>
    <row r="615" spans="1:19" ht="16.5" customHeight="1" x14ac:dyDescent="0.25">
      <c r="A615" s="9"/>
      <c r="B615" s="51" t="s">
        <v>115</v>
      </c>
      <c r="C615" s="52"/>
      <c r="D615" s="52"/>
      <c r="E615" s="52"/>
      <c r="F615" s="52"/>
      <c r="G615" s="53"/>
      <c r="H615" s="20"/>
      <c r="I615" s="9">
        <v>1</v>
      </c>
      <c r="J615" s="9"/>
      <c r="K615" s="9"/>
      <c r="L615" s="9"/>
      <c r="M615" s="9">
        <f t="shared" si="82"/>
        <v>6.8</v>
      </c>
      <c r="N615" s="9">
        <f t="shared" si="83"/>
        <v>2.5</v>
      </c>
      <c r="O615" s="9">
        <v>6.8</v>
      </c>
      <c r="P615" s="9">
        <v>2.5</v>
      </c>
      <c r="Q615" s="9" t="s">
        <v>5</v>
      </c>
      <c r="R615" s="1">
        <v>0</v>
      </c>
      <c r="S615" s="26"/>
    </row>
    <row r="616" spans="1:19" ht="16.5" customHeight="1" x14ac:dyDescent="0.25">
      <c r="A616" s="9"/>
      <c r="B616" s="51" t="s">
        <v>116</v>
      </c>
      <c r="C616" s="52"/>
      <c r="D616" s="52"/>
      <c r="E616" s="52"/>
      <c r="F616" s="52"/>
      <c r="G616" s="53"/>
      <c r="H616" s="20"/>
      <c r="I616" s="9">
        <v>3</v>
      </c>
      <c r="J616" s="9"/>
      <c r="K616" s="9"/>
      <c r="L616" s="9"/>
      <c r="M616" s="9">
        <f t="shared" si="82"/>
        <v>20.399999999999999</v>
      </c>
      <c r="N616" s="9">
        <f t="shared" si="83"/>
        <v>7.5</v>
      </c>
      <c r="O616" s="9">
        <v>6.8</v>
      </c>
      <c r="P616" s="9">
        <v>2.5</v>
      </c>
      <c r="Q616" s="9" t="s">
        <v>5</v>
      </c>
      <c r="R616" s="1">
        <v>0</v>
      </c>
      <c r="S616" s="26"/>
    </row>
    <row r="617" spans="1:19" ht="16.5" customHeight="1" x14ac:dyDescent="0.25">
      <c r="A617" s="9"/>
      <c r="B617" s="51" t="s">
        <v>117</v>
      </c>
      <c r="C617" s="52"/>
      <c r="D617" s="52"/>
      <c r="E617" s="52"/>
      <c r="F617" s="52"/>
      <c r="G617" s="53"/>
      <c r="H617" s="20"/>
      <c r="I617" s="9">
        <v>3</v>
      </c>
      <c r="J617" s="9"/>
      <c r="K617" s="9"/>
      <c r="L617" s="9"/>
      <c r="M617" s="9">
        <f t="shared" si="82"/>
        <v>22.799999999999997</v>
      </c>
      <c r="N617" s="9">
        <f t="shared" si="83"/>
        <v>9</v>
      </c>
      <c r="O617" s="9">
        <v>7.6</v>
      </c>
      <c r="P617" s="9">
        <v>3</v>
      </c>
      <c r="Q617" s="9" t="s">
        <v>6</v>
      </c>
      <c r="R617" s="1">
        <v>0</v>
      </c>
      <c r="S617" s="26"/>
    </row>
    <row r="618" spans="1:19" ht="16.5" customHeight="1" x14ac:dyDescent="0.25">
      <c r="A618" s="9"/>
      <c r="B618" s="51" t="s">
        <v>118</v>
      </c>
      <c r="C618" s="52"/>
      <c r="D618" s="52"/>
      <c r="E618" s="52"/>
      <c r="F618" s="52"/>
      <c r="G618" s="53"/>
      <c r="H618" s="20"/>
      <c r="I618" s="9">
        <v>3</v>
      </c>
      <c r="J618" s="9"/>
      <c r="K618" s="9"/>
      <c r="L618" s="9"/>
      <c r="M618" s="9">
        <f t="shared" si="82"/>
        <v>23.700000000000003</v>
      </c>
      <c r="N618" s="9">
        <f t="shared" si="83"/>
        <v>9</v>
      </c>
      <c r="O618" s="9">
        <v>7.9</v>
      </c>
      <c r="P618" s="9">
        <v>3</v>
      </c>
      <c r="Q618" s="9" t="s">
        <v>6</v>
      </c>
      <c r="R618" s="1">
        <v>0</v>
      </c>
      <c r="S618" s="26"/>
    </row>
    <row r="619" spans="1:19" ht="31.2" customHeight="1" x14ac:dyDescent="0.25">
      <c r="A619" s="9"/>
      <c r="B619" s="51" t="s">
        <v>119</v>
      </c>
      <c r="C619" s="52"/>
      <c r="D619" s="52"/>
      <c r="E619" s="52"/>
      <c r="F619" s="52"/>
      <c r="G619" s="53"/>
      <c r="H619" s="20"/>
      <c r="I619" s="9">
        <v>2</v>
      </c>
      <c r="J619" s="9"/>
      <c r="K619" s="9"/>
      <c r="L619" s="9"/>
      <c r="M619" s="9">
        <f t="shared" si="82"/>
        <v>0</v>
      </c>
      <c r="N619" s="9">
        <f t="shared" si="83"/>
        <v>0</v>
      </c>
      <c r="O619" s="9"/>
      <c r="P619" s="9"/>
      <c r="Q619" s="9"/>
      <c r="R619" s="1">
        <v>0</v>
      </c>
      <c r="S619" s="26"/>
    </row>
    <row r="620" spans="1:19" ht="16.5" hidden="1" customHeight="1" x14ac:dyDescent="0.25">
      <c r="A620" s="21"/>
      <c r="H620" s="21"/>
      <c r="I620" s="21"/>
      <c r="J620" s="21"/>
      <c r="K620" s="21"/>
      <c r="L620" s="21"/>
      <c r="M620" s="9">
        <f t="shared" si="82"/>
        <v>0</v>
      </c>
      <c r="N620" s="9">
        <f t="shared" si="83"/>
        <v>0</v>
      </c>
      <c r="O620" s="21"/>
      <c r="P620" s="21"/>
      <c r="Q620" s="21"/>
      <c r="S620" s="25"/>
    </row>
    <row r="621" spans="1:19" ht="16.5" customHeight="1" x14ac:dyDescent="0.25">
      <c r="A621" s="9"/>
      <c r="B621" s="39" t="s">
        <v>42</v>
      </c>
      <c r="C621" s="40"/>
      <c r="D621" s="40"/>
      <c r="E621" s="40"/>
      <c r="F621" s="40"/>
      <c r="G621" s="41"/>
      <c r="H621" s="23"/>
      <c r="I621" s="24">
        <f>SUM(I613:I620)</f>
        <v>17</v>
      </c>
      <c r="J621" s="9"/>
      <c r="K621" s="9"/>
      <c r="L621" s="9"/>
      <c r="M621" s="9">
        <f t="shared" si="82"/>
        <v>98.6</v>
      </c>
      <c r="N621" s="9">
        <f t="shared" si="83"/>
        <v>38.419999999999995</v>
      </c>
      <c r="O621" s="24">
        <f>ROUND(SUM(M613:M620)/I621,2)</f>
        <v>5.8</v>
      </c>
      <c r="P621" s="24">
        <f>ROUND(SUM(N613:N620)/I621,2)</f>
        <v>2.2599999999999998</v>
      </c>
      <c r="Q621" s="9"/>
      <c r="S621" s="25"/>
    </row>
    <row r="622" spans="1:19" ht="16.5" customHeight="1" x14ac:dyDescent="0.25">
      <c r="A622" s="21"/>
      <c r="B622" s="22"/>
      <c r="C622" s="22"/>
      <c r="D622" s="22"/>
      <c r="E622" s="22"/>
      <c r="F622" s="22"/>
      <c r="G622" s="22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4" spans="1:19" ht="18" x14ac:dyDescent="0.25">
      <c r="A624" s="35" t="s">
        <v>50</v>
      </c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</row>
    <row r="625" spans="1:20" ht="18" x14ac:dyDescent="0.25">
      <c r="A625" s="35" t="s">
        <v>149</v>
      </c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</row>
    <row r="626" spans="1:20" ht="18" x14ac:dyDescent="0.25">
      <c r="A626" s="35" t="s">
        <v>138</v>
      </c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</row>
    <row r="627" spans="1:20" ht="18" x14ac:dyDescent="0.25">
      <c r="A627" s="45" t="s">
        <v>53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</row>
    <row r="628" spans="1:20" ht="19.5" customHeight="1" x14ac:dyDescent="0.25">
      <c r="A628" s="17"/>
      <c r="B628" s="17"/>
      <c r="C628" s="8"/>
      <c r="D628" s="18"/>
      <c r="E628" s="10"/>
      <c r="F628" s="11"/>
      <c r="G628" s="46" t="s">
        <v>49</v>
      </c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</row>
    <row r="629" spans="1:20" ht="31.5" customHeight="1" x14ac:dyDescent="0.3">
      <c r="A629" s="8"/>
      <c r="B629" s="8"/>
      <c r="C629" s="8"/>
      <c r="D629" s="8"/>
      <c r="E629" s="8"/>
      <c r="F629" s="8"/>
      <c r="G629" s="8"/>
      <c r="H629" s="12"/>
      <c r="I629" s="42" t="s">
        <v>40</v>
      </c>
      <c r="J629" s="43"/>
      <c r="K629" s="43"/>
      <c r="L629" s="43"/>
      <c r="M629" s="43"/>
      <c r="N629" s="43"/>
      <c r="O629" s="43"/>
      <c r="P629" s="43"/>
      <c r="Q629" s="43"/>
      <c r="R629" s="43"/>
      <c r="S629" s="43"/>
    </row>
    <row r="630" spans="1:20" ht="16.8" x14ac:dyDescent="0.3">
      <c r="A630" s="8"/>
      <c r="B630" s="8"/>
      <c r="C630" s="8"/>
      <c r="D630" s="8"/>
      <c r="E630" s="8"/>
      <c r="F630" s="8"/>
      <c r="G630" s="8"/>
      <c r="H630" s="12"/>
      <c r="I630" s="12"/>
      <c r="J630" s="12"/>
      <c r="K630" s="12"/>
      <c r="L630" s="8"/>
      <c r="M630" s="8"/>
      <c r="N630" s="8"/>
      <c r="O630" s="8"/>
      <c r="P630" s="8"/>
      <c r="Q630" s="8"/>
    </row>
    <row r="631" spans="1:20" ht="33" customHeight="1" x14ac:dyDescent="0.3">
      <c r="A631" s="8"/>
      <c r="B631" s="8"/>
      <c r="C631" s="8"/>
      <c r="D631" s="8"/>
      <c r="E631" s="8"/>
      <c r="F631" s="8"/>
      <c r="G631" s="8"/>
      <c r="H631" s="12"/>
      <c r="I631" s="12"/>
      <c r="J631" s="12"/>
      <c r="K631" s="12"/>
      <c r="L631" s="8"/>
      <c r="M631" s="8"/>
      <c r="N631" s="8"/>
      <c r="O631" s="8"/>
      <c r="P631" s="8"/>
      <c r="Q631" s="8"/>
    </row>
    <row r="632" spans="1:20" ht="11.25" customHeight="1" x14ac:dyDescent="0.3">
      <c r="A632" s="8"/>
      <c r="B632" s="8"/>
      <c r="C632" s="8"/>
      <c r="D632" s="8"/>
      <c r="E632" s="8"/>
      <c r="F632" s="8"/>
      <c r="G632" s="8"/>
      <c r="H632" s="12"/>
      <c r="I632" s="12"/>
      <c r="J632" s="12"/>
      <c r="K632" s="12"/>
      <c r="L632" s="8"/>
      <c r="M632" s="8"/>
      <c r="N632" s="8"/>
      <c r="O632" s="8"/>
      <c r="P632" s="8"/>
      <c r="Q632" s="8"/>
    </row>
    <row r="633" spans="1:20" ht="17.399999999999999" x14ac:dyDescent="0.3">
      <c r="A633" s="8"/>
      <c r="B633" s="8"/>
      <c r="C633" s="8"/>
      <c r="D633" s="8"/>
      <c r="E633" s="8"/>
      <c r="F633" s="8"/>
      <c r="G633" s="47" t="s">
        <v>41</v>
      </c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</row>
    <row r="634" spans="1:20" ht="54" customHeight="1" x14ac:dyDescent="0.25">
      <c r="A634" s="48" t="s">
        <v>33</v>
      </c>
      <c r="B634" s="48"/>
      <c r="C634" s="48"/>
      <c r="D634" s="48"/>
      <c r="E634" s="48"/>
      <c r="F634" s="42" t="s">
        <v>24</v>
      </c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</row>
    <row r="635" spans="1:20" ht="17.399999999999999" x14ac:dyDescent="0.25">
      <c r="A635" s="49" t="s">
        <v>34</v>
      </c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</row>
    <row r="636" spans="1:20" ht="4.5" customHeight="1" x14ac:dyDescent="0.2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</row>
    <row r="637" spans="1:20" ht="5.25" customHeight="1" x14ac:dyDescent="0.2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</row>
    <row r="638" spans="1:20" ht="16.5" customHeight="1" x14ac:dyDescent="0.25">
      <c r="A638" s="54" t="s">
        <v>150</v>
      </c>
      <c r="B638" s="54"/>
      <c r="C638" s="54"/>
      <c r="D638" s="54"/>
      <c r="E638" s="54"/>
      <c r="F638" s="54"/>
      <c r="G638" s="58" t="s">
        <v>151</v>
      </c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</row>
    <row r="639" spans="1:20" ht="16.5" customHeight="1" x14ac:dyDescent="0.25">
      <c r="A639" s="54" t="s">
        <v>152</v>
      </c>
      <c r="B639" s="54"/>
      <c r="C639" s="54"/>
      <c r="D639" s="54"/>
      <c r="E639" s="54"/>
      <c r="F639" s="54"/>
      <c r="G639" s="8" t="s">
        <v>46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T639" s="2"/>
    </row>
    <row r="640" spans="1:20" ht="16.5" customHeight="1" x14ac:dyDescent="0.25">
      <c r="A640" s="54" t="s">
        <v>47</v>
      </c>
      <c r="B640" s="54"/>
      <c r="C640" s="54"/>
      <c r="D640" s="54"/>
      <c r="E640" s="54"/>
      <c r="F640" s="54"/>
      <c r="G640" s="58" t="s">
        <v>48</v>
      </c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</row>
    <row r="641" spans="1:19" ht="5.2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19"/>
      <c r="K641" s="19"/>
      <c r="L641" s="19"/>
      <c r="M641" s="19"/>
      <c r="N641" s="19"/>
      <c r="O641" s="19"/>
      <c r="P641" s="19"/>
      <c r="Q641" s="19"/>
    </row>
    <row r="642" spans="1:19" ht="15" customHeight="1" x14ac:dyDescent="0.25">
      <c r="A642" s="36" t="s">
        <v>0</v>
      </c>
      <c r="B642" s="29" t="s">
        <v>1</v>
      </c>
      <c r="C642" s="30"/>
      <c r="D642" s="30"/>
      <c r="E642" s="30"/>
      <c r="F642" s="30"/>
      <c r="G642" s="31"/>
      <c r="H642" s="36" t="s">
        <v>32</v>
      </c>
      <c r="I642" s="36" t="s">
        <v>39</v>
      </c>
      <c r="J642" s="55" t="s">
        <v>2</v>
      </c>
      <c r="K642" s="56"/>
      <c r="L642" s="56"/>
      <c r="M642" s="56"/>
      <c r="N642" s="56"/>
      <c r="O642" s="56"/>
      <c r="P642" s="56"/>
      <c r="Q642" s="57"/>
      <c r="S642" s="36" t="s">
        <v>38</v>
      </c>
    </row>
    <row r="643" spans="1:19" ht="24" customHeight="1" x14ac:dyDescent="0.25">
      <c r="A643" s="37"/>
      <c r="B643" s="32"/>
      <c r="C643" s="33"/>
      <c r="D643" s="33"/>
      <c r="E643" s="33"/>
      <c r="F643" s="33"/>
      <c r="G643" s="34"/>
      <c r="H643" s="37"/>
      <c r="I643" s="37"/>
      <c r="J643" s="7" t="s">
        <v>28</v>
      </c>
      <c r="K643" s="7" t="s">
        <v>29</v>
      </c>
      <c r="L643" s="7" t="s">
        <v>30</v>
      </c>
      <c r="M643" s="7"/>
      <c r="N643" s="7"/>
      <c r="O643" s="6" t="s">
        <v>35</v>
      </c>
      <c r="P643" s="6" t="s">
        <v>36</v>
      </c>
      <c r="Q643" s="6" t="s">
        <v>37</v>
      </c>
      <c r="S643" s="37"/>
    </row>
    <row r="644" spans="1:19" ht="20.25" customHeight="1" x14ac:dyDescent="0.25">
      <c r="A644" s="27" t="s">
        <v>54</v>
      </c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</row>
    <row r="645" spans="1:19" ht="16.5" customHeight="1" x14ac:dyDescent="0.25">
      <c r="A645" s="9"/>
      <c r="B645" s="51" t="s">
        <v>61</v>
      </c>
      <c r="C645" s="52"/>
      <c r="D645" s="52"/>
      <c r="E645" s="52"/>
      <c r="F645" s="52"/>
      <c r="G645" s="53"/>
      <c r="H645" s="20"/>
      <c r="I645" s="9">
        <v>1</v>
      </c>
      <c r="J645" s="9"/>
      <c r="K645" s="9"/>
      <c r="L645" s="9"/>
      <c r="M645" s="9">
        <f t="shared" ref="M645:M653" si="84">I645*O645</f>
        <v>8.1999999999999993</v>
      </c>
      <c r="N645" s="9">
        <f t="shared" ref="N645:N653" si="85">I645*P645</f>
        <v>3.5</v>
      </c>
      <c r="O645" s="9">
        <v>8.1999999999999993</v>
      </c>
      <c r="P645" s="9">
        <v>3.5</v>
      </c>
      <c r="Q645" s="9" t="s">
        <v>9</v>
      </c>
      <c r="R645" s="1">
        <v>0</v>
      </c>
      <c r="S645" s="26"/>
    </row>
    <row r="646" spans="1:19" ht="16.5" customHeight="1" x14ac:dyDescent="0.25">
      <c r="A646" s="9"/>
      <c r="B646" s="51" t="s">
        <v>56</v>
      </c>
      <c r="C646" s="52"/>
      <c r="D646" s="52"/>
      <c r="E646" s="52"/>
      <c r="F646" s="52"/>
      <c r="G646" s="53"/>
      <c r="H646" s="20"/>
      <c r="I646" s="9">
        <v>3</v>
      </c>
      <c r="J646" s="9"/>
      <c r="K646" s="9"/>
      <c r="L646" s="9"/>
      <c r="M646" s="9">
        <f t="shared" si="84"/>
        <v>12.899999999999999</v>
      </c>
      <c r="N646" s="9">
        <f t="shared" si="85"/>
        <v>3</v>
      </c>
      <c r="O646" s="9">
        <v>4.3</v>
      </c>
      <c r="P646" s="9">
        <v>1</v>
      </c>
      <c r="Q646" s="9" t="s">
        <v>8</v>
      </c>
      <c r="R646" s="1">
        <v>0</v>
      </c>
      <c r="S646" s="26"/>
    </row>
    <row r="647" spans="1:19" ht="31.2" customHeight="1" x14ac:dyDescent="0.25">
      <c r="A647" s="9"/>
      <c r="B647" s="51" t="s">
        <v>57</v>
      </c>
      <c r="C647" s="52"/>
      <c r="D647" s="52"/>
      <c r="E647" s="52"/>
      <c r="F647" s="52"/>
      <c r="G647" s="53"/>
      <c r="H647" s="20"/>
      <c r="I647" s="9">
        <v>3</v>
      </c>
      <c r="J647" s="9"/>
      <c r="K647" s="9"/>
      <c r="L647" s="9"/>
      <c r="M647" s="9">
        <f t="shared" si="84"/>
        <v>23.700000000000003</v>
      </c>
      <c r="N647" s="9">
        <f t="shared" si="85"/>
        <v>9</v>
      </c>
      <c r="O647" s="9">
        <v>7.9</v>
      </c>
      <c r="P647" s="9">
        <v>3</v>
      </c>
      <c r="Q647" s="9" t="s">
        <v>6</v>
      </c>
      <c r="R647" s="1">
        <v>0</v>
      </c>
      <c r="S647" s="26"/>
    </row>
    <row r="648" spans="1:19" ht="16.5" customHeight="1" x14ac:dyDescent="0.25">
      <c r="A648" s="9"/>
      <c r="B648" s="51" t="s">
        <v>58</v>
      </c>
      <c r="C648" s="52"/>
      <c r="D648" s="52"/>
      <c r="E648" s="52"/>
      <c r="F648" s="52"/>
      <c r="G648" s="53"/>
      <c r="H648" s="20"/>
      <c r="I648" s="9">
        <v>1</v>
      </c>
      <c r="J648" s="9"/>
      <c r="K648" s="9"/>
      <c r="L648" s="9"/>
      <c r="M648" s="9">
        <f t="shared" si="84"/>
        <v>7.6</v>
      </c>
      <c r="N648" s="9">
        <f t="shared" si="85"/>
        <v>3</v>
      </c>
      <c r="O648" s="9">
        <v>7.6</v>
      </c>
      <c r="P648" s="9">
        <v>3</v>
      </c>
      <c r="Q648" s="9" t="s">
        <v>6</v>
      </c>
      <c r="R648" s="1">
        <v>0</v>
      </c>
      <c r="S648" s="26"/>
    </row>
    <row r="649" spans="1:19" ht="16.5" customHeight="1" x14ac:dyDescent="0.25">
      <c r="A649" s="9"/>
      <c r="B649" s="51" t="s">
        <v>59</v>
      </c>
      <c r="C649" s="52"/>
      <c r="D649" s="52"/>
      <c r="E649" s="52"/>
      <c r="F649" s="52"/>
      <c r="G649" s="53"/>
      <c r="H649" s="20"/>
      <c r="I649" s="9">
        <v>1</v>
      </c>
      <c r="J649" s="9"/>
      <c r="K649" s="9"/>
      <c r="L649" s="9"/>
      <c r="M649" s="9">
        <f t="shared" si="84"/>
        <v>8</v>
      </c>
      <c r="N649" s="9">
        <f t="shared" si="85"/>
        <v>3.5</v>
      </c>
      <c r="O649" s="9">
        <v>8</v>
      </c>
      <c r="P649" s="9">
        <v>3.5</v>
      </c>
      <c r="Q649" s="9" t="s">
        <v>9</v>
      </c>
      <c r="R649" s="1">
        <v>0</v>
      </c>
      <c r="S649" s="26"/>
    </row>
    <row r="650" spans="1:19" ht="16.5" customHeight="1" x14ac:dyDescent="0.25">
      <c r="A650" s="9"/>
      <c r="B650" s="51" t="s">
        <v>60</v>
      </c>
      <c r="C650" s="52"/>
      <c r="D650" s="52"/>
      <c r="E650" s="52"/>
      <c r="F650" s="52"/>
      <c r="G650" s="53"/>
      <c r="H650" s="20"/>
      <c r="I650" s="9">
        <v>3</v>
      </c>
      <c r="J650" s="9"/>
      <c r="K650" s="9"/>
      <c r="L650" s="9"/>
      <c r="M650" s="9">
        <f t="shared" si="84"/>
        <v>24.599999999999998</v>
      </c>
      <c r="N650" s="9">
        <f t="shared" si="85"/>
        <v>10.5</v>
      </c>
      <c r="O650" s="9">
        <v>8.1999999999999993</v>
      </c>
      <c r="P650" s="9">
        <v>3.5</v>
      </c>
      <c r="Q650" s="9" t="s">
        <v>9</v>
      </c>
      <c r="R650" s="1">
        <v>0</v>
      </c>
      <c r="S650" s="26"/>
    </row>
    <row r="651" spans="1:19" ht="16.5" customHeight="1" x14ac:dyDescent="0.25">
      <c r="A651" s="9"/>
      <c r="B651" s="51" t="s">
        <v>55</v>
      </c>
      <c r="C651" s="52"/>
      <c r="D651" s="52"/>
      <c r="E651" s="52"/>
      <c r="F651" s="52"/>
      <c r="G651" s="53"/>
      <c r="H651" s="20"/>
      <c r="I651" s="9">
        <v>2</v>
      </c>
      <c r="J651" s="9"/>
      <c r="K651" s="9"/>
      <c r="L651" s="9"/>
      <c r="M651" s="9">
        <f t="shared" si="84"/>
        <v>15.4</v>
      </c>
      <c r="N651" s="9">
        <f t="shared" si="85"/>
        <v>6</v>
      </c>
      <c r="O651" s="9">
        <v>7.7</v>
      </c>
      <c r="P651" s="9">
        <v>3</v>
      </c>
      <c r="Q651" s="9" t="s">
        <v>6</v>
      </c>
      <c r="R651" s="1">
        <v>0</v>
      </c>
      <c r="S651" s="26"/>
    </row>
    <row r="652" spans="1:19" ht="16.5" hidden="1" customHeight="1" x14ac:dyDescent="0.25">
      <c r="A652" s="21"/>
      <c r="H652" s="21"/>
      <c r="I652" s="21"/>
      <c r="J652" s="21"/>
      <c r="K652" s="21"/>
      <c r="L652" s="21"/>
      <c r="M652" s="9">
        <f t="shared" si="84"/>
        <v>0</v>
      </c>
      <c r="N652" s="9">
        <f t="shared" si="85"/>
        <v>0</v>
      </c>
      <c r="O652" s="21"/>
      <c r="P652" s="21"/>
      <c r="Q652" s="21"/>
      <c r="S652" s="25"/>
    </row>
    <row r="653" spans="1:19" ht="16.5" customHeight="1" x14ac:dyDescent="0.25">
      <c r="A653" s="9"/>
      <c r="B653" s="39" t="s">
        <v>42</v>
      </c>
      <c r="C653" s="40"/>
      <c r="D653" s="40"/>
      <c r="E653" s="40"/>
      <c r="F653" s="40"/>
      <c r="G653" s="41"/>
      <c r="H653" s="23"/>
      <c r="I653" s="24">
        <f>SUM(I645:I652)</f>
        <v>14</v>
      </c>
      <c r="J653" s="9"/>
      <c r="K653" s="9"/>
      <c r="L653" s="9"/>
      <c r="M653" s="9">
        <f t="shared" si="84"/>
        <v>100.38</v>
      </c>
      <c r="N653" s="9">
        <f t="shared" si="85"/>
        <v>38.5</v>
      </c>
      <c r="O653" s="24">
        <f>ROUND(SUM(M645:M652)/I653,2)</f>
        <v>7.17</v>
      </c>
      <c r="P653" s="24">
        <f>ROUND(SUM(N645:N652)/I653,2)</f>
        <v>2.75</v>
      </c>
      <c r="Q653" s="9"/>
      <c r="S653" s="25"/>
    </row>
    <row r="654" spans="1:19" ht="20.25" customHeight="1" x14ac:dyDescent="0.25">
      <c r="A654" s="27" t="s">
        <v>62</v>
      </c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</row>
    <row r="655" spans="1:19" ht="16.5" customHeight="1" x14ac:dyDescent="0.25">
      <c r="A655" s="9"/>
      <c r="B655" s="51" t="s">
        <v>63</v>
      </c>
      <c r="C655" s="52"/>
      <c r="D655" s="52"/>
      <c r="E655" s="52"/>
      <c r="F655" s="52"/>
      <c r="G655" s="53"/>
      <c r="H655" s="20"/>
      <c r="I655" s="9">
        <v>4</v>
      </c>
      <c r="J655" s="9"/>
      <c r="K655" s="9"/>
      <c r="L655" s="9"/>
      <c r="M655" s="9">
        <f t="shared" ref="M655:M663" si="86">I655*O655</f>
        <v>23.6</v>
      </c>
      <c r="N655" s="9">
        <f t="shared" ref="N655:N663" si="87">I655*P655</f>
        <v>8</v>
      </c>
      <c r="O655" s="9">
        <v>5.9</v>
      </c>
      <c r="P655" s="9">
        <v>2</v>
      </c>
      <c r="Q655" s="9" t="s">
        <v>3</v>
      </c>
      <c r="R655" s="1">
        <v>0</v>
      </c>
      <c r="S655" s="26"/>
    </row>
    <row r="656" spans="1:19" ht="16.5" customHeight="1" x14ac:dyDescent="0.25">
      <c r="A656" s="9"/>
      <c r="B656" s="51" t="s">
        <v>64</v>
      </c>
      <c r="C656" s="52"/>
      <c r="D656" s="52"/>
      <c r="E656" s="52"/>
      <c r="F656" s="52"/>
      <c r="G656" s="53"/>
      <c r="H656" s="20"/>
      <c r="I656" s="9">
        <v>4</v>
      </c>
      <c r="J656" s="9"/>
      <c r="K656" s="9"/>
      <c r="L656" s="9"/>
      <c r="M656" s="9">
        <f t="shared" si="86"/>
        <v>18</v>
      </c>
      <c r="N656" s="9">
        <f t="shared" si="87"/>
        <v>4</v>
      </c>
      <c r="O656" s="9">
        <v>4.5</v>
      </c>
      <c r="P656" s="9">
        <v>1</v>
      </c>
      <c r="Q656" s="9" t="s">
        <v>8</v>
      </c>
      <c r="R656" s="1">
        <v>0</v>
      </c>
      <c r="S656" s="26"/>
    </row>
    <row r="657" spans="1:19" ht="16.5" customHeight="1" x14ac:dyDescent="0.25">
      <c r="A657" s="9"/>
      <c r="B657" s="51" t="s">
        <v>65</v>
      </c>
      <c r="C657" s="52"/>
      <c r="D657" s="52"/>
      <c r="E657" s="52"/>
      <c r="F657" s="52"/>
      <c r="G657" s="53"/>
      <c r="H657" s="20"/>
      <c r="I657" s="9">
        <v>4</v>
      </c>
      <c r="J657" s="9"/>
      <c r="K657" s="9"/>
      <c r="L657" s="9"/>
      <c r="M657" s="9">
        <f t="shared" si="86"/>
        <v>29.2</v>
      </c>
      <c r="N657" s="9">
        <f t="shared" si="87"/>
        <v>12</v>
      </c>
      <c r="O657" s="9">
        <v>7.3</v>
      </c>
      <c r="P657" s="9">
        <v>3</v>
      </c>
      <c r="Q657" s="9" t="s">
        <v>6</v>
      </c>
      <c r="R657" s="1">
        <v>0</v>
      </c>
      <c r="S657" s="26"/>
    </row>
    <row r="658" spans="1:19" ht="16.5" customHeight="1" x14ac:dyDescent="0.25">
      <c r="A658" s="9"/>
      <c r="B658" s="51" t="s">
        <v>66</v>
      </c>
      <c r="C658" s="52"/>
      <c r="D658" s="52"/>
      <c r="E658" s="52"/>
      <c r="F658" s="52"/>
      <c r="G658" s="53"/>
      <c r="H658" s="20"/>
      <c r="I658" s="9">
        <v>1</v>
      </c>
      <c r="J658" s="9"/>
      <c r="K658" s="9"/>
      <c r="L658" s="9"/>
      <c r="M658" s="9">
        <f t="shared" si="86"/>
        <v>7.7</v>
      </c>
      <c r="N658" s="9">
        <f t="shared" si="87"/>
        <v>3</v>
      </c>
      <c r="O658" s="9">
        <v>7.7</v>
      </c>
      <c r="P658" s="9">
        <v>3</v>
      </c>
      <c r="Q658" s="9" t="s">
        <v>6</v>
      </c>
      <c r="R658" s="1">
        <v>0</v>
      </c>
      <c r="S658" s="26"/>
    </row>
    <row r="659" spans="1:19" ht="16.5" customHeight="1" x14ac:dyDescent="0.25">
      <c r="A659" s="9"/>
      <c r="B659" s="51" t="s">
        <v>67</v>
      </c>
      <c r="C659" s="52"/>
      <c r="D659" s="52"/>
      <c r="E659" s="52"/>
      <c r="F659" s="52"/>
      <c r="G659" s="53"/>
      <c r="H659" s="20"/>
      <c r="I659" s="9">
        <v>1</v>
      </c>
      <c r="J659" s="9"/>
      <c r="K659" s="9"/>
      <c r="L659" s="9"/>
      <c r="M659" s="9">
        <f t="shared" si="86"/>
        <v>7.7</v>
      </c>
      <c r="N659" s="9">
        <f t="shared" si="87"/>
        <v>3</v>
      </c>
      <c r="O659" s="9">
        <v>7.7</v>
      </c>
      <c r="P659" s="9">
        <v>3</v>
      </c>
      <c r="Q659" s="9" t="s">
        <v>6</v>
      </c>
      <c r="R659" s="1">
        <v>0</v>
      </c>
      <c r="S659" s="26"/>
    </row>
    <row r="660" spans="1:19" ht="16.5" customHeight="1" x14ac:dyDescent="0.25">
      <c r="A660" s="9"/>
      <c r="B660" s="51" t="s">
        <v>69</v>
      </c>
      <c r="C660" s="52"/>
      <c r="D660" s="52"/>
      <c r="E660" s="52"/>
      <c r="F660" s="52"/>
      <c r="G660" s="53"/>
      <c r="H660" s="20"/>
      <c r="I660" s="9">
        <v>1</v>
      </c>
      <c r="J660" s="9"/>
      <c r="K660" s="9"/>
      <c r="L660" s="9"/>
      <c r="M660" s="9">
        <f t="shared" si="86"/>
        <v>7.4</v>
      </c>
      <c r="N660" s="9">
        <f t="shared" si="87"/>
        <v>3</v>
      </c>
      <c r="O660" s="9">
        <v>7.4</v>
      </c>
      <c r="P660" s="9">
        <v>3</v>
      </c>
      <c r="Q660" s="9" t="s">
        <v>6</v>
      </c>
      <c r="R660" s="1">
        <v>0</v>
      </c>
      <c r="S660" s="26"/>
    </row>
    <row r="661" spans="1:19" ht="16.5" customHeight="1" x14ac:dyDescent="0.25">
      <c r="A661" s="9"/>
      <c r="B661" s="51" t="s">
        <v>68</v>
      </c>
      <c r="C661" s="52"/>
      <c r="D661" s="52"/>
      <c r="E661" s="52"/>
      <c r="F661" s="52"/>
      <c r="G661" s="53"/>
      <c r="H661" s="20"/>
      <c r="I661" s="9">
        <v>1</v>
      </c>
      <c r="J661" s="9"/>
      <c r="K661" s="9"/>
      <c r="L661" s="9"/>
      <c r="M661" s="9">
        <f t="shared" si="86"/>
        <v>7.3</v>
      </c>
      <c r="N661" s="9">
        <f t="shared" si="87"/>
        <v>3</v>
      </c>
      <c r="O661" s="9">
        <v>7.3</v>
      </c>
      <c r="P661" s="9">
        <v>3</v>
      </c>
      <c r="Q661" s="9" t="s">
        <v>6</v>
      </c>
      <c r="R661" s="1">
        <v>0</v>
      </c>
      <c r="S661" s="26"/>
    </row>
    <row r="662" spans="1:19" ht="16.5" hidden="1" customHeight="1" x14ac:dyDescent="0.25">
      <c r="A662" s="21"/>
      <c r="H662" s="21"/>
      <c r="I662" s="21"/>
      <c r="J662" s="21"/>
      <c r="K662" s="21"/>
      <c r="L662" s="21"/>
      <c r="M662" s="9">
        <f t="shared" si="86"/>
        <v>0</v>
      </c>
      <c r="N662" s="9">
        <f t="shared" si="87"/>
        <v>0</v>
      </c>
      <c r="O662" s="21"/>
      <c r="P662" s="21"/>
      <c r="Q662" s="21"/>
      <c r="S662" s="25"/>
    </row>
    <row r="663" spans="1:19" ht="16.5" customHeight="1" x14ac:dyDescent="0.25">
      <c r="A663" s="9"/>
      <c r="B663" s="39" t="s">
        <v>42</v>
      </c>
      <c r="C663" s="40"/>
      <c r="D663" s="40"/>
      <c r="E663" s="40"/>
      <c r="F663" s="40"/>
      <c r="G663" s="41"/>
      <c r="H663" s="23"/>
      <c r="I663" s="24">
        <f>SUM(I655:I662)</f>
        <v>16</v>
      </c>
      <c r="J663" s="9"/>
      <c r="K663" s="9"/>
      <c r="L663" s="9"/>
      <c r="M663" s="9">
        <f t="shared" si="86"/>
        <v>100.96</v>
      </c>
      <c r="N663" s="9">
        <f t="shared" si="87"/>
        <v>36</v>
      </c>
      <c r="O663" s="24">
        <f>ROUND(SUM(M655:M662)/I663,2)</f>
        <v>6.31</v>
      </c>
      <c r="P663" s="24">
        <f>ROUND(SUM(N655:N662)/I663,2)</f>
        <v>2.25</v>
      </c>
      <c r="Q663" s="9"/>
      <c r="S663" s="25"/>
    </row>
    <row r="664" spans="1:19" ht="20.25" customHeight="1" x14ac:dyDescent="0.25">
      <c r="A664" s="27" t="s">
        <v>131</v>
      </c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</row>
    <row r="665" spans="1:19" ht="16.5" customHeight="1" x14ac:dyDescent="0.25">
      <c r="A665" s="9"/>
      <c r="B665" s="51" t="s">
        <v>56</v>
      </c>
      <c r="C665" s="52"/>
      <c r="D665" s="52"/>
      <c r="E665" s="52"/>
      <c r="F665" s="52"/>
      <c r="G665" s="53"/>
      <c r="H665" s="20"/>
      <c r="I665" s="9">
        <v>3</v>
      </c>
      <c r="J665" s="9"/>
      <c r="K665" s="9"/>
      <c r="L665" s="9"/>
      <c r="M665" s="9">
        <f>I665*O665</f>
        <v>19.200000000000003</v>
      </c>
      <c r="N665" s="9">
        <f>I665*P665</f>
        <v>6</v>
      </c>
      <c r="O665" s="9">
        <v>6.4</v>
      </c>
      <c r="P665" s="9">
        <v>2</v>
      </c>
      <c r="Q665" s="9" t="s">
        <v>3</v>
      </c>
      <c r="R665" s="1">
        <v>6</v>
      </c>
      <c r="S665" s="26" t="s">
        <v>132</v>
      </c>
    </row>
    <row r="666" spans="1:19" ht="16.5" hidden="1" customHeight="1" x14ac:dyDescent="0.25">
      <c r="A666" s="21"/>
      <c r="H666" s="21"/>
      <c r="I666" s="21"/>
      <c r="J666" s="21"/>
      <c r="K666" s="21"/>
      <c r="L666" s="21"/>
      <c r="M666" s="9">
        <f>I666*O666</f>
        <v>0</v>
      </c>
      <c r="N666" s="9">
        <f>I666*P666</f>
        <v>0</v>
      </c>
      <c r="O666" s="21"/>
      <c r="P666" s="21"/>
      <c r="Q666" s="21"/>
      <c r="S666" s="25"/>
    </row>
    <row r="667" spans="1:19" ht="16.5" customHeight="1" x14ac:dyDescent="0.25">
      <c r="A667" s="9"/>
      <c r="B667" s="39" t="s">
        <v>42</v>
      </c>
      <c r="C667" s="40"/>
      <c r="D667" s="40"/>
      <c r="E667" s="40"/>
      <c r="F667" s="40"/>
      <c r="G667" s="41"/>
      <c r="H667" s="23"/>
      <c r="I667" s="24">
        <f>SUM(I665:I666)</f>
        <v>3</v>
      </c>
      <c r="J667" s="9"/>
      <c r="K667" s="9"/>
      <c r="L667" s="9"/>
      <c r="M667" s="9">
        <f>I667*O667</f>
        <v>19.200000000000003</v>
      </c>
      <c r="N667" s="9">
        <f>I667*P667</f>
        <v>6</v>
      </c>
      <c r="O667" s="24">
        <f>ROUND(SUM(M665:M666)/I667,2)</f>
        <v>6.4</v>
      </c>
      <c r="P667" s="24">
        <f>ROUND(SUM(N665:N666)/I667,2)</f>
        <v>2</v>
      </c>
      <c r="Q667" s="9"/>
      <c r="S667" s="25"/>
    </row>
    <row r="668" spans="1:19" ht="20.25" customHeight="1" x14ac:dyDescent="0.25">
      <c r="A668" s="27" t="s">
        <v>70</v>
      </c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</row>
    <row r="669" spans="1:19" ht="16.5" customHeight="1" x14ac:dyDescent="0.25">
      <c r="A669" s="9"/>
      <c r="B669" s="51" t="s">
        <v>71</v>
      </c>
      <c r="C669" s="52"/>
      <c r="D669" s="52"/>
      <c r="E669" s="52"/>
      <c r="F669" s="52"/>
      <c r="G669" s="53"/>
      <c r="H669" s="20"/>
      <c r="I669" s="9">
        <v>4</v>
      </c>
      <c r="J669" s="9"/>
      <c r="K669" s="9"/>
      <c r="L669" s="9"/>
      <c r="M669" s="9">
        <f t="shared" ref="M669:M677" si="88">I669*O669</f>
        <v>19.600000000000001</v>
      </c>
      <c r="N669" s="9">
        <f t="shared" ref="N669:N677" si="89">I669*P669</f>
        <v>4</v>
      </c>
      <c r="O669" s="9">
        <v>4.9000000000000004</v>
      </c>
      <c r="P669" s="9">
        <v>1</v>
      </c>
      <c r="Q669" s="9" t="s">
        <v>8</v>
      </c>
      <c r="R669" s="1">
        <v>0</v>
      </c>
      <c r="S669" s="26"/>
    </row>
    <row r="670" spans="1:19" ht="16.5" customHeight="1" x14ac:dyDescent="0.25">
      <c r="A670" s="9"/>
      <c r="B670" s="51" t="s">
        <v>74</v>
      </c>
      <c r="C670" s="52"/>
      <c r="D670" s="52"/>
      <c r="E670" s="52"/>
      <c r="F670" s="52"/>
      <c r="G670" s="53"/>
      <c r="H670" s="20"/>
      <c r="I670" s="9">
        <v>2</v>
      </c>
      <c r="J670" s="9"/>
      <c r="K670" s="9"/>
      <c r="L670" s="9"/>
      <c r="M670" s="9">
        <f t="shared" si="88"/>
        <v>13.4</v>
      </c>
      <c r="N670" s="9">
        <f t="shared" si="89"/>
        <v>5</v>
      </c>
      <c r="O670" s="9">
        <v>6.7</v>
      </c>
      <c r="P670" s="9">
        <v>2.5</v>
      </c>
      <c r="Q670" s="9" t="s">
        <v>5</v>
      </c>
      <c r="R670" s="1">
        <v>0</v>
      </c>
      <c r="S670" s="26"/>
    </row>
    <row r="671" spans="1:19" ht="16.5" customHeight="1" x14ac:dyDescent="0.25">
      <c r="A671" s="9"/>
      <c r="B671" s="51" t="s">
        <v>73</v>
      </c>
      <c r="C671" s="52"/>
      <c r="D671" s="52"/>
      <c r="E671" s="52"/>
      <c r="F671" s="52"/>
      <c r="G671" s="53"/>
      <c r="H671" s="20"/>
      <c r="I671" s="9">
        <v>1</v>
      </c>
      <c r="J671" s="9"/>
      <c r="K671" s="9"/>
      <c r="L671" s="9"/>
      <c r="M671" s="9">
        <f t="shared" si="88"/>
        <v>7.5</v>
      </c>
      <c r="N671" s="9">
        <f t="shared" si="89"/>
        <v>3</v>
      </c>
      <c r="O671" s="9">
        <v>7.5</v>
      </c>
      <c r="P671" s="9">
        <v>3</v>
      </c>
      <c r="Q671" s="9" t="s">
        <v>6</v>
      </c>
      <c r="R671" s="1">
        <v>0</v>
      </c>
      <c r="S671" s="26"/>
    </row>
    <row r="672" spans="1:19" ht="16.5" customHeight="1" x14ac:dyDescent="0.25">
      <c r="A672" s="9"/>
      <c r="B672" s="51" t="s">
        <v>72</v>
      </c>
      <c r="C672" s="52"/>
      <c r="D672" s="52"/>
      <c r="E672" s="52"/>
      <c r="F672" s="52"/>
      <c r="G672" s="53"/>
      <c r="H672" s="20"/>
      <c r="I672" s="9">
        <v>4</v>
      </c>
      <c r="J672" s="9"/>
      <c r="K672" s="9"/>
      <c r="L672" s="9"/>
      <c r="M672" s="9">
        <f t="shared" si="88"/>
        <v>31.6</v>
      </c>
      <c r="N672" s="9">
        <f t="shared" si="89"/>
        <v>12</v>
      </c>
      <c r="O672" s="9">
        <v>7.9</v>
      </c>
      <c r="P672" s="9">
        <v>3</v>
      </c>
      <c r="Q672" s="9" t="s">
        <v>6</v>
      </c>
      <c r="R672" s="1">
        <v>0</v>
      </c>
      <c r="S672" s="26"/>
    </row>
    <row r="673" spans="1:19" ht="16.5" customHeight="1" x14ac:dyDescent="0.25">
      <c r="A673" s="9"/>
      <c r="B673" s="51" t="s">
        <v>75</v>
      </c>
      <c r="C673" s="52"/>
      <c r="D673" s="52"/>
      <c r="E673" s="52"/>
      <c r="F673" s="52"/>
      <c r="G673" s="53"/>
      <c r="H673" s="20"/>
      <c r="I673" s="9">
        <v>1</v>
      </c>
      <c r="J673" s="9"/>
      <c r="K673" s="9"/>
      <c r="L673" s="9"/>
      <c r="M673" s="9">
        <f t="shared" si="88"/>
        <v>8.1</v>
      </c>
      <c r="N673" s="9">
        <f t="shared" si="89"/>
        <v>3.5</v>
      </c>
      <c r="O673" s="9">
        <v>8.1</v>
      </c>
      <c r="P673" s="9">
        <v>3.5</v>
      </c>
      <c r="Q673" s="9" t="s">
        <v>9</v>
      </c>
      <c r="R673" s="1">
        <v>0</v>
      </c>
      <c r="S673" s="26"/>
    </row>
    <row r="674" spans="1:19" ht="16.5" customHeight="1" x14ac:dyDescent="0.25">
      <c r="A674" s="9"/>
      <c r="B674" s="51" t="s">
        <v>77</v>
      </c>
      <c r="C674" s="52"/>
      <c r="D674" s="52"/>
      <c r="E674" s="52"/>
      <c r="F674" s="52"/>
      <c r="G674" s="53"/>
      <c r="H674" s="20"/>
      <c r="I674" s="9">
        <v>3</v>
      </c>
      <c r="J674" s="9"/>
      <c r="K674" s="9"/>
      <c r="L674" s="9"/>
      <c r="M674" s="9">
        <f t="shared" si="88"/>
        <v>7.5</v>
      </c>
      <c r="N674" s="9">
        <f t="shared" si="89"/>
        <v>0</v>
      </c>
      <c r="O674" s="9">
        <v>2.5</v>
      </c>
      <c r="P674" s="9">
        <v>0</v>
      </c>
      <c r="Q674" s="9" t="s">
        <v>7</v>
      </c>
      <c r="R674" s="1">
        <v>0</v>
      </c>
      <c r="S674" s="26"/>
    </row>
    <row r="675" spans="1:19" ht="16.5" customHeight="1" x14ac:dyDescent="0.25">
      <c r="A675" s="9"/>
      <c r="B675" s="51" t="s">
        <v>76</v>
      </c>
      <c r="C675" s="52"/>
      <c r="D675" s="52"/>
      <c r="E675" s="52"/>
      <c r="F675" s="52"/>
      <c r="G675" s="53"/>
      <c r="H675" s="20"/>
      <c r="I675" s="9">
        <v>4</v>
      </c>
      <c r="J675" s="9"/>
      <c r="K675" s="9"/>
      <c r="L675" s="9"/>
      <c r="M675" s="9">
        <f t="shared" si="88"/>
        <v>26.8</v>
      </c>
      <c r="N675" s="9">
        <f t="shared" si="89"/>
        <v>10</v>
      </c>
      <c r="O675" s="9">
        <v>6.7</v>
      </c>
      <c r="P675" s="9">
        <v>2.5</v>
      </c>
      <c r="Q675" s="9" t="s">
        <v>5</v>
      </c>
      <c r="R675" s="1">
        <v>0</v>
      </c>
      <c r="S675" s="26"/>
    </row>
    <row r="676" spans="1:19" ht="16.5" hidden="1" customHeight="1" x14ac:dyDescent="0.25">
      <c r="A676" s="21"/>
      <c r="H676" s="21"/>
      <c r="I676" s="21"/>
      <c r="J676" s="21"/>
      <c r="K676" s="21"/>
      <c r="L676" s="21"/>
      <c r="M676" s="9">
        <f t="shared" si="88"/>
        <v>0</v>
      </c>
      <c r="N676" s="9">
        <f t="shared" si="89"/>
        <v>0</v>
      </c>
      <c r="O676" s="21"/>
      <c r="P676" s="21"/>
      <c r="Q676" s="21"/>
      <c r="S676" s="25"/>
    </row>
    <row r="677" spans="1:19" ht="16.5" customHeight="1" x14ac:dyDescent="0.25">
      <c r="A677" s="9"/>
      <c r="B677" s="39" t="s">
        <v>42</v>
      </c>
      <c r="C677" s="40"/>
      <c r="D677" s="40"/>
      <c r="E677" s="40"/>
      <c r="F677" s="40"/>
      <c r="G677" s="41"/>
      <c r="H677" s="23"/>
      <c r="I677" s="24">
        <f>SUM(I669:I676)</f>
        <v>19</v>
      </c>
      <c r="J677" s="9"/>
      <c r="K677" s="9"/>
      <c r="L677" s="9"/>
      <c r="M677" s="9">
        <f t="shared" si="88"/>
        <v>114.57000000000001</v>
      </c>
      <c r="N677" s="9">
        <f t="shared" si="89"/>
        <v>37.43</v>
      </c>
      <c r="O677" s="24">
        <f>ROUND(SUM(M669:M676)/I677,2)</f>
        <v>6.03</v>
      </c>
      <c r="P677" s="24">
        <f>ROUND(SUM(N669:N676)/I677,2)</f>
        <v>1.97</v>
      </c>
      <c r="Q677" s="9"/>
      <c r="S677" s="25"/>
    </row>
    <row r="678" spans="1:19" ht="20.25" customHeight="1" x14ac:dyDescent="0.25">
      <c r="A678" s="27" t="s">
        <v>157</v>
      </c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</row>
    <row r="679" spans="1:19" ht="16.5" customHeight="1" x14ac:dyDescent="0.25">
      <c r="A679" s="9"/>
      <c r="B679" s="51" t="s">
        <v>77</v>
      </c>
      <c r="C679" s="52"/>
      <c r="D679" s="52"/>
      <c r="E679" s="52"/>
      <c r="F679" s="52"/>
      <c r="G679" s="53"/>
      <c r="H679" s="20"/>
      <c r="I679" s="9">
        <v>3</v>
      </c>
      <c r="J679" s="9"/>
      <c r="K679" s="9"/>
      <c r="L679" s="9"/>
      <c r="M679" s="9">
        <f>I679*O679</f>
        <v>18.899999999999999</v>
      </c>
      <c r="N679" s="9">
        <f>I679*P679</f>
        <v>6</v>
      </c>
      <c r="O679" s="9">
        <v>6.3</v>
      </c>
      <c r="P679" s="9">
        <v>2</v>
      </c>
      <c r="Q679" s="9" t="s">
        <v>3</v>
      </c>
      <c r="R679" s="1">
        <v>6</v>
      </c>
      <c r="S679" s="26" t="s">
        <v>132</v>
      </c>
    </row>
    <row r="680" spans="1:19" ht="16.5" hidden="1" customHeight="1" x14ac:dyDescent="0.25">
      <c r="A680" s="21"/>
      <c r="H680" s="21"/>
      <c r="I680" s="21"/>
      <c r="J680" s="21"/>
      <c r="K680" s="21"/>
      <c r="L680" s="21"/>
      <c r="M680" s="9">
        <f>I680*O680</f>
        <v>0</v>
      </c>
      <c r="N680" s="9">
        <f>I680*P680</f>
        <v>0</v>
      </c>
      <c r="O680" s="21"/>
      <c r="P680" s="21"/>
      <c r="Q680" s="21"/>
      <c r="S680" s="25"/>
    </row>
    <row r="681" spans="1:19" ht="16.5" customHeight="1" x14ac:dyDescent="0.25">
      <c r="A681" s="9"/>
      <c r="B681" s="39" t="s">
        <v>42</v>
      </c>
      <c r="C681" s="40"/>
      <c r="D681" s="40"/>
      <c r="E681" s="40"/>
      <c r="F681" s="40"/>
      <c r="G681" s="41"/>
      <c r="H681" s="23"/>
      <c r="I681" s="24">
        <f>SUM(I679:I680)</f>
        <v>3</v>
      </c>
      <c r="J681" s="9"/>
      <c r="K681" s="9"/>
      <c r="L681" s="9"/>
      <c r="M681" s="9">
        <f>I681*O681</f>
        <v>18.899999999999999</v>
      </c>
      <c r="N681" s="9">
        <f>I681*P681</f>
        <v>6</v>
      </c>
      <c r="O681" s="24">
        <f>ROUND(SUM(M679:M680)/I681,2)</f>
        <v>6.3</v>
      </c>
      <c r="P681" s="24">
        <f>ROUND(SUM(N679:N680)/I681,2)</f>
        <v>2</v>
      </c>
      <c r="Q681" s="9"/>
      <c r="S681" s="25"/>
    </row>
    <row r="682" spans="1:19" ht="15" customHeight="1" x14ac:dyDescent="0.25">
      <c r="A682" s="36" t="s">
        <v>0</v>
      </c>
      <c r="B682" s="29" t="s">
        <v>1</v>
      </c>
      <c r="C682" s="30"/>
      <c r="D682" s="30"/>
      <c r="E682" s="30"/>
      <c r="F682" s="30"/>
      <c r="G682" s="31"/>
      <c r="H682" s="36" t="s">
        <v>32</v>
      </c>
      <c r="I682" s="36" t="s">
        <v>39</v>
      </c>
      <c r="J682" s="55" t="s">
        <v>2</v>
      </c>
      <c r="K682" s="56"/>
      <c r="L682" s="56"/>
      <c r="M682" s="56"/>
      <c r="N682" s="56"/>
      <c r="O682" s="56"/>
      <c r="P682" s="56"/>
      <c r="Q682" s="57"/>
      <c r="S682" s="36" t="s">
        <v>38</v>
      </c>
    </row>
    <row r="683" spans="1:19" ht="24" customHeight="1" x14ac:dyDescent="0.25">
      <c r="A683" s="37"/>
      <c r="B683" s="32"/>
      <c r="C683" s="33"/>
      <c r="D683" s="33"/>
      <c r="E683" s="33"/>
      <c r="F683" s="33"/>
      <c r="G683" s="34"/>
      <c r="H683" s="37"/>
      <c r="I683" s="37"/>
      <c r="J683" s="7" t="s">
        <v>28</v>
      </c>
      <c r="K683" s="7" t="s">
        <v>29</v>
      </c>
      <c r="L683" s="7" t="s">
        <v>30</v>
      </c>
      <c r="M683" s="7"/>
      <c r="N683" s="7"/>
      <c r="O683" s="6" t="s">
        <v>35</v>
      </c>
      <c r="P683" s="6" t="s">
        <v>36</v>
      </c>
      <c r="Q683" s="6" t="s">
        <v>37</v>
      </c>
      <c r="S683" s="37"/>
    </row>
    <row r="684" spans="1:19" ht="20.25" customHeight="1" x14ac:dyDescent="0.25">
      <c r="A684" s="27" t="s">
        <v>78</v>
      </c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</row>
    <row r="685" spans="1:19" ht="16.5" customHeight="1" x14ac:dyDescent="0.25">
      <c r="A685" s="9"/>
      <c r="B685" s="51" t="s">
        <v>79</v>
      </c>
      <c r="C685" s="52"/>
      <c r="D685" s="52"/>
      <c r="E685" s="52"/>
      <c r="F685" s="52"/>
      <c r="G685" s="53"/>
      <c r="H685" s="20"/>
      <c r="I685" s="9">
        <v>1</v>
      </c>
      <c r="J685" s="9"/>
      <c r="K685" s="9"/>
      <c r="L685" s="9"/>
      <c r="M685" s="9">
        <f t="shared" ref="M685:M695" si="90">I685*O685</f>
        <v>8</v>
      </c>
      <c r="N685" s="9">
        <f t="shared" ref="N685:N695" si="91">I685*P685</f>
        <v>3.5</v>
      </c>
      <c r="O685" s="9">
        <v>8</v>
      </c>
      <c r="P685" s="9">
        <v>3.5</v>
      </c>
      <c r="Q685" s="9" t="s">
        <v>9</v>
      </c>
      <c r="R685" s="1">
        <v>0</v>
      </c>
      <c r="S685" s="26"/>
    </row>
    <row r="686" spans="1:19" ht="16.5" customHeight="1" x14ac:dyDescent="0.25">
      <c r="A686" s="9"/>
      <c r="B686" s="51" t="s">
        <v>80</v>
      </c>
      <c r="C686" s="52"/>
      <c r="D686" s="52"/>
      <c r="E686" s="52"/>
      <c r="F686" s="52"/>
      <c r="G686" s="53"/>
      <c r="H686" s="20"/>
      <c r="I686" s="9">
        <v>3</v>
      </c>
      <c r="J686" s="9"/>
      <c r="K686" s="9"/>
      <c r="L686" s="9"/>
      <c r="M686" s="9">
        <f t="shared" si="90"/>
        <v>20.700000000000003</v>
      </c>
      <c r="N686" s="9">
        <f t="shared" si="91"/>
        <v>7.5</v>
      </c>
      <c r="O686" s="9">
        <v>6.9</v>
      </c>
      <c r="P686" s="9">
        <v>2.5</v>
      </c>
      <c r="Q686" s="9" t="s">
        <v>5</v>
      </c>
      <c r="R686" s="1">
        <v>0</v>
      </c>
      <c r="S686" s="26"/>
    </row>
    <row r="687" spans="1:19" ht="16.5" customHeight="1" x14ac:dyDescent="0.25">
      <c r="A687" s="9"/>
      <c r="B687" s="51" t="s">
        <v>81</v>
      </c>
      <c r="C687" s="52"/>
      <c r="D687" s="52"/>
      <c r="E687" s="52"/>
      <c r="F687" s="52"/>
      <c r="G687" s="53"/>
      <c r="H687" s="20"/>
      <c r="I687" s="9">
        <v>3</v>
      </c>
      <c r="J687" s="9"/>
      <c r="K687" s="9"/>
      <c r="L687" s="9"/>
      <c r="M687" s="9">
        <f t="shared" si="90"/>
        <v>22.200000000000003</v>
      </c>
      <c r="N687" s="9">
        <f t="shared" si="91"/>
        <v>9</v>
      </c>
      <c r="O687" s="9">
        <v>7.4</v>
      </c>
      <c r="P687" s="9">
        <v>3</v>
      </c>
      <c r="Q687" s="9" t="s">
        <v>6</v>
      </c>
      <c r="R687" s="1">
        <v>0</v>
      </c>
      <c r="S687" s="26"/>
    </row>
    <row r="688" spans="1:19" ht="16.5" customHeight="1" x14ac:dyDescent="0.25">
      <c r="A688" s="9"/>
      <c r="B688" s="51" t="s">
        <v>82</v>
      </c>
      <c r="C688" s="52"/>
      <c r="D688" s="52"/>
      <c r="E688" s="52"/>
      <c r="F688" s="52"/>
      <c r="G688" s="53"/>
      <c r="H688" s="20"/>
      <c r="I688" s="9">
        <v>2</v>
      </c>
      <c r="J688" s="9"/>
      <c r="K688" s="9"/>
      <c r="L688" s="9"/>
      <c r="M688" s="9">
        <f t="shared" si="90"/>
        <v>14.2</v>
      </c>
      <c r="N688" s="9">
        <f t="shared" si="91"/>
        <v>6</v>
      </c>
      <c r="O688" s="9">
        <v>7.1</v>
      </c>
      <c r="P688" s="9">
        <v>3</v>
      </c>
      <c r="Q688" s="9" t="s">
        <v>6</v>
      </c>
      <c r="R688" s="1">
        <v>0</v>
      </c>
      <c r="S688" s="26"/>
    </row>
    <row r="689" spans="1:19" ht="16.5" customHeight="1" x14ac:dyDescent="0.25">
      <c r="A689" s="9"/>
      <c r="B689" s="51" t="s">
        <v>83</v>
      </c>
      <c r="C689" s="52"/>
      <c r="D689" s="52"/>
      <c r="E689" s="52"/>
      <c r="F689" s="52"/>
      <c r="G689" s="53"/>
      <c r="H689" s="20"/>
      <c r="I689" s="9">
        <v>2</v>
      </c>
      <c r="J689" s="9"/>
      <c r="K689" s="9"/>
      <c r="L689" s="9"/>
      <c r="M689" s="9">
        <f t="shared" si="90"/>
        <v>14.8</v>
      </c>
      <c r="N689" s="9">
        <f t="shared" si="91"/>
        <v>6</v>
      </c>
      <c r="O689" s="9">
        <v>7.4</v>
      </c>
      <c r="P689" s="9">
        <v>3</v>
      </c>
      <c r="Q689" s="9" t="s">
        <v>6</v>
      </c>
      <c r="R689" s="1">
        <v>0</v>
      </c>
      <c r="S689" s="26"/>
    </row>
    <row r="690" spans="1:19" ht="16.5" customHeight="1" x14ac:dyDescent="0.25">
      <c r="A690" s="9"/>
      <c r="B690" s="51" t="s">
        <v>84</v>
      </c>
      <c r="C690" s="52"/>
      <c r="D690" s="52"/>
      <c r="E690" s="52"/>
      <c r="F690" s="52"/>
      <c r="G690" s="53"/>
      <c r="H690" s="20"/>
      <c r="I690" s="9">
        <v>3</v>
      </c>
      <c r="J690" s="9"/>
      <c r="K690" s="9"/>
      <c r="L690" s="9"/>
      <c r="M690" s="9">
        <f t="shared" si="90"/>
        <v>18.600000000000001</v>
      </c>
      <c r="N690" s="9">
        <f t="shared" si="91"/>
        <v>6</v>
      </c>
      <c r="O690" s="9">
        <v>6.2</v>
      </c>
      <c r="P690" s="9">
        <v>2</v>
      </c>
      <c r="Q690" s="9" t="s">
        <v>3</v>
      </c>
      <c r="R690" s="1">
        <v>0</v>
      </c>
      <c r="S690" s="26"/>
    </row>
    <row r="691" spans="1:19" ht="16.5" customHeight="1" x14ac:dyDescent="0.25">
      <c r="A691" s="9"/>
      <c r="B691" s="51" t="s">
        <v>85</v>
      </c>
      <c r="C691" s="52"/>
      <c r="D691" s="52"/>
      <c r="E691" s="52"/>
      <c r="F691" s="52"/>
      <c r="G691" s="53"/>
      <c r="H691" s="20"/>
      <c r="I691" s="9">
        <v>2</v>
      </c>
      <c r="J691" s="9"/>
      <c r="K691" s="9"/>
      <c r="L691" s="9"/>
      <c r="M691" s="9">
        <f t="shared" si="90"/>
        <v>13.6</v>
      </c>
      <c r="N691" s="9">
        <f t="shared" si="91"/>
        <v>5</v>
      </c>
      <c r="O691" s="9">
        <v>6.8</v>
      </c>
      <c r="P691" s="9">
        <v>2.5</v>
      </c>
      <c r="Q691" s="9" t="s">
        <v>5</v>
      </c>
      <c r="R691" s="1">
        <v>0</v>
      </c>
      <c r="S691" s="26"/>
    </row>
    <row r="692" spans="1:19" ht="16.5" customHeight="1" x14ac:dyDescent="0.25">
      <c r="A692" s="9"/>
      <c r="B692" s="51" t="s">
        <v>86</v>
      </c>
      <c r="C692" s="52"/>
      <c r="D692" s="52"/>
      <c r="E692" s="52"/>
      <c r="F692" s="52"/>
      <c r="G692" s="53"/>
      <c r="H692" s="20"/>
      <c r="I692" s="9">
        <v>3</v>
      </c>
      <c r="J692" s="9"/>
      <c r="K692" s="9"/>
      <c r="L692" s="9"/>
      <c r="M692" s="9">
        <f t="shared" si="90"/>
        <v>25.799999999999997</v>
      </c>
      <c r="N692" s="9">
        <f t="shared" si="91"/>
        <v>11.100000000000001</v>
      </c>
      <c r="O692" s="9">
        <v>8.6</v>
      </c>
      <c r="P692" s="9">
        <v>3.7</v>
      </c>
      <c r="Q692" s="9" t="s">
        <v>10</v>
      </c>
      <c r="R692" s="1">
        <v>0</v>
      </c>
      <c r="S692" s="26"/>
    </row>
    <row r="693" spans="1:19" ht="16.5" customHeight="1" x14ac:dyDescent="0.25">
      <c r="A693" s="9"/>
      <c r="B693" s="51" t="s">
        <v>87</v>
      </c>
      <c r="C693" s="52"/>
      <c r="D693" s="52"/>
      <c r="E693" s="52"/>
      <c r="F693" s="52"/>
      <c r="G693" s="53"/>
      <c r="H693" s="20"/>
      <c r="I693" s="9">
        <v>3</v>
      </c>
      <c r="J693" s="9"/>
      <c r="K693" s="9"/>
      <c r="L693" s="9"/>
      <c r="M693" s="9">
        <f t="shared" si="90"/>
        <v>21</v>
      </c>
      <c r="N693" s="9">
        <f t="shared" si="91"/>
        <v>9</v>
      </c>
      <c r="O693" s="9">
        <v>7</v>
      </c>
      <c r="P693" s="9">
        <v>3</v>
      </c>
      <c r="Q693" s="9" t="s">
        <v>6</v>
      </c>
      <c r="R693" s="1">
        <v>0</v>
      </c>
      <c r="S693" s="26"/>
    </row>
    <row r="694" spans="1:19" ht="16.5" hidden="1" customHeight="1" x14ac:dyDescent="0.25">
      <c r="A694" s="21"/>
      <c r="H694" s="21"/>
      <c r="I694" s="21"/>
      <c r="J694" s="21"/>
      <c r="K694" s="21"/>
      <c r="L694" s="21"/>
      <c r="M694" s="9">
        <f t="shared" si="90"/>
        <v>0</v>
      </c>
      <c r="N694" s="9">
        <f t="shared" si="91"/>
        <v>0</v>
      </c>
      <c r="O694" s="21"/>
      <c r="P694" s="21"/>
      <c r="Q694" s="21"/>
      <c r="S694" s="25"/>
    </row>
    <row r="695" spans="1:19" ht="16.5" customHeight="1" x14ac:dyDescent="0.25">
      <c r="A695" s="9"/>
      <c r="B695" s="39" t="s">
        <v>42</v>
      </c>
      <c r="C695" s="40"/>
      <c r="D695" s="40"/>
      <c r="E695" s="40"/>
      <c r="F695" s="40"/>
      <c r="G695" s="41"/>
      <c r="H695" s="23"/>
      <c r="I695" s="24">
        <f>SUM(I685:I694)</f>
        <v>22</v>
      </c>
      <c r="J695" s="9"/>
      <c r="K695" s="9"/>
      <c r="L695" s="9"/>
      <c r="M695" s="9">
        <f t="shared" si="90"/>
        <v>158.84</v>
      </c>
      <c r="N695" s="9">
        <f t="shared" si="91"/>
        <v>63.14</v>
      </c>
      <c r="O695" s="24">
        <f>ROUND(SUM(M685:M694)/I695,2)</f>
        <v>7.22</v>
      </c>
      <c r="P695" s="24">
        <f>ROUND(SUM(N685:N694)/I695,2)</f>
        <v>2.87</v>
      </c>
      <c r="Q695" s="9"/>
      <c r="S695" s="25"/>
    </row>
    <row r="696" spans="1:19" ht="20.25" customHeight="1" x14ac:dyDescent="0.25">
      <c r="A696" s="27" t="s">
        <v>88</v>
      </c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</row>
    <row r="697" spans="1:19" ht="16.5" customHeight="1" x14ac:dyDescent="0.25">
      <c r="A697" s="9"/>
      <c r="B697" s="51" t="s">
        <v>89</v>
      </c>
      <c r="C697" s="52"/>
      <c r="D697" s="52"/>
      <c r="E697" s="52"/>
      <c r="F697" s="52"/>
      <c r="G697" s="53"/>
      <c r="H697" s="20"/>
      <c r="I697" s="9">
        <v>2</v>
      </c>
      <c r="J697" s="9"/>
      <c r="K697" s="9"/>
      <c r="L697" s="9"/>
      <c r="M697" s="9">
        <f t="shared" ref="M697:M708" si="92">I697*O697</f>
        <v>14.8</v>
      </c>
      <c r="N697" s="9">
        <f t="shared" ref="N697:N708" si="93">I697*P697</f>
        <v>6</v>
      </c>
      <c r="O697" s="9">
        <v>7.4</v>
      </c>
      <c r="P697" s="9">
        <v>3</v>
      </c>
      <c r="Q697" s="9" t="s">
        <v>6</v>
      </c>
      <c r="R697" s="1">
        <v>0</v>
      </c>
      <c r="S697" s="26"/>
    </row>
    <row r="698" spans="1:19" ht="16.5" customHeight="1" x14ac:dyDescent="0.25">
      <c r="A698" s="9"/>
      <c r="B698" s="51" t="s">
        <v>90</v>
      </c>
      <c r="C698" s="52"/>
      <c r="D698" s="52"/>
      <c r="E698" s="52"/>
      <c r="F698" s="52"/>
      <c r="G698" s="53"/>
      <c r="H698" s="20"/>
      <c r="I698" s="9">
        <v>3</v>
      </c>
      <c r="J698" s="9"/>
      <c r="K698" s="9"/>
      <c r="L698" s="9"/>
      <c r="M698" s="9">
        <f t="shared" si="92"/>
        <v>21.299999999999997</v>
      </c>
      <c r="N698" s="9">
        <f t="shared" si="93"/>
        <v>9</v>
      </c>
      <c r="O698" s="9">
        <v>7.1</v>
      </c>
      <c r="P698" s="9">
        <v>3</v>
      </c>
      <c r="Q698" s="9" t="s">
        <v>6</v>
      </c>
      <c r="R698" s="1">
        <v>0</v>
      </c>
      <c r="S698" s="26"/>
    </row>
    <row r="699" spans="1:19" ht="16.5" customHeight="1" x14ac:dyDescent="0.25">
      <c r="A699" s="9"/>
      <c r="B699" s="51" t="s">
        <v>91</v>
      </c>
      <c r="C699" s="52"/>
      <c r="D699" s="52"/>
      <c r="E699" s="52"/>
      <c r="F699" s="52"/>
      <c r="G699" s="53"/>
      <c r="H699" s="20"/>
      <c r="I699" s="9">
        <v>2</v>
      </c>
      <c r="J699" s="9"/>
      <c r="K699" s="9"/>
      <c r="L699" s="9"/>
      <c r="M699" s="9">
        <f t="shared" si="92"/>
        <v>16</v>
      </c>
      <c r="N699" s="9">
        <f t="shared" si="93"/>
        <v>7</v>
      </c>
      <c r="O699" s="9">
        <v>8</v>
      </c>
      <c r="P699" s="9">
        <v>3.5</v>
      </c>
      <c r="Q699" s="9" t="s">
        <v>9</v>
      </c>
      <c r="R699" s="1">
        <v>0</v>
      </c>
      <c r="S699" s="26"/>
    </row>
    <row r="700" spans="1:19" ht="16.5" customHeight="1" x14ac:dyDescent="0.25">
      <c r="A700" s="9"/>
      <c r="B700" s="51" t="s">
        <v>92</v>
      </c>
      <c r="C700" s="52"/>
      <c r="D700" s="52"/>
      <c r="E700" s="52"/>
      <c r="F700" s="52"/>
      <c r="G700" s="53"/>
      <c r="H700" s="20"/>
      <c r="I700" s="9">
        <v>3</v>
      </c>
      <c r="J700" s="9"/>
      <c r="K700" s="9"/>
      <c r="L700" s="9"/>
      <c r="M700" s="9">
        <f t="shared" si="92"/>
        <v>21.9</v>
      </c>
      <c r="N700" s="9">
        <f t="shared" si="93"/>
        <v>9</v>
      </c>
      <c r="O700" s="9">
        <v>7.3</v>
      </c>
      <c r="P700" s="9">
        <v>3</v>
      </c>
      <c r="Q700" s="9" t="s">
        <v>6</v>
      </c>
      <c r="R700" s="1">
        <v>0</v>
      </c>
      <c r="S700" s="26"/>
    </row>
    <row r="701" spans="1:19" ht="16.5" customHeight="1" x14ac:dyDescent="0.25">
      <c r="A701" s="9"/>
      <c r="B701" s="51" t="s">
        <v>93</v>
      </c>
      <c r="C701" s="52"/>
      <c r="D701" s="52"/>
      <c r="E701" s="52"/>
      <c r="F701" s="52"/>
      <c r="G701" s="53"/>
      <c r="H701" s="20"/>
      <c r="I701" s="9">
        <v>1</v>
      </c>
      <c r="J701" s="9"/>
      <c r="K701" s="9"/>
      <c r="L701" s="9"/>
      <c r="M701" s="9">
        <f t="shared" si="92"/>
        <v>9.1</v>
      </c>
      <c r="N701" s="9">
        <f t="shared" si="93"/>
        <v>4</v>
      </c>
      <c r="O701" s="9">
        <v>9.1</v>
      </c>
      <c r="P701" s="9">
        <v>4</v>
      </c>
      <c r="Q701" s="9" t="s">
        <v>12</v>
      </c>
      <c r="R701" s="1">
        <v>0</v>
      </c>
      <c r="S701" s="26"/>
    </row>
    <row r="702" spans="1:19" ht="16.5" customHeight="1" x14ac:dyDescent="0.25">
      <c r="A702" s="9"/>
      <c r="B702" s="51" t="s">
        <v>94</v>
      </c>
      <c r="C702" s="52"/>
      <c r="D702" s="52"/>
      <c r="E702" s="52"/>
      <c r="F702" s="52"/>
      <c r="G702" s="53"/>
      <c r="H702" s="20"/>
      <c r="I702" s="9">
        <v>1</v>
      </c>
      <c r="J702" s="9"/>
      <c r="K702" s="9"/>
      <c r="L702" s="9"/>
      <c r="M702" s="9">
        <f t="shared" si="92"/>
        <v>8</v>
      </c>
      <c r="N702" s="9">
        <f t="shared" si="93"/>
        <v>3.5</v>
      </c>
      <c r="O702" s="9">
        <v>8</v>
      </c>
      <c r="P702" s="9">
        <v>3.5</v>
      </c>
      <c r="Q702" s="9" t="s">
        <v>9</v>
      </c>
      <c r="R702" s="1">
        <v>0</v>
      </c>
      <c r="S702" s="26"/>
    </row>
    <row r="703" spans="1:19" ht="16.5" customHeight="1" x14ac:dyDescent="0.25">
      <c r="A703" s="9"/>
      <c r="B703" s="51" t="s">
        <v>97</v>
      </c>
      <c r="C703" s="52"/>
      <c r="D703" s="52"/>
      <c r="E703" s="52"/>
      <c r="F703" s="52"/>
      <c r="G703" s="53"/>
      <c r="H703" s="20"/>
      <c r="I703" s="9">
        <v>1</v>
      </c>
      <c r="J703" s="9"/>
      <c r="K703" s="9"/>
      <c r="L703" s="9"/>
      <c r="M703" s="9">
        <f t="shared" si="92"/>
        <v>8</v>
      </c>
      <c r="N703" s="9">
        <f t="shared" si="93"/>
        <v>3.5</v>
      </c>
      <c r="O703" s="9">
        <v>8</v>
      </c>
      <c r="P703" s="9">
        <v>3.5</v>
      </c>
      <c r="Q703" s="9" t="s">
        <v>9</v>
      </c>
      <c r="R703" s="1">
        <v>0</v>
      </c>
      <c r="S703" s="26"/>
    </row>
    <row r="704" spans="1:19" ht="16.5" customHeight="1" x14ac:dyDescent="0.25">
      <c r="A704" s="9"/>
      <c r="B704" s="51" t="s">
        <v>96</v>
      </c>
      <c r="C704" s="52"/>
      <c r="D704" s="52"/>
      <c r="E704" s="52"/>
      <c r="F704" s="52"/>
      <c r="G704" s="53"/>
      <c r="H704" s="20"/>
      <c r="I704" s="9">
        <v>3</v>
      </c>
      <c r="J704" s="9"/>
      <c r="K704" s="9"/>
      <c r="L704" s="9"/>
      <c r="M704" s="9">
        <f t="shared" si="92"/>
        <v>23.700000000000003</v>
      </c>
      <c r="N704" s="9">
        <f t="shared" si="93"/>
        <v>9</v>
      </c>
      <c r="O704" s="9">
        <v>7.9</v>
      </c>
      <c r="P704" s="9">
        <v>3</v>
      </c>
      <c r="Q704" s="9" t="s">
        <v>6</v>
      </c>
      <c r="R704" s="1">
        <v>0</v>
      </c>
      <c r="S704" s="26"/>
    </row>
    <row r="705" spans="1:19" ht="16.5" customHeight="1" x14ac:dyDescent="0.25">
      <c r="A705" s="9"/>
      <c r="B705" s="51" t="s">
        <v>95</v>
      </c>
      <c r="C705" s="52"/>
      <c r="D705" s="52"/>
      <c r="E705" s="52"/>
      <c r="F705" s="52"/>
      <c r="G705" s="53"/>
      <c r="H705" s="20"/>
      <c r="I705" s="9">
        <v>3</v>
      </c>
      <c r="J705" s="9"/>
      <c r="K705" s="9"/>
      <c r="L705" s="9"/>
      <c r="M705" s="9">
        <f t="shared" si="92"/>
        <v>24.599999999999998</v>
      </c>
      <c r="N705" s="9">
        <f t="shared" si="93"/>
        <v>10.5</v>
      </c>
      <c r="O705" s="9">
        <v>8.1999999999999993</v>
      </c>
      <c r="P705" s="9">
        <v>3.5</v>
      </c>
      <c r="Q705" s="9" t="s">
        <v>9</v>
      </c>
      <c r="R705" s="1">
        <v>0</v>
      </c>
      <c r="S705" s="26"/>
    </row>
    <row r="706" spans="1:19" ht="16.5" customHeight="1" x14ac:dyDescent="0.25">
      <c r="A706" s="9"/>
      <c r="B706" s="51" t="s">
        <v>98</v>
      </c>
      <c r="C706" s="52"/>
      <c r="D706" s="52"/>
      <c r="E706" s="52"/>
      <c r="F706" s="52"/>
      <c r="G706" s="53"/>
      <c r="H706" s="20"/>
      <c r="I706" s="9">
        <v>3</v>
      </c>
      <c r="J706" s="9"/>
      <c r="K706" s="9"/>
      <c r="L706" s="9"/>
      <c r="M706" s="9">
        <f t="shared" si="92"/>
        <v>22.5</v>
      </c>
      <c r="N706" s="9">
        <f t="shared" si="93"/>
        <v>9</v>
      </c>
      <c r="O706" s="9">
        <v>7.5</v>
      </c>
      <c r="P706" s="9">
        <v>3</v>
      </c>
      <c r="Q706" s="9" t="s">
        <v>6</v>
      </c>
      <c r="R706" s="1">
        <v>0</v>
      </c>
      <c r="S706" s="26"/>
    </row>
    <row r="707" spans="1:19" ht="16.5" hidden="1" customHeight="1" x14ac:dyDescent="0.25">
      <c r="A707" s="21"/>
      <c r="H707" s="21"/>
      <c r="I707" s="21"/>
      <c r="J707" s="21"/>
      <c r="K707" s="21"/>
      <c r="L707" s="21"/>
      <c r="M707" s="9">
        <f t="shared" si="92"/>
        <v>0</v>
      </c>
      <c r="N707" s="9">
        <f t="shared" si="93"/>
        <v>0</v>
      </c>
      <c r="O707" s="21"/>
      <c r="P707" s="21"/>
      <c r="Q707" s="21"/>
      <c r="S707" s="25"/>
    </row>
    <row r="708" spans="1:19" ht="16.5" customHeight="1" x14ac:dyDescent="0.25">
      <c r="A708" s="9"/>
      <c r="B708" s="39" t="s">
        <v>42</v>
      </c>
      <c r="C708" s="40"/>
      <c r="D708" s="40"/>
      <c r="E708" s="40"/>
      <c r="F708" s="40"/>
      <c r="G708" s="41"/>
      <c r="H708" s="23"/>
      <c r="I708" s="24">
        <f>SUM(I697:I707)</f>
        <v>22</v>
      </c>
      <c r="J708" s="9"/>
      <c r="K708" s="9"/>
      <c r="L708" s="9"/>
      <c r="M708" s="9">
        <f t="shared" si="92"/>
        <v>169.84</v>
      </c>
      <c r="N708" s="9">
        <f t="shared" si="93"/>
        <v>70.400000000000006</v>
      </c>
      <c r="O708" s="24">
        <f>ROUND(SUM(M697:M707)/I708,2)</f>
        <v>7.72</v>
      </c>
      <c r="P708" s="24">
        <f>ROUND(SUM(N697:N707)/I708,2)</f>
        <v>3.2</v>
      </c>
      <c r="Q708" s="9"/>
      <c r="S708" s="25"/>
    </row>
    <row r="709" spans="1:19" ht="20.25" customHeight="1" x14ac:dyDescent="0.25">
      <c r="A709" s="27" t="s">
        <v>99</v>
      </c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</row>
    <row r="710" spans="1:19" ht="16.5" customHeight="1" x14ac:dyDescent="0.25">
      <c r="A710" s="9"/>
      <c r="B710" s="51" t="s">
        <v>100</v>
      </c>
      <c r="C710" s="52"/>
      <c r="D710" s="52"/>
      <c r="E710" s="52"/>
      <c r="F710" s="52"/>
      <c r="G710" s="53"/>
      <c r="H710" s="20"/>
      <c r="I710" s="9">
        <v>2</v>
      </c>
      <c r="J710" s="9"/>
      <c r="K710" s="9"/>
      <c r="L710" s="9"/>
      <c r="M710" s="9">
        <f t="shared" ref="M710:M723" si="94">I710*O710</f>
        <v>15.4</v>
      </c>
      <c r="N710" s="9">
        <f t="shared" ref="N710:N723" si="95">I710*P710</f>
        <v>6</v>
      </c>
      <c r="O710" s="9">
        <v>7.7</v>
      </c>
      <c r="P710" s="9">
        <v>3</v>
      </c>
      <c r="Q710" s="9" t="s">
        <v>6</v>
      </c>
      <c r="R710" s="1">
        <v>0</v>
      </c>
      <c r="S710" s="26"/>
    </row>
    <row r="711" spans="1:19" ht="16.5" customHeight="1" x14ac:dyDescent="0.25">
      <c r="A711" s="9"/>
      <c r="B711" s="51" t="s">
        <v>101</v>
      </c>
      <c r="C711" s="52"/>
      <c r="D711" s="52"/>
      <c r="E711" s="52"/>
      <c r="F711" s="52"/>
      <c r="G711" s="53"/>
      <c r="H711" s="20"/>
      <c r="I711" s="9">
        <v>2</v>
      </c>
      <c r="J711" s="9"/>
      <c r="K711" s="9"/>
      <c r="L711" s="9"/>
      <c r="M711" s="9">
        <f t="shared" si="94"/>
        <v>16.2</v>
      </c>
      <c r="N711" s="9">
        <f t="shared" si="95"/>
        <v>7</v>
      </c>
      <c r="O711" s="9">
        <v>8.1</v>
      </c>
      <c r="P711" s="9">
        <v>3.5</v>
      </c>
      <c r="Q711" s="9" t="s">
        <v>9</v>
      </c>
      <c r="R711" s="1">
        <v>0</v>
      </c>
      <c r="S711" s="26"/>
    </row>
    <row r="712" spans="1:19" ht="16.5" customHeight="1" x14ac:dyDescent="0.25">
      <c r="A712" s="9"/>
      <c r="B712" s="51" t="s">
        <v>102</v>
      </c>
      <c r="C712" s="52"/>
      <c r="D712" s="52"/>
      <c r="E712" s="52"/>
      <c r="F712" s="52"/>
      <c r="G712" s="53"/>
      <c r="H712" s="20"/>
      <c r="I712" s="9">
        <v>1</v>
      </c>
      <c r="J712" s="9"/>
      <c r="K712" s="9"/>
      <c r="L712" s="9"/>
      <c r="M712" s="9">
        <f t="shared" si="94"/>
        <v>7.5</v>
      </c>
      <c r="N712" s="9">
        <f t="shared" si="95"/>
        <v>3</v>
      </c>
      <c r="O712" s="9">
        <v>7.5</v>
      </c>
      <c r="P712" s="9">
        <v>3</v>
      </c>
      <c r="Q712" s="9" t="s">
        <v>6</v>
      </c>
      <c r="R712" s="1">
        <v>0</v>
      </c>
      <c r="S712" s="26"/>
    </row>
    <row r="713" spans="1:19" ht="16.5" customHeight="1" x14ac:dyDescent="0.25">
      <c r="A713" s="9"/>
      <c r="B713" s="51" t="s">
        <v>103</v>
      </c>
      <c r="C713" s="52"/>
      <c r="D713" s="52"/>
      <c r="E713" s="52"/>
      <c r="F713" s="52"/>
      <c r="G713" s="53"/>
      <c r="H713" s="20"/>
      <c r="I713" s="9">
        <v>2</v>
      </c>
      <c r="J713" s="9"/>
      <c r="K713" s="9"/>
      <c r="L713" s="9"/>
      <c r="M713" s="9">
        <f t="shared" si="94"/>
        <v>13.6</v>
      </c>
      <c r="N713" s="9">
        <f t="shared" si="95"/>
        <v>5</v>
      </c>
      <c r="O713" s="9">
        <v>6.8</v>
      </c>
      <c r="P713" s="9">
        <v>2.5</v>
      </c>
      <c r="Q713" s="9" t="s">
        <v>5</v>
      </c>
      <c r="R713" s="1">
        <v>0</v>
      </c>
      <c r="S713" s="26"/>
    </row>
    <row r="714" spans="1:19" ht="16.5" customHeight="1" x14ac:dyDescent="0.25">
      <c r="A714" s="9"/>
      <c r="B714" s="51" t="s">
        <v>104</v>
      </c>
      <c r="C714" s="52"/>
      <c r="D714" s="52"/>
      <c r="E714" s="52"/>
      <c r="F714" s="52"/>
      <c r="G714" s="53"/>
      <c r="H714" s="20"/>
      <c r="I714" s="9">
        <v>3</v>
      </c>
      <c r="J714" s="9"/>
      <c r="K714" s="9"/>
      <c r="L714" s="9"/>
      <c r="M714" s="9">
        <f t="shared" si="94"/>
        <v>23.700000000000003</v>
      </c>
      <c r="N714" s="9">
        <f t="shared" si="95"/>
        <v>9</v>
      </c>
      <c r="O714" s="9">
        <v>7.9</v>
      </c>
      <c r="P714" s="9">
        <v>3</v>
      </c>
      <c r="Q714" s="9" t="s">
        <v>6</v>
      </c>
      <c r="R714" s="1">
        <v>0</v>
      </c>
      <c r="S714" s="26"/>
    </row>
    <row r="715" spans="1:19" ht="16.5" customHeight="1" x14ac:dyDescent="0.25">
      <c r="A715" s="9"/>
      <c r="B715" s="51" t="s">
        <v>105</v>
      </c>
      <c r="C715" s="52"/>
      <c r="D715" s="52"/>
      <c r="E715" s="52"/>
      <c r="F715" s="52"/>
      <c r="G715" s="53"/>
      <c r="H715" s="20"/>
      <c r="I715" s="9">
        <v>3</v>
      </c>
      <c r="J715" s="9"/>
      <c r="K715" s="9"/>
      <c r="L715" s="9"/>
      <c r="M715" s="9">
        <f t="shared" si="94"/>
        <v>27.299999999999997</v>
      </c>
      <c r="N715" s="9">
        <f t="shared" si="95"/>
        <v>12</v>
      </c>
      <c r="O715" s="9">
        <v>9.1</v>
      </c>
      <c r="P715" s="9">
        <v>4</v>
      </c>
      <c r="Q715" s="9" t="s">
        <v>12</v>
      </c>
      <c r="R715" s="1">
        <v>0</v>
      </c>
      <c r="S715" s="26"/>
    </row>
    <row r="716" spans="1:19" ht="16.5" customHeight="1" x14ac:dyDescent="0.25">
      <c r="A716" s="9"/>
      <c r="B716" s="51" t="s">
        <v>106</v>
      </c>
      <c r="C716" s="52"/>
      <c r="D716" s="52"/>
      <c r="E716" s="52"/>
      <c r="F716" s="52"/>
      <c r="G716" s="53"/>
      <c r="H716" s="20"/>
      <c r="I716" s="9">
        <v>2</v>
      </c>
      <c r="J716" s="9"/>
      <c r="K716" s="9"/>
      <c r="L716" s="9"/>
      <c r="M716" s="9">
        <f t="shared" si="94"/>
        <v>15.2</v>
      </c>
      <c r="N716" s="9">
        <f t="shared" si="95"/>
        <v>6</v>
      </c>
      <c r="O716" s="9">
        <v>7.6</v>
      </c>
      <c r="P716" s="9">
        <v>3</v>
      </c>
      <c r="Q716" s="9" t="s">
        <v>6</v>
      </c>
      <c r="R716" s="1">
        <v>0</v>
      </c>
      <c r="S716" s="26"/>
    </row>
    <row r="717" spans="1:19" ht="16.5" customHeight="1" x14ac:dyDescent="0.25">
      <c r="A717" s="9"/>
      <c r="B717" s="51" t="s">
        <v>107</v>
      </c>
      <c r="C717" s="52"/>
      <c r="D717" s="52"/>
      <c r="E717" s="52"/>
      <c r="F717" s="52"/>
      <c r="G717" s="53"/>
      <c r="H717" s="20"/>
      <c r="I717" s="9">
        <v>3</v>
      </c>
      <c r="J717" s="9"/>
      <c r="K717" s="9"/>
      <c r="L717" s="9"/>
      <c r="M717" s="9">
        <f t="shared" si="94"/>
        <v>21.299999999999997</v>
      </c>
      <c r="N717" s="9">
        <f t="shared" si="95"/>
        <v>9</v>
      </c>
      <c r="O717" s="9">
        <v>7.1</v>
      </c>
      <c r="P717" s="9">
        <v>3</v>
      </c>
      <c r="Q717" s="9" t="s">
        <v>6</v>
      </c>
      <c r="R717" s="1">
        <v>0</v>
      </c>
      <c r="S717" s="26"/>
    </row>
    <row r="718" spans="1:19" ht="16.5" customHeight="1" x14ac:dyDescent="0.25">
      <c r="A718" s="9"/>
      <c r="B718" s="51" t="s">
        <v>108</v>
      </c>
      <c r="C718" s="52"/>
      <c r="D718" s="52"/>
      <c r="E718" s="52"/>
      <c r="F718" s="52"/>
      <c r="G718" s="53"/>
      <c r="H718" s="20"/>
      <c r="I718" s="9">
        <v>1</v>
      </c>
      <c r="J718" s="9"/>
      <c r="K718" s="9"/>
      <c r="L718" s="9"/>
      <c r="M718" s="9">
        <f t="shared" si="94"/>
        <v>8</v>
      </c>
      <c r="N718" s="9">
        <f t="shared" si="95"/>
        <v>3.5</v>
      </c>
      <c r="O718" s="9">
        <v>8</v>
      </c>
      <c r="P718" s="9">
        <v>3.5</v>
      </c>
      <c r="Q718" s="9" t="s">
        <v>9</v>
      </c>
      <c r="R718" s="1">
        <v>0</v>
      </c>
      <c r="S718" s="26"/>
    </row>
    <row r="719" spans="1:19" ht="16.5" customHeight="1" x14ac:dyDescent="0.25">
      <c r="A719" s="9"/>
      <c r="B719" s="51" t="s">
        <v>109</v>
      </c>
      <c r="C719" s="52"/>
      <c r="D719" s="52"/>
      <c r="E719" s="52"/>
      <c r="F719" s="52"/>
      <c r="G719" s="53"/>
      <c r="H719" s="20"/>
      <c r="I719" s="9">
        <v>2</v>
      </c>
      <c r="J719" s="9"/>
      <c r="K719" s="9"/>
      <c r="L719" s="9"/>
      <c r="M719" s="9">
        <f t="shared" si="94"/>
        <v>15.8</v>
      </c>
      <c r="N719" s="9">
        <f t="shared" si="95"/>
        <v>6</v>
      </c>
      <c r="O719" s="9">
        <v>7.9</v>
      </c>
      <c r="P719" s="9">
        <v>3</v>
      </c>
      <c r="Q719" s="9" t="s">
        <v>6</v>
      </c>
      <c r="R719" s="1">
        <v>0</v>
      </c>
      <c r="S719" s="26"/>
    </row>
    <row r="720" spans="1:19" ht="16.5" customHeight="1" x14ac:dyDescent="0.25">
      <c r="A720" s="9"/>
      <c r="B720" s="51" t="s">
        <v>110</v>
      </c>
      <c r="C720" s="52"/>
      <c r="D720" s="52"/>
      <c r="E720" s="52"/>
      <c r="F720" s="52"/>
      <c r="G720" s="53"/>
      <c r="H720" s="20"/>
      <c r="I720" s="9">
        <v>1</v>
      </c>
      <c r="J720" s="9"/>
      <c r="K720" s="9"/>
      <c r="L720" s="9"/>
      <c r="M720" s="9">
        <f t="shared" si="94"/>
        <v>9</v>
      </c>
      <c r="N720" s="9">
        <f t="shared" si="95"/>
        <v>4</v>
      </c>
      <c r="O720" s="9">
        <v>9</v>
      </c>
      <c r="P720" s="9">
        <v>4</v>
      </c>
      <c r="Q720" s="9" t="s">
        <v>12</v>
      </c>
      <c r="R720" s="1">
        <v>0</v>
      </c>
      <c r="S720" s="26"/>
    </row>
    <row r="721" spans="1:19" ht="16.5" customHeight="1" x14ac:dyDescent="0.25">
      <c r="A721" s="9"/>
      <c r="B721" s="51" t="s">
        <v>111</v>
      </c>
      <c r="C721" s="52"/>
      <c r="D721" s="52"/>
      <c r="E721" s="52"/>
      <c r="F721" s="52"/>
      <c r="G721" s="53"/>
      <c r="H721" s="20"/>
      <c r="I721" s="9">
        <v>3</v>
      </c>
      <c r="J721" s="9"/>
      <c r="K721" s="9"/>
      <c r="L721" s="9"/>
      <c r="M721" s="9">
        <f t="shared" si="94"/>
        <v>27.599999999999998</v>
      </c>
      <c r="N721" s="9">
        <f t="shared" si="95"/>
        <v>12</v>
      </c>
      <c r="O721" s="9">
        <v>9.1999999999999993</v>
      </c>
      <c r="P721" s="9">
        <v>4</v>
      </c>
      <c r="Q721" s="9" t="s">
        <v>12</v>
      </c>
      <c r="R721" s="1">
        <v>0</v>
      </c>
      <c r="S721" s="26"/>
    </row>
    <row r="722" spans="1:19" ht="16.5" hidden="1" customHeight="1" x14ac:dyDescent="0.25">
      <c r="A722" s="21"/>
      <c r="H722" s="21"/>
      <c r="I722" s="21"/>
      <c r="J722" s="21"/>
      <c r="K722" s="21"/>
      <c r="L722" s="21"/>
      <c r="M722" s="9">
        <f t="shared" si="94"/>
        <v>0</v>
      </c>
      <c r="N722" s="9">
        <f t="shared" si="95"/>
        <v>0</v>
      </c>
      <c r="O722" s="21"/>
      <c r="P722" s="21"/>
      <c r="Q722" s="21"/>
      <c r="S722" s="25"/>
    </row>
    <row r="723" spans="1:19" ht="16.5" customHeight="1" x14ac:dyDescent="0.25">
      <c r="A723" s="9"/>
      <c r="B723" s="39" t="s">
        <v>42</v>
      </c>
      <c r="C723" s="40"/>
      <c r="D723" s="40"/>
      <c r="E723" s="40"/>
      <c r="F723" s="40"/>
      <c r="G723" s="41"/>
      <c r="H723" s="23"/>
      <c r="I723" s="24">
        <f>SUM(I710:I722)</f>
        <v>25</v>
      </c>
      <c r="J723" s="9"/>
      <c r="K723" s="9"/>
      <c r="L723" s="9"/>
      <c r="M723" s="9">
        <f t="shared" si="94"/>
        <v>200.5</v>
      </c>
      <c r="N723" s="9">
        <f t="shared" si="95"/>
        <v>82.5</v>
      </c>
      <c r="O723" s="24">
        <f>ROUND(SUM(M710:M722)/I723,2)</f>
        <v>8.02</v>
      </c>
      <c r="P723" s="24">
        <f>ROUND(SUM(N710:N722)/I723,2)</f>
        <v>3.3</v>
      </c>
      <c r="Q723" s="9"/>
      <c r="S723" s="25"/>
    </row>
    <row r="724" spans="1:19" ht="20.25" customHeight="1" x14ac:dyDescent="0.25">
      <c r="A724" s="27" t="s">
        <v>112</v>
      </c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</row>
    <row r="725" spans="1:19" ht="16.5" customHeight="1" x14ac:dyDescent="0.25">
      <c r="A725" s="9"/>
      <c r="B725" s="51" t="s">
        <v>113</v>
      </c>
      <c r="C725" s="52"/>
      <c r="D725" s="52"/>
      <c r="E725" s="52"/>
      <c r="F725" s="52"/>
      <c r="G725" s="53"/>
      <c r="H725" s="20"/>
      <c r="I725" s="9">
        <v>2</v>
      </c>
      <c r="J725" s="9"/>
      <c r="K725" s="9"/>
      <c r="L725" s="9"/>
      <c r="M725" s="9">
        <f t="shared" ref="M725:M733" si="96">I725*O725</f>
        <v>0</v>
      </c>
      <c r="N725" s="9">
        <f t="shared" ref="N725:N733" si="97">I725*P725</f>
        <v>0</v>
      </c>
      <c r="O725" s="9"/>
      <c r="P725" s="9"/>
      <c r="Q725" s="9"/>
      <c r="R725" s="1">
        <v>0</v>
      </c>
      <c r="S725" s="26"/>
    </row>
    <row r="726" spans="1:19" ht="16.5" customHeight="1" x14ac:dyDescent="0.25">
      <c r="A726" s="9"/>
      <c r="B726" s="51" t="s">
        <v>114</v>
      </c>
      <c r="C726" s="52"/>
      <c r="D726" s="52"/>
      <c r="E726" s="52"/>
      <c r="F726" s="52"/>
      <c r="G726" s="53"/>
      <c r="H726" s="20"/>
      <c r="I726" s="9">
        <v>3</v>
      </c>
      <c r="J726" s="9"/>
      <c r="K726" s="9"/>
      <c r="L726" s="9"/>
      <c r="M726" s="9">
        <f t="shared" si="96"/>
        <v>25.5</v>
      </c>
      <c r="N726" s="9">
        <f t="shared" si="97"/>
        <v>11.100000000000001</v>
      </c>
      <c r="O726" s="9">
        <v>8.5</v>
      </c>
      <c r="P726" s="9">
        <v>3.7</v>
      </c>
      <c r="Q726" s="9" t="s">
        <v>10</v>
      </c>
      <c r="R726" s="1">
        <v>0</v>
      </c>
      <c r="S726" s="26"/>
    </row>
    <row r="727" spans="1:19" ht="16.5" customHeight="1" x14ac:dyDescent="0.25">
      <c r="A727" s="9"/>
      <c r="B727" s="51" t="s">
        <v>115</v>
      </c>
      <c r="C727" s="52"/>
      <c r="D727" s="52"/>
      <c r="E727" s="52"/>
      <c r="F727" s="52"/>
      <c r="G727" s="53"/>
      <c r="H727" s="20"/>
      <c r="I727" s="9">
        <v>1</v>
      </c>
      <c r="J727" s="9"/>
      <c r="K727" s="9"/>
      <c r="L727" s="9"/>
      <c r="M727" s="9">
        <f t="shared" si="96"/>
        <v>7.4</v>
      </c>
      <c r="N727" s="9">
        <f t="shared" si="97"/>
        <v>3</v>
      </c>
      <c r="O727" s="9">
        <v>7.4</v>
      </c>
      <c r="P727" s="9">
        <v>3</v>
      </c>
      <c r="Q727" s="9" t="s">
        <v>6</v>
      </c>
      <c r="R727" s="1">
        <v>0</v>
      </c>
      <c r="S727" s="26"/>
    </row>
    <row r="728" spans="1:19" ht="16.5" customHeight="1" x14ac:dyDescent="0.25">
      <c r="A728" s="9"/>
      <c r="B728" s="51" t="s">
        <v>118</v>
      </c>
      <c r="C728" s="52"/>
      <c r="D728" s="52"/>
      <c r="E728" s="52"/>
      <c r="F728" s="52"/>
      <c r="G728" s="53"/>
      <c r="H728" s="20"/>
      <c r="I728" s="9">
        <v>3</v>
      </c>
      <c r="J728" s="9"/>
      <c r="K728" s="9"/>
      <c r="L728" s="9"/>
      <c r="M728" s="9">
        <f t="shared" si="96"/>
        <v>21.299999999999997</v>
      </c>
      <c r="N728" s="9">
        <f t="shared" si="97"/>
        <v>9</v>
      </c>
      <c r="O728" s="9">
        <v>7.1</v>
      </c>
      <c r="P728" s="9">
        <v>3</v>
      </c>
      <c r="Q728" s="9" t="s">
        <v>6</v>
      </c>
      <c r="R728" s="1">
        <v>0</v>
      </c>
      <c r="S728" s="26"/>
    </row>
    <row r="729" spans="1:19" ht="16.5" customHeight="1" x14ac:dyDescent="0.25">
      <c r="A729" s="9"/>
      <c r="B729" s="51" t="s">
        <v>117</v>
      </c>
      <c r="C729" s="52"/>
      <c r="D729" s="52"/>
      <c r="E729" s="52"/>
      <c r="F729" s="52"/>
      <c r="G729" s="53"/>
      <c r="H729" s="20"/>
      <c r="I729" s="9">
        <v>3</v>
      </c>
      <c r="J729" s="9"/>
      <c r="K729" s="9"/>
      <c r="L729" s="9"/>
      <c r="M729" s="9">
        <f t="shared" si="96"/>
        <v>18.299999999999997</v>
      </c>
      <c r="N729" s="9">
        <f t="shared" si="97"/>
        <v>6</v>
      </c>
      <c r="O729" s="9">
        <v>6.1</v>
      </c>
      <c r="P729" s="9">
        <v>2</v>
      </c>
      <c r="Q729" s="9" t="s">
        <v>3</v>
      </c>
      <c r="R729" s="1">
        <v>0</v>
      </c>
      <c r="S729" s="26"/>
    </row>
    <row r="730" spans="1:19" ht="31.2" customHeight="1" x14ac:dyDescent="0.25">
      <c r="A730" s="9"/>
      <c r="B730" s="51" t="s">
        <v>119</v>
      </c>
      <c r="C730" s="52"/>
      <c r="D730" s="52"/>
      <c r="E730" s="52"/>
      <c r="F730" s="52"/>
      <c r="G730" s="53"/>
      <c r="H730" s="20"/>
      <c r="I730" s="9">
        <v>2</v>
      </c>
      <c r="J730" s="9"/>
      <c r="K730" s="9"/>
      <c r="L730" s="9"/>
      <c r="M730" s="9">
        <f t="shared" si="96"/>
        <v>0</v>
      </c>
      <c r="N730" s="9">
        <f t="shared" si="97"/>
        <v>0</v>
      </c>
      <c r="O730" s="9"/>
      <c r="P730" s="9"/>
      <c r="Q730" s="9"/>
      <c r="R730" s="1">
        <v>0</v>
      </c>
      <c r="S730" s="26"/>
    </row>
    <row r="731" spans="1:19" ht="16.5" customHeight="1" x14ac:dyDescent="0.25">
      <c r="A731" s="9"/>
      <c r="B731" s="51" t="s">
        <v>116</v>
      </c>
      <c r="C731" s="52"/>
      <c r="D731" s="52"/>
      <c r="E731" s="52"/>
      <c r="F731" s="52"/>
      <c r="G731" s="53"/>
      <c r="H731" s="20"/>
      <c r="I731" s="9">
        <v>3</v>
      </c>
      <c r="J731" s="9"/>
      <c r="K731" s="9"/>
      <c r="L731" s="9"/>
      <c r="M731" s="9">
        <f t="shared" si="96"/>
        <v>24.599999999999998</v>
      </c>
      <c r="N731" s="9">
        <f t="shared" si="97"/>
        <v>10.5</v>
      </c>
      <c r="O731" s="9">
        <v>8.1999999999999993</v>
      </c>
      <c r="P731" s="9">
        <v>3.5</v>
      </c>
      <c r="Q731" s="9" t="s">
        <v>9</v>
      </c>
      <c r="R731" s="1">
        <v>0</v>
      </c>
      <c r="S731" s="26"/>
    </row>
    <row r="732" spans="1:19" ht="16.5" hidden="1" customHeight="1" x14ac:dyDescent="0.25">
      <c r="A732" s="21"/>
      <c r="H732" s="21"/>
      <c r="I732" s="21"/>
      <c r="J732" s="21"/>
      <c r="K732" s="21"/>
      <c r="L732" s="21"/>
      <c r="M732" s="9">
        <f t="shared" si="96"/>
        <v>0</v>
      </c>
      <c r="N732" s="9">
        <f t="shared" si="97"/>
        <v>0</v>
      </c>
      <c r="O732" s="21"/>
      <c r="P732" s="21"/>
      <c r="Q732" s="21"/>
      <c r="S732" s="25"/>
    </row>
    <row r="733" spans="1:19" ht="16.5" customHeight="1" x14ac:dyDescent="0.25">
      <c r="A733" s="9"/>
      <c r="B733" s="39" t="s">
        <v>42</v>
      </c>
      <c r="C733" s="40"/>
      <c r="D733" s="40"/>
      <c r="E733" s="40"/>
      <c r="F733" s="40"/>
      <c r="G733" s="41"/>
      <c r="H733" s="23"/>
      <c r="I733" s="24">
        <f>SUM(I725:I732)</f>
        <v>17</v>
      </c>
      <c r="J733" s="9"/>
      <c r="K733" s="9"/>
      <c r="L733" s="9"/>
      <c r="M733" s="9">
        <f t="shared" si="96"/>
        <v>97.07</v>
      </c>
      <c r="N733" s="9">
        <f t="shared" si="97"/>
        <v>39.61</v>
      </c>
      <c r="O733" s="24">
        <f>ROUND(SUM(M725:M732)/I733,2)</f>
        <v>5.71</v>
      </c>
      <c r="P733" s="24">
        <f>ROUND(SUM(N725:N732)/I733,2)</f>
        <v>2.33</v>
      </c>
      <c r="Q733" s="9"/>
      <c r="S733" s="25"/>
    </row>
    <row r="734" spans="1:19" ht="16.5" customHeight="1" x14ac:dyDescent="0.25">
      <c r="A734" s="21"/>
      <c r="B734" s="22"/>
      <c r="C734" s="22"/>
      <c r="D734" s="22"/>
      <c r="E734" s="22"/>
      <c r="F734" s="22"/>
      <c r="G734" s="22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6" spans="1:19" ht="18" x14ac:dyDescent="0.25">
      <c r="A736" s="35" t="s">
        <v>153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</row>
    <row r="737" spans="1:20" ht="18" x14ac:dyDescent="0.25">
      <c r="A737" s="35" t="s">
        <v>154</v>
      </c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</row>
    <row r="738" spans="1:20" ht="18" x14ac:dyDescent="0.25">
      <c r="A738" s="35" t="s">
        <v>155</v>
      </c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</row>
    <row r="739" spans="1:20" ht="18" x14ac:dyDescent="0.25">
      <c r="A739" s="45" t="s">
        <v>156</v>
      </c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</row>
    <row r="740" spans="1:20" ht="19.5" customHeight="1" x14ac:dyDescent="0.25">
      <c r="A740" s="17"/>
      <c r="B740" s="17"/>
      <c r="C740" s="8"/>
      <c r="D740" s="18"/>
      <c r="E740" s="10"/>
      <c r="F740" s="11"/>
      <c r="G740" s="46" t="s">
        <v>49</v>
      </c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</row>
    <row r="741" spans="1:20" ht="31.5" customHeight="1" x14ac:dyDescent="0.3">
      <c r="A741" s="8"/>
      <c r="B741" s="8"/>
      <c r="C741" s="8"/>
      <c r="D741" s="8"/>
      <c r="E741" s="8"/>
      <c r="F741" s="8"/>
      <c r="G741" s="8"/>
      <c r="H741" s="12"/>
      <c r="I741" s="42" t="s">
        <v>40</v>
      </c>
      <c r="J741" s="43"/>
      <c r="K741" s="43"/>
      <c r="L741" s="43"/>
      <c r="M741" s="43"/>
      <c r="N741" s="43"/>
      <c r="O741" s="43"/>
      <c r="P741" s="43"/>
      <c r="Q741" s="43"/>
      <c r="R741" s="43"/>
      <c r="S741" s="43"/>
    </row>
    <row r="742" spans="1:20" ht="16.8" x14ac:dyDescent="0.3">
      <c r="A742" s="8"/>
      <c r="B742" s="8"/>
      <c r="C742" s="8"/>
      <c r="D742" s="8"/>
      <c r="E742" s="8"/>
      <c r="F742" s="8"/>
      <c r="G742" s="8"/>
      <c r="H742" s="12"/>
      <c r="I742" s="12"/>
      <c r="J742" s="12"/>
      <c r="K742" s="12"/>
      <c r="L742" s="8"/>
      <c r="M742" s="8"/>
      <c r="N742" s="8"/>
      <c r="O742" s="8"/>
      <c r="P742" s="8"/>
      <c r="Q742" s="8"/>
    </row>
    <row r="743" spans="1:20" ht="33" customHeight="1" x14ac:dyDescent="0.3">
      <c r="A743" s="8"/>
      <c r="B743" s="8"/>
      <c r="C743" s="8"/>
      <c r="D743" s="8"/>
      <c r="E743" s="8"/>
      <c r="F743" s="8"/>
      <c r="G743" s="8"/>
      <c r="H743" s="12"/>
      <c r="I743" s="12"/>
      <c r="J743" s="12"/>
      <c r="K743" s="12"/>
      <c r="L743" s="8"/>
      <c r="M743" s="8"/>
      <c r="N743" s="8"/>
      <c r="O743" s="8"/>
      <c r="P743" s="8"/>
      <c r="Q743" s="8"/>
    </row>
    <row r="744" spans="1:20" ht="11.25" customHeight="1" x14ac:dyDescent="0.3">
      <c r="A744" s="8"/>
      <c r="B744" s="8"/>
      <c r="C744" s="8"/>
      <c r="D744" s="8"/>
      <c r="E744" s="8"/>
      <c r="F744" s="8"/>
      <c r="G744" s="8"/>
      <c r="H744" s="12"/>
      <c r="I744" s="12"/>
      <c r="J744" s="12"/>
      <c r="K744" s="12"/>
      <c r="L744" s="8"/>
      <c r="M744" s="8"/>
      <c r="N744" s="8"/>
      <c r="O744" s="8"/>
      <c r="P744" s="8"/>
      <c r="Q744" s="8"/>
    </row>
    <row r="745" spans="1:20" ht="17.399999999999999" x14ac:dyDescent="0.3">
      <c r="A745" s="8"/>
      <c r="B745" s="8"/>
      <c r="C745" s="8"/>
      <c r="D745" s="8"/>
      <c r="E745" s="8"/>
      <c r="F745" s="8"/>
      <c r="G745" s="47" t="s">
        <v>41</v>
      </c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</row>
    <row r="746" spans="1:20" ht="54" customHeight="1" x14ac:dyDescent="0.25">
      <c r="A746" s="48" t="s">
        <v>33</v>
      </c>
      <c r="B746" s="48"/>
      <c r="C746" s="48"/>
      <c r="D746" s="48"/>
      <c r="E746" s="48"/>
      <c r="F746" s="42" t="s">
        <v>24</v>
      </c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</row>
    <row r="747" spans="1:20" ht="17.399999999999999" x14ac:dyDescent="0.25">
      <c r="A747" s="49" t="s">
        <v>34</v>
      </c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</row>
    <row r="748" spans="1:20" ht="4.5" customHeight="1" x14ac:dyDescent="0.2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</row>
    <row r="749" spans="1:20" ht="5.25" customHeight="1" x14ac:dyDescent="0.2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</row>
    <row r="750" spans="1:20" ht="16.5" customHeight="1" x14ac:dyDescent="0.25">
      <c r="A750" s="54" t="s">
        <v>158</v>
      </c>
      <c r="B750" s="54"/>
      <c r="C750" s="54"/>
      <c r="D750" s="54"/>
      <c r="E750" s="54"/>
      <c r="F750" s="54"/>
      <c r="G750" s="58" t="s">
        <v>159</v>
      </c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</row>
    <row r="751" spans="1:20" ht="16.5" customHeight="1" x14ac:dyDescent="0.25">
      <c r="A751" s="54" t="s">
        <v>160</v>
      </c>
      <c r="B751" s="54"/>
      <c r="C751" s="54"/>
      <c r="D751" s="54"/>
      <c r="E751" s="54"/>
      <c r="F751" s="54"/>
      <c r="G751" s="8" t="s">
        <v>46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T751" s="2"/>
    </row>
    <row r="752" spans="1:20" ht="16.5" customHeight="1" x14ac:dyDescent="0.25">
      <c r="A752" s="54" t="s">
        <v>47</v>
      </c>
      <c r="B752" s="54"/>
      <c r="C752" s="54"/>
      <c r="D752" s="54"/>
      <c r="E752" s="54"/>
      <c r="F752" s="54"/>
      <c r="G752" s="58" t="s">
        <v>48</v>
      </c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</row>
    <row r="753" spans="1:19" ht="5.2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19"/>
      <c r="K753" s="19"/>
      <c r="L753" s="19"/>
      <c r="M753" s="19"/>
      <c r="N753" s="19"/>
      <c r="O753" s="19"/>
      <c r="P753" s="19"/>
      <c r="Q753" s="19"/>
    </row>
    <row r="754" spans="1:19" ht="15" customHeight="1" x14ac:dyDescent="0.25">
      <c r="A754" s="36" t="s">
        <v>0</v>
      </c>
      <c r="B754" s="29" t="s">
        <v>1</v>
      </c>
      <c r="C754" s="30"/>
      <c r="D754" s="30"/>
      <c r="E754" s="30"/>
      <c r="F754" s="30"/>
      <c r="G754" s="31"/>
      <c r="H754" s="36" t="s">
        <v>32</v>
      </c>
      <c r="I754" s="36" t="s">
        <v>39</v>
      </c>
      <c r="J754" s="55" t="s">
        <v>2</v>
      </c>
      <c r="K754" s="56"/>
      <c r="L754" s="56"/>
      <c r="M754" s="56"/>
      <c r="N754" s="56"/>
      <c r="O754" s="56"/>
      <c r="P754" s="56"/>
      <c r="Q754" s="57"/>
      <c r="S754" s="36" t="s">
        <v>38</v>
      </c>
    </row>
    <row r="755" spans="1:19" ht="24" customHeight="1" x14ac:dyDescent="0.25">
      <c r="A755" s="37"/>
      <c r="B755" s="32"/>
      <c r="C755" s="33"/>
      <c r="D755" s="33"/>
      <c r="E755" s="33"/>
      <c r="F755" s="33"/>
      <c r="G755" s="34"/>
      <c r="H755" s="37"/>
      <c r="I755" s="37"/>
      <c r="J755" s="7" t="s">
        <v>28</v>
      </c>
      <c r="K755" s="7" t="s">
        <v>29</v>
      </c>
      <c r="L755" s="7" t="s">
        <v>30</v>
      </c>
      <c r="M755" s="7"/>
      <c r="N755" s="7"/>
      <c r="O755" s="6" t="s">
        <v>35</v>
      </c>
      <c r="P755" s="6" t="s">
        <v>36</v>
      </c>
      <c r="Q755" s="6" t="s">
        <v>37</v>
      </c>
      <c r="S755" s="37"/>
    </row>
    <row r="756" spans="1:19" ht="20.25" customHeight="1" x14ac:dyDescent="0.25">
      <c r="A756" s="27" t="s">
        <v>54</v>
      </c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</row>
    <row r="757" spans="1:19" ht="16.5" customHeight="1" x14ac:dyDescent="0.25">
      <c r="A757" s="9"/>
      <c r="B757" s="51" t="s">
        <v>61</v>
      </c>
      <c r="C757" s="52"/>
      <c r="D757" s="52"/>
      <c r="E757" s="52"/>
      <c r="F757" s="52"/>
      <c r="G757" s="53"/>
      <c r="H757" s="20"/>
      <c r="I757" s="9">
        <v>1</v>
      </c>
      <c r="J757" s="9"/>
      <c r="K757" s="9"/>
      <c r="L757" s="9"/>
      <c r="M757" s="9">
        <f t="shared" ref="M757:M765" si="98">I757*O757</f>
        <v>6</v>
      </c>
      <c r="N757" s="9">
        <f t="shared" ref="N757:N765" si="99">I757*P757</f>
        <v>2</v>
      </c>
      <c r="O757" s="9">
        <v>6</v>
      </c>
      <c r="P757" s="9">
        <v>2</v>
      </c>
      <c r="Q757" s="9" t="s">
        <v>3</v>
      </c>
      <c r="R757" s="1">
        <v>0</v>
      </c>
      <c r="S757" s="26"/>
    </row>
    <row r="758" spans="1:19" ht="16.5" customHeight="1" x14ac:dyDescent="0.25">
      <c r="A758" s="9"/>
      <c r="B758" s="51" t="s">
        <v>56</v>
      </c>
      <c r="C758" s="52"/>
      <c r="D758" s="52"/>
      <c r="E758" s="52"/>
      <c r="F758" s="52"/>
      <c r="G758" s="53"/>
      <c r="H758" s="20"/>
      <c r="I758" s="9">
        <v>3</v>
      </c>
      <c r="J758" s="9"/>
      <c r="K758" s="9"/>
      <c r="L758" s="9"/>
      <c r="M758" s="9">
        <f t="shared" si="98"/>
        <v>15.600000000000001</v>
      </c>
      <c r="N758" s="9">
        <f t="shared" si="99"/>
        <v>4.5</v>
      </c>
      <c r="O758" s="9">
        <v>5.2</v>
      </c>
      <c r="P758" s="9">
        <v>1.5</v>
      </c>
      <c r="Q758" s="9" t="s">
        <v>4</v>
      </c>
      <c r="R758" s="1">
        <v>0</v>
      </c>
      <c r="S758" s="26"/>
    </row>
    <row r="759" spans="1:19" ht="31.2" customHeight="1" x14ac:dyDescent="0.25">
      <c r="A759" s="9"/>
      <c r="B759" s="51" t="s">
        <v>57</v>
      </c>
      <c r="C759" s="52"/>
      <c r="D759" s="52"/>
      <c r="E759" s="52"/>
      <c r="F759" s="52"/>
      <c r="G759" s="53"/>
      <c r="H759" s="20"/>
      <c r="I759" s="9">
        <v>3</v>
      </c>
      <c r="J759" s="9"/>
      <c r="K759" s="9"/>
      <c r="L759" s="9"/>
      <c r="M759" s="9">
        <f t="shared" si="98"/>
        <v>22.799999999999997</v>
      </c>
      <c r="N759" s="9">
        <f t="shared" si="99"/>
        <v>9</v>
      </c>
      <c r="O759" s="9">
        <v>7.6</v>
      </c>
      <c r="P759" s="9">
        <v>3</v>
      </c>
      <c r="Q759" s="9" t="s">
        <v>6</v>
      </c>
      <c r="R759" s="1">
        <v>0</v>
      </c>
      <c r="S759" s="26"/>
    </row>
    <row r="760" spans="1:19" ht="16.5" customHeight="1" x14ac:dyDescent="0.25">
      <c r="A760" s="9"/>
      <c r="B760" s="51" t="s">
        <v>58</v>
      </c>
      <c r="C760" s="52"/>
      <c r="D760" s="52"/>
      <c r="E760" s="52"/>
      <c r="F760" s="52"/>
      <c r="G760" s="53"/>
      <c r="H760" s="20"/>
      <c r="I760" s="9">
        <v>1</v>
      </c>
      <c r="J760" s="9"/>
      <c r="K760" s="9"/>
      <c r="L760" s="9"/>
      <c r="M760" s="9">
        <f t="shared" si="98"/>
        <v>7.4</v>
      </c>
      <c r="N760" s="9">
        <f t="shared" si="99"/>
        <v>3</v>
      </c>
      <c r="O760" s="9">
        <v>7.4</v>
      </c>
      <c r="P760" s="9">
        <v>3</v>
      </c>
      <c r="Q760" s="9" t="s">
        <v>6</v>
      </c>
      <c r="R760" s="1">
        <v>0</v>
      </c>
      <c r="S760" s="26"/>
    </row>
    <row r="761" spans="1:19" ht="16.5" customHeight="1" x14ac:dyDescent="0.25">
      <c r="A761" s="9"/>
      <c r="B761" s="51" t="s">
        <v>59</v>
      </c>
      <c r="C761" s="52"/>
      <c r="D761" s="52"/>
      <c r="E761" s="52"/>
      <c r="F761" s="52"/>
      <c r="G761" s="53"/>
      <c r="H761" s="20"/>
      <c r="I761" s="9">
        <v>1</v>
      </c>
      <c r="J761" s="9"/>
      <c r="K761" s="9"/>
      <c r="L761" s="9"/>
      <c r="M761" s="9">
        <f t="shared" si="98"/>
        <v>5.9</v>
      </c>
      <c r="N761" s="9">
        <f t="shared" si="99"/>
        <v>2</v>
      </c>
      <c r="O761" s="9">
        <v>5.9</v>
      </c>
      <c r="P761" s="9">
        <v>2</v>
      </c>
      <c r="Q761" s="9" t="s">
        <v>3</v>
      </c>
      <c r="R761" s="1">
        <v>0</v>
      </c>
      <c r="S761" s="26"/>
    </row>
    <row r="762" spans="1:19" ht="16.5" customHeight="1" x14ac:dyDescent="0.25">
      <c r="A762" s="9"/>
      <c r="B762" s="51" t="s">
        <v>60</v>
      </c>
      <c r="C762" s="52"/>
      <c r="D762" s="52"/>
      <c r="E762" s="52"/>
      <c r="F762" s="52"/>
      <c r="G762" s="53"/>
      <c r="H762" s="20"/>
      <c r="I762" s="9">
        <v>3</v>
      </c>
      <c r="J762" s="9"/>
      <c r="K762" s="9"/>
      <c r="L762" s="9"/>
      <c r="M762" s="9">
        <f t="shared" si="98"/>
        <v>24.599999999999998</v>
      </c>
      <c r="N762" s="9">
        <f t="shared" si="99"/>
        <v>10.5</v>
      </c>
      <c r="O762" s="9">
        <v>8.1999999999999993</v>
      </c>
      <c r="P762" s="9">
        <v>3.5</v>
      </c>
      <c r="Q762" s="9" t="s">
        <v>9</v>
      </c>
      <c r="R762" s="1">
        <v>0</v>
      </c>
      <c r="S762" s="26"/>
    </row>
    <row r="763" spans="1:19" ht="16.5" customHeight="1" x14ac:dyDescent="0.25">
      <c r="A763" s="9"/>
      <c r="B763" s="51" t="s">
        <v>55</v>
      </c>
      <c r="C763" s="52"/>
      <c r="D763" s="52"/>
      <c r="E763" s="52"/>
      <c r="F763" s="52"/>
      <c r="G763" s="53"/>
      <c r="H763" s="20"/>
      <c r="I763" s="9">
        <v>2</v>
      </c>
      <c r="J763" s="9"/>
      <c r="K763" s="9"/>
      <c r="L763" s="9"/>
      <c r="M763" s="9">
        <f t="shared" si="98"/>
        <v>14</v>
      </c>
      <c r="N763" s="9">
        <f t="shared" si="99"/>
        <v>6</v>
      </c>
      <c r="O763" s="9">
        <v>7</v>
      </c>
      <c r="P763" s="9">
        <v>3</v>
      </c>
      <c r="Q763" s="9" t="s">
        <v>6</v>
      </c>
      <c r="R763" s="1">
        <v>0</v>
      </c>
      <c r="S763" s="26"/>
    </row>
    <row r="764" spans="1:19" ht="16.5" hidden="1" customHeight="1" x14ac:dyDescent="0.25">
      <c r="A764" s="21"/>
      <c r="H764" s="21"/>
      <c r="I764" s="21"/>
      <c r="J764" s="21"/>
      <c r="K764" s="21"/>
      <c r="L764" s="21"/>
      <c r="M764" s="9">
        <f t="shared" si="98"/>
        <v>0</v>
      </c>
      <c r="N764" s="9">
        <f t="shared" si="99"/>
        <v>0</v>
      </c>
      <c r="O764" s="21"/>
      <c r="P764" s="21"/>
      <c r="Q764" s="21"/>
      <c r="S764" s="25"/>
    </row>
    <row r="765" spans="1:19" ht="16.5" customHeight="1" x14ac:dyDescent="0.25">
      <c r="A765" s="9"/>
      <c r="B765" s="39" t="s">
        <v>42</v>
      </c>
      <c r="C765" s="40"/>
      <c r="D765" s="40"/>
      <c r="E765" s="40"/>
      <c r="F765" s="40"/>
      <c r="G765" s="41"/>
      <c r="H765" s="23"/>
      <c r="I765" s="24">
        <f>SUM(I757:I764)</f>
        <v>14</v>
      </c>
      <c r="J765" s="9"/>
      <c r="K765" s="9"/>
      <c r="L765" s="9"/>
      <c r="M765" s="9">
        <f t="shared" si="98"/>
        <v>96.32</v>
      </c>
      <c r="N765" s="9">
        <f t="shared" si="99"/>
        <v>36.96</v>
      </c>
      <c r="O765" s="24">
        <f>ROUND(SUM(M757:M764)/I765,2)</f>
        <v>6.88</v>
      </c>
      <c r="P765" s="24">
        <f>ROUND(SUM(N757:N764)/I765,2)</f>
        <v>2.64</v>
      </c>
      <c r="Q765" s="9"/>
      <c r="S765" s="25"/>
    </row>
    <row r="766" spans="1:19" ht="20.25" customHeight="1" x14ac:dyDescent="0.25">
      <c r="A766" s="27" t="s">
        <v>62</v>
      </c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</row>
    <row r="767" spans="1:19" ht="16.5" customHeight="1" x14ac:dyDescent="0.25">
      <c r="A767" s="9"/>
      <c r="B767" s="51" t="s">
        <v>63</v>
      </c>
      <c r="C767" s="52"/>
      <c r="D767" s="52"/>
      <c r="E767" s="52"/>
      <c r="F767" s="52"/>
      <c r="G767" s="53"/>
      <c r="H767" s="20"/>
      <c r="I767" s="9">
        <v>4</v>
      </c>
      <c r="J767" s="9"/>
      <c r="K767" s="9"/>
      <c r="L767" s="9"/>
      <c r="M767" s="9">
        <f t="shared" ref="M767:M775" si="100">I767*O767</f>
        <v>26</v>
      </c>
      <c r="N767" s="9">
        <f t="shared" ref="N767:N775" si="101">I767*P767</f>
        <v>10</v>
      </c>
      <c r="O767" s="9">
        <v>6.5</v>
      </c>
      <c r="P767" s="9">
        <v>2.5</v>
      </c>
      <c r="Q767" s="9" t="s">
        <v>5</v>
      </c>
      <c r="R767" s="1">
        <v>0</v>
      </c>
      <c r="S767" s="26"/>
    </row>
    <row r="768" spans="1:19" ht="16.5" customHeight="1" x14ac:dyDescent="0.25">
      <c r="A768" s="9"/>
      <c r="B768" s="51" t="s">
        <v>64</v>
      </c>
      <c r="C768" s="52"/>
      <c r="D768" s="52"/>
      <c r="E768" s="52"/>
      <c r="F768" s="52"/>
      <c r="G768" s="53"/>
      <c r="H768" s="20"/>
      <c r="I768" s="9">
        <v>4</v>
      </c>
      <c r="J768" s="9"/>
      <c r="K768" s="9"/>
      <c r="L768" s="9"/>
      <c r="M768" s="9">
        <f t="shared" si="100"/>
        <v>28.4</v>
      </c>
      <c r="N768" s="9">
        <f t="shared" si="101"/>
        <v>12</v>
      </c>
      <c r="O768" s="9">
        <v>7.1</v>
      </c>
      <c r="P768" s="9">
        <v>3</v>
      </c>
      <c r="Q768" s="9" t="s">
        <v>6</v>
      </c>
      <c r="R768" s="1">
        <v>0</v>
      </c>
      <c r="S768" s="26"/>
    </row>
    <row r="769" spans="1:19" ht="16.5" customHeight="1" x14ac:dyDescent="0.25">
      <c r="A769" s="9"/>
      <c r="B769" s="51" t="s">
        <v>65</v>
      </c>
      <c r="C769" s="52"/>
      <c r="D769" s="52"/>
      <c r="E769" s="52"/>
      <c r="F769" s="52"/>
      <c r="G769" s="53"/>
      <c r="H769" s="20"/>
      <c r="I769" s="9">
        <v>4</v>
      </c>
      <c r="J769" s="9"/>
      <c r="K769" s="9"/>
      <c r="L769" s="9"/>
      <c r="M769" s="9">
        <f t="shared" si="100"/>
        <v>31.2</v>
      </c>
      <c r="N769" s="9">
        <f t="shared" si="101"/>
        <v>12</v>
      </c>
      <c r="O769" s="9">
        <v>7.8</v>
      </c>
      <c r="P769" s="9">
        <v>3</v>
      </c>
      <c r="Q769" s="9" t="s">
        <v>6</v>
      </c>
      <c r="R769" s="1">
        <v>0</v>
      </c>
      <c r="S769" s="26"/>
    </row>
    <row r="770" spans="1:19" ht="16.5" customHeight="1" x14ac:dyDescent="0.25">
      <c r="A770" s="9"/>
      <c r="B770" s="51" t="s">
        <v>66</v>
      </c>
      <c r="C770" s="52"/>
      <c r="D770" s="52"/>
      <c r="E770" s="52"/>
      <c r="F770" s="52"/>
      <c r="G770" s="53"/>
      <c r="H770" s="20"/>
      <c r="I770" s="9">
        <v>1</v>
      </c>
      <c r="J770" s="9"/>
      <c r="K770" s="9"/>
      <c r="L770" s="9"/>
      <c r="M770" s="9">
        <f t="shared" si="100"/>
        <v>8.1999999999999993</v>
      </c>
      <c r="N770" s="9">
        <f t="shared" si="101"/>
        <v>3.5</v>
      </c>
      <c r="O770" s="9">
        <v>8.1999999999999993</v>
      </c>
      <c r="P770" s="9">
        <v>3.5</v>
      </c>
      <c r="Q770" s="9" t="s">
        <v>9</v>
      </c>
      <c r="R770" s="1">
        <v>0</v>
      </c>
      <c r="S770" s="26"/>
    </row>
    <row r="771" spans="1:19" ht="16.5" customHeight="1" x14ac:dyDescent="0.25">
      <c r="A771" s="9"/>
      <c r="B771" s="51" t="s">
        <v>67</v>
      </c>
      <c r="C771" s="52"/>
      <c r="D771" s="52"/>
      <c r="E771" s="52"/>
      <c r="F771" s="52"/>
      <c r="G771" s="53"/>
      <c r="H771" s="20"/>
      <c r="I771" s="9">
        <v>1</v>
      </c>
      <c r="J771" s="9"/>
      <c r="K771" s="9"/>
      <c r="L771" s="9"/>
      <c r="M771" s="9">
        <f t="shared" si="100"/>
        <v>8.1999999999999993</v>
      </c>
      <c r="N771" s="9">
        <f t="shared" si="101"/>
        <v>3.5</v>
      </c>
      <c r="O771" s="9">
        <v>8.1999999999999993</v>
      </c>
      <c r="P771" s="9">
        <v>3.5</v>
      </c>
      <c r="Q771" s="9" t="s">
        <v>9</v>
      </c>
      <c r="R771" s="1">
        <v>0</v>
      </c>
      <c r="S771" s="26"/>
    </row>
    <row r="772" spans="1:19" ht="16.5" customHeight="1" x14ac:dyDescent="0.25">
      <c r="A772" s="9"/>
      <c r="B772" s="51" t="s">
        <v>68</v>
      </c>
      <c r="C772" s="52"/>
      <c r="D772" s="52"/>
      <c r="E772" s="52"/>
      <c r="F772" s="52"/>
      <c r="G772" s="53"/>
      <c r="H772" s="20"/>
      <c r="I772" s="9">
        <v>1</v>
      </c>
      <c r="J772" s="9"/>
      <c r="K772" s="9"/>
      <c r="L772" s="9"/>
      <c r="M772" s="9">
        <f t="shared" si="100"/>
        <v>8.1</v>
      </c>
      <c r="N772" s="9">
        <f t="shared" si="101"/>
        <v>3.5</v>
      </c>
      <c r="O772" s="9">
        <v>8.1</v>
      </c>
      <c r="P772" s="9">
        <v>3.5</v>
      </c>
      <c r="Q772" s="9" t="s">
        <v>9</v>
      </c>
      <c r="R772" s="1">
        <v>0</v>
      </c>
      <c r="S772" s="26"/>
    </row>
    <row r="773" spans="1:19" ht="16.5" customHeight="1" x14ac:dyDescent="0.25">
      <c r="A773" s="9"/>
      <c r="B773" s="51" t="s">
        <v>69</v>
      </c>
      <c r="C773" s="52"/>
      <c r="D773" s="52"/>
      <c r="E773" s="52"/>
      <c r="F773" s="52"/>
      <c r="G773" s="53"/>
      <c r="H773" s="20"/>
      <c r="I773" s="9">
        <v>1</v>
      </c>
      <c r="J773" s="9"/>
      <c r="K773" s="9"/>
      <c r="L773" s="9"/>
      <c r="M773" s="9">
        <f t="shared" si="100"/>
        <v>8</v>
      </c>
      <c r="N773" s="9">
        <f t="shared" si="101"/>
        <v>3.5</v>
      </c>
      <c r="O773" s="9">
        <v>8</v>
      </c>
      <c r="P773" s="9">
        <v>3.5</v>
      </c>
      <c r="Q773" s="9" t="s">
        <v>9</v>
      </c>
      <c r="R773" s="1">
        <v>0</v>
      </c>
      <c r="S773" s="26"/>
    </row>
    <row r="774" spans="1:19" ht="16.5" hidden="1" customHeight="1" x14ac:dyDescent="0.25">
      <c r="A774" s="21"/>
      <c r="H774" s="21"/>
      <c r="I774" s="21"/>
      <c r="J774" s="21"/>
      <c r="K774" s="21"/>
      <c r="L774" s="21"/>
      <c r="M774" s="9">
        <f t="shared" si="100"/>
        <v>0</v>
      </c>
      <c r="N774" s="9">
        <f t="shared" si="101"/>
        <v>0</v>
      </c>
      <c r="O774" s="21"/>
      <c r="P774" s="21"/>
      <c r="Q774" s="21"/>
      <c r="S774" s="25"/>
    </row>
    <row r="775" spans="1:19" ht="16.5" customHeight="1" x14ac:dyDescent="0.25">
      <c r="A775" s="9"/>
      <c r="B775" s="39" t="s">
        <v>42</v>
      </c>
      <c r="C775" s="40"/>
      <c r="D775" s="40"/>
      <c r="E775" s="40"/>
      <c r="F775" s="40"/>
      <c r="G775" s="41"/>
      <c r="H775" s="23"/>
      <c r="I775" s="24">
        <f>SUM(I767:I774)</f>
        <v>16</v>
      </c>
      <c r="J775" s="9"/>
      <c r="K775" s="9"/>
      <c r="L775" s="9"/>
      <c r="M775" s="9">
        <f t="shared" si="100"/>
        <v>118.08</v>
      </c>
      <c r="N775" s="9">
        <f t="shared" si="101"/>
        <v>48</v>
      </c>
      <c r="O775" s="24">
        <f>ROUND(SUM(M767:M774)/I775,2)</f>
        <v>7.38</v>
      </c>
      <c r="P775" s="24">
        <f>ROUND(SUM(N767:N774)/I775,2)</f>
        <v>3</v>
      </c>
      <c r="Q775" s="9"/>
      <c r="S775" s="25"/>
    </row>
    <row r="776" spans="1:19" ht="20.25" customHeight="1" x14ac:dyDescent="0.25">
      <c r="A776" s="27" t="s">
        <v>70</v>
      </c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</row>
    <row r="777" spans="1:19" ht="16.5" customHeight="1" x14ac:dyDescent="0.25">
      <c r="A777" s="9"/>
      <c r="B777" s="51" t="s">
        <v>71</v>
      </c>
      <c r="C777" s="52"/>
      <c r="D777" s="52"/>
      <c r="E777" s="52"/>
      <c r="F777" s="52"/>
      <c r="G777" s="53"/>
      <c r="H777" s="20"/>
      <c r="I777" s="9">
        <v>4</v>
      </c>
      <c r="J777" s="9"/>
      <c r="K777" s="9"/>
      <c r="L777" s="9"/>
      <c r="M777" s="9">
        <f t="shared" ref="M777:M785" si="102">I777*O777</f>
        <v>33.200000000000003</v>
      </c>
      <c r="N777" s="9">
        <f t="shared" ref="N777:N785" si="103">I777*P777</f>
        <v>14</v>
      </c>
      <c r="O777" s="9">
        <v>8.3000000000000007</v>
      </c>
      <c r="P777" s="9">
        <v>3.5</v>
      </c>
      <c r="Q777" s="9" t="s">
        <v>9</v>
      </c>
      <c r="R777" s="1">
        <v>0</v>
      </c>
      <c r="S777" s="26"/>
    </row>
    <row r="778" spans="1:19" ht="16.5" customHeight="1" x14ac:dyDescent="0.25">
      <c r="A778" s="9"/>
      <c r="B778" s="51" t="s">
        <v>72</v>
      </c>
      <c r="C778" s="52"/>
      <c r="D778" s="52"/>
      <c r="E778" s="52"/>
      <c r="F778" s="52"/>
      <c r="G778" s="53"/>
      <c r="H778" s="20"/>
      <c r="I778" s="9">
        <v>4</v>
      </c>
      <c r="J778" s="9"/>
      <c r="K778" s="9"/>
      <c r="L778" s="9"/>
      <c r="M778" s="9">
        <f t="shared" si="102"/>
        <v>31.6</v>
      </c>
      <c r="N778" s="9">
        <f t="shared" si="103"/>
        <v>12</v>
      </c>
      <c r="O778" s="9">
        <v>7.9</v>
      </c>
      <c r="P778" s="9">
        <v>3</v>
      </c>
      <c r="Q778" s="9" t="s">
        <v>6</v>
      </c>
      <c r="R778" s="1">
        <v>0</v>
      </c>
      <c r="S778" s="26"/>
    </row>
    <row r="779" spans="1:19" ht="16.5" customHeight="1" x14ac:dyDescent="0.25">
      <c r="A779" s="9"/>
      <c r="B779" s="51" t="s">
        <v>73</v>
      </c>
      <c r="C779" s="52"/>
      <c r="D779" s="52"/>
      <c r="E779" s="52"/>
      <c r="F779" s="52"/>
      <c r="G779" s="53"/>
      <c r="H779" s="20"/>
      <c r="I779" s="9">
        <v>1</v>
      </c>
      <c r="J779" s="9"/>
      <c r="K779" s="9"/>
      <c r="L779" s="9"/>
      <c r="M779" s="9">
        <f t="shared" si="102"/>
        <v>8.1999999999999993</v>
      </c>
      <c r="N779" s="9">
        <f t="shared" si="103"/>
        <v>3.5</v>
      </c>
      <c r="O779" s="9">
        <v>8.1999999999999993</v>
      </c>
      <c r="P779" s="9">
        <v>3.5</v>
      </c>
      <c r="Q779" s="9" t="s">
        <v>9</v>
      </c>
      <c r="R779" s="1">
        <v>0</v>
      </c>
      <c r="S779" s="26"/>
    </row>
    <row r="780" spans="1:19" ht="16.5" customHeight="1" x14ac:dyDescent="0.25">
      <c r="A780" s="9"/>
      <c r="B780" s="51" t="s">
        <v>74</v>
      </c>
      <c r="C780" s="52"/>
      <c r="D780" s="52"/>
      <c r="E780" s="52"/>
      <c r="F780" s="52"/>
      <c r="G780" s="53"/>
      <c r="H780" s="20"/>
      <c r="I780" s="9">
        <v>2</v>
      </c>
      <c r="J780" s="9"/>
      <c r="K780" s="9"/>
      <c r="L780" s="9"/>
      <c r="M780" s="9">
        <f t="shared" si="102"/>
        <v>17.600000000000001</v>
      </c>
      <c r="N780" s="9">
        <f t="shared" si="103"/>
        <v>7.4</v>
      </c>
      <c r="O780" s="9">
        <v>8.8000000000000007</v>
      </c>
      <c r="P780" s="9">
        <v>3.7</v>
      </c>
      <c r="Q780" s="9" t="s">
        <v>10</v>
      </c>
      <c r="R780" s="1">
        <v>0</v>
      </c>
      <c r="S780" s="26"/>
    </row>
    <row r="781" spans="1:19" ht="16.5" customHeight="1" x14ac:dyDescent="0.25">
      <c r="A781" s="9"/>
      <c r="B781" s="51" t="s">
        <v>75</v>
      </c>
      <c r="C781" s="52"/>
      <c r="D781" s="52"/>
      <c r="E781" s="52"/>
      <c r="F781" s="52"/>
      <c r="G781" s="53"/>
      <c r="H781" s="20"/>
      <c r="I781" s="9">
        <v>1</v>
      </c>
      <c r="J781" s="9"/>
      <c r="K781" s="9"/>
      <c r="L781" s="9"/>
      <c r="M781" s="9">
        <f t="shared" si="102"/>
        <v>6.3</v>
      </c>
      <c r="N781" s="9">
        <f t="shared" si="103"/>
        <v>2</v>
      </c>
      <c r="O781" s="9">
        <v>6.3</v>
      </c>
      <c r="P781" s="9">
        <v>2</v>
      </c>
      <c r="Q781" s="9" t="s">
        <v>3</v>
      </c>
      <c r="R781" s="1">
        <v>0</v>
      </c>
      <c r="S781" s="26"/>
    </row>
    <row r="782" spans="1:19" ht="16.5" customHeight="1" x14ac:dyDescent="0.25">
      <c r="A782" s="9"/>
      <c r="B782" s="51" t="s">
        <v>76</v>
      </c>
      <c r="C782" s="52"/>
      <c r="D782" s="52"/>
      <c r="E782" s="52"/>
      <c r="F782" s="52"/>
      <c r="G782" s="53"/>
      <c r="H782" s="20"/>
      <c r="I782" s="9">
        <v>4</v>
      </c>
      <c r="J782" s="9"/>
      <c r="K782" s="9"/>
      <c r="L782" s="9"/>
      <c r="M782" s="9">
        <f t="shared" si="102"/>
        <v>35.6</v>
      </c>
      <c r="N782" s="9">
        <f t="shared" si="103"/>
        <v>14.8</v>
      </c>
      <c r="O782" s="9">
        <v>8.9</v>
      </c>
      <c r="P782" s="9">
        <v>3.7</v>
      </c>
      <c r="Q782" s="9" t="s">
        <v>10</v>
      </c>
      <c r="R782" s="1">
        <v>0</v>
      </c>
      <c r="S782" s="26"/>
    </row>
    <row r="783" spans="1:19" ht="16.5" customHeight="1" x14ac:dyDescent="0.25">
      <c r="A783" s="9"/>
      <c r="B783" s="51" t="s">
        <v>77</v>
      </c>
      <c r="C783" s="52"/>
      <c r="D783" s="52"/>
      <c r="E783" s="52"/>
      <c r="F783" s="52"/>
      <c r="G783" s="53"/>
      <c r="H783" s="20"/>
      <c r="I783" s="9">
        <v>3</v>
      </c>
      <c r="J783" s="9"/>
      <c r="K783" s="9"/>
      <c r="L783" s="9"/>
      <c r="M783" s="9">
        <f t="shared" si="102"/>
        <v>21.9</v>
      </c>
      <c r="N783" s="9">
        <f t="shared" si="103"/>
        <v>9</v>
      </c>
      <c r="O783" s="9">
        <v>7.3</v>
      </c>
      <c r="P783" s="9">
        <v>3</v>
      </c>
      <c r="Q783" s="9" t="s">
        <v>6</v>
      </c>
      <c r="R783" s="1">
        <v>0</v>
      </c>
      <c r="S783" s="26"/>
    </row>
    <row r="784" spans="1:19" ht="16.5" hidden="1" customHeight="1" x14ac:dyDescent="0.25">
      <c r="A784" s="21"/>
      <c r="H784" s="21"/>
      <c r="I784" s="21"/>
      <c r="J784" s="21"/>
      <c r="K784" s="21"/>
      <c r="L784" s="21"/>
      <c r="M784" s="9">
        <f t="shared" si="102"/>
        <v>0</v>
      </c>
      <c r="N784" s="9">
        <f t="shared" si="103"/>
        <v>0</v>
      </c>
      <c r="O784" s="21"/>
      <c r="P784" s="21"/>
      <c r="Q784" s="21"/>
      <c r="S784" s="25"/>
    </row>
    <row r="785" spans="1:19" ht="16.5" customHeight="1" x14ac:dyDescent="0.25">
      <c r="A785" s="9"/>
      <c r="B785" s="39" t="s">
        <v>42</v>
      </c>
      <c r="C785" s="40"/>
      <c r="D785" s="40"/>
      <c r="E785" s="40"/>
      <c r="F785" s="40"/>
      <c r="G785" s="41"/>
      <c r="H785" s="23"/>
      <c r="I785" s="24">
        <f>SUM(I777:I784)</f>
        <v>19</v>
      </c>
      <c r="J785" s="9"/>
      <c r="K785" s="9"/>
      <c r="L785" s="9"/>
      <c r="M785" s="9">
        <f t="shared" si="102"/>
        <v>154.47000000000003</v>
      </c>
      <c r="N785" s="9">
        <f t="shared" si="103"/>
        <v>62.699999999999996</v>
      </c>
      <c r="O785" s="24">
        <f>ROUND(SUM(M777:M784)/I785,2)</f>
        <v>8.1300000000000008</v>
      </c>
      <c r="P785" s="24">
        <f>ROUND(SUM(N777:N784)/I785,2)</f>
        <v>3.3</v>
      </c>
      <c r="Q785" s="9"/>
      <c r="S785" s="25"/>
    </row>
    <row r="786" spans="1:19" ht="20.25" customHeight="1" x14ac:dyDescent="0.25">
      <c r="A786" s="27" t="s">
        <v>78</v>
      </c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</row>
    <row r="787" spans="1:19" ht="16.5" customHeight="1" x14ac:dyDescent="0.25">
      <c r="A787" s="9"/>
      <c r="B787" s="51" t="s">
        <v>79</v>
      </c>
      <c r="C787" s="52"/>
      <c r="D787" s="52"/>
      <c r="E787" s="52"/>
      <c r="F787" s="52"/>
      <c r="G787" s="53"/>
      <c r="H787" s="20"/>
      <c r="I787" s="9">
        <v>1</v>
      </c>
      <c r="J787" s="9"/>
      <c r="K787" s="9"/>
      <c r="L787" s="9"/>
      <c r="M787" s="9">
        <f t="shared" ref="M787:M793" si="104">I787*O787</f>
        <v>8</v>
      </c>
      <c r="N787" s="9">
        <f t="shared" ref="N787:N793" si="105">I787*P787</f>
        <v>3.5</v>
      </c>
      <c r="O787" s="9">
        <v>8</v>
      </c>
      <c r="P787" s="9">
        <v>3.5</v>
      </c>
      <c r="Q787" s="9" t="s">
        <v>9</v>
      </c>
      <c r="R787" s="1">
        <v>0</v>
      </c>
      <c r="S787" s="26"/>
    </row>
    <row r="788" spans="1:19" ht="16.5" customHeight="1" x14ac:dyDescent="0.25">
      <c r="A788" s="9"/>
      <c r="B788" s="51" t="s">
        <v>80</v>
      </c>
      <c r="C788" s="52"/>
      <c r="D788" s="52"/>
      <c r="E788" s="52"/>
      <c r="F788" s="52"/>
      <c r="G788" s="53"/>
      <c r="H788" s="20"/>
      <c r="I788" s="9">
        <v>3</v>
      </c>
      <c r="J788" s="9"/>
      <c r="K788" s="9"/>
      <c r="L788" s="9"/>
      <c r="M788" s="9">
        <f t="shared" si="104"/>
        <v>24.299999999999997</v>
      </c>
      <c r="N788" s="9">
        <f t="shared" si="105"/>
        <v>10.5</v>
      </c>
      <c r="O788" s="9">
        <v>8.1</v>
      </c>
      <c r="P788" s="9">
        <v>3.5</v>
      </c>
      <c r="Q788" s="9" t="s">
        <v>9</v>
      </c>
      <c r="R788" s="1">
        <v>0</v>
      </c>
      <c r="S788" s="26"/>
    </row>
    <row r="789" spans="1:19" ht="16.5" customHeight="1" x14ac:dyDescent="0.25">
      <c r="A789" s="9"/>
      <c r="B789" s="51" t="s">
        <v>81</v>
      </c>
      <c r="C789" s="52"/>
      <c r="D789" s="52"/>
      <c r="E789" s="52"/>
      <c r="F789" s="52"/>
      <c r="G789" s="53"/>
      <c r="H789" s="20"/>
      <c r="I789" s="9">
        <v>3</v>
      </c>
      <c r="J789" s="9"/>
      <c r="K789" s="9"/>
      <c r="L789" s="9"/>
      <c r="M789" s="9">
        <f t="shared" si="104"/>
        <v>23.700000000000003</v>
      </c>
      <c r="N789" s="9">
        <f t="shared" si="105"/>
        <v>9</v>
      </c>
      <c r="O789" s="9">
        <v>7.9</v>
      </c>
      <c r="P789" s="9">
        <v>3</v>
      </c>
      <c r="Q789" s="9" t="s">
        <v>6</v>
      </c>
      <c r="R789" s="1">
        <v>0</v>
      </c>
      <c r="S789" s="26"/>
    </row>
    <row r="790" spans="1:19" ht="16.5" customHeight="1" x14ac:dyDescent="0.25">
      <c r="A790" s="9"/>
      <c r="B790" s="51" t="s">
        <v>82</v>
      </c>
      <c r="C790" s="52"/>
      <c r="D790" s="52"/>
      <c r="E790" s="52"/>
      <c r="F790" s="52"/>
      <c r="G790" s="53"/>
      <c r="H790" s="20"/>
      <c r="I790" s="9">
        <v>2</v>
      </c>
      <c r="J790" s="9"/>
      <c r="K790" s="9"/>
      <c r="L790" s="9"/>
      <c r="M790" s="9">
        <f t="shared" si="104"/>
        <v>17.399999999999999</v>
      </c>
      <c r="N790" s="9">
        <f t="shared" si="105"/>
        <v>7.4</v>
      </c>
      <c r="O790" s="9">
        <v>8.6999999999999993</v>
      </c>
      <c r="P790" s="9">
        <v>3.7</v>
      </c>
      <c r="Q790" s="9" t="s">
        <v>10</v>
      </c>
      <c r="R790" s="1">
        <v>0</v>
      </c>
      <c r="S790" s="26"/>
    </row>
    <row r="791" spans="1:19" ht="16.5" customHeight="1" x14ac:dyDescent="0.25">
      <c r="A791" s="9"/>
      <c r="B791" s="51" t="s">
        <v>83</v>
      </c>
      <c r="C791" s="52"/>
      <c r="D791" s="52"/>
      <c r="E791" s="52"/>
      <c r="F791" s="52"/>
      <c r="G791" s="53"/>
      <c r="H791" s="20"/>
      <c r="I791" s="9">
        <v>2</v>
      </c>
      <c r="J791" s="9"/>
      <c r="K791" s="9"/>
      <c r="L791" s="9"/>
      <c r="M791" s="9">
        <f t="shared" si="104"/>
        <v>16.2</v>
      </c>
      <c r="N791" s="9">
        <f t="shared" si="105"/>
        <v>7</v>
      </c>
      <c r="O791" s="9">
        <v>8.1</v>
      </c>
      <c r="P791" s="9">
        <v>3.5</v>
      </c>
      <c r="Q791" s="9" t="s">
        <v>9</v>
      </c>
      <c r="R791" s="1">
        <v>0</v>
      </c>
      <c r="S791" s="26"/>
    </row>
    <row r="792" spans="1:19" ht="16.5" customHeight="1" x14ac:dyDescent="0.25">
      <c r="A792" s="9"/>
      <c r="B792" s="51" t="s">
        <v>84</v>
      </c>
      <c r="C792" s="52"/>
      <c r="D792" s="52"/>
      <c r="E792" s="52"/>
      <c r="F792" s="52"/>
      <c r="G792" s="53"/>
      <c r="H792" s="20"/>
      <c r="I792" s="9">
        <v>3</v>
      </c>
      <c r="J792" s="9"/>
      <c r="K792" s="9"/>
      <c r="L792" s="9"/>
      <c r="M792" s="9">
        <f t="shared" si="104"/>
        <v>24.900000000000002</v>
      </c>
      <c r="N792" s="9">
        <f t="shared" si="105"/>
        <v>10.5</v>
      </c>
      <c r="O792" s="9">
        <v>8.3000000000000007</v>
      </c>
      <c r="P792" s="9">
        <v>3.5</v>
      </c>
      <c r="Q792" s="9" t="s">
        <v>9</v>
      </c>
      <c r="R792" s="1">
        <v>0</v>
      </c>
      <c r="S792" s="26"/>
    </row>
    <row r="793" spans="1:19" ht="16.5" customHeight="1" x14ac:dyDescent="0.25">
      <c r="A793" s="9"/>
      <c r="B793" s="51" t="s">
        <v>85</v>
      </c>
      <c r="C793" s="52"/>
      <c r="D793" s="52"/>
      <c r="E793" s="52"/>
      <c r="F793" s="52"/>
      <c r="G793" s="53"/>
      <c r="H793" s="20"/>
      <c r="I793" s="9">
        <v>2</v>
      </c>
      <c r="J793" s="9"/>
      <c r="K793" s="9"/>
      <c r="L793" s="9"/>
      <c r="M793" s="9">
        <f t="shared" si="104"/>
        <v>16.399999999999999</v>
      </c>
      <c r="N793" s="9">
        <f t="shared" si="105"/>
        <v>7</v>
      </c>
      <c r="O793" s="9">
        <v>8.1999999999999993</v>
      </c>
      <c r="P793" s="9">
        <v>3.5</v>
      </c>
      <c r="Q793" s="9" t="s">
        <v>9</v>
      </c>
      <c r="R793" s="1">
        <v>0</v>
      </c>
      <c r="S793" s="26"/>
    </row>
    <row r="794" spans="1:19" ht="15" customHeight="1" x14ac:dyDescent="0.25">
      <c r="A794" s="36" t="s">
        <v>0</v>
      </c>
      <c r="B794" s="29" t="s">
        <v>1</v>
      </c>
      <c r="C794" s="30"/>
      <c r="D794" s="30"/>
      <c r="E794" s="30"/>
      <c r="F794" s="30"/>
      <c r="G794" s="31"/>
      <c r="H794" s="36" t="s">
        <v>32</v>
      </c>
      <c r="I794" s="36" t="s">
        <v>39</v>
      </c>
      <c r="J794" s="55" t="s">
        <v>2</v>
      </c>
      <c r="K794" s="56"/>
      <c r="L794" s="56"/>
      <c r="M794" s="56"/>
      <c r="N794" s="56"/>
      <c r="O794" s="56"/>
      <c r="P794" s="56"/>
      <c r="Q794" s="57"/>
      <c r="S794" s="36" t="s">
        <v>38</v>
      </c>
    </row>
    <row r="795" spans="1:19" ht="24" customHeight="1" x14ac:dyDescent="0.25">
      <c r="A795" s="37"/>
      <c r="B795" s="32"/>
      <c r="C795" s="33"/>
      <c r="D795" s="33"/>
      <c r="E795" s="33"/>
      <c r="F795" s="33"/>
      <c r="G795" s="34"/>
      <c r="H795" s="37"/>
      <c r="I795" s="37"/>
      <c r="J795" s="7" t="s">
        <v>28</v>
      </c>
      <c r="K795" s="7" t="s">
        <v>29</v>
      </c>
      <c r="L795" s="7" t="s">
        <v>30</v>
      </c>
      <c r="M795" s="7"/>
      <c r="N795" s="7"/>
      <c r="O795" s="6" t="s">
        <v>35</v>
      </c>
      <c r="P795" s="6" t="s">
        <v>36</v>
      </c>
      <c r="Q795" s="6" t="s">
        <v>37</v>
      </c>
      <c r="S795" s="37"/>
    </row>
    <row r="796" spans="1:19" ht="16.5" customHeight="1" x14ac:dyDescent="0.25">
      <c r="A796" s="9"/>
      <c r="B796" s="51" t="s">
        <v>86</v>
      </c>
      <c r="C796" s="52"/>
      <c r="D796" s="52"/>
      <c r="E796" s="52"/>
      <c r="F796" s="52"/>
      <c r="G796" s="53"/>
      <c r="H796" s="20"/>
      <c r="I796" s="9">
        <v>3</v>
      </c>
      <c r="J796" s="9"/>
      <c r="K796" s="9"/>
      <c r="L796" s="9"/>
      <c r="M796" s="9">
        <f>I796*O796</f>
        <v>27.299999999999997</v>
      </c>
      <c r="N796" s="9">
        <f>I796*P796</f>
        <v>12</v>
      </c>
      <c r="O796" s="9">
        <v>9.1</v>
      </c>
      <c r="P796" s="9">
        <v>4</v>
      </c>
      <c r="Q796" s="9" t="s">
        <v>12</v>
      </c>
      <c r="R796" s="1">
        <v>0</v>
      </c>
      <c r="S796" s="26"/>
    </row>
    <row r="797" spans="1:19" ht="16.5" customHeight="1" x14ac:dyDescent="0.25">
      <c r="A797" s="9"/>
      <c r="B797" s="51" t="s">
        <v>87</v>
      </c>
      <c r="C797" s="52"/>
      <c r="D797" s="52"/>
      <c r="E797" s="52"/>
      <c r="F797" s="52"/>
      <c r="G797" s="53"/>
      <c r="H797" s="20"/>
      <c r="I797" s="9">
        <v>3</v>
      </c>
      <c r="J797" s="9"/>
      <c r="K797" s="9"/>
      <c r="L797" s="9"/>
      <c r="M797" s="9">
        <f>I797*O797</f>
        <v>26.099999999999998</v>
      </c>
      <c r="N797" s="9">
        <f>I797*P797</f>
        <v>11.100000000000001</v>
      </c>
      <c r="O797" s="9">
        <v>8.6999999999999993</v>
      </c>
      <c r="P797" s="9">
        <v>3.7</v>
      </c>
      <c r="Q797" s="9" t="s">
        <v>10</v>
      </c>
      <c r="R797" s="1">
        <v>0</v>
      </c>
      <c r="S797" s="26"/>
    </row>
    <row r="798" spans="1:19" ht="16.5" hidden="1" customHeight="1" x14ac:dyDescent="0.25">
      <c r="A798" s="21"/>
      <c r="H798" s="21"/>
      <c r="I798" s="21"/>
      <c r="J798" s="21"/>
      <c r="K798" s="21"/>
      <c r="L798" s="21"/>
      <c r="M798" s="9">
        <f>I798*O798</f>
        <v>0</v>
      </c>
      <c r="N798" s="9">
        <f>I798*P798</f>
        <v>0</v>
      </c>
      <c r="O798" s="21"/>
      <c r="P798" s="21"/>
      <c r="Q798" s="21"/>
      <c r="S798" s="25"/>
    </row>
    <row r="799" spans="1:19" ht="16.5" customHeight="1" x14ac:dyDescent="0.25">
      <c r="A799" s="9"/>
      <c r="B799" s="39" t="s">
        <v>42</v>
      </c>
      <c r="C799" s="40"/>
      <c r="D799" s="40"/>
      <c r="E799" s="40"/>
      <c r="F799" s="40"/>
      <c r="G799" s="41"/>
      <c r="H799" s="23"/>
      <c r="I799" s="24">
        <f>SUM(I787:I798)</f>
        <v>22</v>
      </c>
      <c r="J799" s="9"/>
      <c r="K799" s="9"/>
      <c r="L799" s="9"/>
      <c r="M799" s="9">
        <f>I799*O799</f>
        <v>184.36</v>
      </c>
      <c r="N799" s="9">
        <f>I799*P799</f>
        <v>78.099999999999994</v>
      </c>
      <c r="O799" s="24">
        <f>ROUND(SUM(M787:M798)/I799,2)</f>
        <v>8.3800000000000008</v>
      </c>
      <c r="P799" s="24">
        <f>ROUND(SUM(N787:N798)/I799,2)</f>
        <v>3.55</v>
      </c>
      <c r="Q799" s="9"/>
      <c r="S799" s="25"/>
    </row>
    <row r="800" spans="1:19" ht="20.25" customHeight="1" x14ac:dyDescent="0.25">
      <c r="A800" s="27" t="s">
        <v>88</v>
      </c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</row>
    <row r="801" spans="1:19" ht="16.5" customHeight="1" x14ac:dyDescent="0.25">
      <c r="A801" s="9"/>
      <c r="B801" s="51" t="s">
        <v>96</v>
      </c>
      <c r="C801" s="52"/>
      <c r="D801" s="52"/>
      <c r="E801" s="52"/>
      <c r="F801" s="52"/>
      <c r="G801" s="53"/>
      <c r="H801" s="20"/>
      <c r="I801" s="9">
        <v>3</v>
      </c>
      <c r="J801" s="9"/>
      <c r="K801" s="9"/>
      <c r="L801" s="9"/>
      <c r="M801" s="9">
        <f t="shared" ref="M801:M812" si="106">I801*O801</f>
        <v>28.5</v>
      </c>
      <c r="N801" s="9">
        <f t="shared" ref="N801:N812" si="107">I801*P801</f>
        <v>12</v>
      </c>
      <c r="O801" s="9">
        <v>9.5</v>
      </c>
      <c r="P801" s="9">
        <v>4</v>
      </c>
      <c r="Q801" s="9" t="s">
        <v>12</v>
      </c>
      <c r="R801" s="1">
        <v>0</v>
      </c>
      <c r="S801" s="26"/>
    </row>
    <row r="802" spans="1:19" ht="16.5" customHeight="1" x14ac:dyDescent="0.25">
      <c r="A802" s="9"/>
      <c r="B802" s="51" t="s">
        <v>90</v>
      </c>
      <c r="C802" s="52"/>
      <c r="D802" s="52"/>
      <c r="E802" s="52"/>
      <c r="F802" s="52"/>
      <c r="G802" s="53"/>
      <c r="H802" s="20"/>
      <c r="I802" s="9">
        <v>3</v>
      </c>
      <c r="J802" s="9"/>
      <c r="K802" s="9"/>
      <c r="L802" s="9"/>
      <c r="M802" s="9">
        <f t="shared" si="106"/>
        <v>27.900000000000002</v>
      </c>
      <c r="N802" s="9">
        <f t="shared" si="107"/>
        <v>12</v>
      </c>
      <c r="O802" s="9">
        <v>9.3000000000000007</v>
      </c>
      <c r="P802" s="9">
        <v>4</v>
      </c>
      <c r="Q802" s="9" t="s">
        <v>12</v>
      </c>
      <c r="R802" s="1">
        <v>0</v>
      </c>
      <c r="S802" s="26"/>
    </row>
    <row r="803" spans="1:19" ht="16.5" customHeight="1" x14ac:dyDescent="0.25">
      <c r="A803" s="9"/>
      <c r="B803" s="51" t="s">
        <v>91</v>
      </c>
      <c r="C803" s="52"/>
      <c r="D803" s="52"/>
      <c r="E803" s="52"/>
      <c r="F803" s="52"/>
      <c r="G803" s="53"/>
      <c r="H803" s="20"/>
      <c r="I803" s="9">
        <v>2</v>
      </c>
      <c r="J803" s="9"/>
      <c r="K803" s="9"/>
      <c r="L803" s="9"/>
      <c r="M803" s="9">
        <f t="shared" si="106"/>
        <v>16</v>
      </c>
      <c r="N803" s="9">
        <f t="shared" si="107"/>
        <v>7</v>
      </c>
      <c r="O803" s="9">
        <v>8</v>
      </c>
      <c r="P803" s="9">
        <v>3.5</v>
      </c>
      <c r="Q803" s="9" t="s">
        <v>9</v>
      </c>
      <c r="R803" s="1">
        <v>0</v>
      </c>
      <c r="S803" s="26"/>
    </row>
    <row r="804" spans="1:19" ht="16.5" customHeight="1" x14ac:dyDescent="0.25">
      <c r="A804" s="9"/>
      <c r="B804" s="51" t="s">
        <v>92</v>
      </c>
      <c r="C804" s="52"/>
      <c r="D804" s="52"/>
      <c r="E804" s="52"/>
      <c r="F804" s="52"/>
      <c r="G804" s="53"/>
      <c r="H804" s="20"/>
      <c r="I804" s="9">
        <v>3</v>
      </c>
      <c r="J804" s="9"/>
      <c r="K804" s="9"/>
      <c r="L804" s="9"/>
      <c r="M804" s="9">
        <f t="shared" si="106"/>
        <v>26.400000000000002</v>
      </c>
      <c r="N804" s="9">
        <f t="shared" si="107"/>
        <v>11.100000000000001</v>
      </c>
      <c r="O804" s="9">
        <v>8.8000000000000007</v>
      </c>
      <c r="P804" s="9">
        <v>3.7</v>
      </c>
      <c r="Q804" s="9" t="s">
        <v>10</v>
      </c>
      <c r="R804" s="1">
        <v>0</v>
      </c>
      <c r="S804" s="26"/>
    </row>
    <row r="805" spans="1:19" ht="16.5" customHeight="1" x14ac:dyDescent="0.25">
      <c r="A805" s="9"/>
      <c r="B805" s="51" t="s">
        <v>93</v>
      </c>
      <c r="C805" s="52"/>
      <c r="D805" s="52"/>
      <c r="E805" s="52"/>
      <c r="F805" s="52"/>
      <c r="G805" s="53"/>
      <c r="H805" s="20"/>
      <c r="I805" s="9">
        <v>1</v>
      </c>
      <c r="J805" s="9"/>
      <c r="K805" s="9"/>
      <c r="L805" s="9"/>
      <c r="M805" s="9">
        <f t="shared" si="106"/>
        <v>8.1999999999999993</v>
      </c>
      <c r="N805" s="9">
        <f t="shared" si="107"/>
        <v>3.5</v>
      </c>
      <c r="O805" s="9">
        <v>8.1999999999999993</v>
      </c>
      <c r="P805" s="9">
        <v>3.5</v>
      </c>
      <c r="Q805" s="9" t="s">
        <v>9</v>
      </c>
      <c r="R805" s="1">
        <v>0</v>
      </c>
      <c r="S805" s="26"/>
    </row>
    <row r="806" spans="1:19" ht="16.5" customHeight="1" x14ac:dyDescent="0.25">
      <c r="A806" s="9"/>
      <c r="B806" s="51" t="s">
        <v>94</v>
      </c>
      <c r="C806" s="52"/>
      <c r="D806" s="52"/>
      <c r="E806" s="52"/>
      <c r="F806" s="52"/>
      <c r="G806" s="53"/>
      <c r="H806" s="20"/>
      <c r="I806" s="9">
        <v>1</v>
      </c>
      <c r="J806" s="9"/>
      <c r="K806" s="9"/>
      <c r="L806" s="9"/>
      <c r="M806" s="9">
        <f t="shared" si="106"/>
        <v>8.1</v>
      </c>
      <c r="N806" s="9">
        <f t="shared" si="107"/>
        <v>3.5</v>
      </c>
      <c r="O806" s="9">
        <v>8.1</v>
      </c>
      <c r="P806" s="9">
        <v>3.5</v>
      </c>
      <c r="Q806" s="9" t="s">
        <v>9</v>
      </c>
      <c r="R806" s="1">
        <v>0</v>
      </c>
      <c r="S806" s="26"/>
    </row>
    <row r="807" spans="1:19" ht="16.5" customHeight="1" x14ac:dyDescent="0.25">
      <c r="A807" s="9"/>
      <c r="B807" s="51" t="s">
        <v>97</v>
      </c>
      <c r="C807" s="52"/>
      <c r="D807" s="52"/>
      <c r="E807" s="52"/>
      <c r="F807" s="52"/>
      <c r="G807" s="53"/>
      <c r="H807" s="20"/>
      <c r="I807" s="9">
        <v>1</v>
      </c>
      <c r="J807" s="9"/>
      <c r="K807" s="9"/>
      <c r="L807" s="9"/>
      <c r="M807" s="9">
        <f t="shared" si="106"/>
        <v>9</v>
      </c>
      <c r="N807" s="9">
        <f t="shared" si="107"/>
        <v>4</v>
      </c>
      <c r="O807" s="9">
        <v>9</v>
      </c>
      <c r="P807" s="9">
        <v>4</v>
      </c>
      <c r="Q807" s="9" t="s">
        <v>12</v>
      </c>
      <c r="R807" s="1">
        <v>0</v>
      </c>
      <c r="S807" s="26"/>
    </row>
    <row r="808" spans="1:19" ht="16.5" customHeight="1" x14ac:dyDescent="0.25">
      <c r="A808" s="9"/>
      <c r="B808" s="51" t="s">
        <v>89</v>
      </c>
      <c r="C808" s="52"/>
      <c r="D808" s="52"/>
      <c r="E808" s="52"/>
      <c r="F808" s="52"/>
      <c r="G808" s="53"/>
      <c r="H808" s="20"/>
      <c r="I808" s="9">
        <v>2</v>
      </c>
      <c r="J808" s="9"/>
      <c r="K808" s="9"/>
      <c r="L808" s="9"/>
      <c r="M808" s="9">
        <f t="shared" si="106"/>
        <v>18.399999999999999</v>
      </c>
      <c r="N808" s="9">
        <f t="shared" si="107"/>
        <v>8</v>
      </c>
      <c r="O808" s="9">
        <v>9.1999999999999993</v>
      </c>
      <c r="P808" s="9">
        <v>4</v>
      </c>
      <c r="Q808" s="9" t="s">
        <v>12</v>
      </c>
      <c r="R808" s="1">
        <v>0</v>
      </c>
      <c r="S808" s="26"/>
    </row>
    <row r="809" spans="1:19" ht="16.5" customHeight="1" x14ac:dyDescent="0.25">
      <c r="A809" s="9"/>
      <c r="B809" s="51" t="s">
        <v>95</v>
      </c>
      <c r="C809" s="52"/>
      <c r="D809" s="52"/>
      <c r="E809" s="52"/>
      <c r="F809" s="52"/>
      <c r="G809" s="53"/>
      <c r="H809" s="20"/>
      <c r="I809" s="9">
        <v>3</v>
      </c>
      <c r="J809" s="9"/>
      <c r="K809" s="9"/>
      <c r="L809" s="9"/>
      <c r="M809" s="9">
        <f t="shared" si="106"/>
        <v>28.5</v>
      </c>
      <c r="N809" s="9">
        <f t="shared" si="107"/>
        <v>12</v>
      </c>
      <c r="O809" s="9">
        <v>9.5</v>
      </c>
      <c r="P809" s="9">
        <v>4</v>
      </c>
      <c r="Q809" s="9" t="s">
        <v>12</v>
      </c>
      <c r="R809" s="1">
        <v>0</v>
      </c>
      <c r="S809" s="26"/>
    </row>
    <row r="810" spans="1:19" ht="16.5" customHeight="1" x14ac:dyDescent="0.25">
      <c r="A810" s="9"/>
      <c r="B810" s="51" t="s">
        <v>98</v>
      </c>
      <c r="C810" s="52"/>
      <c r="D810" s="52"/>
      <c r="E810" s="52"/>
      <c r="F810" s="52"/>
      <c r="G810" s="53"/>
      <c r="H810" s="20"/>
      <c r="I810" s="9">
        <v>3</v>
      </c>
      <c r="J810" s="9"/>
      <c r="K810" s="9"/>
      <c r="L810" s="9"/>
      <c r="M810" s="9">
        <f t="shared" si="106"/>
        <v>24</v>
      </c>
      <c r="N810" s="9">
        <f t="shared" si="107"/>
        <v>10.5</v>
      </c>
      <c r="O810" s="9">
        <v>8</v>
      </c>
      <c r="P810" s="9">
        <v>3.5</v>
      </c>
      <c r="Q810" s="9" t="s">
        <v>9</v>
      </c>
      <c r="R810" s="1">
        <v>0</v>
      </c>
      <c r="S810" s="26"/>
    </row>
    <row r="811" spans="1:19" ht="16.5" hidden="1" customHeight="1" x14ac:dyDescent="0.25">
      <c r="A811" s="21"/>
      <c r="H811" s="21"/>
      <c r="I811" s="21"/>
      <c r="J811" s="21"/>
      <c r="K811" s="21"/>
      <c r="L811" s="21"/>
      <c r="M811" s="9">
        <f t="shared" si="106"/>
        <v>0</v>
      </c>
      <c r="N811" s="9">
        <f t="shared" si="107"/>
        <v>0</v>
      </c>
      <c r="O811" s="21"/>
      <c r="P811" s="21"/>
      <c r="Q811" s="21"/>
      <c r="S811" s="25"/>
    </row>
    <row r="812" spans="1:19" ht="16.5" customHeight="1" x14ac:dyDescent="0.25">
      <c r="A812" s="9"/>
      <c r="B812" s="39" t="s">
        <v>42</v>
      </c>
      <c r="C812" s="40"/>
      <c r="D812" s="40"/>
      <c r="E812" s="40"/>
      <c r="F812" s="40"/>
      <c r="G812" s="41"/>
      <c r="H812" s="23"/>
      <c r="I812" s="24">
        <f>SUM(I801:I811)</f>
        <v>22</v>
      </c>
      <c r="J812" s="9"/>
      <c r="K812" s="9"/>
      <c r="L812" s="9"/>
      <c r="M812" s="9">
        <f t="shared" si="106"/>
        <v>194.92</v>
      </c>
      <c r="N812" s="9">
        <f t="shared" si="107"/>
        <v>83.6</v>
      </c>
      <c r="O812" s="24">
        <f>ROUND(SUM(M801:M811)/I812,2)</f>
        <v>8.86</v>
      </c>
      <c r="P812" s="24">
        <f>ROUND(SUM(N801:N811)/I812,2)</f>
        <v>3.8</v>
      </c>
      <c r="Q812" s="9"/>
      <c r="S812" s="25"/>
    </row>
    <row r="813" spans="1:19" ht="20.25" customHeight="1" x14ac:dyDescent="0.25">
      <c r="A813" s="27" t="s">
        <v>99</v>
      </c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</row>
    <row r="814" spans="1:19" ht="16.5" customHeight="1" x14ac:dyDescent="0.25">
      <c r="A814" s="9"/>
      <c r="B814" s="51" t="s">
        <v>100</v>
      </c>
      <c r="C814" s="52"/>
      <c r="D814" s="52"/>
      <c r="E814" s="52"/>
      <c r="F814" s="52"/>
      <c r="G814" s="53"/>
      <c r="H814" s="20"/>
      <c r="I814" s="9">
        <v>2</v>
      </c>
      <c r="J814" s="9"/>
      <c r="K814" s="9"/>
      <c r="L814" s="9"/>
      <c r="M814" s="9">
        <f t="shared" ref="M814:M827" si="108">I814*O814</f>
        <v>16.8</v>
      </c>
      <c r="N814" s="9">
        <f t="shared" ref="N814:N827" si="109">I814*P814</f>
        <v>7</v>
      </c>
      <c r="O814" s="9">
        <v>8.4</v>
      </c>
      <c r="P814" s="9">
        <v>3.5</v>
      </c>
      <c r="Q814" s="9" t="s">
        <v>9</v>
      </c>
      <c r="R814" s="1">
        <v>0</v>
      </c>
      <c r="S814" s="26"/>
    </row>
    <row r="815" spans="1:19" ht="16.5" customHeight="1" x14ac:dyDescent="0.25">
      <c r="A815" s="9"/>
      <c r="B815" s="51" t="s">
        <v>101</v>
      </c>
      <c r="C815" s="52"/>
      <c r="D815" s="52"/>
      <c r="E815" s="52"/>
      <c r="F815" s="52"/>
      <c r="G815" s="53"/>
      <c r="H815" s="20"/>
      <c r="I815" s="9">
        <v>2</v>
      </c>
      <c r="J815" s="9"/>
      <c r="K815" s="9"/>
      <c r="L815" s="9"/>
      <c r="M815" s="9">
        <f t="shared" si="108"/>
        <v>15</v>
      </c>
      <c r="N815" s="9">
        <f t="shared" si="109"/>
        <v>6</v>
      </c>
      <c r="O815" s="9">
        <v>7.5</v>
      </c>
      <c r="P815" s="9">
        <v>3</v>
      </c>
      <c r="Q815" s="9" t="s">
        <v>6</v>
      </c>
      <c r="R815" s="1">
        <v>0</v>
      </c>
      <c r="S815" s="26"/>
    </row>
    <row r="816" spans="1:19" ht="16.5" customHeight="1" x14ac:dyDescent="0.25">
      <c r="A816" s="9"/>
      <c r="B816" s="51" t="s">
        <v>102</v>
      </c>
      <c r="C816" s="52"/>
      <c r="D816" s="52"/>
      <c r="E816" s="52"/>
      <c r="F816" s="52"/>
      <c r="G816" s="53"/>
      <c r="H816" s="20"/>
      <c r="I816" s="9">
        <v>1</v>
      </c>
      <c r="J816" s="9"/>
      <c r="K816" s="9"/>
      <c r="L816" s="9"/>
      <c r="M816" s="9">
        <f t="shared" si="108"/>
        <v>8.1999999999999993</v>
      </c>
      <c r="N816" s="9">
        <f t="shared" si="109"/>
        <v>3.5</v>
      </c>
      <c r="O816" s="9">
        <v>8.1999999999999993</v>
      </c>
      <c r="P816" s="9">
        <v>3.5</v>
      </c>
      <c r="Q816" s="9" t="s">
        <v>9</v>
      </c>
      <c r="R816" s="1">
        <v>0</v>
      </c>
      <c r="S816" s="26"/>
    </row>
    <row r="817" spans="1:19" ht="16.5" customHeight="1" x14ac:dyDescent="0.25">
      <c r="A817" s="9"/>
      <c r="B817" s="51" t="s">
        <v>103</v>
      </c>
      <c r="C817" s="52"/>
      <c r="D817" s="52"/>
      <c r="E817" s="52"/>
      <c r="F817" s="52"/>
      <c r="G817" s="53"/>
      <c r="H817" s="20"/>
      <c r="I817" s="9">
        <v>2</v>
      </c>
      <c r="J817" s="9"/>
      <c r="K817" s="9"/>
      <c r="L817" s="9"/>
      <c r="M817" s="9">
        <f t="shared" si="108"/>
        <v>14.6</v>
      </c>
      <c r="N817" s="9">
        <f t="shared" si="109"/>
        <v>6</v>
      </c>
      <c r="O817" s="9">
        <v>7.3</v>
      </c>
      <c r="P817" s="9">
        <v>3</v>
      </c>
      <c r="Q817" s="9" t="s">
        <v>6</v>
      </c>
      <c r="R817" s="1">
        <v>0</v>
      </c>
      <c r="S817" s="26"/>
    </row>
    <row r="818" spans="1:19" ht="16.5" customHeight="1" x14ac:dyDescent="0.25">
      <c r="A818" s="9"/>
      <c r="B818" s="51" t="s">
        <v>104</v>
      </c>
      <c r="C818" s="52"/>
      <c r="D818" s="52"/>
      <c r="E818" s="52"/>
      <c r="F818" s="52"/>
      <c r="G818" s="53"/>
      <c r="H818" s="20"/>
      <c r="I818" s="9">
        <v>3</v>
      </c>
      <c r="J818" s="9"/>
      <c r="K818" s="9"/>
      <c r="L818" s="9"/>
      <c r="M818" s="9">
        <f t="shared" si="108"/>
        <v>25.799999999999997</v>
      </c>
      <c r="N818" s="9">
        <f t="shared" si="109"/>
        <v>11.100000000000001</v>
      </c>
      <c r="O818" s="9">
        <v>8.6</v>
      </c>
      <c r="P818" s="9">
        <v>3.7</v>
      </c>
      <c r="Q818" s="9" t="s">
        <v>10</v>
      </c>
      <c r="R818" s="1">
        <v>0</v>
      </c>
      <c r="S818" s="26"/>
    </row>
    <row r="819" spans="1:19" ht="16.5" customHeight="1" x14ac:dyDescent="0.25">
      <c r="A819" s="9"/>
      <c r="B819" s="51" t="s">
        <v>105</v>
      </c>
      <c r="C819" s="52"/>
      <c r="D819" s="52"/>
      <c r="E819" s="52"/>
      <c r="F819" s="52"/>
      <c r="G819" s="53"/>
      <c r="H819" s="20"/>
      <c r="I819" s="9">
        <v>3</v>
      </c>
      <c r="J819" s="9"/>
      <c r="K819" s="9"/>
      <c r="L819" s="9"/>
      <c r="M819" s="9">
        <f t="shared" si="108"/>
        <v>27.299999999999997</v>
      </c>
      <c r="N819" s="9">
        <f t="shared" si="109"/>
        <v>12</v>
      </c>
      <c r="O819" s="9">
        <v>9.1</v>
      </c>
      <c r="P819" s="9">
        <v>4</v>
      </c>
      <c r="Q819" s="9" t="s">
        <v>12</v>
      </c>
      <c r="R819" s="1">
        <v>0</v>
      </c>
      <c r="S819" s="26"/>
    </row>
    <row r="820" spans="1:19" ht="16.5" customHeight="1" x14ac:dyDescent="0.25">
      <c r="A820" s="9"/>
      <c r="B820" s="51" t="s">
        <v>106</v>
      </c>
      <c r="C820" s="52"/>
      <c r="D820" s="52"/>
      <c r="E820" s="52"/>
      <c r="F820" s="52"/>
      <c r="G820" s="53"/>
      <c r="H820" s="20"/>
      <c r="I820" s="9">
        <v>2</v>
      </c>
      <c r="J820" s="9"/>
      <c r="K820" s="9"/>
      <c r="L820" s="9"/>
      <c r="M820" s="9">
        <f t="shared" si="108"/>
        <v>15.2</v>
      </c>
      <c r="N820" s="9">
        <f t="shared" si="109"/>
        <v>6</v>
      </c>
      <c r="O820" s="9">
        <v>7.6</v>
      </c>
      <c r="P820" s="9">
        <v>3</v>
      </c>
      <c r="Q820" s="9" t="s">
        <v>6</v>
      </c>
      <c r="R820" s="1">
        <v>0</v>
      </c>
      <c r="S820" s="26"/>
    </row>
    <row r="821" spans="1:19" ht="16.5" customHeight="1" x14ac:dyDescent="0.25">
      <c r="A821" s="9"/>
      <c r="B821" s="51" t="s">
        <v>107</v>
      </c>
      <c r="C821" s="52"/>
      <c r="D821" s="52"/>
      <c r="E821" s="52"/>
      <c r="F821" s="52"/>
      <c r="G821" s="53"/>
      <c r="H821" s="20"/>
      <c r="I821" s="9">
        <v>3</v>
      </c>
      <c r="J821" s="9"/>
      <c r="K821" s="9"/>
      <c r="L821" s="9"/>
      <c r="M821" s="9">
        <f t="shared" si="108"/>
        <v>29.700000000000003</v>
      </c>
      <c r="N821" s="9">
        <f t="shared" si="109"/>
        <v>12</v>
      </c>
      <c r="O821" s="9">
        <v>9.9</v>
      </c>
      <c r="P821" s="9">
        <v>4</v>
      </c>
      <c r="Q821" s="9" t="s">
        <v>12</v>
      </c>
      <c r="R821" s="1">
        <v>0</v>
      </c>
      <c r="S821" s="26"/>
    </row>
    <row r="822" spans="1:19" ht="16.5" customHeight="1" x14ac:dyDescent="0.25">
      <c r="A822" s="9"/>
      <c r="B822" s="51" t="s">
        <v>108</v>
      </c>
      <c r="C822" s="52"/>
      <c r="D822" s="52"/>
      <c r="E822" s="52"/>
      <c r="F822" s="52"/>
      <c r="G822" s="53"/>
      <c r="H822" s="20"/>
      <c r="I822" s="9">
        <v>1</v>
      </c>
      <c r="J822" s="9"/>
      <c r="K822" s="9"/>
      <c r="L822" s="9"/>
      <c r="M822" s="9">
        <f t="shared" si="108"/>
        <v>8</v>
      </c>
      <c r="N822" s="9">
        <f t="shared" si="109"/>
        <v>3.5</v>
      </c>
      <c r="O822" s="9">
        <v>8</v>
      </c>
      <c r="P822" s="9">
        <v>3.5</v>
      </c>
      <c r="Q822" s="9" t="s">
        <v>9</v>
      </c>
      <c r="R822" s="1">
        <v>0</v>
      </c>
      <c r="S822" s="26"/>
    </row>
    <row r="823" spans="1:19" ht="16.5" customHeight="1" x14ac:dyDescent="0.25">
      <c r="A823" s="9"/>
      <c r="B823" s="51" t="s">
        <v>109</v>
      </c>
      <c r="C823" s="52"/>
      <c r="D823" s="52"/>
      <c r="E823" s="52"/>
      <c r="F823" s="52"/>
      <c r="G823" s="53"/>
      <c r="H823" s="20"/>
      <c r="I823" s="9">
        <v>2</v>
      </c>
      <c r="J823" s="9"/>
      <c r="K823" s="9"/>
      <c r="L823" s="9"/>
      <c r="M823" s="9">
        <f t="shared" si="108"/>
        <v>17.399999999999999</v>
      </c>
      <c r="N823" s="9">
        <f t="shared" si="109"/>
        <v>7.4</v>
      </c>
      <c r="O823" s="9">
        <v>8.6999999999999993</v>
      </c>
      <c r="P823" s="9">
        <v>3.7</v>
      </c>
      <c r="Q823" s="9" t="s">
        <v>10</v>
      </c>
      <c r="R823" s="1">
        <v>0</v>
      </c>
      <c r="S823" s="26"/>
    </row>
    <row r="824" spans="1:19" ht="16.5" customHeight="1" x14ac:dyDescent="0.25">
      <c r="A824" s="9"/>
      <c r="B824" s="51" t="s">
        <v>110</v>
      </c>
      <c r="C824" s="52"/>
      <c r="D824" s="52"/>
      <c r="E824" s="52"/>
      <c r="F824" s="52"/>
      <c r="G824" s="53"/>
      <c r="H824" s="20"/>
      <c r="I824" s="9">
        <v>1</v>
      </c>
      <c r="J824" s="9"/>
      <c r="K824" s="9"/>
      <c r="L824" s="9"/>
      <c r="M824" s="9">
        <f t="shared" si="108"/>
        <v>9</v>
      </c>
      <c r="N824" s="9">
        <f t="shared" si="109"/>
        <v>4</v>
      </c>
      <c r="O824" s="9">
        <v>9</v>
      </c>
      <c r="P824" s="9">
        <v>4</v>
      </c>
      <c r="Q824" s="9" t="s">
        <v>12</v>
      </c>
      <c r="R824" s="1">
        <v>0</v>
      </c>
      <c r="S824" s="26"/>
    </row>
    <row r="825" spans="1:19" ht="16.5" customHeight="1" x14ac:dyDescent="0.25">
      <c r="A825" s="9"/>
      <c r="B825" s="51" t="s">
        <v>111</v>
      </c>
      <c r="C825" s="52"/>
      <c r="D825" s="52"/>
      <c r="E825" s="52"/>
      <c r="F825" s="52"/>
      <c r="G825" s="53"/>
      <c r="H825" s="20"/>
      <c r="I825" s="9">
        <v>3</v>
      </c>
      <c r="J825" s="9"/>
      <c r="K825" s="9"/>
      <c r="L825" s="9"/>
      <c r="M825" s="9">
        <f t="shared" si="108"/>
        <v>25.799999999999997</v>
      </c>
      <c r="N825" s="9">
        <f t="shared" si="109"/>
        <v>11.100000000000001</v>
      </c>
      <c r="O825" s="9">
        <v>8.6</v>
      </c>
      <c r="P825" s="9">
        <v>3.7</v>
      </c>
      <c r="Q825" s="9" t="s">
        <v>10</v>
      </c>
      <c r="R825" s="1">
        <v>0</v>
      </c>
      <c r="S825" s="26"/>
    </row>
    <row r="826" spans="1:19" ht="16.5" hidden="1" customHeight="1" x14ac:dyDescent="0.25">
      <c r="A826" s="21"/>
      <c r="H826" s="21"/>
      <c r="I826" s="21"/>
      <c r="J826" s="21"/>
      <c r="K826" s="21"/>
      <c r="L826" s="21"/>
      <c r="M826" s="9">
        <f t="shared" si="108"/>
        <v>0</v>
      </c>
      <c r="N826" s="9">
        <f t="shared" si="109"/>
        <v>0</v>
      </c>
      <c r="O826" s="21"/>
      <c r="P826" s="21"/>
      <c r="Q826" s="21"/>
      <c r="S826" s="25"/>
    </row>
    <row r="827" spans="1:19" ht="16.5" customHeight="1" x14ac:dyDescent="0.25">
      <c r="A827" s="9"/>
      <c r="B827" s="39" t="s">
        <v>42</v>
      </c>
      <c r="C827" s="40"/>
      <c r="D827" s="40"/>
      <c r="E827" s="40"/>
      <c r="F827" s="40"/>
      <c r="G827" s="41"/>
      <c r="H827" s="23"/>
      <c r="I827" s="24">
        <f>SUM(I814:I826)</f>
        <v>25</v>
      </c>
      <c r="J827" s="9"/>
      <c r="K827" s="9"/>
      <c r="L827" s="9"/>
      <c r="M827" s="9">
        <f t="shared" si="108"/>
        <v>212.75</v>
      </c>
      <c r="N827" s="9">
        <f t="shared" si="109"/>
        <v>89.5</v>
      </c>
      <c r="O827" s="24">
        <f>ROUND(SUM(M814:M826)/I827,2)</f>
        <v>8.51</v>
      </c>
      <c r="P827" s="24">
        <f>ROUND(SUM(N814:N826)/I827,2)</f>
        <v>3.58</v>
      </c>
      <c r="Q827" s="9"/>
      <c r="S827" s="25"/>
    </row>
    <row r="828" spans="1:19" ht="20.25" customHeight="1" x14ac:dyDescent="0.25">
      <c r="A828" s="27" t="s">
        <v>112</v>
      </c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</row>
    <row r="829" spans="1:19" ht="16.5" customHeight="1" x14ac:dyDescent="0.25">
      <c r="A829" s="9"/>
      <c r="B829" s="51" t="s">
        <v>113</v>
      </c>
      <c r="C829" s="52"/>
      <c r="D829" s="52"/>
      <c r="E829" s="52"/>
      <c r="F829" s="52"/>
      <c r="G829" s="53"/>
      <c r="H829" s="20"/>
      <c r="I829" s="9">
        <v>2</v>
      </c>
      <c r="J829" s="9"/>
      <c r="K829" s="9"/>
      <c r="L829" s="9"/>
      <c r="M829" s="9">
        <f t="shared" ref="M829:M837" si="110">I829*O829</f>
        <v>0</v>
      </c>
      <c r="N829" s="9">
        <f t="shared" ref="N829:N837" si="111">I829*P829</f>
        <v>0</v>
      </c>
      <c r="O829" s="9"/>
      <c r="P829" s="9"/>
      <c r="Q829" s="9"/>
      <c r="R829" s="1">
        <v>0</v>
      </c>
      <c r="S829" s="26"/>
    </row>
    <row r="830" spans="1:19" ht="16.5" customHeight="1" x14ac:dyDescent="0.25">
      <c r="A830" s="9"/>
      <c r="B830" s="51" t="s">
        <v>114</v>
      </c>
      <c r="C830" s="52"/>
      <c r="D830" s="52"/>
      <c r="E830" s="52"/>
      <c r="F830" s="52"/>
      <c r="G830" s="53"/>
      <c r="H830" s="20"/>
      <c r="I830" s="9">
        <v>3</v>
      </c>
      <c r="J830" s="9"/>
      <c r="K830" s="9"/>
      <c r="L830" s="9"/>
      <c r="M830" s="9">
        <f t="shared" si="110"/>
        <v>27.900000000000002</v>
      </c>
      <c r="N830" s="9">
        <f t="shared" si="111"/>
        <v>12</v>
      </c>
      <c r="O830" s="9">
        <v>9.3000000000000007</v>
      </c>
      <c r="P830" s="9">
        <v>4</v>
      </c>
      <c r="Q830" s="9" t="s">
        <v>12</v>
      </c>
      <c r="R830" s="1">
        <v>0</v>
      </c>
      <c r="S830" s="26"/>
    </row>
    <row r="831" spans="1:19" ht="16.5" customHeight="1" x14ac:dyDescent="0.25">
      <c r="A831" s="9"/>
      <c r="B831" s="51" t="s">
        <v>115</v>
      </c>
      <c r="C831" s="52"/>
      <c r="D831" s="52"/>
      <c r="E831" s="52"/>
      <c r="F831" s="52"/>
      <c r="G831" s="53"/>
      <c r="H831" s="20"/>
      <c r="I831" s="9">
        <v>1</v>
      </c>
      <c r="J831" s="9"/>
      <c r="K831" s="9"/>
      <c r="L831" s="9"/>
      <c r="M831" s="9">
        <f t="shared" si="110"/>
        <v>8</v>
      </c>
      <c r="N831" s="9">
        <f t="shared" si="111"/>
        <v>3.5</v>
      </c>
      <c r="O831" s="9">
        <v>8</v>
      </c>
      <c r="P831" s="9">
        <v>3.5</v>
      </c>
      <c r="Q831" s="9" t="s">
        <v>9</v>
      </c>
      <c r="R831" s="1">
        <v>0</v>
      </c>
      <c r="S831" s="26"/>
    </row>
    <row r="832" spans="1:19" ht="16.5" customHeight="1" x14ac:dyDescent="0.25">
      <c r="A832" s="9"/>
      <c r="B832" s="51" t="s">
        <v>116</v>
      </c>
      <c r="C832" s="52"/>
      <c r="D832" s="52"/>
      <c r="E832" s="52"/>
      <c r="F832" s="52"/>
      <c r="G832" s="53"/>
      <c r="H832" s="20"/>
      <c r="I832" s="9">
        <v>3</v>
      </c>
      <c r="J832" s="9"/>
      <c r="K832" s="9"/>
      <c r="L832" s="9"/>
      <c r="M832" s="9">
        <f t="shared" si="110"/>
        <v>23.700000000000003</v>
      </c>
      <c r="N832" s="9">
        <f t="shared" si="111"/>
        <v>9</v>
      </c>
      <c r="O832" s="9">
        <v>7.9</v>
      </c>
      <c r="P832" s="9">
        <v>3</v>
      </c>
      <c r="Q832" s="9" t="s">
        <v>6</v>
      </c>
      <c r="R832" s="1">
        <v>0</v>
      </c>
      <c r="S832" s="26"/>
    </row>
    <row r="833" spans="1:19" ht="16.5" customHeight="1" x14ac:dyDescent="0.25">
      <c r="A833" s="9"/>
      <c r="B833" s="51" t="s">
        <v>117</v>
      </c>
      <c r="C833" s="52"/>
      <c r="D833" s="52"/>
      <c r="E833" s="52"/>
      <c r="F833" s="52"/>
      <c r="G833" s="53"/>
      <c r="H833" s="20"/>
      <c r="I833" s="9">
        <v>3</v>
      </c>
      <c r="J833" s="9"/>
      <c r="K833" s="9"/>
      <c r="L833" s="9"/>
      <c r="M833" s="9">
        <f t="shared" si="110"/>
        <v>25.200000000000003</v>
      </c>
      <c r="N833" s="9">
        <f t="shared" si="111"/>
        <v>10.5</v>
      </c>
      <c r="O833" s="9">
        <v>8.4</v>
      </c>
      <c r="P833" s="9">
        <v>3.5</v>
      </c>
      <c r="Q833" s="9" t="s">
        <v>9</v>
      </c>
      <c r="R833" s="1">
        <v>0</v>
      </c>
      <c r="S833" s="26"/>
    </row>
    <row r="834" spans="1:19" ht="31.2" customHeight="1" x14ac:dyDescent="0.25">
      <c r="A834" s="9"/>
      <c r="B834" s="51" t="s">
        <v>119</v>
      </c>
      <c r="C834" s="52"/>
      <c r="D834" s="52"/>
      <c r="E834" s="52"/>
      <c r="F834" s="52"/>
      <c r="G834" s="53"/>
      <c r="H834" s="20"/>
      <c r="I834" s="9">
        <v>2</v>
      </c>
      <c r="J834" s="9"/>
      <c r="K834" s="9"/>
      <c r="L834" s="9"/>
      <c r="M834" s="9">
        <f t="shared" si="110"/>
        <v>0</v>
      </c>
      <c r="N834" s="9">
        <f t="shared" si="111"/>
        <v>0</v>
      </c>
      <c r="O834" s="9"/>
      <c r="P834" s="9"/>
      <c r="Q834" s="9"/>
      <c r="R834" s="1">
        <v>0</v>
      </c>
      <c r="S834" s="26"/>
    </row>
    <row r="835" spans="1:19" ht="16.5" customHeight="1" x14ac:dyDescent="0.25">
      <c r="A835" s="9"/>
      <c r="B835" s="51" t="s">
        <v>118</v>
      </c>
      <c r="C835" s="52"/>
      <c r="D835" s="52"/>
      <c r="E835" s="52"/>
      <c r="F835" s="52"/>
      <c r="G835" s="53"/>
      <c r="H835" s="20"/>
      <c r="I835" s="9">
        <v>3</v>
      </c>
      <c r="J835" s="9"/>
      <c r="K835" s="9"/>
      <c r="L835" s="9"/>
      <c r="M835" s="9">
        <f t="shared" si="110"/>
        <v>28.799999999999997</v>
      </c>
      <c r="N835" s="9">
        <f t="shared" si="111"/>
        <v>12</v>
      </c>
      <c r="O835" s="9">
        <v>9.6</v>
      </c>
      <c r="P835" s="9">
        <v>4</v>
      </c>
      <c r="Q835" s="9" t="s">
        <v>12</v>
      </c>
      <c r="R835" s="1">
        <v>0</v>
      </c>
      <c r="S835" s="26"/>
    </row>
    <row r="836" spans="1:19" ht="16.5" hidden="1" customHeight="1" x14ac:dyDescent="0.25">
      <c r="A836" s="21"/>
      <c r="H836" s="21"/>
      <c r="I836" s="21"/>
      <c r="J836" s="21"/>
      <c r="K836" s="21"/>
      <c r="L836" s="21"/>
      <c r="M836" s="9">
        <f t="shared" si="110"/>
        <v>0</v>
      </c>
      <c r="N836" s="9">
        <f t="shared" si="111"/>
        <v>0</v>
      </c>
      <c r="O836" s="21"/>
      <c r="P836" s="21"/>
      <c r="Q836" s="21"/>
      <c r="S836" s="25"/>
    </row>
    <row r="837" spans="1:19" ht="16.5" customHeight="1" x14ac:dyDescent="0.25">
      <c r="A837" s="9"/>
      <c r="B837" s="39" t="s">
        <v>42</v>
      </c>
      <c r="C837" s="40"/>
      <c r="D837" s="40"/>
      <c r="E837" s="40"/>
      <c r="F837" s="40"/>
      <c r="G837" s="41"/>
      <c r="H837" s="23"/>
      <c r="I837" s="24">
        <f>SUM(I829:I836)</f>
        <v>17</v>
      </c>
      <c r="J837" s="9"/>
      <c r="K837" s="9"/>
      <c r="L837" s="9"/>
      <c r="M837" s="9">
        <f t="shared" si="110"/>
        <v>113.56</v>
      </c>
      <c r="N837" s="9">
        <f t="shared" si="111"/>
        <v>46.919999999999995</v>
      </c>
      <c r="O837" s="24">
        <f>ROUND(SUM(M829:M836)/I837,2)</f>
        <v>6.68</v>
      </c>
      <c r="P837" s="24">
        <f>ROUND(SUM(N829:N836)/I837,2)</f>
        <v>2.76</v>
      </c>
      <c r="Q837" s="9"/>
      <c r="S837" s="25"/>
    </row>
    <row r="838" spans="1:19" ht="16.5" customHeight="1" x14ac:dyDescent="0.25">
      <c r="A838" s="21"/>
      <c r="B838" s="22"/>
      <c r="C838" s="22"/>
      <c r="D838" s="22"/>
      <c r="E838" s="22"/>
      <c r="F838" s="22"/>
      <c r="G838" s="22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40" spans="1:19" ht="18" x14ac:dyDescent="0.25">
      <c r="A840" s="35" t="s">
        <v>50</v>
      </c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</row>
    <row r="841" spans="1:19" ht="18" x14ac:dyDescent="0.25">
      <c r="A841" s="35" t="s">
        <v>161</v>
      </c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</row>
    <row r="842" spans="1:19" ht="18" x14ac:dyDescent="0.25">
      <c r="A842" s="35" t="s">
        <v>162</v>
      </c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</row>
    <row r="843" spans="1:19" ht="18" x14ac:dyDescent="0.25">
      <c r="A843" s="45" t="s">
        <v>53</v>
      </c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</row>
    <row r="844" spans="1:19" ht="19.5" customHeight="1" x14ac:dyDescent="0.25">
      <c r="A844" s="17"/>
      <c r="B844" s="17"/>
      <c r="C844" s="8"/>
      <c r="D844" s="18"/>
      <c r="E844" s="10"/>
      <c r="F844" s="11"/>
      <c r="G844" s="46" t="s">
        <v>49</v>
      </c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</row>
    <row r="845" spans="1:19" ht="31.5" customHeight="1" x14ac:dyDescent="0.3">
      <c r="A845" s="8"/>
      <c r="B845" s="8"/>
      <c r="C845" s="8"/>
      <c r="D845" s="8"/>
      <c r="E845" s="8"/>
      <c r="F845" s="8"/>
      <c r="G845" s="8"/>
      <c r="H845" s="12"/>
      <c r="I845" s="42" t="s">
        <v>40</v>
      </c>
      <c r="J845" s="43"/>
      <c r="K845" s="43"/>
      <c r="L845" s="43"/>
      <c r="M845" s="43"/>
      <c r="N845" s="43"/>
      <c r="O845" s="43"/>
      <c r="P845" s="43"/>
      <c r="Q845" s="43"/>
      <c r="R845" s="43"/>
      <c r="S845" s="43"/>
    </row>
    <row r="846" spans="1:19" ht="16.8" x14ac:dyDescent="0.3">
      <c r="A846" s="8"/>
      <c r="B846" s="8"/>
      <c r="C846" s="8"/>
      <c r="D846" s="8"/>
      <c r="E846" s="8"/>
      <c r="F846" s="8"/>
      <c r="G846" s="8"/>
      <c r="H846" s="12"/>
      <c r="I846" s="12"/>
      <c r="J846" s="12"/>
      <c r="K846" s="12"/>
      <c r="L846" s="8"/>
      <c r="M846" s="8"/>
      <c r="N846" s="8"/>
      <c r="O846" s="8"/>
      <c r="P846" s="8"/>
      <c r="Q846" s="8"/>
    </row>
    <row r="847" spans="1:19" ht="33" customHeight="1" x14ac:dyDescent="0.3">
      <c r="A847" s="8"/>
      <c r="B847" s="8"/>
      <c r="C847" s="8"/>
      <c r="D847" s="8"/>
      <c r="E847" s="8"/>
      <c r="F847" s="8"/>
      <c r="G847" s="8"/>
      <c r="H847" s="12"/>
      <c r="I847" s="12"/>
      <c r="J847" s="12"/>
      <c r="K847" s="12"/>
      <c r="L847" s="8"/>
      <c r="M847" s="8"/>
      <c r="N847" s="8"/>
      <c r="O847" s="8"/>
      <c r="P847" s="8"/>
      <c r="Q847" s="8"/>
    </row>
    <row r="848" spans="1:19" ht="11.25" customHeight="1" x14ac:dyDescent="0.3">
      <c r="A848" s="8"/>
      <c r="B848" s="8"/>
      <c r="C848" s="8"/>
      <c r="D848" s="8"/>
      <c r="E848" s="8"/>
      <c r="F848" s="8"/>
      <c r="G848" s="8"/>
      <c r="H848" s="12"/>
      <c r="I848" s="12"/>
      <c r="J848" s="12"/>
      <c r="K848" s="12"/>
      <c r="L848" s="8"/>
      <c r="M848" s="8"/>
      <c r="N848" s="8"/>
      <c r="O848" s="8"/>
      <c r="P848" s="8"/>
      <c r="Q848" s="8"/>
    </row>
    <row r="849" spans="1:20" ht="17.399999999999999" x14ac:dyDescent="0.3">
      <c r="A849" s="8"/>
      <c r="B849" s="8"/>
      <c r="C849" s="8"/>
      <c r="D849" s="8"/>
      <c r="E849" s="8"/>
      <c r="F849" s="8"/>
      <c r="G849" s="47" t="s">
        <v>41</v>
      </c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</row>
    <row r="850" spans="1:20" ht="54" customHeight="1" x14ac:dyDescent="0.25">
      <c r="A850" s="48" t="s">
        <v>33</v>
      </c>
      <c r="B850" s="48"/>
      <c r="C850" s="48"/>
      <c r="D850" s="48"/>
      <c r="E850" s="48"/>
      <c r="F850" s="42" t="s">
        <v>24</v>
      </c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</row>
    <row r="851" spans="1:20" ht="17.399999999999999" x14ac:dyDescent="0.25">
      <c r="A851" s="49" t="s">
        <v>34</v>
      </c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</row>
    <row r="852" spans="1:20" ht="4.5" customHeight="1" x14ac:dyDescent="0.2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</row>
    <row r="853" spans="1:20" ht="5.25" customHeight="1" x14ac:dyDescent="0.2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</row>
    <row r="854" spans="1:20" ht="16.5" customHeight="1" x14ac:dyDescent="0.25">
      <c r="A854" s="54" t="s">
        <v>163</v>
      </c>
      <c r="B854" s="54"/>
      <c r="C854" s="54"/>
      <c r="D854" s="54"/>
      <c r="E854" s="54"/>
      <c r="F854" s="54"/>
      <c r="G854" s="58" t="s">
        <v>164</v>
      </c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</row>
    <row r="855" spans="1:20" ht="16.5" customHeight="1" x14ac:dyDescent="0.25">
      <c r="A855" s="54" t="s">
        <v>165</v>
      </c>
      <c r="B855" s="54"/>
      <c r="C855" s="54"/>
      <c r="D855" s="54"/>
      <c r="E855" s="54"/>
      <c r="F855" s="54"/>
      <c r="G855" s="8" t="s">
        <v>46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T855" s="2"/>
    </row>
    <row r="856" spans="1:20" ht="16.5" customHeight="1" x14ac:dyDescent="0.25">
      <c r="A856" s="54" t="s">
        <v>47</v>
      </c>
      <c r="B856" s="54"/>
      <c r="C856" s="54"/>
      <c r="D856" s="54"/>
      <c r="E856" s="54"/>
      <c r="F856" s="54"/>
      <c r="G856" s="58" t="s">
        <v>48</v>
      </c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</row>
    <row r="857" spans="1:20" ht="5.2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19"/>
      <c r="K857" s="19"/>
      <c r="L857" s="19"/>
      <c r="M857" s="19"/>
      <c r="N857" s="19"/>
      <c r="O857" s="19"/>
      <c r="P857" s="19"/>
      <c r="Q857" s="19"/>
    </row>
    <row r="858" spans="1:20" ht="15" customHeight="1" x14ac:dyDescent="0.25">
      <c r="A858" s="36" t="s">
        <v>0</v>
      </c>
      <c r="B858" s="29" t="s">
        <v>1</v>
      </c>
      <c r="C858" s="30"/>
      <c r="D858" s="30"/>
      <c r="E858" s="30"/>
      <c r="F858" s="30"/>
      <c r="G858" s="31"/>
      <c r="H858" s="36" t="s">
        <v>32</v>
      </c>
      <c r="I858" s="36" t="s">
        <v>39</v>
      </c>
      <c r="J858" s="55" t="s">
        <v>2</v>
      </c>
      <c r="K858" s="56"/>
      <c r="L858" s="56"/>
      <c r="M858" s="56"/>
      <c r="N858" s="56"/>
      <c r="O858" s="56"/>
      <c r="P858" s="56"/>
      <c r="Q858" s="57"/>
      <c r="S858" s="36" t="s">
        <v>38</v>
      </c>
    </row>
    <row r="859" spans="1:20" ht="24" customHeight="1" x14ac:dyDescent="0.25">
      <c r="A859" s="37"/>
      <c r="B859" s="32"/>
      <c r="C859" s="33"/>
      <c r="D859" s="33"/>
      <c r="E859" s="33"/>
      <c r="F859" s="33"/>
      <c r="G859" s="34"/>
      <c r="H859" s="37"/>
      <c r="I859" s="37"/>
      <c r="J859" s="7" t="s">
        <v>28</v>
      </c>
      <c r="K859" s="7" t="s">
        <v>29</v>
      </c>
      <c r="L859" s="7" t="s">
        <v>30</v>
      </c>
      <c r="M859" s="7"/>
      <c r="N859" s="7"/>
      <c r="O859" s="6" t="s">
        <v>35</v>
      </c>
      <c r="P859" s="6" t="s">
        <v>36</v>
      </c>
      <c r="Q859" s="6" t="s">
        <v>37</v>
      </c>
      <c r="S859" s="37"/>
    </row>
    <row r="860" spans="1:20" ht="20.25" customHeight="1" x14ac:dyDescent="0.25">
      <c r="A860" s="27" t="s">
        <v>54</v>
      </c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</row>
    <row r="861" spans="1:20" ht="16.5" customHeight="1" x14ac:dyDescent="0.25">
      <c r="A861" s="9"/>
      <c r="B861" s="51" t="s">
        <v>55</v>
      </c>
      <c r="C861" s="52"/>
      <c r="D861" s="52"/>
      <c r="E861" s="52"/>
      <c r="F861" s="52"/>
      <c r="G861" s="53"/>
      <c r="H861" s="20"/>
      <c r="I861" s="9">
        <v>2</v>
      </c>
      <c r="J861" s="9"/>
      <c r="K861" s="9"/>
      <c r="L861" s="9"/>
      <c r="M861" s="9">
        <f t="shared" ref="M861:M869" si="112">I861*O861</f>
        <v>15.4</v>
      </c>
      <c r="N861" s="9">
        <f t="shared" ref="N861:N869" si="113">I861*P861</f>
        <v>6</v>
      </c>
      <c r="O861" s="9">
        <v>7.7</v>
      </c>
      <c r="P861" s="9">
        <v>3</v>
      </c>
      <c r="Q861" s="9" t="s">
        <v>6</v>
      </c>
      <c r="R861" s="1">
        <v>0</v>
      </c>
      <c r="S861" s="26"/>
    </row>
    <row r="862" spans="1:20" ht="16.5" customHeight="1" x14ac:dyDescent="0.25">
      <c r="A862" s="9"/>
      <c r="B862" s="51" t="s">
        <v>56</v>
      </c>
      <c r="C862" s="52"/>
      <c r="D862" s="52"/>
      <c r="E862" s="52"/>
      <c r="F862" s="52"/>
      <c r="G862" s="53"/>
      <c r="H862" s="20"/>
      <c r="I862" s="9">
        <v>3</v>
      </c>
      <c r="J862" s="9"/>
      <c r="K862" s="9"/>
      <c r="L862" s="9"/>
      <c r="M862" s="9">
        <f t="shared" si="112"/>
        <v>12.899999999999999</v>
      </c>
      <c r="N862" s="9">
        <f t="shared" si="113"/>
        <v>3</v>
      </c>
      <c r="O862" s="9">
        <v>4.3</v>
      </c>
      <c r="P862" s="9">
        <v>1</v>
      </c>
      <c r="Q862" s="9" t="s">
        <v>8</v>
      </c>
      <c r="R862" s="1">
        <v>0</v>
      </c>
      <c r="S862" s="26"/>
    </row>
    <row r="863" spans="1:20" ht="31.2" customHeight="1" x14ac:dyDescent="0.25">
      <c r="A863" s="9"/>
      <c r="B863" s="51" t="s">
        <v>57</v>
      </c>
      <c r="C863" s="52"/>
      <c r="D863" s="52"/>
      <c r="E863" s="52"/>
      <c r="F863" s="52"/>
      <c r="G863" s="53"/>
      <c r="H863" s="20"/>
      <c r="I863" s="9">
        <v>3</v>
      </c>
      <c r="J863" s="9"/>
      <c r="K863" s="9"/>
      <c r="L863" s="9"/>
      <c r="M863" s="9">
        <f t="shared" si="112"/>
        <v>22.5</v>
      </c>
      <c r="N863" s="9">
        <f t="shared" si="113"/>
        <v>9</v>
      </c>
      <c r="O863" s="9">
        <v>7.5</v>
      </c>
      <c r="P863" s="9">
        <v>3</v>
      </c>
      <c r="Q863" s="9" t="s">
        <v>6</v>
      </c>
      <c r="R863" s="1">
        <v>0</v>
      </c>
      <c r="S863" s="26"/>
    </row>
    <row r="864" spans="1:20" ht="16.5" customHeight="1" x14ac:dyDescent="0.25">
      <c r="A864" s="9"/>
      <c r="B864" s="51" t="s">
        <v>58</v>
      </c>
      <c r="C864" s="52"/>
      <c r="D864" s="52"/>
      <c r="E864" s="52"/>
      <c r="F864" s="52"/>
      <c r="G864" s="53"/>
      <c r="H864" s="20"/>
      <c r="I864" s="9">
        <v>1</v>
      </c>
      <c r="J864" s="9"/>
      <c r="K864" s="9"/>
      <c r="L864" s="9"/>
      <c r="M864" s="9">
        <f t="shared" si="112"/>
        <v>7.3</v>
      </c>
      <c r="N864" s="9">
        <f t="shared" si="113"/>
        <v>3</v>
      </c>
      <c r="O864" s="9">
        <v>7.3</v>
      </c>
      <c r="P864" s="9">
        <v>3</v>
      </c>
      <c r="Q864" s="9" t="s">
        <v>6</v>
      </c>
      <c r="R864" s="1">
        <v>0</v>
      </c>
      <c r="S864" s="26"/>
    </row>
    <row r="865" spans="1:19" ht="16.5" customHeight="1" x14ac:dyDescent="0.25">
      <c r="A865" s="9"/>
      <c r="B865" s="51" t="s">
        <v>59</v>
      </c>
      <c r="C865" s="52"/>
      <c r="D865" s="52"/>
      <c r="E865" s="52"/>
      <c r="F865" s="52"/>
      <c r="G865" s="53"/>
      <c r="H865" s="20"/>
      <c r="I865" s="9">
        <v>1</v>
      </c>
      <c r="J865" s="9"/>
      <c r="K865" s="9"/>
      <c r="L865" s="9"/>
      <c r="M865" s="9">
        <f t="shared" si="112"/>
        <v>6.8</v>
      </c>
      <c r="N865" s="9">
        <f t="shared" si="113"/>
        <v>2.5</v>
      </c>
      <c r="O865" s="9">
        <v>6.8</v>
      </c>
      <c r="P865" s="9">
        <v>2.5</v>
      </c>
      <c r="Q865" s="9" t="s">
        <v>5</v>
      </c>
      <c r="R865" s="1">
        <v>0</v>
      </c>
      <c r="S865" s="26"/>
    </row>
    <row r="866" spans="1:19" ht="16.5" customHeight="1" x14ac:dyDescent="0.25">
      <c r="A866" s="9"/>
      <c r="B866" s="51" t="s">
        <v>60</v>
      </c>
      <c r="C866" s="52"/>
      <c r="D866" s="52"/>
      <c r="E866" s="52"/>
      <c r="F866" s="52"/>
      <c r="G866" s="53"/>
      <c r="H866" s="20"/>
      <c r="I866" s="9">
        <v>3</v>
      </c>
      <c r="J866" s="9"/>
      <c r="K866" s="9"/>
      <c r="L866" s="9"/>
      <c r="M866" s="9">
        <f t="shared" si="112"/>
        <v>23.4</v>
      </c>
      <c r="N866" s="9">
        <f t="shared" si="113"/>
        <v>9</v>
      </c>
      <c r="O866" s="9">
        <v>7.8</v>
      </c>
      <c r="P866" s="9">
        <v>3</v>
      </c>
      <c r="Q866" s="9" t="s">
        <v>6</v>
      </c>
      <c r="R866" s="1">
        <v>0</v>
      </c>
      <c r="S866" s="26"/>
    </row>
    <row r="867" spans="1:19" ht="16.5" customHeight="1" x14ac:dyDescent="0.25">
      <c r="A867" s="9"/>
      <c r="B867" s="51" t="s">
        <v>61</v>
      </c>
      <c r="C867" s="52"/>
      <c r="D867" s="52"/>
      <c r="E867" s="52"/>
      <c r="F867" s="52"/>
      <c r="G867" s="53"/>
      <c r="H867" s="20"/>
      <c r="I867" s="9">
        <v>1</v>
      </c>
      <c r="J867" s="9"/>
      <c r="K867" s="9"/>
      <c r="L867" s="9"/>
      <c r="M867" s="9">
        <f t="shared" si="112"/>
        <v>6.9</v>
      </c>
      <c r="N867" s="9">
        <f t="shared" si="113"/>
        <v>2.5</v>
      </c>
      <c r="O867" s="9">
        <v>6.9</v>
      </c>
      <c r="P867" s="9">
        <v>2.5</v>
      </c>
      <c r="Q867" s="9" t="s">
        <v>5</v>
      </c>
      <c r="R867" s="1">
        <v>0</v>
      </c>
      <c r="S867" s="26"/>
    </row>
    <row r="868" spans="1:19" ht="16.5" hidden="1" customHeight="1" x14ac:dyDescent="0.25">
      <c r="A868" s="21"/>
      <c r="H868" s="21"/>
      <c r="I868" s="21"/>
      <c r="J868" s="21"/>
      <c r="K868" s="21"/>
      <c r="L868" s="21"/>
      <c r="M868" s="9">
        <f t="shared" si="112"/>
        <v>0</v>
      </c>
      <c r="N868" s="9">
        <f t="shared" si="113"/>
        <v>0</v>
      </c>
      <c r="O868" s="21"/>
      <c r="P868" s="21"/>
      <c r="Q868" s="21"/>
      <c r="S868" s="25"/>
    </row>
    <row r="869" spans="1:19" ht="16.5" customHeight="1" x14ac:dyDescent="0.25">
      <c r="A869" s="9"/>
      <c r="B869" s="39" t="s">
        <v>42</v>
      </c>
      <c r="C869" s="40"/>
      <c r="D869" s="40"/>
      <c r="E869" s="40"/>
      <c r="F869" s="40"/>
      <c r="G869" s="41"/>
      <c r="H869" s="23"/>
      <c r="I869" s="24">
        <f>SUM(I861:I868)</f>
        <v>14</v>
      </c>
      <c r="J869" s="9"/>
      <c r="K869" s="9"/>
      <c r="L869" s="9"/>
      <c r="M869" s="9">
        <f t="shared" si="112"/>
        <v>95.2</v>
      </c>
      <c r="N869" s="9">
        <f t="shared" si="113"/>
        <v>35</v>
      </c>
      <c r="O869" s="24">
        <f>ROUND(SUM(M861:M868)/I869,2)</f>
        <v>6.8</v>
      </c>
      <c r="P869" s="24">
        <f>ROUND(SUM(N861:N868)/I869,2)</f>
        <v>2.5</v>
      </c>
      <c r="Q869" s="9"/>
      <c r="S869" s="25"/>
    </row>
    <row r="870" spans="1:19" ht="20.25" customHeight="1" x14ac:dyDescent="0.25">
      <c r="A870" s="27" t="s">
        <v>62</v>
      </c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</row>
    <row r="871" spans="1:19" ht="16.5" customHeight="1" x14ac:dyDescent="0.25">
      <c r="A871" s="9"/>
      <c r="B871" s="51" t="s">
        <v>63</v>
      </c>
      <c r="C871" s="52"/>
      <c r="D871" s="52"/>
      <c r="E871" s="52"/>
      <c r="F871" s="52"/>
      <c r="G871" s="53"/>
      <c r="H871" s="20"/>
      <c r="I871" s="9">
        <v>4</v>
      </c>
      <c r="J871" s="9"/>
      <c r="K871" s="9"/>
      <c r="L871" s="9"/>
      <c r="M871" s="9">
        <f t="shared" ref="M871:M879" si="114">I871*O871</f>
        <v>29.6</v>
      </c>
      <c r="N871" s="9">
        <f t="shared" ref="N871:N879" si="115">I871*P871</f>
        <v>12</v>
      </c>
      <c r="O871" s="9">
        <v>7.4</v>
      </c>
      <c r="P871" s="9">
        <v>3</v>
      </c>
      <c r="Q871" s="9" t="s">
        <v>6</v>
      </c>
      <c r="R871" s="1">
        <v>0</v>
      </c>
      <c r="S871" s="26"/>
    </row>
    <row r="872" spans="1:19" ht="16.5" customHeight="1" x14ac:dyDescent="0.25">
      <c r="A872" s="9"/>
      <c r="B872" s="51" t="s">
        <v>64</v>
      </c>
      <c r="C872" s="52"/>
      <c r="D872" s="52"/>
      <c r="E872" s="52"/>
      <c r="F872" s="52"/>
      <c r="G872" s="53"/>
      <c r="H872" s="20"/>
      <c r="I872" s="9">
        <v>4</v>
      </c>
      <c r="J872" s="9"/>
      <c r="K872" s="9"/>
      <c r="L872" s="9"/>
      <c r="M872" s="9">
        <f t="shared" si="114"/>
        <v>17.600000000000001</v>
      </c>
      <c r="N872" s="9">
        <f t="shared" si="115"/>
        <v>4</v>
      </c>
      <c r="O872" s="9">
        <v>4.4000000000000004</v>
      </c>
      <c r="P872" s="9">
        <v>1</v>
      </c>
      <c r="Q872" s="9" t="s">
        <v>8</v>
      </c>
      <c r="R872" s="1">
        <v>0</v>
      </c>
      <c r="S872" s="26"/>
    </row>
    <row r="873" spans="1:19" ht="16.5" customHeight="1" x14ac:dyDescent="0.25">
      <c r="A873" s="9"/>
      <c r="B873" s="51" t="s">
        <v>65</v>
      </c>
      <c r="C873" s="52"/>
      <c r="D873" s="52"/>
      <c r="E873" s="52"/>
      <c r="F873" s="52"/>
      <c r="G873" s="53"/>
      <c r="H873" s="20"/>
      <c r="I873" s="9">
        <v>4</v>
      </c>
      <c r="J873" s="9"/>
      <c r="K873" s="9"/>
      <c r="L873" s="9"/>
      <c r="M873" s="9">
        <f t="shared" si="114"/>
        <v>28</v>
      </c>
      <c r="N873" s="9">
        <f t="shared" si="115"/>
        <v>12</v>
      </c>
      <c r="O873" s="9">
        <v>7</v>
      </c>
      <c r="P873" s="9">
        <v>3</v>
      </c>
      <c r="Q873" s="9" t="s">
        <v>6</v>
      </c>
      <c r="R873" s="1">
        <v>0</v>
      </c>
      <c r="S873" s="26"/>
    </row>
    <row r="874" spans="1:19" ht="16.5" customHeight="1" x14ac:dyDescent="0.25">
      <c r="A874" s="9"/>
      <c r="B874" s="51" t="s">
        <v>66</v>
      </c>
      <c r="C874" s="52"/>
      <c r="D874" s="52"/>
      <c r="E874" s="52"/>
      <c r="F874" s="52"/>
      <c r="G874" s="53"/>
      <c r="H874" s="20"/>
      <c r="I874" s="9">
        <v>1</v>
      </c>
      <c r="J874" s="9"/>
      <c r="K874" s="9"/>
      <c r="L874" s="9"/>
      <c r="M874" s="9">
        <f t="shared" si="114"/>
        <v>8.1999999999999993</v>
      </c>
      <c r="N874" s="9">
        <f t="shared" si="115"/>
        <v>3.5</v>
      </c>
      <c r="O874" s="9">
        <v>8.1999999999999993</v>
      </c>
      <c r="P874" s="9">
        <v>3.5</v>
      </c>
      <c r="Q874" s="9" t="s">
        <v>9</v>
      </c>
      <c r="R874" s="1">
        <v>0</v>
      </c>
      <c r="S874" s="26"/>
    </row>
    <row r="875" spans="1:19" ht="16.5" customHeight="1" x14ac:dyDescent="0.25">
      <c r="A875" s="9"/>
      <c r="B875" s="51" t="s">
        <v>67</v>
      </c>
      <c r="C875" s="52"/>
      <c r="D875" s="52"/>
      <c r="E875" s="52"/>
      <c r="F875" s="52"/>
      <c r="G875" s="53"/>
      <c r="H875" s="20"/>
      <c r="I875" s="9">
        <v>1</v>
      </c>
      <c r="J875" s="9"/>
      <c r="K875" s="9"/>
      <c r="L875" s="9"/>
      <c r="M875" s="9">
        <f t="shared" si="114"/>
        <v>8</v>
      </c>
      <c r="N875" s="9">
        <f t="shared" si="115"/>
        <v>3.5</v>
      </c>
      <c r="O875" s="9">
        <v>8</v>
      </c>
      <c r="P875" s="9">
        <v>3.5</v>
      </c>
      <c r="Q875" s="9" t="s">
        <v>9</v>
      </c>
      <c r="R875" s="1">
        <v>0</v>
      </c>
      <c r="S875" s="26"/>
    </row>
    <row r="876" spans="1:19" ht="16.5" customHeight="1" x14ac:dyDescent="0.25">
      <c r="A876" s="9"/>
      <c r="B876" s="51" t="s">
        <v>68</v>
      </c>
      <c r="C876" s="52"/>
      <c r="D876" s="52"/>
      <c r="E876" s="52"/>
      <c r="F876" s="52"/>
      <c r="G876" s="53"/>
      <c r="H876" s="20"/>
      <c r="I876" s="9">
        <v>1</v>
      </c>
      <c r="J876" s="9"/>
      <c r="K876" s="9"/>
      <c r="L876" s="9"/>
      <c r="M876" s="9">
        <f t="shared" si="114"/>
        <v>7.6</v>
      </c>
      <c r="N876" s="9">
        <f t="shared" si="115"/>
        <v>3</v>
      </c>
      <c r="O876" s="9">
        <v>7.6</v>
      </c>
      <c r="P876" s="9">
        <v>3</v>
      </c>
      <c r="Q876" s="9" t="s">
        <v>6</v>
      </c>
      <c r="R876" s="1">
        <v>0</v>
      </c>
      <c r="S876" s="26"/>
    </row>
    <row r="877" spans="1:19" ht="16.5" customHeight="1" x14ac:dyDescent="0.25">
      <c r="A877" s="9"/>
      <c r="B877" s="51" t="s">
        <v>69</v>
      </c>
      <c r="C877" s="52"/>
      <c r="D877" s="52"/>
      <c r="E877" s="52"/>
      <c r="F877" s="52"/>
      <c r="G877" s="53"/>
      <c r="H877" s="20"/>
      <c r="I877" s="9">
        <v>1</v>
      </c>
      <c r="J877" s="9"/>
      <c r="K877" s="9"/>
      <c r="L877" s="9"/>
      <c r="M877" s="9">
        <f t="shared" si="114"/>
        <v>7.6</v>
      </c>
      <c r="N877" s="9">
        <f t="shared" si="115"/>
        <v>3</v>
      </c>
      <c r="O877" s="9">
        <v>7.6</v>
      </c>
      <c r="P877" s="9">
        <v>3</v>
      </c>
      <c r="Q877" s="9" t="s">
        <v>6</v>
      </c>
      <c r="R877" s="1">
        <v>0</v>
      </c>
      <c r="S877" s="26"/>
    </row>
    <row r="878" spans="1:19" ht="16.5" hidden="1" customHeight="1" x14ac:dyDescent="0.25">
      <c r="A878" s="21"/>
      <c r="H878" s="21"/>
      <c r="I878" s="21"/>
      <c r="J878" s="21"/>
      <c r="K878" s="21"/>
      <c r="L878" s="21"/>
      <c r="M878" s="9">
        <f t="shared" si="114"/>
        <v>0</v>
      </c>
      <c r="N878" s="9">
        <f t="shared" si="115"/>
        <v>0</v>
      </c>
      <c r="O878" s="21"/>
      <c r="P878" s="21"/>
      <c r="Q878" s="21"/>
      <c r="S878" s="25"/>
    </row>
    <row r="879" spans="1:19" ht="16.5" customHeight="1" x14ac:dyDescent="0.25">
      <c r="A879" s="9"/>
      <c r="B879" s="39" t="s">
        <v>42</v>
      </c>
      <c r="C879" s="40"/>
      <c r="D879" s="40"/>
      <c r="E879" s="40"/>
      <c r="F879" s="40"/>
      <c r="G879" s="41"/>
      <c r="H879" s="23"/>
      <c r="I879" s="24">
        <f>SUM(I871:I878)</f>
        <v>16</v>
      </c>
      <c r="J879" s="9"/>
      <c r="K879" s="9"/>
      <c r="L879" s="9"/>
      <c r="M879" s="9">
        <f t="shared" si="114"/>
        <v>106.56</v>
      </c>
      <c r="N879" s="9">
        <f t="shared" si="115"/>
        <v>40.96</v>
      </c>
      <c r="O879" s="24">
        <f>ROUND(SUM(M871:M878)/I879,2)</f>
        <v>6.66</v>
      </c>
      <c r="P879" s="24">
        <f>ROUND(SUM(N871:N878)/I879,2)</f>
        <v>2.56</v>
      </c>
      <c r="Q879" s="9"/>
      <c r="S879" s="25"/>
    </row>
    <row r="880" spans="1:19" ht="20.25" customHeight="1" x14ac:dyDescent="0.25">
      <c r="A880" s="27" t="s">
        <v>131</v>
      </c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</row>
    <row r="881" spans="1:19" ht="16.5" customHeight="1" x14ac:dyDescent="0.25">
      <c r="A881" s="9"/>
      <c r="B881" s="51" t="s">
        <v>56</v>
      </c>
      <c r="C881" s="52"/>
      <c r="D881" s="52"/>
      <c r="E881" s="52"/>
      <c r="F881" s="52"/>
      <c r="G881" s="53"/>
      <c r="H881" s="20"/>
      <c r="I881" s="9">
        <v>3</v>
      </c>
      <c r="J881" s="9"/>
      <c r="K881" s="9"/>
      <c r="L881" s="9"/>
      <c r="M881" s="9">
        <f>I881*O881</f>
        <v>18.600000000000001</v>
      </c>
      <c r="N881" s="9">
        <f>I881*P881</f>
        <v>6</v>
      </c>
      <c r="O881" s="9">
        <v>6.2</v>
      </c>
      <c r="P881" s="9">
        <v>2</v>
      </c>
      <c r="Q881" s="9" t="s">
        <v>3</v>
      </c>
      <c r="R881" s="1">
        <v>6</v>
      </c>
      <c r="S881" s="26" t="s">
        <v>132</v>
      </c>
    </row>
    <row r="882" spans="1:19" ht="16.5" hidden="1" customHeight="1" x14ac:dyDescent="0.25">
      <c r="A882" s="21"/>
      <c r="H882" s="21"/>
      <c r="I882" s="21"/>
      <c r="J882" s="21"/>
      <c r="K882" s="21"/>
      <c r="L882" s="21"/>
      <c r="M882" s="9">
        <f>I882*O882</f>
        <v>0</v>
      </c>
      <c r="N882" s="9">
        <f>I882*P882</f>
        <v>0</v>
      </c>
      <c r="O882" s="21"/>
      <c r="P882" s="21"/>
      <c r="Q882" s="21"/>
      <c r="S882" s="25"/>
    </row>
    <row r="883" spans="1:19" ht="16.5" customHeight="1" x14ac:dyDescent="0.25">
      <c r="A883" s="9"/>
      <c r="B883" s="39" t="s">
        <v>42</v>
      </c>
      <c r="C883" s="40"/>
      <c r="D883" s="40"/>
      <c r="E883" s="40"/>
      <c r="F883" s="40"/>
      <c r="G883" s="41"/>
      <c r="H883" s="23"/>
      <c r="I883" s="24">
        <f>SUM(I881:I882)</f>
        <v>3</v>
      </c>
      <c r="J883" s="9"/>
      <c r="K883" s="9"/>
      <c r="L883" s="9"/>
      <c r="M883" s="9">
        <f>I883*O883</f>
        <v>18.600000000000001</v>
      </c>
      <c r="N883" s="9">
        <f>I883*P883</f>
        <v>6</v>
      </c>
      <c r="O883" s="24">
        <f>ROUND(SUM(M881:M882)/I883,2)</f>
        <v>6.2</v>
      </c>
      <c r="P883" s="24">
        <f>ROUND(SUM(N881:N882)/I883,2)</f>
        <v>2</v>
      </c>
      <c r="Q883" s="9"/>
      <c r="S883" s="25"/>
    </row>
    <row r="884" spans="1:19" ht="20.25" customHeight="1" x14ac:dyDescent="0.25">
      <c r="A884" s="27" t="s">
        <v>70</v>
      </c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</row>
    <row r="885" spans="1:19" ht="16.5" customHeight="1" x14ac:dyDescent="0.25">
      <c r="A885" s="9"/>
      <c r="B885" s="51" t="s">
        <v>71</v>
      </c>
      <c r="C885" s="52"/>
      <c r="D885" s="52"/>
      <c r="E885" s="52"/>
      <c r="F885" s="52"/>
      <c r="G885" s="53"/>
      <c r="H885" s="20"/>
      <c r="I885" s="9">
        <v>4</v>
      </c>
      <c r="J885" s="9"/>
      <c r="K885" s="9"/>
      <c r="L885" s="9"/>
      <c r="M885" s="9">
        <f t="shared" ref="M885:M893" si="116">I885*O885</f>
        <v>27.2</v>
      </c>
      <c r="N885" s="9">
        <f t="shared" ref="N885:N893" si="117">I885*P885</f>
        <v>10</v>
      </c>
      <c r="O885" s="9">
        <v>6.8</v>
      </c>
      <c r="P885" s="9">
        <v>2.5</v>
      </c>
      <c r="Q885" s="9" t="s">
        <v>5</v>
      </c>
      <c r="R885" s="1">
        <v>0</v>
      </c>
      <c r="S885" s="26"/>
    </row>
    <row r="886" spans="1:19" ht="16.5" customHeight="1" x14ac:dyDescent="0.25">
      <c r="A886" s="9"/>
      <c r="B886" s="51" t="s">
        <v>74</v>
      </c>
      <c r="C886" s="52"/>
      <c r="D886" s="52"/>
      <c r="E886" s="52"/>
      <c r="F886" s="52"/>
      <c r="G886" s="53"/>
      <c r="H886" s="20"/>
      <c r="I886" s="9">
        <v>2</v>
      </c>
      <c r="J886" s="9"/>
      <c r="K886" s="9"/>
      <c r="L886" s="9"/>
      <c r="M886" s="9">
        <f t="shared" si="116"/>
        <v>17</v>
      </c>
      <c r="N886" s="9">
        <f t="shared" si="117"/>
        <v>7.4</v>
      </c>
      <c r="O886" s="9">
        <v>8.5</v>
      </c>
      <c r="P886" s="9">
        <v>3.7</v>
      </c>
      <c r="Q886" s="9" t="s">
        <v>10</v>
      </c>
      <c r="R886" s="1">
        <v>0</v>
      </c>
      <c r="S886" s="26"/>
    </row>
    <row r="887" spans="1:19" ht="16.5" customHeight="1" x14ac:dyDescent="0.25">
      <c r="A887" s="9"/>
      <c r="B887" s="51" t="s">
        <v>73</v>
      </c>
      <c r="C887" s="52"/>
      <c r="D887" s="52"/>
      <c r="E887" s="52"/>
      <c r="F887" s="52"/>
      <c r="G887" s="53"/>
      <c r="H887" s="20"/>
      <c r="I887" s="9">
        <v>1</v>
      </c>
      <c r="J887" s="9"/>
      <c r="K887" s="9"/>
      <c r="L887" s="9"/>
      <c r="M887" s="9">
        <f t="shared" si="116"/>
        <v>7.8</v>
      </c>
      <c r="N887" s="9">
        <f t="shared" si="117"/>
        <v>3</v>
      </c>
      <c r="O887" s="9">
        <v>7.8</v>
      </c>
      <c r="P887" s="9">
        <v>3</v>
      </c>
      <c r="Q887" s="9" t="s">
        <v>6</v>
      </c>
      <c r="R887" s="1">
        <v>0</v>
      </c>
      <c r="S887" s="26"/>
    </row>
    <row r="888" spans="1:19" ht="16.5" customHeight="1" x14ac:dyDescent="0.25">
      <c r="A888" s="9"/>
      <c r="B888" s="51" t="s">
        <v>72</v>
      </c>
      <c r="C888" s="52"/>
      <c r="D888" s="52"/>
      <c r="E888" s="52"/>
      <c r="F888" s="52"/>
      <c r="G888" s="53"/>
      <c r="H888" s="20"/>
      <c r="I888" s="9">
        <v>4</v>
      </c>
      <c r="J888" s="9"/>
      <c r="K888" s="9"/>
      <c r="L888" s="9"/>
      <c r="M888" s="9">
        <f t="shared" si="116"/>
        <v>24.4</v>
      </c>
      <c r="N888" s="9">
        <f t="shared" si="117"/>
        <v>8</v>
      </c>
      <c r="O888" s="9">
        <v>6.1</v>
      </c>
      <c r="P888" s="9">
        <v>2</v>
      </c>
      <c r="Q888" s="9" t="s">
        <v>3</v>
      </c>
      <c r="R888" s="1">
        <v>0</v>
      </c>
      <c r="S888" s="26"/>
    </row>
    <row r="889" spans="1:19" ht="16.5" customHeight="1" x14ac:dyDescent="0.25">
      <c r="A889" s="9"/>
      <c r="B889" s="51" t="s">
        <v>75</v>
      </c>
      <c r="C889" s="52"/>
      <c r="D889" s="52"/>
      <c r="E889" s="52"/>
      <c r="F889" s="52"/>
      <c r="G889" s="53"/>
      <c r="H889" s="20"/>
      <c r="I889" s="9">
        <v>1</v>
      </c>
      <c r="J889" s="9"/>
      <c r="K889" s="9"/>
      <c r="L889" s="9"/>
      <c r="M889" s="9">
        <f t="shared" si="116"/>
        <v>7.2</v>
      </c>
      <c r="N889" s="9">
        <f t="shared" si="117"/>
        <v>3</v>
      </c>
      <c r="O889" s="9">
        <v>7.2</v>
      </c>
      <c r="P889" s="9">
        <v>3</v>
      </c>
      <c r="Q889" s="9" t="s">
        <v>6</v>
      </c>
      <c r="R889" s="1">
        <v>0</v>
      </c>
      <c r="S889" s="26"/>
    </row>
    <row r="890" spans="1:19" ht="16.5" customHeight="1" x14ac:dyDescent="0.25">
      <c r="A890" s="9"/>
      <c r="B890" s="51" t="s">
        <v>77</v>
      </c>
      <c r="C890" s="52"/>
      <c r="D890" s="52"/>
      <c r="E890" s="52"/>
      <c r="F890" s="52"/>
      <c r="G890" s="53"/>
      <c r="H890" s="20"/>
      <c r="I890" s="9">
        <v>3</v>
      </c>
      <c r="J890" s="9"/>
      <c r="K890" s="9"/>
      <c r="L890" s="9"/>
      <c r="M890" s="9">
        <f t="shared" si="116"/>
        <v>24.599999999999998</v>
      </c>
      <c r="N890" s="9">
        <f t="shared" si="117"/>
        <v>10.5</v>
      </c>
      <c r="O890" s="9">
        <v>8.1999999999999993</v>
      </c>
      <c r="P890" s="9">
        <v>3.5</v>
      </c>
      <c r="Q890" s="9" t="s">
        <v>9</v>
      </c>
      <c r="R890" s="1">
        <v>0</v>
      </c>
      <c r="S890" s="26"/>
    </row>
    <row r="891" spans="1:19" ht="16.5" customHeight="1" x14ac:dyDescent="0.25">
      <c r="A891" s="9"/>
      <c r="B891" s="51" t="s">
        <v>76</v>
      </c>
      <c r="C891" s="52"/>
      <c r="D891" s="52"/>
      <c r="E891" s="52"/>
      <c r="F891" s="52"/>
      <c r="G891" s="53"/>
      <c r="H891" s="20"/>
      <c r="I891" s="9">
        <v>4</v>
      </c>
      <c r="J891" s="9"/>
      <c r="K891" s="9"/>
      <c r="L891" s="9"/>
      <c r="M891" s="9">
        <f t="shared" si="116"/>
        <v>31.6</v>
      </c>
      <c r="N891" s="9">
        <f t="shared" si="117"/>
        <v>12</v>
      </c>
      <c r="O891" s="9">
        <v>7.9</v>
      </c>
      <c r="P891" s="9">
        <v>3</v>
      </c>
      <c r="Q891" s="9" t="s">
        <v>6</v>
      </c>
      <c r="R891" s="1">
        <v>0</v>
      </c>
      <c r="S891" s="26"/>
    </row>
    <row r="892" spans="1:19" ht="16.5" hidden="1" customHeight="1" x14ac:dyDescent="0.25">
      <c r="A892" s="21"/>
      <c r="H892" s="21"/>
      <c r="I892" s="21"/>
      <c r="J892" s="21"/>
      <c r="K892" s="21"/>
      <c r="L892" s="21"/>
      <c r="M892" s="9">
        <f t="shared" si="116"/>
        <v>0</v>
      </c>
      <c r="N892" s="9">
        <f t="shared" si="117"/>
        <v>0</v>
      </c>
      <c r="O892" s="21"/>
      <c r="P892" s="21"/>
      <c r="Q892" s="21"/>
      <c r="S892" s="25"/>
    </row>
    <row r="893" spans="1:19" ht="16.5" customHeight="1" x14ac:dyDescent="0.25">
      <c r="A893" s="9"/>
      <c r="B893" s="39" t="s">
        <v>42</v>
      </c>
      <c r="C893" s="40"/>
      <c r="D893" s="40"/>
      <c r="E893" s="40"/>
      <c r="F893" s="40"/>
      <c r="G893" s="41"/>
      <c r="H893" s="23"/>
      <c r="I893" s="24">
        <f>SUM(I885:I892)</f>
        <v>19</v>
      </c>
      <c r="J893" s="9"/>
      <c r="K893" s="9"/>
      <c r="L893" s="9"/>
      <c r="M893" s="9">
        <f t="shared" si="116"/>
        <v>139.84</v>
      </c>
      <c r="N893" s="9">
        <f t="shared" si="117"/>
        <v>53.959999999999994</v>
      </c>
      <c r="O893" s="24">
        <f>ROUND(SUM(M885:M892)/I893,2)</f>
        <v>7.36</v>
      </c>
      <c r="P893" s="24">
        <f>ROUND(SUM(N885:N892)/I893,2)</f>
        <v>2.84</v>
      </c>
      <c r="Q893" s="9"/>
      <c r="S893" s="25"/>
    </row>
    <row r="894" spans="1:19" ht="20.25" customHeight="1" x14ac:dyDescent="0.25">
      <c r="A894" s="27" t="s">
        <v>78</v>
      </c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</row>
    <row r="895" spans="1:19" ht="16.5" customHeight="1" x14ac:dyDescent="0.25">
      <c r="A895" s="9"/>
      <c r="B895" s="51" t="s">
        <v>79</v>
      </c>
      <c r="C895" s="52"/>
      <c r="D895" s="52"/>
      <c r="E895" s="52"/>
      <c r="F895" s="52"/>
      <c r="G895" s="53"/>
      <c r="H895" s="20"/>
      <c r="I895" s="9">
        <v>1</v>
      </c>
      <c r="J895" s="9"/>
      <c r="K895" s="9"/>
      <c r="L895" s="9"/>
      <c r="M895" s="9">
        <f>I895*O895</f>
        <v>8.5</v>
      </c>
      <c r="N895" s="9">
        <f>I895*P895</f>
        <v>3.7</v>
      </c>
      <c r="O895" s="9">
        <v>8.5</v>
      </c>
      <c r="P895" s="9">
        <v>3.7</v>
      </c>
      <c r="Q895" s="9" t="s">
        <v>10</v>
      </c>
      <c r="R895" s="1">
        <v>0</v>
      </c>
      <c r="S895" s="26"/>
    </row>
    <row r="896" spans="1:19" ht="16.5" customHeight="1" x14ac:dyDescent="0.25">
      <c r="A896" s="9"/>
      <c r="B896" s="51" t="s">
        <v>80</v>
      </c>
      <c r="C896" s="52"/>
      <c r="D896" s="52"/>
      <c r="E896" s="52"/>
      <c r="F896" s="52"/>
      <c r="G896" s="53"/>
      <c r="H896" s="20"/>
      <c r="I896" s="9">
        <v>3</v>
      </c>
      <c r="J896" s="9"/>
      <c r="K896" s="9"/>
      <c r="L896" s="9"/>
      <c r="M896" s="9">
        <f>I896*O896</f>
        <v>23.4</v>
      </c>
      <c r="N896" s="9">
        <f>I896*P896</f>
        <v>9</v>
      </c>
      <c r="O896" s="9">
        <v>7.8</v>
      </c>
      <c r="P896" s="9">
        <v>3</v>
      </c>
      <c r="Q896" s="9" t="s">
        <v>6</v>
      </c>
      <c r="R896" s="1">
        <v>0</v>
      </c>
      <c r="S896" s="26"/>
    </row>
    <row r="897" spans="1:19" ht="16.5" customHeight="1" x14ac:dyDescent="0.25">
      <c r="A897" s="9"/>
      <c r="B897" s="51" t="s">
        <v>87</v>
      </c>
      <c r="C897" s="52"/>
      <c r="D897" s="52"/>
      <c r="E897" s="52"/>
      <c r="F897" s="52"/>
      <c r="G897" s="53"/>
      <c r="H897" s="20"/>
      <c r="I897" s="9">
        <v>3</v>
      </c>
      <c r="J897" s="9"/>
      <c r="K897" s="9"/>
      <c r="L897" s="9"/>
      <c r="M897" s="9">
        <f>I897*O897</f>
        <v>25.200000000000003</v>
      </c>
      <c r="N897" s="9">
        <f>I897*P897</f>
        <v>10.5</v>
      </c>
      <c r="O897" s="9">
        <v>8.4</v>
      </c>
      <c r="P897" s="9">
        <v>3.5</v>
      </c>
      <c r="Q897" s="9" t="s">
        <v>9</v>
      </c>
      <c r="R897" s="1">
        <v>0</v>
      </c>
      <c r="S897" s="26"/>
    </row>
    <row r="898" spans="1:19" ht="15" customHeight="1" x14ac:dyDescent="0.25">
      <c r="A898" s="36" t="s">
        <v>0</v>
      </c>
      <c r="B898" s="29" t="s">
        <v>1</v>
      </c>
      <c r="C898" s="30"/>
      <c r="D898" s="30"/>
      <c r="E898" s="30"/>
      <c r="F898" s="30"/>
      <c r="G898" s="31"/>
      <c r="H898" s="36" t="s">
        <v>32</v>
      </c>
      <c r="I898" s="36" t="s">
        <v>39</v>
      </c>
      <c r="J898" s="55" t="s">
        <v>2</v>
      </c>
      <c r="K898" s="56"/>
      <c r="L898" s="56"/>
      <c r="M898" s="56"/>
      <c r="N898" s="56"/>
      <c r="O898" s="56"/>
      <c r="P898" s="56"/>
      <c r="Q898" s="57"/>
      <c r="S898" s="36" t="s">
        <v>38</v>
      </c>
    </row>
    <row r="899" spans="1:19" ht="24" customHeight="1" x14ac:dyDescent="0.25">
      <c r="A899" s="37"/>
      <c r="B899" s="32"/>
      <c r="C899" s="33"/>
      <c r="D899" s="33"/>
      <c r="E899" s="33"/>
      <c r="F899" s="33"/>
      <c r="G899" s="34"/>
      <c r="H899" s="37"/>
      <c r="I899" s="37"/>
      <c r="J899" s="7" t="s">
        <v>28</v>
      </c>
      <c r="K899" s="7" t="s">
        <v>29</v>
      </c>
      <c r="L899" s="7" t="s">
        <v>30</v>
      </c>
      <c r="M899" s="7"/>
      <c r="N899" s="7"/>
      <c r="O899" s="6" t="s">
        <v>35</v>
      </c>
      <c r="P899" s="6" t="s">
        <v>36</v>
      </c>
      <c r="Q899" s="6" t="s">
        <v>37</v>
      </c>
      <c r="S899" s="37"/>
    </row>
    <row r="900" spans="1:19" ht="16.5" customHeight="1" x14ac:dyDescent="0.25">
      <c r="A900" s="9"/>
      <c r="B900" s="51" t="s">
        <v>82</v>
      </c>
      <c r="C900" s="52"/>
      <c r="D900" s="52"/>
      <c r="E900" s="52"/>
      <c r="F900" s="52"/>
      <c r="G900" s="53"/>
      <c r="H900" s="20"/>
      <c r="I900" s="9">
        <v>2</v>
      </c>
      <c r="J900" s="9"/>
      <c r="K900" s="9"/>
      <c r="L900" s="9"/>
      <c r="M900" s="9">
        <f t="shared" ref="M900:M907" si="118">I900*O900</f>
        <v>14.2</v>
      </c>
      <c r="N900" s="9">
        <f t="shared" ref="N900:N907" si="119">I900*P900</f>
        <v>6</v>
      </c>
      <c r="O900" s="9">
        <v>7.1</v>
      </c>
      <c r="P900" s="9">
        <v>3</v>
      </c>
      <c r="Q900" s="9" t="s">
        <v>6</v>
      </c>
      <c r="R900" s="1">
        <v>0</v>
      </c>
      <c r="S900" s="26"/>
    </row>
    <row r="901" spans="1:19" ht="16.5" customHeight="1" x14ac:dyDescent="0.25">
      <c r="A901" s="9"/>
      <c r="B901" s="51" t="s">
        <v>83</v>
      </c>
      <c r="C901" s="52"/>
      <c r="D901" s="52"/>
      <c r="E901" s="52"/>
      <c r="F901" s="52"/>
      <c r="G901" s="53"/>
      <c r="H901" s="20"/>
      <c r="I901" s="9">
        <v>2</v>
      </c>
      <c r="J901" s="9"/>
      <c r="K901" s="9"/>
      <c r="L901" s="9"/>
      <c r="M901" s="9">
        <f t="shared" si="118"/>
        <v>15.2</v>
      </c>
      <c r="N901" s="9">
        <f t="shared" si="119"/>
        <v>6</v>
      </c>
      <c r="O901" s="9">
        <v>7.6</v>
      </c>
      <c r="P901" s="9">
        <v>3</v>
      </c>
      <c r="Q901" s="9" t="s">
        <v>6</v>
      </c>
      <c r="R901" s="1">
        <v>0</v>
      </c>
      <c r="S901" s="26"/>
    </row>
    <row r="902" spans="1:19" ht="16.5" customHeight="1" x14ac:dyDescent="0.25">
      <c r="A902" s="9"/>
      <c r="B902" s="51" t="s">
        <v>84</v>
      </c>
      <c r="C902" s="52"/>
      <c r="D902" s="52"/>
      <c r="E902" s="52"/>
      <c r="F902" s="52"/>
      <c r="G902" s="53"/>
      <c r="H902" s="20"/>
      <c r="I902" s="9">
        <v>3</v>
      </c>
      <c r="J902" s="9"/>
      <c r="K902" s="9"/>
      <c r="L902" s="9"/>
      <c r="M902" s="9">
        <f t="shared" si="118"/>
        <v>25.799999999999997</v>
      </c>
      <c r="N902" s="9">
        <f t="shared" si="119"/>
        <v>11.100000000000001</v>
      </c>
      <c r="O902" s="9">
        <v>8.6</v>
      </c>
      <c r="P902" s="9">
        <v>3.7</v>
      </c>
      <c r="Q902" s="9" t="s">
        <v>10</v>
      </c>
      <c r="R902" s="1">
        <v>0</v>
      </c>
      <c r="S902" s="26"/>
    </row>
    <row r="903" spans="1:19" ht="16.5" customHeight="1" x14ac:dyDescent="0.25">
      <c r="A903" s="9"/>
      <c r="B903" s="51" t="s">
        <v>85</v>
      </c>
      <c r="C903" s="52"/>
      <c r="D903" s="52"/>
      <c r="E903" s="52"/>
      <c r="F903" s="52"/>
      <c r="G903" s="53"/>
      <c r="H903" s="20"/>
      <c r="I903" s="9">
        <v>2</v>
      </c>
      <c r="J903" s="9"/>
      <c r="K903" s="9"/>
      <c r="L903" s="9"/>
      <c r="M903" s="9">
        <f t="shared" si="118"/>
        <v>14.6</v>
      </c>
      <c r="N903" s="9">
        <f t="shared" si="119"/>
        <v>6</v>
      </c>
      <c r="O903" s="9">
        <v>7.3</v>
      </c>
      <c r="P903" s="9">
        <v>3</v>
      </c>
      <c r="Q903" s="9" t="s">
        <v>6</v>
      </c>
      <c r="R903" s="1">
        <v>0</v>
      </c>
      <c r="S903" s="26"/>
    </row>
    <row r="904" spans="1:19" ht="16.5" customHeight="1" x14ac:dyDescent="0.25">
      <c r="A904" s="9"/>
      <c r="B904" s="51" t="s">
        <v>86</v>
      </c>
      <c r="C904" s="52"/>
      <c r="D904" s="52"/>
      <c r="E904" s="52"/>
      <c r="F904" s="52"/>
      <c r="G904" s="53"/>
      <c r="H904" s="20"/>
      <c r="I904" s="9">
        <v>3</v>
      </c>
      <c r="J904" s="9"/>
      <c r="K904" s="9"/>
      <c r="L904" s="9"/>
      <c r="M904" s="9">
        <f t="shared" si="118"/>
        <v>27.900000000000002</v>
      </c>
      <c r="N904" s="9">
        <f t="shared" si="119"/>
        <v>12</v>
      </c>
      <c r="O904" s="9">
        <v>9.3000000000000007</v>
      </c>
      <c r="P904" s="9">
        <v>4</v>
      </c>
      <c r="Q904" s="9" t="s">
        <v>12</v>
      </c>
      <c r="R904" s="1">
        <v>0</v>
      </c>
      <c r="S904" s="26"/>
    </row>
    <row r="905" spans="1:19" ht="16.5" customHeight="1" x14ac:dyDescent="0.25">
      <c r="A905" s="9"/>
      <c r="B905" s="51" t="s">
        <v>81</v>
      </c>
      <c r="C905" s="52"/>
      <c r="D905" s="52"/>
      <c r="E905" s="52"/>
      <c r="F905" s="52"/>
      <c r="G905" s="53"/>
      <c r="H905" s="20"/>
      <c r="I905" s="9">
        <v>3</v>
      </c>
      <c r="J905" s="9"/>
      <c r="K905" s="9"/>
      <c r="L905" s="9"/>
      <c r="M905" s="9">
        <f t="shared" si="118"/>
        <v>19.5</v>
      </c>
      <c r="N905" s="9">
        <f t="shared" si="119"/>
        <v>7.5</v>
      </c>
      <c r="O905" s="9">
        <v>6.5</v>
      </c>
      <c r="P905" s="9">
        <v>2.5</v>
      </c>
      <c r="Q905" s="9" t="s">
        <v>5</v>
      </c>
      <c r="R905" s="1">
        <v>0</v>
      </c>
      <c r="S905" s="26"/>
    </row>
    <row r="906" spans="1:19" ht="16.5" hidden="1" customHeight="1" x14ac:dyDescent="0.25">
      <c r="A906" s="21"/>
      <c r="H906" s="21"/>
      <c r="I906" s="21"/>
      <c r="J906" s="21"/>
      <c r="K906" s="21"/>
      <c r="L906" s="21"/>
      <c r="M906" s="9">
        <f t="shared" si="118"/>
        <v>0</v>
      </c>
      <c r="N906" s="9">
        <f t="shared" si="119"/>
        <v>0</v>
      </c>
      <c r="O906" s="21"/>
      <c r="P906" s="21"/>
      <c r="Q906" s="21"/>
      <c r="S906" s="25"/>
    </row>
    <row r="907" spans="1:19" ht="16.5" customHeight="1" x14ac:dyDescent="0.25">
      <c r="A907" s="9"/>
      <c r="B907" s="39" t="s">
        <v>42</v>
      </c>
      <c r="C907" s="40"/>
      <c r="D907" s="40"/>
      <c r="E907" s="40"/>
      <c r="F907" s="40"/>
      <c r="G907" s="41"/>
      <c r="H907" s="23"/>
      <c r="I907" s="24">
        <f>SUM(I895:I906)</f>
        <v>22</v>
      </c>
      <c r="J907" s="9"/>
      <c r="K907" s="9"/>
      <c r="L907" s="9"/>
      <c r="M907" s="9">
        <f t="shared" si="118"/>
        <v>174.24</v>
      </c>
      <c r="N907" s="9">
        <f t="shared" si="119"/>
        <v>71.72</v>
      </c>
      <c r="O907" s="24">
        <f>ROUND(SUM(M895:M906)/I907,2)</f>
        <v>7.92</v>
      </c>
      <c r="P907" s="24">
        <f>ROUND(SUM(N895:N906)/I907,2)</f>
        <v>3.26</v>
      </c>
      <c r="Q907" s="9"/>
      <c r="S907" s="25"/>
    </row>
    <row r="908" spans="1:19" ht="20.25" customHeight="1" x14ac:dyDescent="0.25">
      <c r="A908" s="27" t="s">
        <v>88</v>
      </c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</row>
    <row r="909" spans="1:19" ht="16.5" customHeight="1" x14ac:dyDescent="0.25">
      <c r="A909" s="9"/>
      <c r="B909" s="51" t="s">
        <v>98</v>
      </c>
      <c r="C909" s="52"/>
      <c r="D909" s="52"/>
      <c r="E909" s="52"/>
      <c r="F909" s="52"/>
      <c r="G909" s="53"/>
      <c r="H909" s="20"/>
      <c r="I909" s="9">
        <v>3</v>
      </c>
      <c r="J909" s="9"/>
      <c r="K909" s="9"/>
      <c r="L909" s="9"/>
      <c r="M909" s="9">
        <f t="shared" ref="M909:M920" si="120">I909*O909</f>
        <v>21.9</v>
      </c>
      <c r="N909" s="9">
        <f t="shared" ref="N909:N920" si="121">I909*P909</f>
        <v>9</v>
      </c>
      <c r="O909" s="9">
        <v>7.3</v>
      </c>
      <c r="P909" s="9">
        <v>3</v>
      </c>
      <c r="Q909" s="9" t="s">
        <v>6</v>
      </c>
      <c r="R909" s="1">
        <v>0</v>
      </c>
      <c r="S909" s="26"/>
    </row>
    <row r="910" spans="1:19" ht="16.5" customHeight="1" x14ac:dyDescent="0.25">
      <c r="A910" s="9"/>
      <c r="B910" s="51" t="s">
        <v>90</v>
      </c>
      <c r="C910" s="52"/>
      <c r="D910" s="52"/>
      <c r="E910" s="52"/>
      <c r="F910" s="52"/>
      <c r="G910" s="53"/>
      <c r="H910" s="20"/>
      <c r="I910" s="9">
        <v>3</v>
      </c>
      <c r="J910" s="9"/>
      <c r="K910" s="9"/>
      <c r="L910" s="9"/>
      <c r="M910" s="9">
        <f t="shared" si="120"/>
        <v>23.700000000000003</v>
      </c>
      <c r="N910" s="9">
        <f t="shared" si="121"/>
        <v>9</v>
      </c>
      <c r="O910" s="9">
        <v>7.9</v>
      </c>
      <c r="P910" s="9">
        <v>3</v>
      </c>
      <c r="Q910" s="9" t="s">
        <v>6</v>
      </c>
      <c r="R910" s="1">
        <v>0</v>
      </c>
      <c r="S910" s="26"/>
    </row>
    <row r="911" spans="1:19" ht="16.5" customHeight="1" x14ac:dyDescent="0.25">
      <c r="A911" s="9"/>
      <c r="B911" s="51" t="s">
        <v>91</v>
      </c>
      <c r="C911" s="52"/>
      <c r="D911" s="52"/>
      <c r="E911" s="52"/>
      <c r="F911" s="52"/>
      <c r="G911" s="53"/>
      <c r="H911" s="20"/>
      <c r="I911" s="9">
        <v>2</v>
      </c>
      <c r="J911" s="9"/>
      <c r="K911" s="9"/>
      <c r="L911" s="9"/>
      <c r="M911" s="9">
        <f t="shared" si="120"/>
        <v>13.4</v>
      </c>
      <c r="N911" s="9">
        <f t="shared" si="121"/>
        <v>5</v>
      </c>
      <c r="O911" s="9">
        <v>6.7</v>
      </c>
      <c r="P911" s="9">
        <v>2.5</v>
      </c>
      <c r="Q911" s="9" t="s">
        <v>5</v>
      </c>
      <c r="R911" s="1">
        <v>0</v>
      </c>
      <c r="S911" s="26"/>
    </row>
    <row r="912" spans="1:19" ht="16.5" customHeight="1" x14ac:dyDescent="0.25">
      <c r="A912" s="9"/>
      <c r="B912" s="51" t="s">
        <v>92</v>
      </c>
      <c r="C912" s="52"/>
      <c r="D912" s="52"/>
      <c r="E912" s="52"/>
      <c r="F912" s="52"/>
      <c r="G912" s="53"/>
      <c r="H912" s="20"/>
      <c r="I912" s="9">
        <v>3</v>
      </c>
      <c r="J912" s="9"/>
      <c r="K912" s="9"/>
      <c r="L912" s="9"/>
      <c r="M912" s="9">
        <f t="shared" si="120"/>
        <v>16.200000000000003</v>
      </c>
      <c r="N912" s="9">
        <f t="shared" si="121"/>
        <v>4.5</v>
      </c>
      <c r="O912" s="9">
        <v>5.4</v>
      </c>
      <c r="P912" s="9">
        <v>1.5</v>
      </c>
      <c r="Q912" s="9" t="s">
        <v>4</v>
      </c>
      <c r="R912" s="1">
        <v>0</v>
      </c>
      <c r="S912" s="26"/>
    </row>
    <row r="913" spans="1:19" ht="16.5" customHeight="1" x14ac:dyDescent="0.25">
      <c r="A913" s="9"/>
      <c r="B913" s="51" t="s">
        <v>93</v>
      </c>
      <c r="C913" s="52"/>
      <c r="D913" s="52"/>
      <c r="E913" s="52"/>
      <c r="F913" s="52"/>
      <c r="G913" s="53"/>
      <c r="H913" s="20"/>
      <c r="I913" s="9">
        <v>1</v>
      </c>
      <c r="J913" s="9"/>
      <c r="K913" s="9"/>
      <c r="L913" s="9"/>
      <c r="M913" s="9">
        <f t="shared" si="120"/>
        <v>6.5</v>
      </c>
      <c r="N913" s="9">
        <f t="shared" si="121"/>
        <v>2.5</v>
      </c>
      <c r="O913" s="9">
        <v>6.5</v>
      </c>
      <c r="P913" s="9">
        <v>2.5</v>
      </c>
      <c r="Q913" s="9" t="s">
        <v>5</v>
      </c>
      <c r="R913" s="1">
        <v>0</v>
      </c>
      <c r="S913" s="26"/>
    </row>
    <row r="914" spans="1:19" ht="16.5" customHeight="1" x14ac:dyDescent="0.25">
      <c r="A914" s="9"/>
      <c r="B914" s="51" t="s">
        <v>94</v>
      </c>
      <c r="C914" s="52"/>
      <c r="D914" s="52"/>
      <c r="E914" s="52"/>
      <c r="F914" s="52"/>
      <c r="G914" s="53"/>
      <c r="H914" s="20"/>
      <c r="I914" s="9">
        <v>1</v>
      </c>
      <c r="J914" s="9"/>
      <c r="K914" s="9"/>
      <c r="L914" s="9"/>
      <c r="M914" s="9">
        <f t="shared" si="120"/>
        <v>7.7</v>
      </c>
      <c r="N914" s="9">
        <f t="shared" si="121"/>
        <v>3</v>
      </c>
      <c r="O914" s="9">
        <v>7.7</v>
      </c>
      <c r="P914" s="9">
        <v>3</v>
      </c>
      <c r="Q914" s="9" t="s">
        <v>6</v>
      </c>
      <c r="R914" s="1">
        <v>0</v>
      </c>
      <c r="S914" s="26"/>
    </row>
    <row r="915" spans="1:19" ht="16.5" customHeight="1" x14ac:dyDescent="0.25">
      <c r="A915" s="9"/>
      <c r="B915" s="51" t="s">
        <v>95</v>
      </c>
      <c r="C915" s="52"/>
      <c r="D915" s="52"/>
      <c r="E915" s="52"/>
      <c r="F915" s="52"/>
      <c r="G915" s="53"/>
      <c r="H915" s="20"/>
      <c r="I915" s="9">
        <v>3</v>
      </c>
      <c r="J915" s="9"/>
      <c r="K915" s="9"/>
      <c r="L915" s="9"/>
      <c r="M915" s="9">
        <f t="shared" si="120"/>
        <v>26.400000000000002</v>
      </c>
      <c r="N915" s="9">
        <f t="shared" si="121"/>
        <v>11.100000000000001</v>
      </c>
      <c r="O915" s="9">
        <v>8.8000000000000007</v>
      </c>
      <c r="P915" s="9">
        <v>3.7</v>
      </c>
      <c r="Q915" s="9" t="s">
        <v>10</v>
      </c>
      <c r="R915" s="1">
        <v>0</v>
      </c>
      <c r="S915" s="26"/>
    </row>
    <row r="916" spans="1:19" ht="16.5" customHeight="1" x14ac:dyDescent="0.25">
      <c r="A916" s="9"/>
      <c r="B916" s="51" t="s">
        <v>89</v>
      </c>
      <c r="C916" s="52"/>
      <c r="D916" s="52"/>
      <c r="E916" s="52"/>
      <c r="F916" s="52"/>
      <c r="G916" s="53"/>
      <c r="H916" s="20"/>
      <c r="I916" s="9">
        <v>2</v>
      </c>
      <c r="J916" s="9"/>
      <c r="K916" s="9"/>
      <c r="L916" s="9"/>
      <c r="M916" s="9">
        <f t="shared" si="120"/>
        <v>14.8</v>
      </c>
      <c r="N916" s="9">
        <f t="shared" si="121"/>
        <v>6</v>
      </c>
      <c r="O916" s="9">
        <v>7.4</v>
      </c>
      <c r="P916" s="9">
        <v>3</v>
      </c>
      <c r="Q916" s="9" t="s">
        <v>6</v>
      </c>
      <c r="R916" s="1">
        <v>0</v>
      </c>
      <c r="S916" s="26"/>
    </row>
    <row r="917" spans="1:19" ht="16.5" customHeight="1" x14ac:dyDescent="0.25">
      <c r="A917" s="9"/>
      <c r="B917" s="51" t="s">
        <v>97</v>
      </c>
      <c r="C917" s="52"/>
      <c r="D917" s="52"/>
      <c r="E917" s="52"/>
      <c r="F917" s="52"/>
      <c r="G917" s="53"/>
      <c r="H917" s="20"/>
      <c r="I917" s="9">
        <v>1</v>
      </c>
      <c r="J917" s="9"/>
      <c r="K917" s="9"/>
      <c r="L917" s="9"/>
      <c r="M917" s="9">
        <f t="shared" si="120"/>
        <v>7.5</v>
      </c>
      <c r="N917" s="9">
        <f t="shared" si="121"/>
        <v>3</v>
      </c>
      <c r="O917" s="9">
        <v>7.5</v>
      </c>
      <c r="P917" s="9">
        <v>3</v>
      </c>
      <c r="Q917" s="9" t="s">
        <v>6</v>
      </c>
      <c r="R917" s="1">
        <v>0</v>
      </c>
      <c r="S917" s="26"/>
    </row>
    <row r="918" spans="1:19" ht="16.5" customHeight="1" x14ac:dyDescent="0.25">
      <c r="A918" s="9"/>
      <c r="B918" s="51" t="s">
        <v>96</v>
      </c>
      <c r="C918" s="52"/>
      <c r="D918" s="52"/>
      <c r="E918" s="52"/>
      <c r="F918" s="52"/>
      <c r="G918" s="53"/>
      <c r="H918" s="20"/>
      <c r="I918" s="9">
        <v>3</v>
      </c>
      <c r="J918" s="9"/>
      <c r="K918" s="9"/>
      <c r="L918" s="9"/>
      <c r="M918" s="9">
        <f t="shared" si="120"/>
        <v>22.799999999999997</v>
      </c>
      <c r="N918" s="9">
        <f t="shared" si="121"/>
        <v>9</v>
      </c>
      <c r="O918" s="9">
        <v>7.6</v>
      </c>
      <c r="P918" s="9">
        <v>3</v>
      </c>
      <c r="Q918" s="9" t="s">
        <v>6</v>
      </c>
      <c r="R918" s="1">
        <v>0</v>
      </c>
      <c r="S918" s="26"/>
    </row>
    <row r="919" spans="1:19" ht="16.5" hidden="1" customHeight="1" x14ac:dyDescent="0.25">
      <c r="A919" s="21"/>
      <c r="H919" s="21"/>
      <c r="I919" s="21"/>
      <c r="J919" s="21"/>
      <c r="K919" s="21"/>
      <c r="L919" s="21"/>
      <c r="M919" s="9">
        <f t="shared" si="120"/>
        <v>0</v>
      </c>
      <c r="N919" s="9">
        <f t="shared" si="121"/>
        <v>0</v>
      </c>
      <c r="O919" s="21"/>
      <c r="P919" s="21"/>
      <c r="Q919" s="21"/>
      <c r="S919" s="25"/>
    </row>
    <row r="920" spans="1:19" ht="16.5" customHeight="1" x14ac:dyDescent="0.25">
      <c r="A920" s="9"/>
      <c r="B920" s="39" t="s">
        <v>42</v>
      </c>
      <c r="C920" s="40"/>
      <c r="D920" s="40"/>
      <c r="E920" s="40"/>
      <c r="F920" s="40"/>
      <c r="G920" s="41"/>
      <c r="H920" s="23"/>
      <c r="I920" s="24">
        <f>SUM(I909:I919)</f>
        <v>22</v>
      </c>
      <c r="J920" s="9"/>
      <c r="K920" s="9"/>
      <c r="L920" s="9"/>
      <c r="M920" s="9">
        <f t="shared" si="120"/>
        <v>160.82</v>
      </c>
      <c r="N920" s="9">
        <f t="shared" si="121"/>
        <v>62.04</v>
      </c>
      <c r="O920" s="24">
        <f>ROUND(SUM(M909:M919)/I920,2)</f>
        <v>7.31</v>
      </c>
      <c r="P920" s="24">
        <f>ROUND(SUM(N909:N919)/I920,2)</f>
        <v>2.82</v>
      </c>
      <c r="Q920" s="9"/>
      <c r="S920" s="25"/>
    </row>
    <row r="921" spans="1:19" ht="20.25" customHeight="1" x14ac:dyDescent="0.25">
      <c r="A921" s="27" t="s">
        <v>99</v>
      </c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</row>
    <row r="922" spans="1:19" ht="16.5" customHeight="1" x14ac:dyDescent="0.25">
      <c r="A922" s="9"/>
      <c r="B922" s="51" t="s">
        <v>100</v>
      </c>
      <c r="C922" s="52"/>
      <c r="D922" s="52"/>
      <c r="E922" s="52"/>
      <c r="F922" s="52"/>
      <c r="G922" s="53"/>
      <c r="H922" s="20"/>
      <c r="I922" s="9">
        <v>2</v>
      </c>
      <c r="J922" s="9"/>
      <c r="K922" s="9"/>
      <c r="L922" s="9"/>
      <c r="M922" s="9">
        <f t="shared" ref="M922:M935" si="122">I922*O922</f>
        <v>15.4</v>
      </c>
      <c r="N922" s="9">
        <f t="shared" ref="N922:N935" si="123">I922*P922</f>
        <v>6</v>
      </c>
      <c r="O922" s="9">
        <v>7.7</v>
      </c>
      <c r="P922" s="9">
        <v>3</v>
      </c>
      <c r="Q922" s="9" t="s">
        <v>6</v>
      </c>
      <c r="R922" s="1">
        <v>0</v>
      </c>
      <c r="S922" s="26"/>
    </row>
    <row r="923" spans="1:19" ht="16.5" customHeight="1" x14ac:dyDescent="0.25">
      <c r="A923" s="9"/>
      <c r="B923" s="51" t="s">
        <v>101</v>
      </c>
      <c r="C923" s="52"/>
      <c r="D923" s="52"/>
      <c r="E923" s="52"/>
      <c r="F923" s="52"/>
      <c r="G923" s="53"/>
      <c r="H923" s="20"/>
      <c r="I923" s="9">
        <v>2</v>
      </c>
      <c r="J923" s="9"/>
      <c r="K923" s="9"/>
      <c r="L923" s="9"/>
      <c r="M923" s="9">
        <f t="shared" si="122"/>
        <v>14.2</v>
      </c>
      <c r="N923" s="9">
        <f t="shared" si="123"/>
        <v>6</v>
      </c>
      <c r="O923" s="9">
        <v>7.1</v>
      </c>
      <c r="P923" s="9">
        <v>3</v>
      </c>
      <c r="Q923" s="9" t="s">
        <v>6</v>
      </c>
      <c r="R923" s="1">
        <v>0</v>
      </c>
      <c r="S923" s="26"/>
    </row>
    <row r="924" spans="1:19" ht="16.5" customHeight="1" x14ac:dyDescent="0.25">
      <c r="A924" s="9"/>
      <c r="B924" s="51" t="s">
        <v>102</v>
      </c>
      <c r="C924" s="52"/>
      <c r="D924" s="52"/>
      <c r="E924" s="52"/>
      <c r="F924" s="52"/>
      <c r="G924" s="53"/>
      <c r="H924" s="20"/>
      <c r="I924" s="9">
        <v>1</v>
      </c>
      <c r="J924" s="9"/>
      <c r="K924" s="9"/>
      <c r="L924" s="9"/>
      <c r="M924" s="9">
        <f t="shared" si="122"/>
        <v>7.7</v>
      </c>
      <c r="N924" s="9">
        <f t="shared" si="123"/>
        <v>3</v>
      </c>
      <c r="O924" s="9">
        <v>7.7</v>
      </c>
      <c r="P924" s="9">
        <v>3</v>
      </c>
      <c r="Q924" s="9" t="s">
        <v>6</v>
      </c>
      <c r="R924" s="1">
        <v>0</v>
      </c>
      <c r="S924" s="26"/>
    </row>
    <row r="925" spans="1:19" ht="16.5" customHeight="1" x14ac:dyDescent="0.25">
      <c r="A925" s="9"/>
      <c r="B925" s="51" t="s">
        <v>103</v>
      </c>
      <c r="C925" s="52"/>
      <c r="D925" s="52"/>
      <c r="E925" s="52"/>
      <c r="F925" s="52"/>
      <c r="G925" s="53"/>
      <c r="H925" s="20"/>
      <c r="I925" s="9">
        <v>2</v>
      </c>
      <c r="J925" s="9"/>
      <c r="K925" s="9"/>
      <c r="L925" s="9"/>
      <c r="M925" s="9">
        <f t="shared" si="122"/>
        <v>12.8</v>
      </c>
      <c r="N925" s="9">
        <f t="shared" si="123"/>
        <v>4</v>
      </c>
      <c r="O925" s="9">
        <v>6.4</v>
      </c>
      <c r="P925" s="9">
        <v>2</v>
      </c>
      <c r="Q925" s="9" t="s">
        <v>3</v>
      </c>
      <c r="R925" s="1">
        <v>0</v>
      </c>
      <c r="S925" s="26"/>
    </row>
    <row r="926" spans="1:19" ht="16.5" customHeight="1" x14ac:dyDescent="0.25">
      <c r="A926" s="9"/>
      <c r="B926" s="51" t="s">
        <v>104</v>
      </c>
      <c r="C926" s="52"/>
      <c r="D926" s="52"/>
      <c r="E926" s="52"/>
      <c r="F926" s="52"/>
      <c r="G926" s="53"/>
      <c r="H926" s="20"/>
      <c r="I926" s="9">
        <v>3</v>
      </c>
      <c r="J926" s="9"/>
      <c r="K926" s="9"/>
      <c r="L926" s="9"/>
      <c r="M926" s="9">
        <f t="shared" si="122"/>
        <v>24.599999999999998</v>
      </c>
      <c r="N926" s="9">
        <f t="shared" si="123"/>
        <v>10.5</v>
      </c>
      <c r="O926" s="9">
        <v>8.1999999999999993</v>
      </c>
      <c r="P926" s="9">
        <v>3.5</v>
      </c>
      <c r="Q926" s="9" t="s">
        <v>9</v>
      </c>
      <c r="R926" s="1">
        <v>0</v>
      </c>
      <c r="S926" s="26"/>
    </row>
    <row r="927" spans="1:19" ht="16.5" customHeight="1" x14ac:dyDescent="0.25">
      <c r="A927" s="9"/>
      <c r="B927" s="51" t="s">
        <v>105</v>
      </c>
      <c r="C927" s="52"/>
      <c r="D927" s="52"/>
      <c r="E927" s="52"/>
      <c r="F927" s="52"/>
      <c r="G927" s="53"/>
      <c r="H927" s="20"/>
      <c r="I927" s="9">
        <v>3</v>
      </c>
      <c r="J927" s="9"/>
      <c r="K927" s="9"/>
      <c r="L927" s="9"/>
      <c r="M927" s="9">
        <f t="shared" si="122"/>
        <v>24</v>
      </c>
      <c r="N927" s="9">
        <f t="shared" si="123"/>
        <v>10.5</v>
      </c>
      <c r="O927" s="9">
        <v>8</v>
      </c>
      <c r="P927" s="9">
        <v>3.5</v>
      </c>
      <c r="Q927" s="9" t="s">
        <v>9</v>
      </c>
      <c r="R927" s="1">
        <v>0</v>
      </c>
      <c r="S927" s="26"/>
    </row>
    <row r="928" spans="1:19" ht="16.5" customHeight="1" x14ac:dyDescent="0.25">
      <c r="A928" s="9"/>
      <c r="B928" s="51" t="s">
        <v>106</v>
      </c>
      <c r="C928" s="52"/>
      <c r="D928" s="52"/>
      <c r="E928" s="52"/>
      <c r="F928" s="52"/>
      <c r="G928" s="53"/>
      <c r="H928" s="20"/>
      <c r="I928" s="9">
        <v>2</v>
      </c>
      <c r="J928" s="9"/>
      <c r="K928" s="9"/>
      <c r="L928" s="9"/>
      <c r="M928" s="9">
        <f t="shared" si="122"/>
        <v>13.6</v>
      </c>
      <c r="N928" s="9">
        <f t="shared" si="123"/>
        <v>5</v>
      </c>
      <c r="O928" s="9">
        <v>6.8</v>
      </c>
      <c r="P928" s="9">
        <v>2.5</v>
      </c>
      <c r="Q928" s="9" t="s">
        <v>5</v>
      </c>
      <c r="R928" s="1">
        <v>0</v>
      </c>
      <c r="S928" s="26"/>
    </row>
    <row r="929" spans="1:19" ht="16.5" customHeight="1" x14ac:dyDescent="0.25">
      <c r="A929" s="9"/>
      <c r="B929" s="51" t="s">
        <v>107</v>
      </c>
      <c r="C929" s="52"/>
      <c r="D929" s="52"/>
      <c r="E929" s="52"/>
      <c r="F929" s="52"/>
      <c r="G929" s="53"/>
      <c r="H929" s="20"/>
      <c r="I929" s="9">
        <v>3</v>
      </c>
      <c r="J929" s="9"/>
      <c r="K929" s="9"/>
      <c r="L929" s="9"/>
      <c r="M929" s="9">
        <f t="shared" si="122"/>
        <v>25.200000000000003</v>
      </c>
      <c r="N929" s="9">
        <f t="shared" si="123"/>
        <v>10.5</v>
      </c>
      <c r="O929" s="9">
        <v>8.4</v>
      </c>
      <c r="P929" s="9">
        <v>3.5</v>
      </c>
      <c r="Q929" s="9" t="s">
        <v>9</v>
      </c>
      <c r="R929" s="1">
        <v>0</v>
      </c>
      <c r="S929" s="26"/>
    </row>
    <row r="930" spans="1:19" ht="16.5" customHeight="1" x14ac:dyDescent="0.25">
      <c r="A930" s="9"/>
      <c r="B930" s="51" t="s">
        <v>108</v>
      </c>
      <c r="C930" s="52"/>
      <c r="D930" s="52"/>
      <c r="E930" s="52"/>
      <c r="F930" s="52"/>
      <c r="G930" s="53"/>
      <c r="H930" s="20"/>
      <c r="I930" s="9">
        <v>1</v>
      </c>
      <c r="J930" s="9"/>
      <c r="K930" s="9"/>
      <c r="L930" s="9"/>
      <c r="M930" s="9">
        <f t="shared" si="122"/>
        <v>8</v>
      </c>
      <c r="N930" s="9">
        <f t="shared" si="123"/>
        <v>3.5</v>
      </c>
      <c r="O930" s="9">
        <v>8</v>
      </c>
      <c r="P930" s="9">
        <v>3.5</v>
      </c>
      <c r="Q930" s="9" t="s">
        <v>9</v>
      </c>
      <c r="R930" s="1">
        <v>0</v>
      </c>
      <c r="S930" s="26"/>
    </row>
    <row r="931" spans="1:19" ht="16.5" customHeight="1" x14ac:dyDescent="0.25">
      <c r="A931" s="9"/>
      <c r="B931" s="51" t="s">
        <v>109</v>
      </c>
      <c r="C931" s="52"/>
      <c r="D931" s="52"/>
      <c r="E931" s="52"/>
      <c r="F931" s="52"/>
      <c r="G931" s="53"/>
      <c r="H931" s="20"/>
      <c r="I931" s="9">
        <v>2</v>
      </c>
      <c r="J931" s="9"/>
      <c r="K931" s="9"/>
      <c r="L931" s="9"/>
      <c r="M931" s="9">
        <f t="shared" si="122"/>
        <v>12.8</v>
      </c>
      <c r="N931" s="9">
        <f t="shared" si="123"/>
        <v>4</v>
      </c>
      <c r="O931" s="9">
        <v>6.4</v>
      </c>
      <c r="P931" s="9">
        <v>2</v>
      </c>
      <c r="Q931" s="9" t="s">
        <v>3</v>
      </c>
      <c r="R931" s="1">
        <v>0</v>
      </c>
      <c r="S931" s="26"/>
    </row>
    <row r="932" spans="1:19" ht="16.5" customHeight="1" x14ac:dyDescent="0.25">
      <c r="A932" s="9"/>
      <c r="B932" s="51" t="s">
        <v>110</v>
      </c>
      <c r="C932" s="52"/>
      <c r="D932" s="52"/>
      <c r="E932" s="52"/>
      <c r="F932" s="52"/>
      <c r="G932" s="53"/>
      <c r="H932" s="20"/>
      <c r="I932" s="9">
        <v>1</v>
      </c>
      <c r="J932" s="9"/>
      <c r="K932" s="9"/>
      <c r="L932" s="9"/>
      <c r="M932" s="9">
        <f t="shared" si="122"/>
        <v>8.5</v>
      </c>
      <c r="N932" s="9">
        <f t="shared" si="123"/>
        <v>3.7</v>
      </c>
      <c r="O932" s="9">
        <v>8.5</v>
      </c>
      <c r="P932" s="9">
        <v>3.7</v>
      </c>
      <c r="Q932" s="9" t="s">
        <v>10</v>
      </c>
      <c r="R932" s="1">
        <v>0</v>
      </c>
      <c r="S932" s="26"/>
    </row>
    <row r="933" spans="1:19" ht="16.5" customHeight="1" x14ac:dyDescent="0.25">
      <c r="A933" s="9"/>
      <c r="B933" s="51" t="s">
        <v>111</v>
      </c>
      <c r="C933" s="52"/>
      <c r="D933" s="52"/>
      <c r="E933" s="52"/>
      <c r="F933" s="52"/>
      <c r="G933" s="53"/>
      <c r="H933" s="20"/>
      <c r="I933" s="9">
        <v>3</v>
      </c>
      <c r="J933" s="9"/>
      <c r="K933" s="9"/>
      <c r="L933" s="9"/>
      <c r="M933" s="9">
        <f t="shared" si="122"/>
        <v>25.200000000000003</v>
      </c>
      <c r="N933" s="9">
        <f t="shared" si="123"/>
        <v>10.5</v>
      </c>
      <c r="O933" s="9">
        <v>8.4</v>
      </c>
      <c r="P933" s="9">
        <v>3.5</v>
      </c>
      <c r="Q933" s="9" t="s">
        <v>9</v>
      </c>
      <c r="R933" s="1">
        <v>0</v>
      </c>
      <c r="S933" s="26"/>
    </row>
    <row r="934" spans="1:19" ht="16.5" hidden="1" customHeight="1" x14ac:dyDescent="0.25">
      <c r="A934" s="21"/>
      <c r="H934" s="21"/>
      <c r="I934" s="21"/>
      <c r="J934" s="21"/>
      <c r="K934" s="21"/>
      <c r="L934" s="21"/>
      <c r="M934" s="9">
        <f t="shared" si="122"/>
        <v>0</v>
      </c>
      <c r="N934" s="9">
        <f t="shared" si="123"/>
        <v>0</v>
      </c>
      <c r="O934" s="21"/>
      <c r="P934" s="21"/>
      <c r="Q934" s="21"/>
      <c r="S934" s="25"/>
    </row>
    <row r="935" spans="1:19" ht="16.5" customHeight="1" x14ac:dyDescent="0.25">
      <c r="A935" s="9"/>
      <c r="B935" s="39" t="s">
        <v>42</v>
      </c>
      <c r="C935" s="40"/>
      <c r="D935" s="40"/>
      <c r="E935" s="40"/>
      <c r="F935" s="40"/>
      <c r="G935" s="41"/>
      <c r="H935" s="23"/>
      <c r="I935" s="24">
        <f>SUM(I922:I934)</f>
        <v>25</v>
      </c>
      <c r="J935" s="9"/>
      <c r="K935" s="9"/>
      <c r="L935" s="9"/>
      <c r="M935" s="9">
        <f t="shared" si="122"/>
        <v>192</v>
      </c>
      <c r="N935" s="9">
        <f t="shared" si="123"/>
        <v>77.25</v>
      </c>
      <c r="O935" s="24">
        <f>ROUND(SUM(M922:M934)/I935,2)</f>
        <v>7.68</v>
      </c>
      <c r="P935" s="24">
        <f>ROUND(SUM(N922:N934)/I935,2)</f>
        <v>3.09</v>
      </c>
      <c r="Q935" s="9"/>
      <c r="S935" s="25"/>
    </row>
    <row r="936" spans="1:19" ht="20.25" customHeight="1" x14ac:dyDescent="0.25">
      <c r="A936" s="27" t="s">
        <v>112</v>
      </c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</row>
    <row r="937" spans="1:19" ht="16.5" customHeight="1" x14ac:dyDescent="0.25">
      <c r="A937" s="9"/>
      <c r="B937" s="51" t="s">
        <v>113</v>
      </c>
      <c r="C937" s="52"/>
      <c r="D937" s="52"/>
      <c r="E937" s="52"/>
      <c r="F937" s="52"/>
      <c r="G937" s="53"/>
      <c r="H937" s="20"/>
      <c r="I937" s="9">
        <v>2</v>
      </c>
      <c r="J937" s="9"/>
      <c r="K937" s="9"/>
      <c r="L937" s="9"/>
      <c r="M937" s="9">
        <f t="shared" ref="M937:M945" si="124">I937*O937</f>
        <v>0</v>
      </c>
      <c r="N937" s="9">
        <f t="shared" ref="N937:N945" si="125">I937*P937</f>
        <v>0</v>
      </c>
      <c r="O937" s="9"/>
      <c r="P937" s="9"/>
      <c r="Q937" s="9"/>
      <c r="R937" s="1">
        <v>0</v>
      </c>
      <c r="S937" s="26"/>
    </row>
    <row r="938" spans="1:19" ht="16.5" customHeight="1" x14ac:dyDescent="0.25">
      <c r="A938" s="9"/>
      <c r="B938" s="51" t="s">
        <v>114</v>
      </c>
      <c r="C938" s="52"/>
      <c r="D938" s="52"/>
      <c r="E938" s="52"/>
      <c r="F938" s="52"/>
      <c r="G938" s="53"/>
      <c r="H938" s="20"/>
      <c r="I938" s="9">
        <v>3</v>
      </c>
      <c r="J938" s="9"/>
      <c r="K938" s="9"/>
      <c r="L938" s="9"/>
      <c r="M938" s="9">
        <f t="shared" si="124"/>
        <v>26.400000000000002</v>
      </c>
      <c r="N938" s="9">
        <f t="shared" si="125"/>
        <v>11.100000000000001</v>
      </c>
      <c r="O938" s="9">
        <v>8.8000000000000007</v>
      </c>
      <c r="P938" s="9">
        <v>3.7</v>
      </c>
      <c r="Q938" s="9" t="s">
        <v>10</v>
      </c>
      <c r="R938" s="1">
        <v>0</v>
      </c>
      <c r="S938" s="26"/>
    </row>
    <row r="939" spans="1:19" ht="16.5" customHeight="1" x14ac:dyDescent="0.25">
      <c r="A939" s="9"/>
      <c r="B939" s="51" t="s">
        <v>115</v>
      </c>
      <c r="C939" s="52"/>
      <c r="D939" s="52"/>
      <c r="E939" s="52"/>
      <c r="F939" s="52"/>
      <c r="G939" s="53"/>
      <c r="H939" s="20"/>
      <c r="I939" s="9">
        <v>1</v>
      </c>
      <c r="J939" s="9"/>
      <c r="K939" s="9"/>
      <c r="L939" s="9"/>
      <c r="M939" s="9">
        <f t="shared" si="124"/>
        <v>7.7</v>
      </c>
      <c r="N939" s="9">
        <f t="shared" si="125"/>
        <v>3</v>
      </c>
      <c r="O939" s="9">
        <v>7.7</v>
      </c>
      <c r="P939" s="9">
        <v>3</v>
      </c>
      <c r="Q939" s="9" t="s">
        <v>6</v>
      </c>
      <c r="R939" s="1">
        <v>0</v>
      </c>
      <c r="S939" s="26"/>
    </row>
    <row r="940" spans="1:19" ht="16.5" customHeight="1" x14ac:dyDescent="0.25">
      <c r="A940" s="9"/>
      <c r="B940" s="51" t="s">
        <v>116</v>
      </c>
      <c r="C940" s="52"/>
      <c r="D940" s="52"/>
      <c r="E940" s="52"/>
      <c r="F940" s="52"/>
      <c r="G940" s="53"/>
      <c r="H940" s="20"/>
      <c r="I940" s="9">
        <v>3</v>
      </c>
      <c r="J940" s="9"/>
      <c r="K940" s="9"/>
      <c r="L940" s="9"/>
      <c r="M940" s="9">
        <f t="shared" si="124"/>
        <v>22.799999999999997</v>
      </c>
      <c r="N940" s="9">
        <f t="shared" si="125"/>
        <v>9</v>
      </c>
      <c r="O940" s="9">
        <v>7.6</v>
      </c>
      <c r="P940" s="9">
        <v>3</v>
      </c>
      <c r="Q940" s="9" t="s">
        <v>6</v>
      </c>
      <c r="R940" s="1">
        <v>0</v>
      </c>
      <c r="S940" s="26"/>
    </row>
    <row r="941" spans="1:19" ht="16.5" customHeight="1" x14ac:dyDescent="0.25">
      <c r="A941" s="9"/>
      <c r="B941" s="51" t="s">
        <v>117</v>
      </c>
      <c r="C941" s="52"/>
      <c r="D941" s="52"/>
      <c r="E941" s="52"/>
      <c r="F941" s="52"/>
      <c r="G941" s="53"/>
      <c r="H941" s="20"/>
      <c r="I941" s="9">
        <v>3</v>
      </c>
      <c r="J941" s="9"/>
      <c r="K941" s="9"/>
      <c r="L941" s="9"/>
      <c r="M941" s="9">
        <f t="shared" si="124"/>
        <v>19.799999999999997</v>
      </c>
      <c r="N941" s="9">
        <f t="shared" si="125"/>
        <v>7.5</v>
      </c>
      <c r="O941" s="9">
        <v>6.6</v>
      </c>
      <c r="P941" s="9">
        <v>2.5</v>
      </c>
      <c r="Q941" s="9" t="s">
        <v>5</v>
      </c>
      <c r="R941" s="1">
        <v>0</v>
      </c>
      <c r="S941" s="26"/>
    </row>
    <row r="942" spans="1:19" ht="16.5" customHeight="1" x14ac:dyDescent="0.25">
      <c r="A942" s="9"/>
      <c r="B942" s="51" t="s">
        <v>118</v>
      </c>
      <c r="C942" s="52"/>
      <c r="D942" s="52"/>
      <c r="E942" s="52"/>
      <c r="F942" s="52"/>
      <c r="G942" s="53"/>
      <c r="H942" s="20"/>
      <c r="I942" s="9">
        <v>3</v>
      </c>
      <c r="J942" s="9"/>
      <c r="K942" s="9"/>
      <c r="L942" s="9"/>
      <c r="M942" s="9">
        <f t="shared" si="124"/>
        <v>24</v>
      </c>
      <c r="N942" s="9">
        <f t="shared" si="125"/>
        <v>10.5</v>
      </c>
      <c r="O942" s="9">
        <v>8</v>
      </c>
      <c r="P942" s="9">
        <v>3.5</v>
      </c>
      <c r="Q942" s="9" t="s">
        <v>9</v>
      </c>
      <c r="R942" s="1">
        <v>0</v>
      </c>
      <c r="S942" s="26"/>
    </row>
    <row r="943" spans="1:19" ht="31.2" customHeight="1" x14ac:dyDescent="0.25">
      <c r="A943" s="9"/>
      <c r="B943" s="51" t="s">
        <v>119</v>
      </c>
      <c r="C943" s="52"/>
      <c r="D943" s="52"/>
      <c r="E943" s="52"/>
      <c r="F943" s="52"/>
      <c r="G943" s="53"/>
      <c r="H943" s="20"/>
      <c r="I943" s="9">
        <v>2</v>
      </c>
      <c r="J943" s="9"/>
      <c r="K943" s="9"/>
      <c r="L943" s="9"/>
      <c r="M943" s="9">
        <f t="shared" si="124"/>
        <v>0</v>
      </c>
      <c r="N943" s="9">
        <f t="shared" si="125"/>
        <v>0</v>
      </c>
      <c r="O943" s="9"/>
      <c r="P943" s="9"/>
      <c r="Q943" s="9"/>
      <c r="R943" s="1">
        <v>0</v>
      </c>
      <c r="S943" s="26"/>
    </row>
    <row r="944" spans="1:19" ht="16.5" hidden="1" customHeight="1" x14ac:dyDescent="0.25">
      <c r="A944" s="21"/>
      <c r="H944" s="21"/>
      <c r="I944" s="21"/>
      <c r="J944" s="21"/>
      <c r="K944" s="21"/>
      <c r="L944" s="21"/>
      <c r="M944" s="9">
        <f t="shared" si="124"/>
        <v>0</v>
      </c>
      <c r="N944" s="9">
        <f t="shared" si="125"/>
        <v>0</v>
      </c>
      <c r="O944" s="21"/>
      <c r="P944" s="21"/>
      <c r="Q944" s="21"/>
      <c r="S944" s="25"/>
    </row>
    <row r="945" spans="1:19" ht="16.5" customHeight="1" x14ac:dyDescent="0.25">
      <c r="A945" s="9"/>
      <c r="B945" s="39" t="s">
        <v>42</v>
      </c>
      <c r="C945" s="40"/>
      <c r="D945" s="40"/>
      <c r="E945" s="40"/>
      <c r="F945" s="40"/>
      <c r="G945" s="41"/>
      <c r="H945" s="23"/>
      <c r="I945" s="24">
        <f>SUM(I937:I944)</f>
        <v>17</v>
      </c>
      <c r="J945" s="9"/>
      <c r="K945" s="9"/>
      <c r="L945" s="9"/>
      <c r="M945" s="9">
        <f t="shared" si="124"/>
        <v>100.64</v>
      </c>
      <c r="N945" s="9">
        <f t="shared" si="125"/>
        <v>41.14</v>
      </c>
      <c r="O945" s="24">
        <f>ROUND(SUM(M937:M944)/I945,2)</f>
        <v>5.92</v>
      </c>
      <c r="P945" s="24">
        <f>ROUND(SUM(N937:N944)/I945,2)</f>
        <v>2.42</v>
      </c>
      <c r="Q945" s="9"/>
      <c r="S945" s="25"/>
    </row>
    <row r="946" spans="1:19" ht="16.5" customHeight="1" x14ac:dyDescent="0.25">
      <c r="A946" s="21"/>
      <c r="B946" s="22"/>
      <c r="C946" s="22"/>
      <c r="D946" s="22"/>
      <c r="E946" s="22"/>
      <c r="F946" s="22"/>
      <c r="G946" s="22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8" spans="1:19" ht="18" x14ac:dyDescent="0.25">
      <c r="A948" s="35" t="s">
        <v>142</v>
      </c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</row>
    <row r="949" spans="1:19" ht="18" x14ac:dyDescent="0.25">
      <c r="A949" s="35" t="s">
        <v>166</v>
      </c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</row>
    <row r="950" spans="1:19" ht="18" x14ac:dyDescent="0.25">
      <c r="A950" s="35" t="s">
        <v>167</v>
      </c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</row>
    <row r="951" spans="1:19" ht="18" x14ac:dyDescent="0.25">
      <c r="A951" s="45" t="s">
        <v>53</v>
      </c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</row>
    <row r="952" spans="1:19" ht="19.5" customHeight="1" x14ac:dyDescent="0.25">
      <c r="A952" s="17"/>
      <c r="B952" s="17"/>
      <c r="C952" s="8"/>
      <c r="D952" s="18"/>
      <c r="E952" s="10"/>
      <c r="F952" s="11"/>
      <c r="G952" s="46" t="s">
        <v>49</v>
      </c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</row>
    <row r="953" spans="1:19" ht="31.5" customHeight="1" x14ac:dyDescent="0.3">
      <c r="A953" s="8"/>
      <c r="B953" s="8"/>
      <c r="C953" s="8"/>
      <c r="D953" s="8"/>
      <c r="E953" s="8"/>
      <c r="F953" s="8"/>
      <c r="G953" s="8"/>
      <c r="H953" s="12"/>
      <c r="I953" s="42" t="s">
        <v>40</v>
      </c>
      <c r="J953" s="43"/>
      <c r="K953" s="43"/>
      <c r="L953" s="43"/>
      <c r="M953" s="43"/>
      <c r="N953" s="43"/>
      <c r="O953" s="43"/>
      <c r="P953" s="43"/>
      <c r="Q953" s="43"/>
      <c r="R953" s="43"/>
      <c r="S953" s="43"/>
    </row>
    <row r="954" spans="1:19" ht="16.8" x14ac:dyDescent="0.3">
      <c r="A954" s="8"/>
      <c r="B954" s="8"/>
      <c r="C954" s="8"/>
      <c r="D954" s="8"/>
      <c r="E954" s="8"/>
      <c r="F954" s="8"/>
      <c r="G954" s="8"/>
      <c r="H954" s="12"/>
      <c r="I954" s="12"/>
      <c r="J954" s="12"/>
      <c r="K954" s="12"/>
      <c r="L954" s="8"/>
      <c r="M954" s="8"/>
      <c r="N954" s="8"/>
      <c r="O954" s="8"/>
      <c r="P954" s="8"/>
      <c r="Q954" s="8"/>
    </row>
    <row r="955" spans="1:19" ht="33" customHeight="1" x14ac:dyDescent="0.3">
      <c r="A955" s="8"/>
      <c r="B955" s="8"/>
      <c r="C955" s="8"/>
      <c r="D955" s="8"/>
      <c r="E955" s="8"/>
      <c r="F955" s="8"/>
      <c r="G955" s="8"/>
      <c r="H955" s="12"/>
      <c r="I955" s="12"/>
      <c r="J955" s="12"/>
      <c r="K955" s="12"/>
      <c r="L955" s="8"/>
      <c r="M955" s="8"/>
      <c r="N955" s="8"/>
      <c r="O955" s="8"/>
      <c r="P955" s="8"/>
      <c r="Q955" s="8"/>
    </row>
    <row r="956" spans="1:19" ht="11.25" customHeight="1" x14ac:dyDescent="0.3">
      <c r="A956" s="8"/>
      <c r="B956" s="8"/>
      <c r="C956" s="8"/>
      <c r="D956" s="8"/>
      <c r="E956" s="8"/>
      <c r="F956" s="8"/>
      <c r="G956" s="8"/>
      <c r="H956" s="12"/>
      <c r="I956" s="12"/>
      <c r="J956" s="12"/>
      <c r="K956" s="12"/>
      <c r="L956" s="8"/>
      <c r="M956" s="8"/>
      <c r="N956" s="8"/>
      <c r="O956" s="8"/>
      <c r="P956" s="8"/>
      <c r="Q956" s="8"/>
    </row>
    <row r="957" spans="1:19" ht="17.399999999999999" x14ac:dyDescent="0.3">
      <c r="A957" s="8"/>
      <c r="B957" s="8"/>
      <c r="C957" s="8"/>
      <c r="D957" s="8"/>
      <c r="E957" s="8"/>
      <c r="F957" s="8"/>
      <c r="G957" s="47" t="s">
        <v>41</v>
      </c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</row>
    <row r="958" spans="1:19" ht="54" customHeight="1" x14ac:dyDescent="0.25">
      <c r="A958" s="48" t="s">
        <v>33</v>
      </c>
      <c r="B958" s="48"/>
      <c r="C958" s="48"/>
      <c r="D958" s="48"/>
      <c r="E958" s="48"/>
      <c r="F958" s="42" t="s">
        <v>24</v>
      </c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</row>
    <row r="959" spans="1:19" ht="17.399999999999999" x14ac:dyDescent="0.25">
      <c r="A959" s="49" t="s">
        <v>34</v>
      </c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</row>
    <row r="960" spans="1:19" ht="4.5" customHeight="1" x14ac:dyDescent="0.2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</row>
    <row r="961" spans="1:20" ht="5.25" customHeight="1" x14ac:dyDescent="0.2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20" ht="16.5" customHeight="1" x14ac:dyDescent="0.25">
      <c r="A962" s="54" t="s">
        <v>168</v>
      </c>
      <c r="B962" s="54"/>
      <c r="C962" s="54"/>
      <c r="D962" s="54"/>
      <c r="E962" s="54"/>
      <c r="F962" s="54"/>
      <c r="G962" s="58" t="s">
        <v>169</v>
      </c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</row>
    <row r="963" spans="1:20" ht="16.5" customHeight="1" x14ac:dyDescent="0.25">
      <c r="A963" s="54" t="s">
        <v>170</v>
      </c>
      <c r="B963" s="54"/>
      <c r="C963" s="54"/>
      <c r="D963" s="54"/>
      <c r="E963" s="54"/>
      <c r="F963" s="54"/>
      <c r="G963" s="8" t="s">
        <v>46</v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T963" s="2"/>
    </row>
    <row r="964" spans="1:20" ht="16.5" customHeight="1" x14ac:dyDescent="0.25">
      <c r="A964" s="54" t="s">
        <v>47</v>
      </c>
      <c r="B964" s="54"/>
      <c r="C964" s="54"/>
      <c r="D964" s="54"/>
      <c r="E964" s="54"/>
      <c r="F964" s="54"/>
      <c r="G964" s="58" t="s">
        <v>48</v>
      </c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</row>
    <row r="965" spans="1:20" ht="5.2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19"/>
      <c r="K965" s="19"/>
      <c r="L965" s="19"/>
      <c r="M965" s="19"/>
      <c r="N965" s="19"/>
      <c r="O965" s="19"/>
      <c r="P965" s="19"/>
      <c r="Q965" s="19"/>
    </row>
    <row r="966" spans="1:20" ht="15" customHeight="1" x14ac:dyDescent="0.25">
      <c r="A966" s="36" t="s">
        <v>0</v>
      </c>
      <c r="B966" s="29" t="s">
        <v>1</v>
      </c>
      <c r="C966" s="30"/>
      <c r="D966" s="30"/>
      <c r="E966" s="30"/>
      <c r="F966" s="30"/>
      <c r="G966" s="31"/>
      <c r="H966" s="36" t="s">
        <v>32</v>
      </c>
      <c r="I966" s="36" t="s">
        <v>39</v>
      </c>
      <c r="J966" s="55" t="s">
        <v>2</v>
      </c>
      <c r="K966" s="56"/>
      <c r="L966" s="56"/>
      <c r="M966" s="56"/>
      <c r="N966" s="56"/>
      <c r="O966" s="56"/>
      <c r="P966" s="56"/>
      <c r="Q966" s="57"/>
      <c r="S966" s="36" t="s">
        <v>38</v>
      </c>
    </row>
    <row r="967" spans="1:20" ht="24" customHeight="1" x14ac:dyDescent="0.25">
      <c r="A967" s="37"/>
      <c r="B967" s="32"/>
      <c r="C967" s="33"/>
      <c r="D967" s="33"/>
      <c r="E967" s="33"/>
      <c r="F967" s="33"/>
      <c r="G967" s="34"/>
      <c r="H967" s="37"/>
      <c r="I967" s="37"/>
      <c r="J967" s="7" t="s">
        <v>28</v>
      </c>
      <c r="K967" s="7" t="s">
        <v>29</v>
      </c>
      <c r="L967" s="7" t="s">
        <v>30</v>
      </c>
      <c r="M967" s="7"/>
      <c r="N967" s="7"/>
      <c r="O967" s="6" t="s">
        <v>35</v>
      </c>
      <c r="P967" s="6" t="s">
        <v>36</v>
      </c>
      <c r="Q967" s="6" t="s">
        <v>37</v>
      </c>
      <c r="S967" s="37"/>
    </row>
    <row r="968" spans="1:20" ht="20.25" customHeight="1" x14ac:dyDescent="0.25">
      <c r="A968" s="27" t="s">
        <v>54</v>
      </c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</row>
    <row r="969" spans="1:20" ht="16.5" customHeight="1" x14ac:dyDescent="0.25">
      <c r="A969" s="9"/>
      <c r="B969" s="51" t="s">
        <v>61</v>
      </c>
      <c r="C969" s="52"/>
      <c r="D969" s="52"/>
      <c r="E969" s="52"/>
      <c r="F969" s="52"/>
      <c r="G969" s="53"/>
      <c r="H969" s="20"/>
      <c r="I969" s="9">
        <v>1</v>
      </c>
      <c r="J969" s="9"/>
      <c r="K969" s="9"/>
      <c r="L969" s="9"/>
      <c r="M969" s="9">
        <f t="shared" ref="M969:M977" si="126">I969*O969</f>
        <v>7.3</v>
      </c>
      <c r="N969" s="9">
        <f t="shared" ref="N969:N977" si="127">I969*P969</f>
        <v>3</v>
      </c>
      <c r="O969" s="9">
        <v>7.3</v>
      </c>
      <c r="P969" s="9">
        <v>3</v>
      </c>
      <c r="Q969" s="9" t="s">
        <v>6</v>
      </c>
      <c r="R969" s="1">
        <v>0</v>
      </c>
      <c r="S969" s="26"/>
    </row>
    <row r="970" spans="1:20" ht="16.5" customHeight="1" x14ac:dyDescent="0.25">
      <c r="A970" s="9"/>
      <c r="B970" s="51" t="s">
        <v>56</v>
      </c>
      <c r="C970" s="52"/>
      <c r="D970" s="52"/>
      <c r="E970" s="52"/>
      <c r="F970" s="52"/>
      <c r="G970" s="53"/>
      <c r="H970" s="20"/>
      <c r="I970" s="9">
        <v>3</v>
      </c>
      <c r="J970" s="9"/>
      <c r="K970" s="9"/>
      <c r="L970" s="9"/>
      <c r="M970" s="9">
        <f t="shared" si="126"/>
        <v>14.700000000000001</v>
      </c>
      <c r="N970" s="9">
        <f t="shared" si="127"/>
        <v>3</v>
      </c>
      <c r="O970" s="9">
        <v>4.9000000000000004</v>
      </c>
      <c r="P970" s="9">
        <v>1</v>
      </c>
      <c r="Q970" s="9" t="s">
        <v>8</v>
      </c>
      <c r="R970" s="1">
        <v>0</v>
      </c>
      <c r="S970" s="26"/>
    </row>
    <row r="971" spans="1:20" ht="31.2" customHeight="1" x14ac:dyDescent="0.25">
      <c r="A971" s="9"/>
      <c r="B971" s="51" t="s">
        <v>57</v>
      </c>
      <c r="C971" s="52"/>
      <c r="D971" s="52"/>
      <c r="E971" s="52"/>
      <c r="F971" s="52"/>
      <c r="G971" s="53"/>
      <c r="H971" s="20"/>
      <c r="I971" s="9">
        <v>3</v>
      </c>
      <c r="J971" s="9"/>
      <c r="K971" s="9"/>
      <c r="L971" s="9"/>
      <c r="M971" s="9">
        <f t="shared" si="126"/>
        <v>21.9</v>
      </c>
      <c r="N971" s="9">
        <f t="shared" si="127"/>
        <v>9</v>
      </c>
      <c r="O971" s="9">
        <v>7.3</v>
      </c>
      <c r="P971" s="9">
        <v>3</v>
      </c>
      <c r="Q971" s="9" t="s">
        <v>6</v>
      </c>
      <c r="R971" s="1">
        <v>0</v>
      </c>
      <c r="S971" s="26"/>
    </row>
    <row r="972" spans="1:20" ht="16.5" customHeight="1" x14ac:dyDescent="0.25">
      <c r="A972" s="9"/>
      <c r="B972" s="51" t="s">
        <v>58</v>
      </c>
      <c r="C972" s="52"/>
      <c r="D972" s="52"/>
      <c r="E972" s="52"/>
      <c r="F972" s="52"/>
      <c r="G972" s="53"/>
      <c r="H972" s="20"/>
      <c r="I972" s="9">
        <v>1</v>
      </c>
      <c r="J972" s="9"/>
      <c r="K972" s="9"/>
      <c r="L972" s="9"/>
      <c r="M972" s="9">
        <f t="shared" si="126"/>
        <v>6.4</v>
      </c>
      <c r="N972" s="9">
        <f t="shared" si="127"/>
        <v>2</v>
      </c>
      <c r="O972" s="9">
        <v>6.4</v>
      </c>
      <c r="P972" s="9">
        <v>2</v>
      </c>
      <c r="Q972" s="9" t="s">
        <v>3</v>
      </c>
      <c r="R972" s="1">
        <v>0</v>
      </c>
      <c r="S972" s="26"/>
    </row>
    <row r="973" spans="1:20" ht="16.5" customHeight="1" x14ac:dyDescent="0.25">
      <c r="A973" s="9"/>
      <c r="B973" s="51" t="s">
        <v>59</v>
      </c>
      <c r="C973" s="52"/>
      <c r="D973" s="52"/>
      <c r="E973" s="52"/>
      <c r="F973" s="52"/>
      <c r="G973" s="53"/>
      <c r="H973" s="20"/>
      <c r="I973" s="9">
        <v>1</v>
      </c>
      <c r="J973" s="9"/>
      <c r="K973" s="9"/>
      <c r="L973" s="9"/>
      <c r="M973" s="9">
        <f t="shared" si="126"/>
        <v>6.1</v>
      </c>
      <c r="N973" s="9">
        <f t="shared" si="127"/>
        <v>2</v>
      </c>
      <c r="O973" s="9">
        <v>6.1</v>
      </c>
      <c r="P973" s="9">
        <v>2</v>
      </c>
      <c r="Q973" s="9" t="s">
        <v>3</v>
      </c>
      <c r="R973" s="1">
        <v>0</v>
      </c>
      <c r="S973" s="26"/>
    </row>
    <row r="974" spans="1:20" ht="16.5" customHeight="1" x14ac:dyDescent="0.25">
      <c r="A974" s="9"/>
      <c r="B974" s="51" t="s">
        <v>60</v>
      </c>
      <c r="C974" s="52"/>
      <c r="D974" s="52"/>
      <c r="E974" s="52"/>
      <c r="F974" s="52"/>
      <c r="G974" s="53"/>
      <c r="H974" s="20"/>
      <c r="I974" s="9">
        <v>3</v>
      </c>
      <c r="J974" s="9"/>
      <c r="K974" s="9"/>
      <c r="L974" s="9"/>
      <c r="M974" s="9">
        <f t="shared" si="126"/>
        <v>23.1</v>
      </c>
      <c r="N974" s="9">
        <f t="shared" si="127"/>
        <v>9</v>
      </c>
      <c r="O974" s="9">
        <v>7.7</v>
      </c>
      <c r="P974" s="9">
        <v>3</v>
      </c>
      <c r="Q974" s="9" t="s">
        <v>6</v>
      </c>
      <c r="R974" s="1">
        <v>0</v>
      </c>
      <c r="S974" s="26"/>
    </row>
    <row r="975" spans="1:20" ht="16.5" customHeight="1" x14ac:dyDescent="0.25">
      <c r="A975" s="9"/>
      <c r="B975" s="51" t="s">
        <v>55</v>
      </c>
      <c r="C975" s="52"/>
      <c r="D975" s="52"/>
      <c r="E975" s="52"/>
      <c r="F975" s="52"/>
      <c r="G975" s="53"/>
      <c r="H975" s="20"/>
      <c r="I975" s="9">
        <v>2</v>
      </c>
      <c r="J975" s="9"/>
      <c r="K975" s="9"/>
      <c r="L975" s="9"/>
      <c r="M975" s="9">
        <f t="shared" si="126"/>
        <v>14.2</v>
      </c>
      <c r="N975" s="9">
        <f t="shared" si="127"/>
        <v>6</v>
      </c>
      <c r="O975" s="9">
        <v>7.1</v>
      </c>
      <c r="P975" s="9">
        <v>3</v>
      </c>
      <c r="Q975" s="9" t="s">
        <v>6</v>
      </c>
      <c r="R975" s="1">
        <v>0</v>
      </c>
      <c r="S975" s="26"/>
    </row>
    <row r="976" spans="1:20" ht="16.5" hidden="1" customHeight="1" x14ac:dyDescent="0.25">
      <c r="A976" s="21"/>
      <c r="H976" s="21"/>
      <c r="I976" s="21"/>
      <c r="J976" s="21"/>
      <c r="K976" s="21"/>
      <c r="L976" s="21"/>
      <c r="M976" s="9">
        <f t="shared" si="126"/>
        <v>0</v>
      </c>
      <c r="N976" s="9">
        <f t="shared" si="127"/>
        <v>0</v>
      </c>
      <c r="O976" s="21"/>
      <c r="P976" s="21"/>
      <c r="Q976" s="21"/>
      <c r="S976" s="25"/>
    </row>
    <row r="977" spans="1:19" ht="16.5" customHeight="1" x14ac:dyDescent="0.25">
      <c r="A977" s="9"/>
      <c r="B977" s="39" t="s">
        <v>42</v>
      </c>
      <c r="C977" s="40"/>
      <c r="D977" s="40"/>
      <c r="E977" s="40"/>
      <c r="F977" s="40"/>
      <c r="G977" s="41"/>
      <c r="H977" s="23"/>
      <c r="I977" s="24">
        <f>SUM(I969:I976)</f>
        <v>14</v>
      </c>
      <c r="J977" s="9"/>
      <c r="K977" s="9"/>
      <c r="L977" s="9"/>
      <c r="M977" s="9">
        <f t="shared" si="126"/>
        <v>93.660000000000011</v>
      </c>
      <c r="N977" s="9">
        <f t="shared" si="127"/>
        <v>34.020000000000003</v>
      </c>
      <c r="O977" s="24">
        <f>ROUND(SUM(M969:M976)/I977,2)</f>
        <v>6.69</v>
      </c>
      <c r="P977" s="24">
        <f>ROUND(SUM(N969:N976)/I977,2)</f>
        <v>2.4300000000000002</v>
      </c>
      <c r="Q977" s="9"/>
      <c r="S977" s="25"/>
    </row>
    <row r="978" spans="1:19" ht="20.25" customHeight="1" x14ac:dyDescent="0.25">
      <c r="A978" s="27" t="s">
        <v>62</v>
      </c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</row>
    <row r="979" spans="1:19" ht="16.5" customHeight="1" x14ac:dyDescent="0.25">
      <c r="A979" s="9"/>
      <c r="B979" s="51" t="s">
        <v>63</v>
      </c>
      <c r="C979" s="52"/>
      <c r="D979" s="52"/>
      <c r="E979" s="52"/>
      <c r="F979" s="52"/>
      <c r="G979" s="53"/>
      <c r="H979" s="20"/>
      <c r="I979" s="9">
        <v>4</v>
      </c>
      <c r="J979" s="9"/>
      <c r="K979" s="9"/>
      <c r="L979" s="9"/>
      <c r="M979" s="9">
        <f t="shared" ref="M979:M987" si="128">I979*O979</f>
        <v>23.2</v>
      </c>
      <c r="N979" s="9">
        <f t="shared" ref="N979:N987" si="129">I979*P979</f>
        <v>8</v>
      </c>
      <c r="O979" s="9">
        <v>5.8</v>
      </c>
      <c r="P979" s="9">
        <v>2</v>
      </c>
      <c r="Q979" s="9" t="s">
        <v>3</v>
      </c>
      <c r="R979" s="1">
        <v>0</v>
      </c>
      <c r="S979" s="26"/>
    </row>
    <row r="980" spans="1:19" ht="16.5" customHeight="1" x14ac:dyDescent="0.25">
      <c r="A980" s="9"/>
      <c r="B980" s="51" t="s">
        <v>64</v>
      </c>
      <c r="C980" s="52"/>
      <c r="D980" s="52"/>
      <c r="E980" s="52"/>
      <c r="F980" s="52"/>
      <c r="G980" s="53"/>
      <c r="H980" s="20"/>
      <c r="I980" s="9">
        <v>4</v>
      </c>
      <c r="J980" s="9"/>
      <c r="K980" s="9"/>
      <c r="L980" s="9"/>
      <c r="M980" s="9">
        <f t="shared" si="128"/>
        <v>8</v>
      </c>
      <c r="N980" s="9">
        <f t="shared" si="129"/>
        <v>0</v>
      </c>
      <c r="O980" s="9">
        <v>2</v>
      </c>
      <c r="P980" s="9">
        <v>0</v>
      </c>
      <c r="Q980" s="9" t="s">
        <v>7</v>
      </c>
      <c r="R980" s="1">
        <v>0</v>
      </c>
      <c r="S980" s="26"/>
    </row>
    <row r="981" spans="1:19" ht="16.5" customHeight="1" x14ac:dyDescent="0.25">
      <c r="A981" s="9"/>
      <c r="B981" s="51" t="s">
        <v>65</v>
      </c>
      <c r="C981" s="52"/>
      <c r="D981" s="52"/>
      <c r="E981" s="52"/>
      <c r="F981" s="52"/>
      <c r="G981" s="53"/>
      <c r="H981" s="20"/>
      <c r="I981" s="9">
        <v>4</v>
      </c>
      <c r="J981" s="9"/>
      <c r="K981" s="9"/>
      <c r="L981" s="9"/>
      <c r="M981" s="9">
        <f t="shared" si="128"/>
        <v>27.2</v>
      </c>
      <c r="N981" s="9">
        <f t="shared" si="129"/>
        <v>10</v>
      </c>
      <c r="O981" s="9">
        <v>6.8</v>
      </c>
      <c r="P981" s="9">
        <v>2.5</v>
      </c>
      <c r="Q981" s="9" t="s">
        <v>5</v>
      </c>
      <c r="R981" s="1">
        <v>0</v>
      </c>
      <c r="S981" s="26"/>
    </row>
    <row r="982" spans="1:19" ht="16.5" customHeight="1" x14ac:dyDescent="0.25">
      <c r="A982" s="9"/>
      <c r="B982" s="51" t="s">
        <v>66</v>
      </c>
      <c r="C982" s="52"/>
      <c r="D982" s="52"/>
      <c r="E982" s="52"/>
      <c r="F982" s="52"/>
      <c r="G982" s="53"/>
      <c r="H982" s="20"/>
      <c r="I982" s="9">
        <v>1</v>
      </c>
      <c r="J982" s="9"/>
      <c r="K982" s="9"/>
      <c r="L982" s="9"/>
      <c r="M982" s="9">
        <f t="shared" si="128"/>
        <v>6.7</v>
      </c>
      <c r="N982" s="9">
        <f t="shared" si="129"/>
        <v>2.5</v>
      </c>
      <c r="O982" s="9">
        <v>6.7</v>
      </c>
      <c r="P982" s="9">
        <v>2.5</v>
      </c>
      <c r="Q982" s="9" t="s">
        <v>5</v>
      </c>
      <c r="R982" s="1">
        <v>0</v>
      </c>
      <c r="S982" s="26"/>
    </row>
    <row r="983" spans="1:19" ht="16.5" customHeight="1" x14ac:dyDescent="0.25">
      <c r="A983" s="9"/>
      <c r="B983" s="51" t="s">
        <v>67</v>
      </c>
      <c r="C983" s="52"/>
      <c r="D983" s="52"/>
      <c r="E983" s="52"/>
      <c r="F983" s="52"/>
      <c r="G983" s="53"/>
      <c r="H983" s="20"/>
      <c r="I983" s="9">
        <v>1</v>
      </c>
      <c r="J983" s="9"/>
      <c r="K983" s="9"/>
      <c r="L983" s="9"/>
      <c r="M983" s="9">
        <f t="shared" si="128"/>
        <v>7.4</v>
      </c>
      <c r="N983" s="9">
        <f t="shared" si="129"/>
        <v>3</v>
      </c>
      <c r="O983" s="9">
        <v>7.4</v>
      </c>
      <c r="P983" s="9">
        <v>3</v>
      </c>
      <c r="Q983" s="9" t="s">
        <v>6</v>
      </c>
      <c r="R983" s="1">
        <v>0</v>
      </c>
      <c r="S983" s="26"/>
    </row>
    <row r="984" spans="1:19" ht="16.5" customHeight="1" x14ac:dyDescent="0.25">
      <c r="A984" s="9"/>
      <c r="B984" s="51" t="s">
        <v>69</v>
      </c>
      <c r="C984" s="52"/>
      <c r="D984" s="52"/>
      <c r="E984" s="52"/>
      <c r="F984" s="52"/>
      <c r="G984" s="53"/>
      <c r="H984" s="20"/>
      <c r="I984" s="9">
        <v>1</v>
      </c>
      <c r="J984" s="9"/>
      <c r="K984" s="9"/>
      <c r="L984" s="9"/>
      <c r="M984" s="9">
        <f t="shared" si="128"/>
        <v>7.3</v>
      </c>
      <c r="N984" s="9">
        <f t="shared" si="129"/>
        <v>3</v>
      </c>
      <c r="O984" s="9">
        <v>7.3</v>
      </c>
      <c r="P984" s="9">
        <v>3</v>
      </c>
      <c r="Q984" s="9" t="s">
        <v>6</v>
      </c>
      <c r="R984" s="1">
        <v>0</v>
      </c>
      <c r="S984" s="26"/>
    </row>
    <row r="985" spans="1:19" ht="16.5" customHeight="1" x14ac:dyDescent="0.25">
      <c r="A985" s="9"/>
      <c r="B985" s="51" t="s">
        <v>68</v>
      </c>
      <c r="C985" s="52"/>
      <c r="D985" s="52"/>
      <c r="E985" s="52"/>
      <c r="F985" s="52"/>
      <c r="G985" s="53"/>
      <c r="H985" s="20"/>
      <c r="I985" s="9">
        <v>1</v>
      </c>
      <c r="J985" s="9"/>
      <c r="K985" s="9"/>
      <c r="L985" s="9"/>
      <c r="M985" s="9">
        <f t="shared" si="128"/>
        <v>7.3</v>
      </c>
      <c r="N985" s="9">
        <f t="shared" si="129"/>
        <v>3</v>
      </c>
      <c r="O985" s="9">
        <v>7.3</v>
      </c>
      <c r="P985" s="9">
        <v>3</v>
      </c>
      <c r="Q985" s="9" t="s">
        <v>6</v>
      </c>
      <c r="R985" s="1">
        <v>0</v>
      </c>
      <c r="S985" s="26"/>
    </row>
    <row r="986" spans="1:19" ht="16.5" hidden="1" customHeight="1" x14ac:dyDescent="0.25">
      <c r="A986" s="21"/>
      <c r="H986" s="21"/>
      <c r="I986" s="21"/>
      <c r="J986" s="21"/>
      <c r="K986" s="21"/>
      <c r="L986" s="21"/>
      <c r="M986" s="9">
        <f t="shared" si="128"/>
        <v>0</v>
      </c>
      <c r="N986" s="9">
        <f t="shared" si="129"/>
        <v>0</v>
      </c>
      <c r="O986" s="21"/>
      <c r="P986" s="21"/>
      <c r="Q986" s="21"/>
      <c r="S986" s="25"/>
    </row>
    <row r="987" spans="1:19" ht="16.5" customHeight="1" x14ac:dyDescent="0.25">
      <c r="A987" s="9"/>
      <c r="B987" s="39" t="s">
        <v>42</v>
      </c>
      <c r="C987" s="40"/>
      <c r="D987" s="40"/>
      <c r="E987" s="40"/>
      <c r="F987" s="40"/>
      <c r="G987" s="41"/>
      <c r="H987" s="23"/>
      <c r="I987" s="24">
        <f>SUM(I979:I986)</f>
        <v>16</v>
      </c>
      <c r="J987" s="9"/>
      <c r="K987" s="9"/>
      <c r="L987" s="9"/>
      <c r="M987" s="9">
        <f t="shared" si="128"/>
        <v>87.04</v>
      </c>
      <c r="N987" s="9">
        <f t="shared" si="129"/>
        <v>29.44</v>
      </c>
      <c r="O987" s="24">
        <f>ROUND(SUM(M979:M986)/I987,2)</f>
        <v>5.44</v>
      </c>
      <c r="P987" s="24">
        <f>ROUND(SUM(N979:N986)/I987,2)</f>
        <v>1.84</v>
      </c>
      <c r="Q987" s="9"/>
      <c r="S987" s="25"/>
    </row>
    <row r="988" spans="1:19" ht="20.25" customHeight="1" x14ac:dyDescent="0.25">
      <c r="A988" s="27" t="s">
        <v>131</v>
      </c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</row>
    <row r="989" spans="1:19" ht="16.5" customHeight="1" x14ac:dyDescent="0.25">
      <c r="A989" s="9"/>
      <c r="B989" s="51" t="s">
        <v>64</v>
      </c>
      <c r="C989" s="52"/>
      <c r="D989" s="52"/>
      <c r="E989" s="52"/>
      <c r="F989" s="52"/>
      <c r="G989" s="53"/>
      <c r="H989" s="20"/>
      <c r="I989" s="9">
        <v>4</v>
      </c>
      <c r="J989" s="9"/>
      <c r="K989" s="9"/>
      <c r="L989" s="9"/>
      <c r="M989" s="9">
        <f>I989*O989</f>
        <v>30</v>
      </c>
      <c r="N989" s="9">
        <f>I989*P989</f>
        <v>12</v>
      </c>
      <c r="O989" s="9">
        <v>7.5</v>
      </c>
      <c r="P989" s="9">
        <v>3</v>
      </c>
      <c r="Q989" s="9" t="s">
        <v>6</v>
      </c>
      <c r="R989" s="1">
        <v>6</v>
      </c>
      <c r="S989" s="26" t="s">
        <v>132</v>
      </c>
    </row>
    <row r="990" spans="1:19" ht="16.5" hidden="1" customHeight="1" x14ac:dyDescent="0.25">
      <c r="A990" s="21"/>
      <c r="H990" s="21"/>
      <c r="I990" s="21"/>
      <c r="J990" s="21"/>
      <c r="K990" s="21"/>
      <c r="L990" s="21"/>
      <c r="M990" s="9">
        <f>I990*O990</f>
        <v>0</v>
      </c>
      <c r="N990" s="9">
        <f>I990*P990</f>
        <v>0</v>
      </c>
      <c r="O990" s="21"/>
      <c r="P990" s="21"/>
      <c r="Q990" s="21"/>
      <c r="S990" s="25"/>
    </row>
    <row r="991" spans="1:19" ht="16.5" customHeight="1" x14ac:dyDescent="0.25">
      <c r="A991" s="9"/>
      <c r="B991" s="39" t="s">
        <v>42</v>
      </c>
      <c r="C991" s="40"/>
      <c r="D991" s="40"/>
      <c r="E991" s="40"/>
      <c r="F991" s="40"/>
      <c r="G991" s="41"/>
      <c r="H991" s="23"/>
      <c r="I991" s="24">
        <f>SUM(I989:I990)</f>
        <v>4</v>
      </c>
      <c r="J991" s="9"/>
      <c r="K991" s="9"/>
      <c r="L991" s="9"/>
      <c r="M991" s="9">
        <f>I991*O991</f>
        <v>30</v>
      </c>
      <c r="N991" s="9">
        <f>I991*P991</f>
        <v>12</v>
      </c>
      <c r="O991" s="24">
        <f>ROUND(SUM(M989:M990)/I991,2)</f>
        <v>7.5</v>
      </c>
      <c r="P991" s="24">
        <f>ROUND(SUM(N989:N990)/I991,2)</f>
        <v>3</v>
      </c>
      <c r="Q991" s="9"/>
      <c r="S991" s="25"/>
    </row>
    <row r="992" spans="1:19" ht="20.25" customHeight="1" x14ac:dyDescent="0.25">
      <c r="A992" s="27" t="s">
        <v>70</v>
      </c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</row>
    <row r="993" spans="1:19" ht="16.5" customHeight="1" x14ac:dyDescent="0.25">
      <c r="A993" s="9"/>
      <c r="B993" s="51" t="s">
        <v>72</v>
      </c>
      <c r="C993" s="52"/>
      <c r="D993" s="52"/>
      <c r="E993" s="52"/>
      <c r="F993" s="52"/>
      <c r="G993" s="53"/>
      <c r="H993" s="20"/>
      <c r="I993" s="9">
        <v>4</v>
      </c>
      <c r="J993" s="9"/>
      <c r="K993" s="9"/>
      <c r="L993" s="9"/>
      <c r="M993" s="9">
        <f t="shared" ref="M993:M1001" si="130">I993*O993</f>
        <v>26.4</v>
      </c>
      <c r="N993" s="9">
        <f t="shared" ref="N993:N1001" si="131">I993*P993</f>
        <v>10</v>
      </c>
      <c r="O993" s="9">
        <v>6.6</v>
      </c>
      <c r="P993" s="9">
        <v>2.5</v>
      </c>
      <c r="Q993" s="9" t="s">
        <v>5</v>
      </c>
      <c r="R993" s="1">
        <v>0</v>
      </c>
      <c r="S993" s="26"/>
    </row>
    <row r="994" spans="1:19" ht="16.5" customHeight="1" x14ac:dyDescent="0.25">
      <c r="A994" s="9"/>
      <c r="B994" s="51" t="s">
        <v>73</v>
      </c>
      <c r="C994" s="52"/>
      <c r="D994" s="52"/>
      <c r="E994" s="52"/>
      <c r="F994" s="52"/>
      <c r="G994" s="53"/>
      <c r="H994" s="20"/>
      <c r="I994" s="9">
        <v>1</v>
      </c>
      <c r="J994" s="9"/>
      <c r="K994" s="9"/>
      <c r="L994" s="9"/>
      <c r="M994" s="9">
        <f t="shared" si="130"/>
        <v>5.7</v>
      </c>
      <c r="N994" s="9">
        <f t="shared" si="131"/>
        <v>2</v>
      </c>
      <c r="O994" s="9">
        <v>5.7</v>
      </c>
      <c r="P994" s="9">
        <v>2</v>
      </c>
      <c r="Q994" s="9" t="s">
        <v>3</v>
      </c>
      <c r="R994" s="1">
        <v>0</v>
      </c>
      <c r="S994" s="26"/>
    </row>
    <row r="995" spans="1:19" ht="16.5" customHeight="1" x14ac:dyDescent="0.25">
      <c r="A995" s="9"/>
      <c r="B995" s="51" t="s">
        <v>74</v>
      </c>
      <c r="C995" s="52"/>
      <c r="D995" s="52"/>
      <c r="E995" s="52"/>
      <c r="F995" s="52"/>
      <c r="G995" s="53"/>
      <c r="H995" s="20"/>
      <c r="I995" s="9">
        <v>2</v>
      </c>
      <c r="J995" s="9"/>
      <c r="K995" s="9"/>
      <c r="L995" s="9"/>
      <c r="M995" s="9">
        <f t="shared" si="130"/>
        <v>15.8</v>
      </c>
      <c r="N995" s="9">
        <f t="shared" si="131"/>
        <v>6</v>
      </c>
      <c r="O995" s="9">
        <v>7.9</v>
      </c>
      <c r="P995" s="9">
        <v>3</v>
      </c>
      <c r="Q995" s="9" t="s">
        <v>6</v>
      </c>
      <c r="R995" s="1">
        <v>0</v>
      </c>
      <c r="S995" s="26"/>
    </row>
    <row r="996" spans="1:19" ht="16.5" customHeight="1" x14ac:dyDescent="0.25">
      <c r="A996" s="9"/>
      <c r="B996" s="51" t="s">
        <v>71</v>
      </c>
      <c r="C996" s="52"/>
      <c r="D996" s="52"/>
      <c r="E996" s="52"/>
      <c r="F996" s="52"/>
      <c r="G996" s="53"/>
      <c r="H996" s="20"/>
      <c r="I996" s="9">
        <v>4</v>
      </c>
      <c r="J996" s="9"/>
      <c r="K996" s="9"/>
      <c r="L996" s="9"/>
      <c r="M996" s="9">
        <f t="shared" si="130"/>
        <v>20.399999999999999</v>
      </c>
      <c r="N996" s="9">
        <f t="shared" si="131"/>
        <v>6</v>
      </c>
      <c r="O996" s="9">
        <v>5.0999999999999996</v>
      </c>
      <c r="P996" s="9">
        <v>1.5</v>
      </c>
      <c r="Q996" s="9" t="s">
        <v>4</v>
      </c>
      <c r="R996" s="1">
        <v>0</v>
      </c>
      <c r="S996" s="26"/>
    </row>
    <row r="997" spans="1:19" ht="16.5" customHeight="1" x14ac:dyDescent="0.25">
      <c r="A997" s="9"/>
      <c r="B997" s="51" t="s">
        <v>76</v>
      </c>
      <c r="C997" s="52"/>
      <c r="D997" s="52"/>
      <c r="E997" s="52"/>
      <c r="F997" s="52"/>
      <c r="G997" s="53"/>
      <c r="H997" s="20"/>
      <c r="I997" s="9">
        <v>4</v>
      </c>
      <c r="J997" s="9"/>
      <c r="K997" s="9"/>
      <c r="L997" s="9"/>
      <c r="M997" s="9">
        <f t="shared" si="130"/>
        <v>23.6</v>
      </c>
      <c r="N997" s="9">
        <f t="shared" si="131"/>
        <v>8</v>
      </c>
      <c r="O997" s="9">
        <v>5.9</v>
      </c>
      <c r="P997" s="9">
        <v>2</v>
      </c>
      <c r="Q997" s="9" t="s">
        <v>3</v>
      </c>
      <c r="R997" s="1">
        <v>0</v>
      </c>
      <c r="S997" s="26"/>
    </row>
    <row r="998" spans="1:19" ht="16.5" customHeight="1" x14ac:dyDescent="0.25">
      <c r="A998" s="9"/>
      <c r="B998" s="51" t="s">
        <v>75</v>
      </c>
      <c r="C998" s="52"/>
      <c r="D998" s="52"/>
      <c r="E998" s="52"/>
      <c r="F998" s="52"/>
      <c r="G998" s="53"/>
      <c r="H998" s="20"/>
      <c r="I998" s="9">
        <v>1</v>
      </c>
      <c r="J998" s="9"/>
      <c r="K998" s="9"/>
      <c r="L998" s="9"/>
      <c r="M998" s="9">
        <f t="shared" si="130"/>
        <v>6.3</v>
      </c>
      <c r="N998" s="9">
        <f t="shared" si="131"/>
        <v>2</v>
      </c>
      <c r="O998" s="9">
        <v>6.3</v>
      </c>
      <c r="P998" s="9">
        <v>2</v>
      </c>
      <c r="Q998" s="9" t="s">
        <v>3</v>
      </c>
      <c r="R998" s="1">
        <v>0</v>
      </c>
      <c r="S998" s="26"/>
    </row>
    <row r="999" spans="1:19" ht="16.5" customHeight="1" x14ac:dyDescent="0.25">
      <c r="A999" s="9"/>
      <c r="B999" s="51" t="s">
        <v>77</v>
      </c>
      <c r="C999" s="52"/>
      <c r="D999" s="52"/>
      <c r="E999" s="52"/>
      <c r="F999" s="52"/>
      <c r="G999" s="53"/>
      <c r="H999" s="20"/>
      <c r="I999" s="9">
        <v>3</v>
      </c>
      <c r="J999" s="9"/>
      <c r="K999" s="9"/>
      <c r="L999" s="9"/>
      <c r="M999" s="9">
        <f t="shared" si="130"/>
        <v>20.700000000000003</v>
      </c>
      <c r="N999" s="9">
        <f t="shared" si="131"/>
        <v>7.5</v>
      </c>
      <c r="O999" s="9">
        <v>6.9</v>
      </c>
      <c r="P999" s="9">
        <v>2.5</v>
      </c>
      <c r="Q999" s="9" t="s">
        <v>5</v>
      </c>
      <c r="R999" s="1">
        <v>0</v>
      </c>
      <c r="S999" s="26"/>
    </row>
    <row r="1000" spans="1:19" ht="16.5" hidden="1" customHeight="1" x14ac:dyDescent="0.25">
      <c r="A1000" s="21"/>
      <c r="H1000" s="21"/>
      <c r="I1000" s="21"/>
      <c r="J1000" s="21"/>
      <c r="K1000" s="21"/>
      <c r="L1000" s="21"/>
      <c r="M1000" s="9">
        <f t="shared" si="130"/>
        <v>0</v>
      </c>
      <c r="N1000" s="9">
        <f t="shared" si="131"/>
        <v>0</v>
      </c>
      <c r="O1000" s="21"/>
      <c r="P1000" s="21"/>
      <c r="Q1000" s="21"/>
      <c r="S1000" s="25"/>
    </row>
    <row r="1001" spans="1:19" ht="16.5" customHeight="1" x14ac:dyDescent="0.25">
      <c r="A1001" s="9"/>
      <c r="B1001" s="39" t="s">
        <v>42</v>
      </c>
      <c r="C1001" s="40"/>
      <c r="D1001" s="40"/>
      <c r="E1001" s="40"/>
      <c r="F1001" s="40"/>
      <c r="G1001" s="41"/>
      <c r="H1001" s="23"/>
      <c r="I1001" s="24">
        <f>SUM(I993:I1000)</f>
        <v>19</v>
      </c>
      <c r="J1001" s="9"/>
      <c r="K1001" s="9"/>
      <c r="L1001" s="9"/>
      <c r="M1001" s="9">
        <f t="shared" si="130"/>
        <v>118.94</v>
      </c>
      <c r="N1001" s="9">
        <f t="shared" si="131"/>
        <v>41.42</v>
      </c>
      <c r="O1001" s="24">
        <f>ROUND(SUM(M993:M1000)/I1001,2)</f>
        <v>6.26</v>
      </c>
      <c r="P1001" s="24">
        <f>ROUND(SUM(N993:N1000)/I1001,2)</f>
        <v>2.1800000000000002</v>
      </c>
      <c r="Q1001" s="9"/>
      <c r="S1001" s="25"/>
    </row>
    <row r="1002" spans="1:19" ht="20.25" customHeight="1" x14ac:dyDescent="0.25">
      <c r="A1002" s="27" t="s">
        <v>78</v>
      </c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</row>
    <row r="1003" spans="1:19" ht="16.5" customHeight="1" x14ac:dyDescent="0.25">
      <c r="A1003" s="9"/>
      <c r="B1003" s="51" t="s">
        <v>79</v>
      </c>
      <c r="C1003" s="52"/>
      <c r="D1003" s="52"/>
      <c r="E1003" s="52"/>
      <c r="F1003" s="52"/>
      <c r="G1003" s="53"/>
      <c r="H1003" s="20"/>
      <c r="I1003" s="9">
        <v>1</v>
      </c>
      <c r="J1003" s="9"/>
      <c r="K1003" s="9"/>
      <c r="L1003" s="9"/>
      <c r="M1003" s="9">
        <f>I1003*O1003</f>
        <v>7.5</v>
      </c>
      <c r="N1003" s="9">
        <f>I1003*P1003</f>
        <v>3</v>
      </c>
      <c r="O1003" s="9">
        <v>7.5</v>
      </c>
      <c r="P1003" s="9">
        <v>3</v>
      </c>
      <c r="Q1003" s="9" t="s">
        <v>6</v>
      </c>
      <c r="R1003" s="1">
        <v>0</v>
      </c>
      <c r="S1003" s="26"/>
    </row>
    <row r="1004" spans="1:19" ht="16.5" customHeight="1" x14ac:dyDescent="0.25">
      <c r="A1004" s="9"/>
      <c r="B1004" s="51" t="s">
        <v>80</v>
      </c>
      <c r="C1004" s="52"/>
      <c r="D1004" s="52"/>
      <c r="E1004" s="52"/>
      <c r="F1004" s="52"/>
      <c r="G1004" s="53"/>
      <c r="H1004" s="20"/>
      <c r="I1004" s="9">
        <v>3</v>
      </c>
      <c r="J1004" s="9"/>
      <c r="K1004" s="9"/>
      <c r="L1004" s="9"/>
      <c r="M1004" s="9">
        <f>I1004*O1004</f>
        <v>23.4</v>
      </c>
      <c r="N1004" s="9">
        <f>I1004*P1004</f>
        <v>9</v>
      </c>
      <c r="O1004" s="9">
        <v>7.8</v>
      </c>
      <c r="P1004" s="9">
        <v>3</v>
      </c>
      <c r="Q1004" s="9" t="s">
        <v>6</v>
      </c>
      <c r="R1004" s="1">
        <v>0</v>
      </c>
      <c r="S1004" s="26"/>
    </row>
    <row r="1005" spans="1:19" ht="16.5" customHeight="1" x14ac:dyDescent="0.25">
      <c r="A1005" s="9"/>
      <c r="B1005" s="51" t="s">
        <v>87</v>
      </c>
      <c r="C1005" s="52"/>
      <c r="D1005" s="52"/>
      <c r="E1005" s="52"/>
      <c r="F1005" s="52"/>
      <c r="G1005" s="53"/>
      <c r="H1005" s="20"/>
      <c r="I1005" s="9">
        <v>3</v>
      </c>
      <c r="J1005" s="9"/>
      <c r="K1005" s="9"/>
      <c r="L1005" s="9"/>
      <c r="M1005" s="9">
        <f>I1005*O1005</f>
        <v>14.700000000000001</v>
      </c>
      <c r="N1005" s="9">
        <f>I1005*P1005</f>
        <v>3</v>
      </c>
      <c r="O1005" s="9">
        <v>4.9000000000000004</v>
      </c>
      <c r="P1005" s="9">
        <v>1</v>
      </c>
      <c r="Q1005" s="9" t="s">
        <v>8</v>
      </c>
      <c r="R1005" s="1">
        <v>0</v>
      </c>
      <c r="S1005" s="26"/>
    </row>
    <row r="1006" spans="1:19" ht="15" customHeight="1" x14ac:dyDescent="0.25">
      <c r="A1006" s="36" t="s">
        <v>0</v>
      </c>
      <c r="B1006" s="29" t="s">
        <v>1</v>
      </c>
      <c r="C1006" s="30"/>
      <c r="D1006" s="30"/>
      <c r="E1006" s="30"/>
      <c r="F1006" s="30"/>
      <c r="G1006" s="31"/>
      <c r="H1006" s="36" t="s">
        <v>32</v>
      </c>
      <c r="I1006" s="36" t="s">
        <v>39</v>
      </c>
      <c r="J1006" s="55" t="s">
        <v>2</v>
      </c>
      <c r="K1006" s="56"/>
      <c r="L1006" s="56"/>
      <c r="M1006" s="56"/>
      <c r="N1006" s="56"/>
      <c r="O1006" s="56"/>
      <c r="P1006" s="56"/>
      <c r="Q1006" s="57"/>
      <c r="S1006" s="36" t="s">
        <v>38</v>
      </c>
    </row>
    <row r="1007" spans="1:19" ht="24" customHeight="1" x14ac:dyDescent="0.25">
      <c r="A1007" s="37"/>
      <c r="B1007" s="32"/>
      <c r="C1007" s="33"/>
      <c r="D1007" s="33"/>
      <c r="E1007" s="33"/>
      <c r="F1007" s="33"/>
      <c r="G1007" s="34"/>
      <c r="H1007" s="37"/>
      <c r="I1007" s="37"/>
      <c r="J1007" s="7" t="s">
        <v>28</v>
      </c>
      <c r="K1007" s="7" t="s">
        <v>29</v>
      </c>
      <c r="L1007" s="7" t="s">
        <v>30</v>
      </c>
      <c r="M1007" s="7"/>
      <c r="N1007" s="7"/>
      <c r="O1007" s="6" t="s">
        <v>35</v>
      </c>
      <c r="P1007" s="6" t="s">
        <v>36</v>
      </c>
      <c r="Q1007" s="6" t="s">
        <v>37</v>
      </c>
      <c r="S1007" s="37"/>
    </row>
    <row r="1008" spans="1:19" ht="16.5" customHeight="1" x14ac:dyDescent="0.25">
      <c r="A1008" s="9"/>
      <c r="B1008" s="51" t="s">
        <v>82</v>
      </c>
      <c r="C1008" s="52"/>
      <c r="D1008" s="52"/>
      <c r="E1008" s="52"/>
      <c r="F1008" s="52"/>
      <c r="G1008" s="53"/>
      <c r="H1008" s="20"/>
      <c r="I1008" s="9">
        <v>2</v>
      </c>
      <c r="J1008" s="9"/>
      <c r="K1008" s="9"/>
      <c r="L1008" s="9"/>
      <c r="M1008" s="9">
        <f t="shared" ref="M1008:M1015" si="132">I1008*O1008</f>
        <v>16.2</v>
      </c>
      <c r="N1008" s="9">
        <f t="shared" ref="N1008:N1015" si="133">I1008*P1008</f>
        <v>7</v>
      </c>
      <c r="O1008" s="9">
        <v>8.1</v>
      </c>
      <c r="P1008" s="9">
        <v>3.5</v>
      </c>
      <c r="Q1008" s="9" t="s">
        <v>9</v>
      </c>
      <c r="R1008" s="1">
        <v>0</v>
      </c>
      <c r="S1008" s="26"/>
    </row>
    <row r="1009" spans="1:19" ht="16.5" customHeight="1" x14ac:dyDescent="0.25">
      <c r="A1009" s="9"/>
      <c r="B1009" s="51" t="s">
        <v>83</v>
      </c>
      <c r="C1009" s="52"/>
      <c r="D1009" s="52"/>
      <c r="E1009" s="52"/>
      <c r="F1009" s="52"/>
      <c r="G1009" s="53"/>
      <c r="H1009" s="20"/>
      <c r="I1009" s="9">
        <v>2</v>
      </c>
      <c r="J1009" s="9"/>
      <c r="K1009" s="9"/>
      <c r="L1009" s="9"/>
      <c r="M1009" s="9">
        <f t="shared" si="132"/>
        <v>14.2</v>
      </c>
      <c r="N1009" s="9">
        <f t="shared" si="133"/>
        <v>6</v>
      </c>
      <c r="O1009" s="9">
        <v>7.1</v>
      </c>
      <c r="P1009" s="9">
        <v>3</v>
      </c>
      <c r="Q1009" s="9" t="s">
        <v>6</v>
      </c>
      <c r="R1009" s="1">
        <v>0</v>
      </c>
      <c r="S1009" s="26"/>
    </row>
    <row r="1010" spans="1:19" ht="16.5" customHeight="1" x14ac:dyDescent="0.25">
      <c r="A1010" s="9"/>
      <c r="B1010" s="51" t="s">
        <v>84</v>
      </c>
      <c r="C1010" s="52"/>
      <c r="D1010" s="52"/>
      <c r="E1010" s="52"/>
      <c r="F1010" s="52"/>
      <c r="G1010" s="53"/>
      <c r="H1010" s="20"/>
      <c r="I1010" s="9">
        <v>3</v>
      </c>
      <c r="J1010" s="9"/>
      <c r="K1010" s="9"/>
      <c r="L1010" s="9"/>
      <c r="M1010" s="9">
        <f t="shared" si="132"/>
        <v>21.6</v>
      </c>
      <c r="N1010" s="9">
        <f t="shared" si="133"/>
        <v>9</v>
      </c>
      <c r="O1010" s="9">
        <v>7.2</v>
      </c>
      <c r="P1010" s="9">
        <v>3</v>
      </c>
      <c r="Q1010" s="9" t="s">
        <v>6</v>
      </c>
      <c r="R1010" s="1">
        <v>0</v>
      </c>
      <c r="S1010" s="26"/>
    </row>
    <row r="1011" spans="1:19" ht="16.5" customHeight="1" x14ac:dyDescent="0.25">
      <c r="A1011" s="9"/>
      <c r="B1011" s="51" t="s">
        <v>85</v>
      </c>
      <c r="C1011" s="52"/>
      <c r="D1011" s="52"/>
      <c r="E1011" s="52"/>
      <c r="F1011" s="52"/>
      <c r="G1011" s="53"/>
      <c r="H1011" s="20"/>
      <c r="I1011" s="9">
        <v>2</v>
      </c>
      <c r="J1011" s="9"/>
      <c r="K1011" s="9"/>
      <c r="L1011" s="9"/>
      <c r="M1011" s="9">
        <f t="shared" si="132"/>
        <v>13.6</v>
      </c>
      <c r="N1011" s="9">
        <f t="shared" si="133"/>
        <v>5</v>
      </c>
      <c r="O1011" s="9">
        <v>6.8</v>
      </c>
      <c r="P1011" s="9">
        <v>2.5</v>
      </c>
      <c r="Q1011" s="9" t="s">
        <v>5</v>
      </c>
      <c r="R1011" s="1">
        <v>0</v>
      </c>
      <c r="S1011" s="26"/>
    </row>
    <row r="1012" spans="1:19" ht="16.5" customHeight="1" x14ac:dyDescent="0.25">
      <c r="A1012" s="9"/>
      <c r="B1012" s="51" t="s">
        <v>86</v>
      </c>
      <c r="C1012" s="52"/>
      <c r="D1012" s="52"/>
      <c r="E1012" s="52"/>
      <c r="F1012" s="52"/>
      <c r="G1012" s="53"/>
      <c r="H1012" s="20"/>
      <c r="I1012" s="9">
        <v>3</v>
      </c>
      <c r="J1012" s="9"/>
      <c r="K1012" s="9"/>
      <c r="L1012" s="9"/>
      <c r="M1012" s="9">
        <f t="shared" si="132"/>
        <v>27.599999999999998</v>
      </c>
      <c r="N1012" s="9">
        <f t="shared" si="133"/>
        <v>12</v>
      </c>
      <c r="O1012" s="9">
        <v>9.1999999999999993</v>
      </c>
      <c r="P1012" s="9">
        <v>4</v>
      </c>
      <c r="Q1012" s="9" t="s">
        <v>12</v>
      </c>
      <c r="R1012" s="1">
        <v>0</v>
      </c>
      <c r="S1012" s="26"/>
    </row>
    <row r="1013" spans="1:19" ht="16.5" customHeight="1" x14ac:dyDescent="0.25">
      <c r="A1013" s="9"/>
      <c r="B1013" s="51" t="s">
        <v>81</v>
      </c>
      <c r="C1013" s="52"/>
      <c r="D1013" s="52"/>
      <c r="E1013" s="52"/>
      <c r="F1013" s="52"/>
      <c r="G1013" s="53"/>
      <c r="H1013" s="20"/>
      <c r="I1013" s="9">
        <v>3</v>
      </c>
      <c r="J1013" s="9"/>
      <c r="K1013" s="9"/>
      <c r="L1013" s="9"/>
      <c r="M1013" s="9">
        <f t="shared" si="132"/>
        <v>21</v>
      </c>
      <c r="N1013" s="9">
        <f t="shared" si="133"/>
        <v>9</v>
      </c>
      <c r="O1013" s="9">
        <v>7</v>
      </c>
      <c r="P1013" s="9">
        <v>3</v>
      </c>
      <c r="Q1013" s="9" t="s">
        <v>6</v>
      </c>
      <c r="R1013" s="1">
        <v>0</v>
      </c>
      <c r="S1013" s="26"/>
    </row>
    <row r="1014" spans="1:19" ht="16.5" hidden="1" customHeight="1" x14ac:dyDescent="0.25">
      <c r="A1014" s="21"/>
      <c r="H1014" s="21"/>
      <c r="I1014" s="21"/>
      <c r="J1014" s="21"/>
      <c r="K1014" s="21"/>
      <c r="L1014" s="21"/>
      <c r="M1014" s="9">
        <f t="shared" si="132"/>
        <v>0</v>
      </c>
      <c r="N1014" s="9">
        <f t="shared" si="133"/>
        <v>0</v>
      </c>
      <c r="O1014" s="21"/>
      <c r="P1014" s="21"/>
      <c r="Q1014" s="21"/>
      <c r="S1014" s="25"/>
    </row>
    <row r="1015" spans="1:19" ht="16.5" customHeight="1" x14ac:dyDescent="0.25">
      <c r="A1015" s="9"/>
      <c r="B1015" s="39" t="s">
        <v>42</v>
      </c>
      <c r="C1015" s="40"/>
      <c r="D1015" s="40"/>
      <c r="E1015" s="40"/>
      <c r="F1015" s="40"/>
      <c r="G1015" s="41"/>
      <c r="H1015" s="23"/>
      <c r="I1015" s="24">
        <f>SUM(I1003:I1014)</f>
        <v>22</v>
      </c>
      <c r="J1015" s="9"/>
      <c r="K1015" s="9"/>
      <c r="L1015" s="9"/>
      <c r="M1015" s="9">
        <f t="shared" si="132"/>
        <v>159.72</v>
      </c>
      <c r="N1015" s="9">
        <f t="shared" si="133"/>
        <v>62.919999999999995</v>
      </c>
      <c r="O1015" s="24">
        <f>ROUND(SUM(M1003:M1014)/I1015,2)</f>
        <v>7.26</v>
      </c>
      <c r="P1015" s="24">
        <f>ROUND(SUM(N1003:N1014)/I1015,2)</f>
        <v>2.86</v>
      </c>
      <c r="Q1015" s="9"/>
      <c r="S1015" s="25"/>
    </row>
    <row r="1016" spans="1:19" ht="20.25" customHeight="1" x14ac:dyDescent="0.25">
      <c r="A1016" s="27" t="s">
        <v>88</v>
      </c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</row>
    <row r="1017" spans="1:19" ht="16.5" customHeight="1" x14ac:dyDescent="0.25">
      <c r="A1017" s="9"/>
      <c r="B1017" s="51" t="s">
        <v>96</v>
      </c>
      <c r="C1017" s="52"/>
      <c r="D1017" s="52"/>
      <c r="E1017" s="52"/>
      <c r="F1017" s="52"/>
      <c r="G1017" s="53"/>
      <c r="H1017" s="20"/>
      <c r="I1017" s="9">
        <v>3</v>
      </c>
      <c r="J1017" s="9"/>
      <c r="K1017" s="9"/>
      <c r="L1017" s="9"/>
      <c r="M1017" s="9">
        <f t="shared" ref="M1017:M1028" si="134">I1017*O1017</f>
        <v>23.700000000000003</v>
      </c>
      <c r="N1017" s="9">
        <f t="shared" ref="N1017:N1028" si="135">I1017*P1017</f>
        <v>9</v>
      </c>
      <c r="O1017" s="9">
        <v>7.9</v>
      </c>
      <c r="P1017" s="9">
        <v>3</v>
      </c>
      <c r="Q1017" s="9" t="s">
        <v>6</v>
      </c>
      <c r="R1017" s="1">
        <v>0</v>
      </c>
      <c r="S1017" s="26"/>
    </row>
    <row r="1018" spans="1:19" ht="16.5" customHeight="1" x14ac:dyDescent="0.25">
      <c r="A1018" s="9"/>
      <c r="B1018" s="51" t="s">
        <v>90</v>
      </c>
      <c r="C1018" s="52"/>
      <c r="D1018" s="52"/>
      <c r="E1018" s="52"/>
      <c r="F1018" s="52"/>
      <c r="G1018" s="53"/>
      <c r="H1018" s="20"/>
      <c r="I1018" s="9">
        <v>3</v>
      </c>
      <c r="J1018" s="9"/>
      <c r="K1018" s="9"/>
      <c r="L1018" s="9"/>
      <c r="M1018" s="9">
        <f t="shared" si="134"/>
        <v>22.799999999999997</v>
      </c>
      <c r="N1018" s="9">
        <f t="shared" si="135"/>
        <v>9</v>
      </c>
      <c r="O1018" s="9">
        <v>7.6</v>
      </c>
      <c r="P1018" s="9">
        <v>3</v>
      </c>
      <c r="Q1018" s="9" t="s">
        <v>6</v>
      </c>
      <c r="R1018" s="1">
        <v>0</v>
      </c>
      <c r="S1018" s="26"/>
    </row>
    <row r="1019" spans="1:19" ht="16.5" customHeight="1" x14ac:dyDescent="0.25">
      <c r="A1019" s="9"/>
      <c r="B1019" s="51" t="s">
        <v>91</v>
      </c>
      <c r="C1019" s="52"/>
      <c r="D1019" s="52"/>
      <c r="E1019" s="52"/>
      <c r="F1019" s="52"/>
      <c r="G1019" s="53"/>
      <c r="H1019" s="20"/>
      <c r="I1019" s="9">
        <v>2</v>
      </c>
      <c r="J1019" s="9"/>
      <c r="K1019" s="9"/>
      <c r="L1019" s="9"/>
      <c r="M1019" s="9">
        <f t="shared" si="134"/>
        <v>14.6</v>
      </c>
      <c r="N1019" s="9">
        <f t="shared" si="135"/>
        <v>6</v>
      </c>
      <c r="O1019" s="9">
        <v>7.3</v>
      </c>
      <c r="P1019" s="9">
        <v>3</v>
      </c>
      <c r="Q1019" s="9" t="s">
        <v>6</v>
      </c>
      <c r="R1019" s="1">
        <v>0</v>
      </c>
      <c r="S1019" s="26"/>
    </row>
    <row r="1020" spans="1:19" ht="16.5" customHeight="1" x14ac:dyDescent="0.25">
      <c r="A1020" s="9"/>
      <c r="B1020" s="51" t="s">
        <v>92</v>
      </c>
      <c r="C1020" s="52"/>
      <c r="D1020" s="52"/>
      <c r="E1020" s="52"/>
      <c r="F1020" s="52"/>
      <c r="G1020" s="53"/>
      <c r="H1020" s="20"/>
      <c r="I1020" s="9">
        <v>3</v>
      </c>
      <c r="J1020" s="9"/>
      <c r="K1020" s="9"/>
      <c r="L1020" s="9"/>
      <c r="M1020" s="9">
        <f t="shared" si="134"/>
        <v>17.100000000000001</v>
      </c>
      <c r="N1020" s="9">
        <f t="shared" si="135"/>
        <v>6</v>
      </c>
      <c r="O1020" s="9">
        <v>5.7</v>
      </c>
      <c r="P1020" s="9">
        <v>2</v>
      </c>
      <c r="Q1020" s="9" t="s">
        <v>3</v>
      </c>
      <c r="R1020" s="1">
        <v>0</v>
      </c>
      <c r="S1020" s="26"/>
    </row>
    <row r="1021" spans="1:19" ht="16.5" customHeight="1" x14ac:dyDescent="0.25">
      <c r="A1021" s="9"/>
      <c r="B1021" s="51" t="s">
        <v>93</v>
      </c>
      <c r="C1021" s="52"/>
      <c r="D1021" s="52"/>
      <c r="E1021" s="52"/>
      <c r="F1021" s="52"/>
      <c r="G1021" s="53"/>
      <c r="H1021" s="20"/>
      <c r="I1021" s="9">
        <v>1</v>
      </c>
      <c r="J1021" s="9"/>
      <c r="K1021" s="9"/>
      <c r="L1021" s="9"/>
      <c r="M1021" s="9">
        <f t="shared" si="134"/>
        <v>7.6</v>
      </c>
      <c r="N1021" s="9">
        <f t="shared" si="135"/>
        <v>3</v>
      </c>
      <c r="O1021" s="9">
        <v>7.6</v>
      </c>
      <c r="P1021" s="9">
        <v>3</v>
      </c>
      <c r="Q1021" s="9" t="s">
        <v>6</v>
      </c>
      <c r="R1021" s="1">
        <v>0</v>
      </c>
      <c r="S1021" s="26"/>
    </row>
    <row r="1022" spans="1:19" ht="16.5" customHeight="1" x14ac:dyDescent="0.25">
      <c r="A1022" s="9"/>
      <c r="B1022" s="51" t="s">
        <v>94</v>
      </c>
      <c r="C1022" s="52"/>
      <c r="D1022" s="52"/>
      <c r="E1022" s="52"/>
      <c r="F1022" s="52"/>
      <c r="G1022" s="53"/>
      <c r="H1022" s="20"/>
      <c r="I1022" s="9">
        <v>1</v>
      </c>
      <c r="J1022" s="9"/>
      <c r="K1022" s="9"/>
      <c r="L1022" s="9"/>
      <c r="M1022" s="9">
        <f t="shared" si="134"/>
        <v>7.2</v>
      </c>
      <c r="N1022" s="9">
        <f t="shared" si="135"/>
        <v>3</v>
      </c>
      <c r="O1022" s="9">
        <v>7.2</v>
      </c>
      <c r="P1022" s="9">
        <v>3</v>
      </c>
      <c r="Q1022" s="9" t="s">
        <v>6</v>
      </c>
      <c r="R1022" s="1">
        <v>0</v>
      </c>
      <c r="S1022" s="26"/>
    </row>
    <row r="1023" spans="1:19" ht="16.5" customHeight="1" x14ac:dyDescent="0.25">
      <c r="A1023" s="9"/>
      <c r="B1023" s="51" t="s">
        <v>95</v>
      </c>
      <c r="C1023" s="52"/>
      <c r="D1023" s="52"/>
      <c r="E1023" s="52"/>
      <c r="F1023" s="52"/>
      <c r="G1023" s="53"/>
      <c r="H1023" s="20"/>
      <c r="I1023" s="9">
        <v>3</v>
      </c>
      <c r="J1023" s="9"/>
      <c r="K1023" s="9"/>
      <c r="L1023" s="9"/>
      <c r="M1023" s="9">
        <f t="shared" si="134"/>
        <v>23.4</v>
      </c>
      <c r="N1023" s="9">
        <f t="shared" si="135"/>
        <v>9</v>
      </c>
      <c r="O1023" s="9">
        <v>7.8</v>
      </c>
      <c r="P1023" s="9">
        <v>3</v>
      </c>
      <c r="Q1023" s="9" t="s">
        <v>6</v>
      </c>
      <c r="R1023" s="1">
        <v>0</v>
      </c>
      <c r="S1023" s="26"/>
    </row>
    <row r="1024" spans="1:19" ht="16.5" customHeight="1" x14ac:dyDescent="0.25">
      <c r="A1024" s="9"/>
      <c r="B1024" s="51" t="s">
        <v>89</v>
      </c>
      <c r="C1024" s="52"/>
      <c r="D1024" s="52"/>
      <c r="E1024" s="52"/>
      <c r="F1024" s="52"/>
      <c r="G1024" s="53"/>
      <c r="H1024" s="20"/>
      <c r="I1024" s="9">
        <v>2</v>
      </c>
      <c r="J1024" s="9"/>
      <c r="K1024" s="9"/>
      <c r="L1024" s="9"/>
      <c r="M1024" s="9">
        <f t="shared" si="134"/>
        <v>15.2</v>
      </c>
      <c r="N1024" s="9">
        <f t="shared" si="135"/>
        <v>6</v>
      </c>
      <c r="O1024" s="9">
        <v>7.6</v>
      </c>
      <c r="P1024" s="9">
        <v>3</v>
      </c>
      <c r="Q1024" s="9" t="s">
        <v>6</v>
      </c>
      <c r="R1024" s="1">
        <v>0</v>
      </c>
      <c r="S1024" s="26"/>
    </row>
    <row r="1025" spans="1:19" ht="16.5" customHeight="1" x14ac:dyDescent="0.25">
      <c r="A1025" s="9"/>
      <c r="B1025" s="51" t="s">
        <v>97</v>
      </c>
      <c r="C1025" s="52"/>
      <c r="D1025" s="52"/>
      <c r="E1025" s="52"/>
      <c r="F1025" s="52"/>
      <c r="G1025" s="53"/>
      <c r="H1025" s="20"/>
      <c r="I1025" s="9">
        <v>1</v>
      </c>
      <c r="J1025" s="9"/>
      <c r="K1025" s="9"/>
      <c r="L1025" s="9"/>
      <c r="M1025" s="9">
        <f t="shared" si="134"/>
        <v>7.5</v>
      </c>
      <c r="N1025" s="9">
        <f t="shared" si="135"/>
        <v>3</v>
      </c>
      <c r="O1025" s="9">
        <v>7.5</v>
      </c>
      <c r="P1025" s="9">
        <v>3</v>
      </c>
      <c r="Q1025" s="9" t="s">
        <v>6</v>
      </c>
      <c r="R1025" s="1">
        <v>0</v>
      </c>
      <c r="S1025" s="26"/>
    </row>
    <row r="1026" spans="1:19" ht="16.5" customHeight="1" x14ac:dyDescent="0.25">
      <c r="A1026" s="9"/>
      <c r="B1026" s="51" t="s">
        <v>98</v>
      </c>
      <c r="C1026" s="52"/>
      <c r="D1026" s="52"/>
      <c r="E1026" s="52"/>
      <c r="F1026" s="52"/>
      <c r="G1026" s="53"/>
      <c r="H1026" s="20"/>
      <c r="I1026" s="9">
        <v>3</v>
      </c>
      <c r="J1026" s="9"/>
      <c r="K1026" s="9"/>
      <c r="L1026" s="9"/>
      <c r="M1026" s="9">
        <f t="shared" si="134"/>
        <v>18.299999999999997</v>
      </c>
      <c r="N1026" s="9">
        <f t="shared" si="135"/>
        <v>6</v>
      </c>
      <c r="O1026" s="9">
        <v>6.1</v>
      </c>
      <c r="P1026" s="9">
        <v>2</v>
      </c>
      <c r="Q1026" s="9" t="s">
        <v>3</v>
      </c>
      <c r="R1026" s="1">
        <v>0</v>
      </c>
      <c r="S1026" s="26"/>
    </row>
    <row r="1027" spans="1:19" ht="16.5" hidden="1" customHeight="1" x14ac:dyDescent="0.25">
      <c r="A1027" s="21"/>
      <c r="H1027" s="21"/>
      <c r="I1027" s="21"/>
      <c r="J1027" s="21"/>
      <c r="K1027" s="21"/>
      <c r="L1027" s="21"/>
      <c r="M1027" s="9">
        <f t="shared" si="134"/>
        <v>0</v>
      </c>
      <c r="N1027" s="9">
        <f t="shared" si="135"/>
        <v>0</v>
      </c>
      <c r="O1027" s="21"/>
      <c r="P1027" s="21"/>
      <c r="Q1027" s="21"/>
      <c r="S1027" s="25"/>
    </row>
    <row r="1028" spans="1:19" ht="16.5" customHeight="1" x14ac:dyDescent="0.25">
      <c r="A1028" s="9"/>
      <c r="B1028" s="39" t="s">
        <v>42</v>
      </c>
      <c r="C1028" s="40"/>
      <c r="D1028" s="40"/>
      <c r="E1028" s="40"/>
      <c r="F1028" s="40"/>
      <c r="G1028" s="41"/>
      <c r="H1028" s="23"/>
      <c r="I1028" s="24">
        <f>SUM(I1017:I1027)</f>
        <v>22</v>
      </c>
      <c r="J1028" s="9"/>
      <c r="K1028" s="9"/>
      <c r="L1028" s="9"/>
      <c r="M1028" s="9">
        <f t="shared" si="134"/>
        <v>157.30000000000001</v>
      </c>
      <c r="N1028" s="9">
        <f t="shared" si="135"/>
        <v>60.06</v>
      </c>
      <c r="O1028" s="24">
        <f>ROUND(SUM(M1017:M1027)/I1028,2)</f>
        <v>7.15</v>
      </c>
      <c r="P1028" s="24">
        <f>ROUND(SUM(N1017:N1027)/I1028,2)</f>
        <v>2.73</v>
      </c>
      <c r="Q1028" s="9"/>
      <c r="S1028" s="25"/>
    </row>
    <row r="1029" spans="1:19" ht="20.25" customHeight="1" x14ac:dyDescent="0.25">
      <c r="A1029" s="27" t="s">
        <v>99</v>
      </c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</row>
    <row r="1030" spans="1:19" ht="16.5" customHeight="1" x14ac:dyDescent="0.25">
      <c r="A1030" s="9"/>
      <c r="B1030" s="51" t="s">
        <v>100</v>
      </c>
      <c r="C1030" s="52"/>
      <c r="D1030" s="52"/>
      <c r="E1030" s="52"/>
      <c r="F1030" s="52"/>
      <c r="G1030" s="53"/>
      <c r="H1030" s="20"/>
      <c r="I1030" s="9">
        <v>2</v>
      </c>
      <c r="J1030" s="9"/>
      <c r="K1030" s="9"/>
      <c r="L1030" s="9"/>
      <c r="M1030" s="9">
        <f t="shared" ref="M1030:M1043" si="136">I1030*O1030</f>
        <v>15.4</v>
      </c>
      <c r="N1030" s="9">
        <f t="shared" ref="N1030:N1043" si="137">I1030*P1030</f>
        <v>6</v>
      </c>
      <c r="O1030" s="9">
        <v>7.7</v>
      </c>
      <c r="P1030" s="9">
        <v>3</v>
      </c>
      <c r="Q1030" s="9" t="s">
        <v>6</v>
      </c>
      <c r="R1030" s="1">
        <v>0</v>
      </c>
      <c r="S1030" s="26"/>
    </row>
    <row r="1031" spans="1:19" ht="16.5" customHeight="1" x14ac:dyDescent="0.25">
      <c r="A1031" s="9"/>
      <c r="B1031" s="51" t="s">
        <v>101</v>
      </c>
      <c r="C1031" s="52"/>
      <c r="D1031" s="52"/>
      <c r="E1031" s="52"/>
      <c r="F1031" s="52"/>
      <c r="G1031" s="53"/>
      <c r="H1031" s="20"/>
      <c r="I1031" s="9">
        <v>2</v>
      </c>
      <c r="J1031" s="9"/>
      <c r="K1031" s="9"/>
      <c r="L1031" s="9"/>
      <c r="M1031" s="9">
        <f t="shared" si="136"/>
        <v>16</v>
      </c>
      <c r="N1031" s="9">
        <f t="shared" si="137"/>
        <v>7</v>
      </c>
      <c r="O1031" s="9">
        <v>8</v>
      </c>
      <c r="P1031" s="9">
        <v>3.5</v>
      </c>
      <c r="Q1031" s="9" t="s">
        <v>9</v>
      </c>
      <c r="R1031" s="1">
        <v>0</v>
      </c>
      <c r="S1031" s="26"/>
    </row>
    <row r="1032" spans="1:19" ht="16.5" customHeight="1" x14ac:dyDescent="0.25">
      <c r="A1032" s="9"/>
      <c r="B1032" s="51" t="s">
        <v>102</v>
      </c>
      <c r="C1032" s="52"/>
      <c r="D1032" s="52"/>
      <c r="E1032" s="52"/>
      <c r="F1032" s="52"/>
      <c r="G1032" s="53"/>
      <c r="H1032" s="20"/>
      <c r="I1032" s="9">
        <v>1</v>
      </c>
      <c r="J1032" s="9"/>
      <c r="K1032" s="9"/>
      <c r="L1032" s="9"/>
      <c r="M1032" s="9">
        <f t="shared" si="136"/>
        <v>8</v>
      </c>
      <c r="N1032" s="9">
        <f t="shared" si="137"/>
        <v>3.5</v>
      </c>
      <c r="O1032" s="9">
        <v>8</v>
      </c>
      <c r="P1032" s="9">
        <v>3.5</v>
      </c>
      <c r="Q1032" s="9" t="s">
        <v>9</v>
      </c>
      <c r="R1032" s="1">
        <v>0</v>
      </c>
      <c r="S1032" s="26"/>
    </row>
    <row r="1033" spans="1:19" ht="16.5" customHeight="1" x14ac:dyDescent="0.25">
      <c r="A1033" s="9"/>
      <c r="B1033" s="51" t="s">
        <v>103</v>
      </c>
      <c r="C1033" s="52"/>
      <c r="D1033" s="52"/>
      <c r="E1033" s="52"/>
      <c r="F1033" s="52"/>
      <c r="G1033" s="53"/>
      <c r="H1033" s="20"/>
      <c r="I1033" s="9">
        <v>2</v>
      </c>
      <c r="J1033" s="9"/>
      <c r="K1033" s="9"/>
      <c r="L1033" s="9"/>
      <c r="M1033" s="9">
        <f t="shared" si="136"/>
        <v>13</v>
      </c>
      <c r="N1033" s="9">
        <f t="shared" si="137"/>
        <v>5</v>
      </c>
      <c r="O1033" s="9">
        <v>6.5</v>
      </c>
      <c r="P1033" s="9">
        <v>2.5</v>
      </c>
      <c r="Q1033" s="9" t="s">
        <v>5</v>
      </c>
      <c r="R1033" s="1">
        <v>0</v>
      </c>
      <c r="S1033" s="26"/>
    </row>
    <row r="1034" spans="1:19" ht="16.5" customHeight="1" x14ac:dyDescent="0.25">
      <c r="A1034" s="9"/>
      <c r="B1034" s="51" t="s">
        <v>104</v>
      </c>
      <c r="C1034" s="52"/>
      <c r="D1034" s="52"/>
      <c r="E1034" s="52"/>
      <c r="F1034" s="52"/>
      <c r="G1034" s="53"/>
      <c r="H1034" s="20"/>
      <c r="I1034" s="9">
        <v>3</v>
      </c>
      <c r="J1034" s="9"/>
      <c r="K1034" s="9"/>
      <c r="L1034" s="9"/>
      <c r="M1034" s="9">
        <f t="shared" si="136"/>
        <v>24.900000000000002</v>
      </c>
      <c r="N1034" s="9">
        <f t="shared" si="137"/>
        <v>10.5</v>
      </c>
      <c r="O1034" s="9">
        <v>8.3000000000000007</v>
      </c>
      <c r="P1034" s="9">
        <v>3.5</v>
      </c>
      <c r="Q1034" s="9" t="s">
        <v>9</v>
      </c>
      <c r="R1034" s="1">
        <v>0</v>
      </c>
      <c r="S1034" s="26"/>
    </row>
    <row r="1035" spans="1:19" ht="16.5" customHeight="1" x14ac:dyDescent="0.25">
      <c r="A1035" s="9"/>
      <c r="B1035" s="51" t="s">
        <v>105</v>
      </c>
      <c r="C1035" s="52"/>
      <c r="D1035" s="52"/>
      <c r="E1035" s="52"/>
      <c r="F1035" s="52"/>
      <c r="G1035" s="53"/>
      <c r="H1035" s="20"/>
      <c r="I1035" s="9">
        <v>3</v>
      </c>
      <c r="J1035" s="9"/>
      <c r="K1035" s="9"/>
      <c r="L1035" s="9"/>
      <c r="M1035" s="9">
        <f t="shared" si="136"/>
        <v>27.299999999999997</v>
      </c>
      <c r="N1035" s="9">
        <f t="shared" si="137"/>
        <v>12</v>
      </c>
      <c r="O1035" s="9">
        <v>9.1</v>
      </c>
      <c r="P1035" s="9">
        <v>4</v>
      </c>
      <c r="Q1035" s="9" t="s">
        <v>12</v>
      </c>
      <c r="R1035" s="1">
        <v>0</v>
      </c>
      <c r="S1035" s="26"/>
    </row>
    <row r="1036" spans="1:19" ht="16.5" customHeight="1" x14ac:dyDescent="0.25">
      <c r="A1036" s="9"/>
      <c r="B1036" s="51" t="s">
        <v>106</v>
      </c>
      <c r="C1036" s="52"/>
      <c r="D1036" s="52"/>
      <c r="E1036" s="52"/>
      <c r="F1036" s="52"/>
      <c r="G1036" s="53"/>
      <c r="H1036" s="20"/>
      <c r="I1036" s="9">
        <v>2</v>
      </c>
      <c r="J1036" s="9"/>
      <c r="K1036" s="9"/>
      <c r="L1036" s="9"/>
      <c r="M1036" s="9">
        <f t="shared" si="136"/>
        <v>14.8</v>
      </c>
      <c r="N1036" s="9">
        <f t="shared" si="137"/>
        <v>6</v>
      </c>
      <c r="O1036" s="9">
        <v>7.4</v>
      </c>
      <c r="P1036" s="9">
        <v>3</v>
      </c>
      <c r="Q1036" s="9" t="s">
        <v>6</v>
      </c>
      <c r="R1036" s="1">
        <v>0</v>
      </c>
      <c r="S1036" s="26"/>
    </row>
    <row r="1037" spans="1:19" ht="16.5" customHeight="1" x14ac:dyDescent="0.25">
      <c r="A1037" s="9"/>
      <c r="B1037" s="51" t="s">
        <v>107</v>
      </c>
      <c r="C1037" s="52"/>
      <c r="D1037" s="52"/>
      <c r="E1037" s="52"/>
      <c r="F1037" s="52"/>
      <c r="G1037" s="53"/>
      <c r="H1037" s="20"/>
      <c r="I1037" s="9">
        <v>3</v>
      </c>
      <c r="J1037" s="9"/>
      <c r="K1037" s="9"/>
      <c r="L1037" s="9"/>
      <c r="M1037" s="9">
        <f t="shared" si="136"/>
        <v>21.6</v>
      </c>
      <c r="N1037" s="9">
        <f t="shared" si="137"/>
        <v>9</v>
      </c>
      <c r="O1037" s="9">
        <v>7.2</v>
      </c>
      <c r="P1037" s="9">
        <v>3</v>
      </c>
      <c r="Q1037" s="9" t="s">
        <v>6</v>
      </c>
      <c r="R1037" s="1">
        <v>0</v>
      </c>
      <c r="S1037" s="26"/>
    </row>
    <row r="1038" spans="1:19" ht="16.5" customHeight="1" x14ac:dyDescent="0.25">
      <c r="A1038" s="9"/>
      <c r="B1038" s="51" t="s">
        <v>108</v>
      </c>
      <c r="C1038" s="52"/>
      <c r="D1038" s="52"/>
      <c r="E1038" s="52"/>
      <c r="F1038" s="52"/>
      <c r="G1038" s="53"/>
      <c r="H1038" s="20"/>
      <c r="I1038" s="9">
        <v>1</v>
      </c>
      <c r="J1038" s="9"/>
      <c r="K1038" s="9"/>
      <c r="L1038" s="9"/>
      <c r="M1038" s="9">
        <f t="shared" si="136"/>
        <v>8</v>
      </c>
      <c r="N1038" s="9">
        <f t="shared" si="137"/>
        <v>3.5</v>
      </c>
      <c r="O1038" s="9">
        <v>8</v>
      </c>
      <c r="P1038" s="9">
        <v>3.5</v>
      </c>
      <c r="Q1038" s="9" t="s">
        <v>9</v>
      </c>
      <c r="R1038" s="1">
        <v>0</v>
      </c>
      <c r="S1038" s="26"/>
    </row>
    <row r="1039" spans="1:19" ht="16.5" customHeight="1" x14ac:dyDescent="0.25">
      <c r="A1039" s="9"/>
      <c r="B1039" s="51" t="s">
        <v>109</v>
      </c>
      <c r="C1039" s="52"/>
      <c r="D1039" s="52"/>
      <c r="E1039" s="52"/>
      <c r="F1039" s="52"/>
      <c r="G1039" s="53"/>
      <c r="H1039" s="20"/>
      <c r="I1039" s="9">
        <v>2</v>
      </c>
      <c r="J1039" s="9"/>
      <c r="K1039" s="9"/>
      <c r="L1039" s="9"/>
      <c r="M1039" s="9">
        <f t="shared" si="136"/>
        <v>14.6</v>
      </c>
      <c r="N1039" s="9">
        <f t="shared" si="137"/>
        <v>6</v>
      </c>
      <c r="O1039" s="9">
        <v>7.3</v>
      </c>
      <c r="P1039" s="9">
        <v>3</v>
      </c>
      <c r="Q1039" s="9" t="s">
        <v>6</v>
      </c>
      <c r="R1039" s="1">
        <v>0</v>
      </c>
      <c r="S1039" s="26"/>
    </row>
    <row r="1040" spans="1:19" ht="16.5" customHeight="1" x14ac:dyDescent="0.25">
      <c r="A1040" s="9"/>
      <c r="B1040" s="51" t="s">
        <v>110</v>
      </c>
      <c r="C1040" s="52"/>
      <c r="D1040" s="52"/>
      <c r="E1040" s="52"/>
      <c r="F1040" s="52"/>
      <c r="G1040" s="53"/>
      <c r="H1040" s="20"/>
      <c r="I1040" s="9">
        <v>1</v>
      </c>
      <c r="J1040" s="9"/>
      <c r="K1040" s="9"/>
      <c r="L1040" s="9"/>
      <c r="M1040" s="9">
        <f t="shared" si="136"/>
        <v>9</v>
      </c>
      <c r="N1040" s="9">
        <f t="shared" si="137"/>
        <v>4</v>
      </c>
      <c r="O1040" s="9">
        <v>9</v>
      </c>
      <c r="P1040" s="9">
        <v>4</v>
      </c>
      <c r="Q1040" s="9" t="s">
        <v>12</v>
      </c>
      <c r="R1040" s="1">
        <v>0</v>
      </c>
      <c r="S1040" s="26"/>
    </row>
    <row r="1041" spans="1:19" ht="16.5" customHeight="1" x14ac:dyDescent="0.25">
      <c r="A1041" s="9"/>
      <c r="B1041" s="51" t="s">
        <v>111</v>
      </c>
      <c r="C1041" s="52"/>
      <c r="D1041" s="52"/>
      <c r="E1041" s="52"/>
      <c r="F1041" s="52"/>
      <c r="G1041" s="53"/>
      <c r="H1041" s="20"/>
      <c r="I1041" s="9">
        <v>3</v>
      </c>
      <c r="J1041" s="9"/>
      <c r="K1041" s="9"/>
      <c r="L1041" s="9"/>
      <c r="M1041" s="9">
        <f t="shared" si="136"/>
        <v>26.099999999999998</v>
      </c>
      <c r="N1041" s="9">
        <f t="shared" si="137"/>
        <v>11.100000000000001</v>
      </c>
      <c r="O1041" s="9">
        <v>8.6999999999999993</v>
      </c>
      <c r="P1041" s="9">
        <v>3.7</v>
      </c>
      <c r="Q1041" s="9" t="s">
        <v>10</v>
      </c>
      <c r="R1041" s="1">
        <v>0</v>
      </c>
      <c r="S1041" s="26"/>
    </row>
    <row r="1042" spans="1:19" ht="16.5" hidden="1" customHeight="1" x14ac:dyDescent="0.25">
      <c r="A1042" s="21"/>
      <c r="H1042" s="21"/>
      <c r="I1042" s="21"/>
      <c r="J1042" s="21"/>
      <c r="K1042" s="21"/>
      <c r="L1042" s="21"/>
      <c r="M1042" s="9">
        <f t="shared" si="136"/>
        <v>0</v>
      </c>
      <c r="N1042" s="9">
        <f t="shared" si="137"/>
        <v>0</v>
      </c>
      <c r="O1042" s="21"/>
      <c r="P1042" s="21"/>
      <c r="Q1042" s="21"/>
      <c r="S1042" s="25"/>
    </row>
    <row r="1043" spans="1:19" ht="16.5" customHeight="1" x14ac:dyDescent="0.25">
      <c r="A1043" s="9"/>
      <c r="B1043" s="39" t="s">
        <v>42</v>
      </c>
      <c r="C1043" s="40"/>
      <c r="D1043" s="40"/>
      <c r="E1043" s="40"/>
      <c r="F1043" s="40"/>
      <c r="G1043" s="41"/>
      <c r="H1043" s="23"/>
      <c r="I1043" s="24">
        <f>SUM(I1030:I1042)</f>
        <v>25</v>
      </c>
      <c r="J1043" s="9"/>
      <c r="K1043" s="9"/>
      <c r="L1043" s="9"/>
      <c r="M1043" s="9">
        <f t="shared" si="136"/>
        <v>198.75</v>
      </c>
      <c r="N1043" s="9">
        <f t="shared" si="137"/>
        <v>83.5</v>
      </c>
      <c r="O1043" s="24">
        <f>ROUND(SUM(M1030:M1042)/I1043,2)</f>
        <v>7.95</v>
      </c>
      <c r="P1043" s="24">
        <f>ROUND(SUM(N1030:N1042)/I1043,2)</f>
        <v>3.34</v>
      </c>
      <c r="Q1043" s="9"/>
      <c r="S1043" s="25"/>
    </row>
    <row r="1044" spans="1:19" ht="20.25" customHeight="1" x14ac:dyDescent="0.25">
      <c r="A1044" s="27" t="s">
        <v>112</v>
      </c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</row>
    <row r="1045" spans="1:19" ht="16.5" customHeight="1" x14ac:dyDescent="0.25">
      <c r="A1045" s="9"/>
      <c r="B1045" s="51" t="s">
        <v>113</v>
      </c>
      <c r="C1045" s="52"/>
      <c r="D1045" s="52"/>
      <c r="E1045" s="52"/>
      <c r="F1045" s="52"/>
      <c r="G1045" s="53"/>
      <c r="H1045" s="20"/>
      <c r="I1045" s="9">
        <v>2</v>
      </c>
      <c r="J1045" s="9"/>
      <c r="K1045" s="9"/>
      <c r="L1045" s="9"/>
      <c r="M1045" s="9">
        <f t="shared" ref="M1045:M1053" si="138">I1045*O1045</f>
        <v>0</v>
      </c>
      <c r="N1045" s="9">
        <f t="shared" ref="N1045:N1053" si="139">I1045*P1045</f>
        <v>0</v>
      </c>
      <c r="O1045" s="9"/>
      <c r="P1045" s="9"/>
      <c r="Q1045" s="9"/>
      <c r="R1045" s="1">
        <v>0</v>
      </c>
      <c r="S1045" s="26"/>
    </row>
    <row r="1046" spans="1:19" ht="16.5" customHeight="1" x14ac:dyDescent="0.25">
      <c r="A1046" s="9"/>
      <c r="B1046" s="51" t="s">
        <v>114</v>
      </c>
      <c r="C1046" s="52"/>
      <c r="D1046" s="52"/>
      <c r="E1046" s="52"/>
      <c r="F1046" s="52"/>
      <c r="G1046" s="53"/>
      <c r="H1046" s="20"/>
      <c r="I1046" s="9">
        <v>3</v>
      </c>
      <c r="J1046" s="9"/>
      <c r="K1046" s="9"/>
      <c r="L1046" s="9"/>
      <c r="M1046" s="9">
        <f t="shared" si="138"/>
        <v>21.6</v>
      </c>
      <c r="N1046" s="9">
        <f t="shared" si="139"/>
        <v>9</v>
      </c>
      <c r="O1046" s="9">
        <v>7.2</v>
      </c>
      <c r="P1046" s="9">
        <v>3</v>
      </c>
      <c r="Q1046" s="9" t="s">
        <v>6</v>
      </c>
      <c r="R1046" s="1">
        <v>0</v>
      </c>
      <c r="S1046" s="26"/>
    </row>
    <row r="1047" spans="1:19" ht="16.5" customHeight="1" x14ac:dyDescent="0.25">
      <c r="A1047" s="9"/>
      <c r="B1047" s="51" t="s">
        <v>115</v>
      </c>
      <c r="C1047" s="52"/>
      <c r="D1047" s="52"/>
      <c r="E1047" s="52"/>
      <c r="F1047" s="52"/>
      <c r="G1047" s="53"/>
      <c r="H1047" s="20"/>
      <c r="I1047" s="9">
        <v>1</v>
      </c>
      <c r="J1047" s="9"/>
      <c r="K1047" s="9"/>
      <c r="L1047" s="9"/>
      <c r="M1047" s="9">
        <f t="shared" si="138"/>
        <v>7.7</v>
      </c>
      <c r="N1047" s="9">
        <f t="shared" si="139"/>
        <v>3</v>
      </c>
      <c r="O1047" s="9">
        <v>7.7</v>
      </c>
      <c r="P1047" s="9">
        <v>3</v>
      </c>
      <c r="Q1047" s="9" t="s">
        <v>6</v>
      </c>
      <c r="R1047" s="1">
        <v>0</v>
      </c>
      <c r="S1047" s="26"/>
    </row>
    <row r="1048" spans="1:19" ht="16.5" customHeight="1" x14ac:dyDescent="0.25">
      <c r="A1048" s="9"/>
      <c r="B1048" s="51" t="s">
        <v>116</v>
      </c>
      <c r="C1048" s="52"/>
      <c r="D1048" s="52"/>
      <c r="E1048" s="52"/>
      <c r="F1048" s="52"/>
      <c r="G1048" s="53"/>
      <c r="H1048" s="20"/>
      <c r="I1048" s="9">
        <v>3</v>
      </c>
      <c r="J1048" s="9"/>
      <c r="K1048" s="9"/>
      <c r="L1048" s="9"/>
      <c r="M1048" s="9">
        <f t="shared" si="138"/>
        <v>21</v>
      </c>
      <c r="N1048" s="9">
        <f t="shared" si="139"/>
        <v>9</v>
      </c>
      <c r="O1048" s="9">
        <v>7</v>
      </c>
      <c r="P1048" s="9">
        <v>3</v>
      </c>
      <c r="Q1048" s="9" t="s">
        <v>6</v>
      </c>
      <c r="R1048" s="1">
        <v>0</v>
      </c>
      <c r="S1048" s="26"/>
    </row>
    <row r="1049" spans="1:19" ht="16.5" customHeight="1" x14ac:dyDescent="0.25">
      <c r="A1049" s="9"/>
      <c r="B1049" s="51" t="s">
        <v>117</v>
      </c>
      <c r="C1049" s="52"/>
      <c r="D1049" s="52"/>
      <c r="E1049" s="52"/>
      <c r="F1049" s="52"/>
      <c r="G1049" s="53"/>
      <c r="H1049" s="20"/>
      <c r="I1049" s="9">
        <v>3</v>
      </c>
      <c r="J1049" s="9"/>
      <c r="K1049" s="9"/>
      <c r="L1049" s="9"/>
      <c r="M1049" s="9">
        <f t="shared" si="138"/>
        <v>15.600000000000001</v>
      </c>
      <c r="N1049" s="9">
        <f t="shared" si="139"/>
        <v>4.5</v>
      </c>
      <c r="O1049" s="9">
        <v>5.2</v>
      </c>
      <c r="P1049" s="9">
        <v>1.5</v>
      </c>
      <c r="Q1049" s="9" t="s">
        <v>4</v>
      </c>
      <c r="R1049" s="1">
        <v>0</v>
      </c>
      <c r="S1049" s="26"/>
    </row>
    <row r="1050" spans="1:19" ht="31.2" customHeight="1" x14ac:dyDescent="0.25">
      <c r="A1050" s="9"/>
      <c r="B1050" s="51" t="s">
        <v>119</v>
      </c>
      <c r="C1050" s="52"/>
      <c r="D1050" s="52"/>
      <c r="E1050" s="52"/>
      <c r="F1050" s="52"/>
      <c r="G1050" s="53"/>
      <c r="H1050" s="20"/>
      <c r="I1050" s="9">
        <v>2</v>
      </c>
      <c r="J1050" s="9"/>
      <c r="K1050" s="9"/>
      <c r="L1050" s="9"/>
      <c r="M1050" s="9">
        <f t="shared" si="138"/>
        <v>0</v>
      </c>
      <c r="N1050" s="9">
        <f t="shared" si="139"/>
        <v>0</v>
      </c>
      <c r="O1050" s="9"/>
      <c r="P1050" s="9"/>
      <c r="Q1050" s="9"/>
      <c r="R1050" s="1">
        <v>0</v>
      </c>
      <c r="S1050" s="26"/>
    </row>
    <row r="1051" spans="1:19" ht="16.5" customHeight="1" x14ac:dyDescent="0.25">
      <c r="A1051" s="9"/>
      <c r="B1051" s="51" t="s">
        <v>118</v>
      </c>
      <c r="C1051" s="52"/>
      <c r="D1051" s="52"/>
      <c r="E1051" s="52"/>
      <c r="F1051" s="52"/>
      <c r="G1051" s="53"/>
      <c r="H1051" s="20"/>
      <c r="I1051" s="9">
        <v>3</v>
      </c>
      <c r="J1051" s="9"/>
      <c r="K1051" s="9"/>
      <c r="L1051" s="9"/>
      <c r="M1051" s="9">
        <f t="shared" si="138"/>
        <v>20.399999999999999</v>
      </c>
      <c r="N1051" s="9">
        <f t="shared" si="139"/>
        <v>7.5</v>
      </c>
      <c r="O1051" s="9">
        <v>6.8</v>
      </c>
      <c r="P1051" s="9">
        <v>2.5</v>
      </c>
      <c r="Q1051" s="9" t="s">
        <v>5</v>
      </c>
      <c r="R1051" s="1">
        <v>0</v>
      </c>
      <c r="S1051" s="26"/>
    </row>
    <row r="1052" spans="1:19" ht="16.5" hidden="1" customHeight="1" x14ac:dyDescent="0.25">
      <c r="A1052" s="21"/>
      <c r="H1052" s="21"/>
      <c r="I1052" s="21"/>
      <c r="J1052" s="21"/>
      <c r="K1052" s="21"/>
      <c r="L1052" s="21"/>
      <c r="M1052" s="9">
        <f t="shared" si="138"/>
        <v>0</v>
      </c>
      <c r="N1052" s="9">
        <f t="shared" si="139"/>
        <v>0</v>
      </c>
      <c r="O1052" s="21"/>
      <c r="P1052" s="21"/>
      <c r="Q1052" s="21"/>
      <c r="S1052" s="25"/>
    </row>
    <row r="1053" spans="1:19" ht="16.5" customHeight="1" x14ac:dyDescent="0.25">
      <c r="A1053" s="9"/>
      <c r="B1053" s="39" t="s">
        <v>42</v>
      </c>
      <c r="C1053" s="40"/>
      <c r="D1053" s="40"/>
      <c r="E1053" s="40"/>
      <c r="F1053" s="40"/>
      <c r="G1053" s="41"/>
      <c r="H1053" s="23"/>
      <c r="I1053" s="24">
        <f>SUM(I1045:I1052)</f>
        <v>17</v>
      </c>
      <c r="J1053" s="9"/>
      <c r="K1053" s="9"/>
      <c r="L1053" s="9"/>
      <c r="M1053" s="9">
        <f t="shared" si="138"/>
        <v>86.36</v>
      </c>
      <c r="N1053" s="9">
        <f t="shared" si="139"/>
        <v>32.979999999999997</v>
      </c>
      <c r="O1053" s="24">
        <f>ROUND(SUM(M1045:M1052)/I1053,2)</f>
        <v>5.08</v>
      </c>
      <c r="P1053" s="24">
        <f>ROUND(SUM(N1045:N1052)/I1053,2)</f>
        <v>1.94</v>
      </c>
      <c r="Q1053" s="9"/>
      <c r="S1053" s="25"/>
    </row>
    <row r="1054" spans="1:19" ht="16.5" customHeight="1" x14ac:dyDescent="0.25">
      <c r="A1054" s="21"/>
      <c r="B1054" s="22"/>
      <c r="C1054" s="22"/>
      <c r="D1054" s="22"/>
      <c r="E1054" s="22"/>
      <c r="F1054" s="22"/>
      <c r="G1054" s="22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</row>
    <row r="1056" spans="1:19" ht="18" x14ac:dyDescent="0.25">
      <c r="A1056" s="35" t="s">
        <v>128</v>
      </c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</row>
    <row r="1057" spans="1:20" ht="18" x14ac:dyDescent="0.25">
      <c r="A1057" s="35" t="s">
        <v>171</v>
      </c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</row>
    <row r="1058" spans="1:20" ht="18" x14ac:dyDescent="0.25">
      <c r="A1058" s="35" t="s">
        <v>172</v>
      </c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</row>
    <row r="1059" spans="1:20" ht="18" x14ac:dyDescent="0.25">
      <c r="A1059" s="45" t="s">
        <v>156</v>
      </c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</row>
    <row r="1060" spans="1:20" ht="19.5" customHeight="1" x14ac:dyDescent="0.25">
      <c r="A1060" s="17"/>
      <c r="B1060" s="17"/>
      <c r="C1060" s="8"/>
      <c r="D1060" s="18"/>
      <c r="E1060" s="10"/>
      <c r="F1060" s="11"/>
      <c r="G1060" s="46" t="s">
        <v>49</v>
      </c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</row>
    <row r="1061" spans="1:20" ht="31.5" customHeight="1" x14ac:dyDescent="0.3">
      <c r="A1061" s="8"/>
      <c r="B1061" s="8"/>
      <c r="C1061" s="8"/>
      <c r="D1061" s="8"/>
      <c r="E1061" s="8"/>
      <c r="F1061" s="8"/>
      <c r="G1061" s="8"/>
      <c r="H1061" s="12"/>
      <c r="I1061" s="42" t="s">
        <v>40</v>
      </c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</row>
    <row r="1062" spans="1:20" ht="16.8" x14ac:dyDescent="0.3">
      <c r="A1062" s="8"/>
      <c r="B1062" s="8"/>
      <c r="C1062" s="8"/>
      <c r="D1062" s="8"/>
      <c r="E1062" s="8"/>
      <c r="F1062" s="8"/>
      <c r="G1062" s="8"/>
      <c r="H1062" s="12"/>
      <c r="I1062" s="12"/>
      <c r="J1062" s="12"/>
      <c r="K1062" s="12"/>
      <c r="L1062" s="8"/>
      <c r="M1062" s="8"/>
      <c r="N1062" s="8"/>
      <c r="O1062" s="8"/>
      <c r="P1062" s="8"/>
      <c r="Q1062" s="8"/>
    </row>
    <row r="1063" spans="1:20" ht="33" customHeight="1" x14ac:dyDescent="0.3">
      <c r="A1063" s="8"/>
      <c r="B1063" s="8"/>
      <c r="C1063" s="8"/>
      <c r="D1063" s="8"/>
      <c r="E1063" s="8"/>
      <c r="F1063" s="8"/>
      <c r="G1063" s="8"/>
      <c r="H1063" s="12"/>
      <c r="I1063" s="12"/>
      <c r="J1063" s="12"/>
      <c r="K1063" s="12"/>
      <c r="L1063" s="8"/>
      <c r="M1063" s="8"/>
      <c r="N1063" s="8"/>
      <c r="O1063" s="8"/>
      <c r="P1063" s="8"/>
      <c r="Q1063" s="8"/>
    </row>
    <row r="1064" spans="1:20" ht="11.25" customHeight="1" x14ac:dyDescent="0.3">
      <c r="A1064" s="8"/>
      <c r="B1064" s="8"/>
      <c r="C1064" s="8"/>
      <c r="D1064" s="8"/>
      <c r="E1064" s="8"/>
      <c r="F1064" s="8"/>
      <c r="G1064" s="8"/>
      <c r="H1064" s="12"/>
      <c r="I1064" s="12"/>
      <c r="J1064" s="12"/>
      <c r="K1064" s="12"/>
      <c r="L1064" s="8"/>
      <c r="M1064" s="8"/>
      <c r="N1064" s="8"/>
      <c r="O1064" s="8"/>
      <c r="P1064" s="8"/>
      <c r="Q1064" s="8"/>
    </row>
    <row r="1065" spans="1:20" ht="17.399999999999999" x14ac:dyDescent="0.3">
      <c r="A1065" s="8"/>
      <c r="B1065" s="8"/>
      <c r="C1065" s="8"/>
      <c r="D1065" s="8"/>
      <c r="E1065" s="8"/>
      <c r="F1065" s="8"/>
      <c r="G1065" s="47" t="s">
        <v>41</v>
      </c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</row>
    <row r="1066" spans="1:20" ht="54" customHeight="1" x14ac:dyDescent="0.25">
      <c r="A1066" s="48" t="s">
        <v>33</v>
      </c>
      <c r="B1066" s="48"/>
      <c r="C1066" s="48"/>
      <c r="D1066" s="48"/>
      <c r="E1066" s="48"/>
      <c r="F1066" s="42" t="s">
        <v>24</v>
      </c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</row>
    <row r="1067" spans="1:20" ht="17.399999999999999" x14ac:dyDescent="0.25">
      <c r="A1067" s="49" t="s">
        <v>34</v>
      </c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</row>
    <row r="1068" spans="1:20" ht="4.5" customHeight="1" x14ac:dyDescent="0.25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</row>
    <row r="1069" spans="1:20" ht="5.25" customHeight="1" x14ac:dyDescent="0.25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</row>
    <row r="1070" spans="1:20" ht="16.5" customHeight="1" x14ac:dyDescent="0.25">
      <c r="A1070" s="54" t="s">
        <v>173</v>
      </c>
      <c r="B1070" s="54"/>
      <c r="C1070" s="54"/>
      <c r="D1070" s="54"/>
      <c r="E1070" s="54"/>
      <c r="F1070" s="54"/>
      <c r="G1070" s="58" t="s">
        <v>174</v>
      </c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</row>
    <row r="1071" spans="1:20" ht="16.5" customHeight="1" x14ac:dyDescent="0.25">
      <c r="A1071" s="54" t="s">
        <v>175</v>
      </c>
      <c r="B1071" s="54"/>
      <c r="C1071" s="54"/>
      <c r="D1071" s="54"/>
      <c r="E1071" s="54"/>
      <c r="F1071" s="54"/>
      <c r="G1071" s="8" t="s">
        <v>46</v>
      </c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T1071" s="2"/>
    </row>
    <row r="1072" spans="1:20" ht="16.5" customHeight="1" x14ac:dyDescent="0.25">
      <c r="A1072" s="54" t="s">
        <v>47</v>
      </c>
      <c r="B1072" s="54"/>
      <c r="C1072" s="54"/>
      <c r="D1072" s="54"/>
      <c r="E1072" s="54"/>
      <c r="F1072" s="54"/>
      <c r="G1072" s="58" t="s">
        <v>48</v>
      </c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</row>
    <row r="1073" spans="1:19" ht="5.25" customHeight="1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19"/>
      <c r="K1073" s="19"/>
      <c r="L1073" s="19"/>
      <c r="M1073" s="19"/>
      <c r="N1073" s="19"/>
      <c r="O1073" s="19"/>
      <c r="P1073" s="19"/>
      <c r="Q1073" s="19"/>
    </row>
    <row r="1074" spans="1:19" ht="15" customHeight="1" x14ac:dyDescent="0.25">
      <c r="A1074" s="36" t="s">
        <v>0</v>
      </c>
      <c r="B1074" s="29" t="s">
        <v>1</v>
      </c>
      <c r="C1074" s="30"/>
      <c r="D1074" s="30"/>
      <c r="E1074" s="30"/>
      <c r="F1074" s="30"/>
      <c r="G1074" s="31"/>
      <c r="H1074" s="36" t="s">
        <v>32</v>
      </c>
      <c r="I1074" s="36" t="s">
        <v>39</v>
      </c>
      <c r="J1074" s="55" t="s">
        <v>2</v>
      </c>
      <c r="K1074" s="56"/>
      <c r="L1074" s="56"/>
      <c r="M1074" s="56"/>
      <c r="N1074" s="56"/>
      <c r="O1074" s="56"/>
      <c r="P1074" s="56"/>
      <c r="Q1074" s="57"/>
      <c r="S1074" s="36" t="s">
        <v>38</v>
      </c>
    </row>
    <row r="1075" spans="1:19" ht="24" customHeight="1" x14ac:dyDescent="0.25">
      <c r="A1075" s="37"/>
      <c r="B1075" s="32"/>
      <c r="C1075" s="33"/>
      <c r="D1075" s="33"/>
      <c r="E1075" s="33"/>
      <c r="F1075" s="33"/>
      <c r="G1075" s="34"/>
      <c r="H1075" s="37"/>
      <c r="I1075" s="37"/>
      <c r="J1075" s="7" t="s">
        <v>28</v>
      </c>
      <c r="K1075" s="7" t="s">
        <v>29</v>
      </c>
      <c r="L1075" s="7" t="s">
        <v>30</v>
      </c>
      <c r="M1075" s="7"/>
      <c r="N1075" s="7"/>
      <c r="O1075" s="6" t="s">
        <v>35</v>
      </c>
      <c r="P1075" s="6" t="s">
        <v>36</v>
      </c>
      <c r="Q1075" s="6" t="s">
        <v>37</v>
      </c>
      <c r="S1075" s="37"/>
    </row>
    <row r="1076" spans="1:19" ht="20.25" customHeight="1" x14ac:dyDescent="0.25">
      <c r="A1076" s="27" t="s">
        <v>54</v>
      </c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</row>
    <row r="1077" spans="1:19" ht="16.5" customHeight="1" x14ac:dyDescent="0.25">
      <c r="A1077" s="9"/>
      <c r="B1077" s="51" t="s">
        <v>61</v>
      </c>
      <c r="C1077" s="52"/>
      <c r="D1077" s="52"/>
      <c r="E1077" s="52"/>
      <c r="F1077" s="52"/>
      <c r="G1077" s="53"/>
      <c r="H1077" s="20"/>
      <c r="I1077" s="9">
        <v>1</v>
      </c>
      <c r="J1077" s="9"/>
      <c r="K1077" s="9"/>
      <c r="L1077" s="9"/>
      <c r="M1077" s="9">
        <f t="shared" ref="M1077:M1085" si="140">I1077*O1077</f>
        <v>6.3</v>
      </c>
      <c r="N1077" s="9">
        <f t="shared" ref="N1077:N1085" si="141">I1077*P1077</f>
        <v>2</v>
      </c>
      <c r="O1077" s="9">
        <v>6.3</v>
      </c>
      <c r="P1077" s="9">
        <v>2</v>
      </c>
      <c r="Q1077" s="9" t="s">
        <v>3</v>
      </c>
      <c r="R1077" s="1">
        <v>0</v>
      </c>
      <c r="S1077" s="26"/>
    </row>
    <row r="1078" spans="1:19" ht="16.5" customHeight="1" x14ac:dyDescent="0.25">
      <c r="A1078" s="9"/>
      <c r="B1078" s="51" t="s">
        <v>56</v>
      </c>
      <c r="C1078" s="52"/>
      <c r="D1078" s="52"/>
      <c r="E1078" s="52"/>
      <c r="F1078" s="52"/>
      <c r="G1078" s="53"/>
      <c r="H1078" s="20"/>
      <c r="I1078" s="9">
        <v>3</v>
      </c>
      <c r="J1078" s="9"/>
      <c r="K1078" s="9"/>
      <c r="L1078" s="9"/>
      <c r="M1078" s="9">
        <f t="shared" si="140"/>
        <v>25.200000000000003</v>
      </c>
      <c r="N1078" s="9">
        <f t="shared" si="141"/>
        <v>10.5</v>
      </c>
      <c r="O1078" s="9">
        <v>8.4</v>
      </c>
      <c r="P1078" s="9">
        <v>3.5</v>
      </c>
      <c r="Q1078" s="9" t="s">
        <v>9</v>
      </c>
      <c r="R1078" s="1">
        <v>0</v>
      </c>
      <c r="S1078" s="26"/>
    </row>
    <row r="1079" spans="1:19" ht="31.2" customHeight="1" x14ac:dyDescent="0.25">
      <c r="A1079" s="9"/>
      <c r="B1079" s="51" t="s">
        <v>57</v>
      </c>
      <c r="C1079" s="52"/>
      <c r="D1079" s="52"/>
      <c r="E1079" s="52"/>
      <c r="F1079" s="52"/>
      <c r="G1079" s="53"/>
      <c r="H1079" s="20"/>
      <c r="I1079" s="9">
        <v>3</v>
      </c>
      <c r="J1079" s="9"/>
      <c r="K1079" s="9"/>
      <c r="L1079" s="9"/>
      <c r="M1079" s="9">
        <f t="shared" si="140"/>
        <v>22.200000000000003</v>
      </c>
      <c r="N1079" s="9">
        <f t="shared" si="141"/>
        <v>9</v>
      </c>
      <c r="O1079" s="9">
        <v>7.4</v>
      </c>
      <c r="P1079" s="9">
        <v>3</v>
      </c>
      <c r="Q1079" s="9" t="s">
        <v>6</v>
      </c>
      <c r="R1079" s="1">
        <v>0</v>
      </c>
      <c r="S1079" s="26"/>
    </row>
    <row r="1080" spans="1:19" ht="16.5" customHeight="1" x14ac:dyDescent="0.25">
      <c r="A1080" s="9"/>
      <c r="B1080" s="51" t="s">
        <v>58</v>
      </c>
      <c r="C1080" s="52"/>
      <c r="D1080" s="52"/>
      <c r="E1080" s="52"/>
      <c r="F1080" s="52"/>
      <c r="G1080" s="53"/>
      <c r="H1080" s="20"/>
      <c r="I1080" s="9">
        <v>1</v>
      </c>
      <c r="J1080" s="9"/>
      <c r="K1080" s="9"/>
      <c r="L1080" s="9"/>
      <c r="M1080" s="9">
        <f t="shared" si="140"/>
        <v>7.4</v>
      </c>
      <c r="N1080" s="9">
        <f t="shared" si="141"/>
        <v>3</v>
      </c>
      <c r="O1080" s="9">
        <v>7.4</v>
      </c>
      <c r="P1080" s="9">
        <v>3</v>
      </c>
      <c r="Q1080" s="9" t="s">
        <v>6</v>
      </c>
      <c r="R1080" s="1">
        <v>0</v>
      </c>
      <c r="S1080" s="26"/>
    </row>
    <row r="1081" spans="1:19" ht="16.5" customHeight="1" x14ac:dyDescent="0.25">
      <c r="A1081" s="9"/>
      <c r="B1081" s="51" t="s">
        <v>59</v>
      </c>
      <c r="C1081" s="52"/>
      <c r="D1081" s="52"/>
      <c r="E1081" s="52"/>
      <c r="F1081" s="52"/>
      <c r="G1081" s="53"/>
      <c r="H1081" s="20"/>
      <c r="I1081" s="9">
        <v>1</v>
      </c>
      <c r="J1081" s="9"/>
      <c r="K1081" s="9"/>
      <c r="L1081" s="9"/>
      <c r="M1081" s="9">
        <f t="shared" si="140"/>
        <v>6.8</v>
      </c>
      <c r="N1081" s="9">
        <f t="shared" si="141"/>
        <v>2.5</v>
      </c>
      <c r="O1081" s="9">
        <v>6.8</v>
      </c>
      <c r="P1081" s="9">
        <v>2.5</v>
      </c>
      <c r="Q1081" s="9" t="s">
        <v>5</v>
      </c>
      <c r="R1081" s="1">
        <v>0</v>
      </c>
      <c r="S1081" s="26"/>
    </row>
    <row r="1082" spans="1:19" ht="16.5" customHeight="1" x14ac:dyDescent="0.25">
      <c r="A1082" s="9"/>
      <c r="B1082" s="51" t="s">
        <v>60</v>
      </c>
      <c r="C1082" s="52"/>
      <c r="D1082" s="52"/>
      <c r="E1082" s="52"/>
      <c r="F1082" s="52"/>
      <c r="G1082" s="53"/>
      <c r="H1082" s="20"/>
      <c r="I1082" s="9">
        <v>3</v>
      </c>
      <c r="J1082" s="9"/>
      <c r="K1082" s="9"/>
      <c r="L1082" s="9"/>
      <c r="M1082" s="9">
        <f t="shared" si="140"/>
        <v>21</v>
      </c>
      <c r="N1082" s="9">
        <f t="shared" si="141"/>
        <v>9</v>
      </c>
      <c r="O1082" s="9">
        <v>7</v>
      </c>
      <c r="P1082" s="9">
        <v>3</v>
      </c>
      <c r="Q1082" s="9" t="s">
        <v>6</v>
      </c>
      <c r="R1082" s="1">
        <v>0</v>
      </c>
      <c r="S1082" s="26"/>
    </row>
    <row r="1083" spans="1:19" ht="16.5" customHeight="1" x14ac:dyDescent="0.25">
      <c r="A1083" s="9"/>
      <c r="B1083" s="51" t="s">
        <v>55</v>
      </c>
      <c r="C1083" s="52"/>
      <c r="D1083" s="52"/>
      <c r="E1083" s="52"/>
      <c r="F1083" s="52"/>
      <c r="G1083" s="53"/>
      <c r="H1083" s="20"/>
      <c r="I1083" s="9">
        <v>2</v>
      </c>
      <c r="J1083" s="9"/>
      <c r="K1083" s="9"/>
      <c r="L1083" s="9"/>
      <c r="M1083" s="9">
        <f t="shared" si="140"/>
        <v>14.2</v>
      </c>
      <c r="N1083" s="9">
        <f t="shared" si="141"/>
        <v>6</v>
      </c>
      <c r="O1083" s="9">
        <v>7.1</v>
      </c>
      <c r="P1083" s="9">
        <v>3</v>
      </c>
      <c r="Q1083" s="9" t="s">
        <v>6</v>
      </c>
      <c r="R1083" s="1">
        <v>0</v>
      </c>
      <c r="S1083" s="26"/>
    </row>
    <row r="1084" spans="1:19" ht="16.5" hidden="1" customHeight="1" x14ac:dyDescent="0.25">
      <c r="A1084" s="21"/>
      <c r="H1084" s="21"/>
      <c r="I1084" s="21"/>
      <c r="J1084" s="21"/>
      <c r="K1084" s="21"/>
      <c r="L1084" s="21"/>
      <c r="M1084" s="9">
        <f t="shared" si="140"/>
        <v>0</v>
      </c>
      <c r="N1084" s="9">
        <f t="shared" si="141"/>
        <v>0</v>
      </c>
      <c r="O1084" s="21"/>
      <c r="P1084" s="21"/>
      <c r="Q1084" s="21"/>
      <c r="S1084" s="25"/>
    </row>
    <row r="1085" spans="1:19" ht="16.5" customHeight="1" x14ac:dyDescent="0.25">
      <c r="A1085" s="9"/>
      <c r="B1085" s="39" t="s">
        <v>42</v>
      </c>
      <c r="C1085" s="40"/>
      <c r="D1085" s="40"/>
      <c r="E1085" s="40"/>
      <c r="F1085" s="40"/>
      <c r="G1085" s="41"/>
      <c r="H1085" s="23"/>
      <c r="I1085" s="24">
        <f>SUM(I1077:I1084)</f>
        <v>14</v>
      </c>
      <c r="J1085" s="9"/>
      <c r="K1085" s="9"/>
      <c r="L1085" s="9"/>
      <c r="M1085" s="9">
        <f t="shared" si="140"/>
        <v>103.04</v>
      </c>
      <c r="N1085" s="9">
        <f t="shared" si="141"/>
        <v>42</v>
      </c>
      <c r="O1085" s="24">
        <f>ROUND(SUM(M1077:M1084)/I1085,2)</f>
        <v>7.36</v>
      </c>
      <c r="P1085" s="24">
        <f>ROUND(SUM(N1077:N1084)/I1085,2)</f>
        <v>3</v>
      </c>
      <c r="Q1085" s="9"/>
      <c r="S1085" s="25"/>
    </row>
    <row r="1086" spans="1:19" ht="20.25" customHeight="1" x14ac:dyDescent="0.25">
      <c r="A1086" s="27" t="s">
        <v>62</v>
      </c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</row>
    <row r="1087" spans="1:19" ht="16.5" customHeight="1" x14ac:dyDescent="0.25">
      <c r="A1087" s="9"/>
      <c r="B1087" s="51" t="s">
        <v>63</v>
      </c>
      <c r="C1087" s="52"/>
      <c r="D1087" s="52"/>
      <c r="E1087" s="52"/>
      <c r="F1087" s="52"/>
      <c r="G1087" s="53"/>
      <c r="H1087" s="20"/>
      <c r="I1087" s="9">
        <v>4</v>
      </c>
      <c r="J1087" s="9"/>
      <c r="K1087" s="9"/>
      <c r="L1087" s="9"/>
      <c r="M1087" s="9">
        <f t="shared" ref="M1087:M1095" si="142">I1087*O1087</f>
        <v>23.2</v>
      </c>
      <c r="N1087" s="9">
        <f t="shared" ref="N1087:N1095" si="143">I1087*P1087</f>
        <v>8</v>
      </c>
      <c r="O1087" s="9">
        <v>5.8</v>
      </c>
      <c r="P1087" s="9">
        <v>2</v>
      </c>
      <c r="Q1087" s="9" t="s">
        <v>3</v>
      </c>
      <c r="R1087" s="1">
        <v>0</v>
      </c>
      <c r="S1087" s="26"/>
    </row>
    <row r="1088" spans="1:19" ht="16.5" customHeight="1" x14ac:dyDescent="0.25">
      <c r="A1088" s="9"/>
      <c r="B1088" s="51" t="s">
        <v>64</v>
      </c>
      <c r="C1088" s="52"/>
      <c r="D1088" s="52"/>
      <c r="E1088" s="52"/>
      <c r="F1088" s="52"/>
      <c r="G1088" s="53"/>
      <c r="H1088" s="20"/>
      <c r="I1088" s="9">
        <v>4</v>
      </c>
      <c r="J1088" s="9"/>
      <c r="K1088" s="9"/>
      <c r="L1088" s="9"/>
      <c r="M1088" s="9">
        <f t="shared" si="142"/>
        <v>23.2</v>
      </c>
      <c r="N1088" s="9">
        <f t="shared" si="143"/>
        <v>8</v>
      </c>
      <c r="O1088" s="9">
        <v>5.8</v>
      </c>
      <c r="P1088" s="9">
        <v>2</v>
      </c>
      <c r="Q1088" s="9" t="s">
        <v>3</v>
      </c>
      <c r="R1088" s="1">
        <v>0</v>
      </c>
      <c r="S1088" s="26"/>
    </row>
    <row r="1089" spans="1:19" ht="16.5" customHeight="1" x14ac:dyDescent="0.25">
      <c r="A1089" s="9"/>
      <c r="B1089" s="51" t="s">
        <v>65</v>
      </c>
      <c r="C1089" s="52"/>
      <c r="D1089" s="52"/>
      <c r="E1089" s="52"/>
      <c r="F1089" s="52"/>
      <c r="G1089" s="53"/>
      <c r="H1089" s="20"/>
      <c r="I1089" s="9">
        <v>4</v>
      </c>
      <c r="J1089" s="9"/>
      <c r="K1089" s="9"/>
      <c r="L1089" s="9"/>
      <c r="M1089" s="9">
        <f t="shared" si="142"/>
        <v>28</v>
      </c>
      <c r="N1089" s="9">
        <f t="shared" si="143"/>
        <v>12</v>
      </c>
      <c r="O1089" s="9">
        <v>7</v>
      </c>
      <c r="P1089" s="9">
        <v>3</v>
      </c>
      <c r="Q1089" s="9" t="s">
        <v>6</v>
      </c>
      <c r="R1089" s="1">
        <v>0</v>
      </c>
      <c r="S1089" s="26"/>
    </row>
    <row r="1090" spans="1:19" ht="16.5" customHeight="1" x14ac:dyDescent="0.25">
      <c r="A1090" s="9"/>
      <c r="B1090" s="51" t="s">
        <v>66</v>
      </c>
      <c r="C1090" s="52"/>
      <c r="D1090" s="52"/>
      <c r="E1090" s="52"/>
      <c r="F1090" s="52"/>
      <c r="G1090" s="53"/>
      <c r="H1090" s="20"/>
      <c r="I1090" s="9">
        <v>1</v>
      </c>
      <c r="J1090" s="9"/>
      <c r="K1090" s="9"/>
      <c r="L1090" s="9"/>
      <c r="M1090" s="9">
        <f t="shared" si="142"/>
        <v>7.6</v>
      </c>
      <c r="N1090" s="9">
        <f t="shared" si="143"/>
        <v>3</v>
      </c>
      <c r="O1090" s="9">
        <v>7.6</v>
      </c>
      <c r="P1090" s="9">
        <v>3</v>
      </c>
      <c r="Q1090" s="9" t="s">
        <v>6</v>
      </c>
      <c r="R1090" s="1">
        <v>0</v>
      </c>
      <c r="S1090" s="26"/>
    </row>
    <row r="1091" spans="1:19" ht="16.5" customHeight="1" x14ac:dyDescent="0.25">
      <c r="A1091" s="9"/>
      <c r="B1091" s="51" t="s">
        <v>67</v>
      </c>
      <c r="C1091" s="52"/>
      <c r="D1091" s="52"/>
      <c r="E1091" s="52"/>
      <c r="F1091" s="52"/>
      <c r="G1091" s="53"/>
      <c r="H1091" s="20"/>
      <c r="I1091" s="9">
        <v>1</v>
      </c>
      <c r="J1091" s="9"/>
      <c r="K1091" s="9"/>
      <c r="L1091" s="9"/>
      <c r="M1091" s="9">
        <f t="shared" si="142"/>
        <v>7.7</v>
      </c>
      <c r="N1091" s="9">
        <f t="shared" si="143"/>
        <v>3</v>
      </c>
      <c r="O1091" s="9">
        <v>7.7</v>
      </c>
      <c r="P1091" s="9">
        <v>3</v>
      </c>
      <c r="Q1091" s="9" t="s">
        <v>6</v>
      </c>
      <c r="R1091" s="1">
        <v>0</v>
      </c>
      <c r="S1091" s="26"/>
    </row>
    <row r="1092" spans="1:19" ht="16.5" customHeight="1" x14ac:dyDescent="0.25">
      <c r="A1092" s="9"/>
      <c r="B1092" s="51" t="s">
        <v>68</v>
      </c>
      <c r="C1092" s="52"/>
      <c r="D1092" s="52"/>
      <c r="E1092" s="52"/>
      <c r="F1092" s="52"/>
      <c r="G1092" s="53"/>
      <c r="H1092" s="20"/>
      <c r="I1092" s="9">
        <v>1</v>
      </c>
      <c r="J1092" s="9"/>
      <c r="K1092" s="9"/>
      <c r="L1092" s="9"/>
      <c r="M1092" s="9">
        <f t="shared" si="142"/>
        <v>7.8</v>
      </c>
      <c r="N1092" s="9">
        <f t="shared" si="143"/>
        <v>3</v>
      </c>
      <c r="O1092" s="9">
        <v>7.8</v>
      </c>
      <c r="P1092" s="9">
        <v>3</v>
      </c>
      <c r="Q1092" s="9" t="s">
        <v>6</v>
      </c>
      <c r="R1092" s="1">
        <v>0</v>
      </c>
      <c r="S1092" s="26"/>
    </row>
    <row r="1093" spans="1:19" ht="16.5" customHeight="1" x14ac:dyDescent="0.25">
      <c r="A1093" s="9"/>
      <c r="B1093" s="51" t="s">
        <v>69</v>
      </c>
      <c r="C1093" s="52"/>
      <c r="D1093" s="52"/>
      <c r="E1093" s="52"/>
      <c r="F1093" s="52"/>
      <c r="G1093" s="53"/>
      <c r="H1093" s="20"/>
      <c r="I1093" s="9">
        <v>1</v>
      </c>
      <c r="J1093" s="9"/>
      <c r="K1093" s="9"/>
      <c r="L1093" s="9"/>
      <c r="M1093" s="9">
        <f t="shared" si="142"/>
        <v>7</v>
      </c>
      <c r="N1093" s="9">
        <f t="shared" si="143"/>
        <v>3</v>
      </c>
      <c r="O1093" s="9">
        <v>7</v>
      </c>
      <c r="P1093" s="9">
        <v>3</v>
      </c>
      <c r="Q1093" s="9" t="s">
        <v>6</v>
      </c>
      <c r="R1093" s="1">
        <v>0</v>
      </c>
      <c r="S1093" s="26"/>
    </row>
    <row r="1094" spans="1:19" ht="16.5" hidden="1" customHeight="1" x14ac:dyDescent="0.25">
      <c r="A1094" s="21"/>
      <c r="H1094" s="21"/>
      <c r="I1094" s="21"/>
      <c r="J1094" s="21"/>
      <c r="K1094" s="21"/>
      <c r="L1094" s="21"/>
      <c r="M1094" s="9">
        <f t="shared" si="142"/>
        <v>0</v>
      </c>
      <c r="N1094" s="9">
        <f t="shared" si="143"/>
        <v>0</v>
      </c>
      <c r="O1094" s="21"/>
      <c r="P1094" s="21"/>
      <c r="Q1094" s="21"/>
      <c r="S1094" s="25"/>
    </row>
    <row r="1095" spans="1:19" ht="16.5" customHeight="1" x14ac:dyDescent="0.25">
      <c r="A1095" s="9"/>
      <c r="B1095" s="39" t="s">
        <v>42</v>
      </c>
      <c r="C1095" s="40"/>
      <c r="D1095" s="40"/>
      <c r="E1095" s="40"/>
      <c r="F1095" s="40"/>
      <c r="G1095" s="41"/>
      <c r="H1095" s="23"/>
      <c r="I1095" s="24">
        <f>SUM(I1087:I1094)</f>
        <v>16</v>
      </c>
      <c r="J1095" s="9"/>
      <c r="K1095" s="9"/>
      <c r="L1095" s="9"/>
      <c r="M1095" s="9">
        <f t="shared" si="142"/>
        <v>104.48</v>
      </c>
      <c r="N1095" s="9">
        <f t="shared" si="143"/>
        <v>40</v>
      </c>
      <c r="O1095" s="24">
        <f>ROUND(SUM(M1087:M1094)/I1095,2)</f>
        <v>6.53</v>
      </c>
      <c r="P1095" s="24">
        <f>ROUND(SUM(N1087:N1094)/I1095,2)</f>
        <v>2.5</v>
      </c>
      <c r="Q1095" s="9"/>
      <c r="S1095" s="25"/>
    </row>
    <row r="1096" spans="1:19" ht="20.25" customHeight="1" x14ac:dyDescent="0.25">
      <c r="A1096" s="27" t="s">
        <v>70</v>
      </c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</row>
    <row r="1097" spans="1:19" ht="16.5" customHeight="1" x14ac:dyDescent="0.25">
      <c r="A1097" s="9"/>
      <c r="B1097" s="51" t="s">
        <v>71</v>
      </c>
      <c r="C1097" s="52"/>
      <c r="D1097" s="52"/>
      <c r="E1097" s="52"/>
      <c r="F1097" s="52"/>
      <c r="G1097" s="53"/>
      <c r="H1097" s="20"/>
      <c r="I1097" s="9">
        <v>4</v>
      </c>
      <c r="J1097" s="9"/>
      <c r="K1097" s="9"/>
      <c r="L1097" s="9"/>
      <c r="M1097" s="9">
        <f t="shared" ref="M1097:M1105" si="144">I1097*O1097</f>
        <v>25.2</v>
      </c>
      <c r="N1097" s="9">
        <f t="shared" ref="N1097:N1105" si="145">I1097*P1097</f>
        <v>8</v>
      </c>
      <c r="O1097" s="9">
        <v>6.3</v>
      </c>
      <c r="P1097" s="9">
        <v>2</v>
      </c>
      <c r="Q1097" s="9" t="s">
        <v>3</v>
      </c>
      <c r="R1097" s="1">
        <v>0</v>
      </c>
      <c r="S1097" s="26"/>
    </row>
    <row r="1098" spans="1:19" ht="16.5" customHeight="1" x14ac:dyDescent="0.25">
      <c r="A1098" s="9"/>
      <c r="B1098" s="51" t="s">
        <v>72</v>
      </c>
      <c r="C1098" s="52"/>
      <c r="D1098" s="52"/>
      <c r="E1098" s="52"/>
      <c r="F1098" s="52"/>
      <c r="G1098" s="53"/>
      <c r="H1098" s="20"/>
      <c r="I1098" s="9">
        <v>4</v>
      </c>
      <c r="J1098" s="9"/>
      <c r="K1098" s="9"/>
      <c r="L1098" s="9"/>
      <c r="M1098" s="9">
        <f t="shared" si="144"/>
        <v>27.6</v>
      </c>
      <c r="N1098" s="9">
        <f t="shared" si="145"/>
        <v>10</v>
      </c>
      <c r="O1098" s="9">
        <v>6.9</v>
      </c>
      <c r="P1098" s="9">
        <v>2.5</v>
      </c>
      <c r="Q1098" s="9" t="s">
        <v>5</v>
      </c>
      <c r="R1098" s="1">
        <v>0</v>
      </c>
      <c r="S1098" s="26"/>
    </row>
    <row r="1099" spans="1:19" ht="16.5" customHeight="1" x14ac:dyDescent="0.25">
      <c r="A1099" s="9"/>
      <c r="B1099" s="51" t="s">
        <v>73</v>
      </c>
      <c r="C1099" s="52"/>
      <c r="D1099" s="52"/>
      <c r="E1099" s="52"/>
      <c r="F1099" s="52"/>
      <c r="G1099" s="53"/>
      <c r="H1099" s="20"/>
      <c r="I1099" s="9">
        <v>1</v>
      </c>
      <c r="J1099" s="9"/>
      <c r="K1099" s="9"/>
      <c r="L1099" s="9"/>
      <c r="M1099" s="9">
        <f t="shared" si="144"/>
        <v>7.3</v>
      </c>
      <c r="N1099" s="9">
        <f t="shared" si="145"/>
        <v>3</v>
      </c>
      <c r="O1099" s="9">
        <v>7.3</v>
      </c>
      <c r="P1099" s="9">
        <v>3</v>
      </c>
      <c r="Q1099" s="9" t="s">
        <v>6</v>
      </c>
      <c r="R1099" s="1">
        <v>0</v>
      </c>
      <c r="S1099" s="26"/>
    </row>
    <row r="1100" spans="1:19" ht="16.5" customHeight="1" x14ac:dyDescent="0.25">
      <c r="A1100" s="9"/>
      <c r="B1100" s="51" t="s">
        <v>74</v>
      </c>
      <c r="C1100" s="52"/>
      <c r="D1100" s="52"/>
      <c r="E1100" s="52"/>
      <c r="F1100" s="52"/>
      <c r="G1100" s="53"/>
      <c r="H1100" s="20"/>
      <c r="I1100" s="9">
        <v>2</v>
      </c>
      <c r="J1100" s="9"/>
      <c r="K1100" s="9"/>
      <c r="L1100" s="9"/>
      <c r="M1100" s="9">
        <f t="shared" si="144"/>
        <v>14.6</v>
      </c>
      <c r="N1100" s="9">
        <f t="shared" si="145"/>
        <v>6</v>
      </c>
      <c r="O1100" s="9">
        <v>7.3</v>
      </c>
      <c r="P1100" s="9">
        <v>3</v>
      </c>
      <c r="Q1100" s="9" t="s">
        <v>6</v>
      </c>
      <c r="R1100" s="1">
        <v>0</v>
      </c>
      <c r="S1100" s="26"/>
    </row>
    <row r="1101" spans="1:19" ht="16.5" customHeight="1" x14ac:dyDescent="0.25">
      <c r="A1101" s="9"/>
      <c r="B1101" s="51" t="s">
        <v>75</v>
      </c>
      <c r="C1101" s="52"/>
      <c r="D1101" s="52"/>
      <c r="E1101" s="52"/>
      <c r="F1101" s="52"/>
      <c r="G1101" s="53"/>
      <c r="H1101" s="20"/>
      <c r="I1101" s="9">
        <v>1</v>
      </c>
      <c r="J1101" s="9"/>
      <c r="K1101" s="9"/>
      <c r="L1101" s="9"/>
      <c r="M1101" s="9">
        <f t="shared" si="144"/>
        <v>5.4</v>
      </c>
      <c r="N1101" s="9">
        <f t="shared" si="145"/>
        <v>1.5</v>
      </c>
      <c r="O1101" s="9">
        <v>5.4</v>
      </c>
      <c r="P1101" s="9">
        <v>1.5</v>
      </c>
      <c r="Q1101" s="9" t="s">
        <v>4</v>
      </c>
      <c r="R1101" s="1">
        <v>0</v>
      </c>
      <c r="S1101" s="26"/>
    </row>
    <row r="1102" spans="1:19" ht="16.5" customHeight="1" x14ac:dyDescent="0.25">
      <c r="A1102" s="9"/>
      <c r="B1102" s="51" t="s">
        <v>76</v>
      </c>
      <c r="C1102" s="52"/>
      <c r="D1102" s="52"/>
      <c r="E1102" s="52"/>
      <c r="F1102" s="52"/>
      <c r="G1102" s="53"/>
      <c r="H1102" s="20"/>
      <c r="I1102" s="9">
        <v>4</v>
      </c>
      <c r="J1102" s="9"/>
      <c r="K1102" s="9"/>
      <c r="L1102" s="9"/>
      <c r="M1102" s="9">
        <f t="shared" si="144"/>
        <v>30.4</v>
      </c>
      <c r="N1102" s="9">
        <f t="shared" si="145"/>
        <v>12</v>
      </c>
      <c r="O1102" s="9">
        <v>7.6</v>
      </c>
      <c r="P1102" s="9">
        <v>3</v>
      </c>
      <c r="Q1102" s="9" t="s">
        <v>6</v>
      </c>
      <c r="R1102" s="1">
        <v>0</v>
      </c>
      <c r="S1102" s="26"/>
    </row>
    <row r="1103" spans="1:19" ht="16.5" customHeight="1" x14ac:dyDescent="0.25">
      <c r="A1103" s="9"/>
      <c r="B1103" s="51" t="s">
        <v>77</v>
      </c>
      <c r="C1103" s="52"/>
      <c r="D1103" s="52"/>
      <c r="E1103" s="52"/>
      <c r="F1103" s="52"/>
      <c r="G1103" s="53"/>
      <c r="H1103" s="20"/>
      <c r="I1103" s="9">
        <v>3</v>
      </c>
      <c r="J1103" s="9"/>
      <c r="K1103" s="9"/>
      <c r="L1103" s="9"/>
      <c r="M1103" s="9">
        <f t="shared" si="144"/>
        <v>15.299999999999999</v>
      </c>
      <c r="N1103" s="9">
        <f t="shared" si="145"/>
        <v>4.5</v>
      </c>
      <c r="O1103" s="9">
        <v>5.0999999999999996</v>
      </c>
      <c r="P1103" s="9">
        <v>1.5</v>
      </c>
      <c r="Q1103" s="9" t="s">
        <v>4</v>
      </c>
      <c r="R1103" s="1">
        <v>0</v>
      </c>
      <c r="S1103" s="26"/>
    </row>
    <row r="1104" spans="1:19" ht="16.5" hidden="1" customHeight="1" x14ac:dyDescent="0.25">
      <c r="A1104" s="21"/>
      <c r="H1104" s="21"/>
      <c r="I1104" s="21"/>
      <c r="J1104" s="21"/>
      <c r="K1104" s="21"/>
      <c r="L1104" s="21"/>
      <c r="M1104" s="9">
        <f t="shared" si="144"/>
        <v>0</v>
      </c>
      <c r="N1104" s="9">
        <f t="shared" si="145"/>
        <v>0</v>
      </c>
      <c r="O1104" s="21"/>
      <c r="P1104" s="21"/>
      <c r="Q1104" s="21"/>
      <c r="S1104" s="25"/>
    </row>
    <row r="1105" spans="1:19" ht="16.5" customHeight="1" x14ac:dyDescent="0.25">
      <c r="A1105" s="9"/>
      <c r="B1105" s="39" t="s">
        <v>42</v>
      </c>
      <c r="C1105" s="40"/>
      <c r="D1105" s="40"/>
      <c r="E1105" s="40"/>
      <c r="F1105" s="40"/>
      <c r="G1105" s="41"/>
      <c r="H1105" s="23"/>
      <c r="I1105" s="24">
        <f>SUM(I1097:I1104)</f>
        <v>19</v>
      </c>
      <c r="J1105" s="9"/>
      <c r="K1105" s="9"/>
      <c r="L1105" s="9"/>
      <c r="M1105" s="9">
        <f t="shared" si="144"/>
        <v>125.78</v>
      </c>
      <c r="N1105" s="9">
        <f t="shared" si="145"/>
        <v>45.03</v>
      </c>
      <c r="O1105" s="24">
        <f>ROUND(SUM(M1097:M1104)/I1105,2)</f>
        <v>6.62</v>
      </c>
      <c r="P1105" s="24">
        <f>ROUND(SUM(N1097:N1104)/I1105,2)</f>
        <v>2.37</v>
      </c>
      <c r="Q1105" s="9"/>
      <c r="S1105" s="25"/>
    </row>
    <row r="1106" spans="1:19" ht="20.25" customHeight="1" x14ac:dyDescent="0.25">
      <c r="A1106" s="27" t="s">
        <v>78</v>
      </c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</row>
    <row r="1107" spans="1:19" ht="16.5" customHeight="1" x14ac:dyDescent="0.25">
      <c r="A1107" s="9"/>
      <c r="B1107" s="51" t="s">
        <v>79</v>
      </c>
      <c r="C1107" s="52"/>
      <c r="D1107" s="52"/>
      <c r="E1107" s="52"/>
      <c r="F1107" s="52"/>
      <c r="G1107" s="53"/>
      <c r="H1107" s="20"/>
      <c r="I1107" s="9">
        <v>1</v>
      </c>
      <c r="J1107" s="9"/>
      <c r="K1107" s="9"/>
      <c r="L1107" s="9"/>
      <c r="M1107" s="9">
        <f t="shared" ref="M1107:M1113" si="146">I1107*O1107</f>
        <v>7.5</v>
      </c>
      <c r="N1107" s="9">
        <f t="shared" ref="N1107:N1113" si="147">I1107*P1107</f>
        <v>3</v>
      </c>
      <c r="O1107" s="9">
        <v>7.5</v>
      </c>
      <c r="P1107" s="9">
        <v>3</v>
      </c>
      <c r="Q1107" s="9" t="s">
        <v>6</v>
      </c>
      <c r="R1107" s="1">
        <v>0</v>
      </c>
      <c r="S1107" s="26"/>
    </row>
    <row r="1108" spans="1:19" ht="16.5" customHeight="1" x14ac:dyDescent="0.25">
      <c r="A1108" s="9"/>
      <c r="B1108" s="51" t="s">
        <v>80</v>
      </c>
      <c r="C1108" s="52"/>
      <c r="D1108" s="52"/>
      <c r="E1108" s="52"/>
      <c r="F1108" s="52"/>
      <c r="G1108" s="53"/>
      <c r="H1108" s="20"/>
      <c r="I1108" s="9">
        <v>3</v>
      </c>
      <c r="J1108" s="9"/>
      <c r="K1108" s="9"/>
      <c r="L1108" s="9"/>
      <c r="M1108" s="9">
        <f t="shared" si="146"/>
        <v>21.9</v>
      </c>
      <c r="N1108" s="9">
        <f t="shared" si="147"/>
        <v>9</v>
      </c>
      <c r="O1108" s="9">
        <v>7.3</v>
      </c>
      <c r="P1108" s="9">
        <v>3</v>
      </c>
      <c r="Q1108" s="9" t="s">
        <v>6</v>
      </c>
      <c r="R1108" s="1">
        <v>0</v>
      </c>
      <c r="S1108" s="26"/>
    </row>
    <row r="1109" spans="1:19" ht="16.5" customHeight="1" x14ac:dyDescent="0.25">
      <c r="A1109" s="9"/>
      <c r="B1109" s="51" t="s">
        <v>87</v>
      </c>
      <c r="C1109" s="52"/>
      <c r="D1109" s="52"/>
      <c r="E1109" s="52"/>
      <c r="F1109" s="52"/>
      <c r="G1109" s="53"/>
      <c r="H1109" s="20"/>
      <c r="I1109" s="9">
        <v>3</v>
      </c>
      <c r="J1109" s="9"/>
      <c r="K1109" s="9"/>
      <c r="L1109" s="9"/>
      <c r="M1109" s="9">
        <f t="shared" si="146"/>
        <v>14.700000000000001</v>
      </c>
      <c r="N1109" s="9">
        <f t="shared" si="147"/>
        <v>3</v>
      </c>
      <c r="O1109" s="9">
        <v>4.9000000000000004</v>
      </c>
      <c r="P1109" s="9">
        <v>1</v>
      </c>
      <c r="Q1109" s="9" t="s">
        <v>8</v>
      </c>
      <c r="R1109" s="1">
        <v>0</v>
      </c>
      <c r="S1109" s="26"/>
    </row>
    <row r="1110" spans="1:19" ht="16.5" customHeight="1" x14ac:dyDescent="0.25">
      <c r="A1110" s="9"/>
      <c r="B1110" s="51" t="s">
        <v>82</v>
      </c>
      <c r="C1110" s="52"/>
      <c r="D1110" s="52"/>
      <c r="E1110" s="52"/>
      <c r="F1110" s="52"/>
      <c r="G1110" s="53"/>
      <c r="H1110" s="20"/>
      <c r="I1110" s="9">
        <v>2</v>
      </c>
      <c r="J1110" s="9"/>
      <c r="K1110" s="9"/>
      <c r="L1110" s="9"/>
      <c r="M1110" s="9">
        <f t="shared" si="146"/>
        <v>13.6</v>
      </c>
      <c r="N1110" s="9">
        <f t="shared" si="147"/>
        <v>5</v>
      </c>
      <c r="O1110" s="9">
        <v>6.8</v>
      </c>
      <c r="P1110" s="9">
        <v>2.5</v>
      </c>
      <c r="Q1110" s="9" t="s">
        <v>5</v>
      </c>
      <c r="R1110" s="1">
        <v>0</v>
      </c>
      <c r="S1110" s="26"/>
    </row>
    <row r="1111" spans="1:19" ht="16.5" customHeight="1" x14ac:dyDescent="0.25">
      <c r="A1111" s="9"/>
      <c r="B1111" s="51" t="s">
        <v>83</v>
      </c>
      <c r="C1111" s="52"/>
      <c r="D1111" s="52"/>
      <c r="E1111" s="52"/>
      <c r="F1111" s="52"/>
      <c r="G1111" s="53"/>
      <c r="H1111" s="20"/>
      <c r="I1111" s="9">
        <v>2</v>
      </c>
      <c r="J1111" s="9"/>
      <c r="K1111" s="9"/>
      <c r="L1111" s="9"/>
      <c r="M1111" s="9">
        <f t="shared" si="146"/>
        <v>13.6</v>
      </c>
      <c r="N1111" s="9">
        <f t="shared" si="147"/>
        <v>5</v>
      </c>
      <c r="O1111" s="9">
        <v>6.8</v>
      </c>
      <c r="P1111" s="9">
        <v>2.5</v>
      </c>
      <c r="Q1111" s="9" t="s">
        <v>5</v>
      </c>
      <c r="R1111" s="1">
        <v>0</v>
      </c>
      <c r="S1111" s="26"/>
    </row>
    <row r="1112" spans="1:19" ht="16.5" customHeight="1" x14ac:dyDescent="0.25">
      <c r="A1112" s="9"/>
      <c r="B1112" s="51" t="s">
        <v>84</v>
      </c>
      <c r="C1112" s="52"/>
      <c r="D1112" s="52"/>
      <c r="E1112" s="52"/>
      <c r="F1112" s="52"/>
      <c r="G1112" s="53"/>
      <c r="H1112" s="20"/>
      <c r="I1112" s="9">
        <v>3</v>
      </c>
      <c r="J1112" s="9"/>
      <c r="K1112" s="9"/>
      <c r="L1112" s="9"/>
      <c r="M1112" s="9">
        <f t="shared" si="146"/>
        <v>16.799999999999997</v>
      </c>
      <c r="N1112" s="9">
        <f t="shared" si="147"/>
        <v>6</v>
      </c>
      <c r="O1112" s="9">
        <v>5.6</v>
      </c>
      <c r="P1112" s="9">
        <v>2</v>
      </c>
      <c r="Q1112" s="9" t="s">
        <v>3</v>
      </c>
      <c r="R1112" s="1">
        <v>0</v>
      </c>
      <c r="S1112" s="26"/>
    </row>
    <row r="1113" spans="1:19" ht="16.5" customHeight="1" x14ac:dyDescent="0.25">
      <c r="A1113" s="9"/>
      <c r="B1113" s="51" t="s">
        <v>85</v>
      </c>
      <c r="C1113" s="52"/>
      <c r="D1113" s="52"/>
      <c r="E1113" s="52"/>
      <c r="F1113" s="52"/>
      <c r="G1113" s="53"/>
      <c r="H1113" s="20"/>
      <c r="I1113" s="9">
        <v>2</v>
      </c>
      <c r="J1113" s="9"/>
      <c r="K1113" s="9"/>
      <c r="L1113" s="9"/>
      <c r="M1113" s="9">
        <f t="shared" si="146"/>
        <v>14.2</v>
      </c>
      <c r="N1113" s="9">
        <f t="shared" si="147"/>
        <v>6</v>
      </c>
      <c r="O1113" s="9">
        <v>7.1</v>
      </c>
      <c r="P1113" s="9">
        <v>3</v>
      </c>
      <c r="Q1113" s="9" t="s">
        <v>6</v>
      </c>
      <c r="R1113" s="1">
        <v>0</v>
      </c>
      <c r="S1113" s="26"/>
    </row>
    <row r="1114" spans="1:19" ht="15" customHeight="1" x14ac:dyDescent="0.25">
      <c r="A1114" s="36" t="s">
        <v>0</v>
      </c>
      <c r="B1114" s="29" t="s">
        <v>1</v>
      </c>
      <c r="C1114" s="30"/>
      <c r="D1114" s="30"/>
      <c r="E1114" s="30"/>
      <c r="F1114" s="30"/>
      <c r="G1114" s="31"/>
      <c r="H1114" s="36" t="s">
        <v>32</v>
      </c>
      <c r="I1114" s="36" t="s">
        <v>39</v>
      </c>
      <c r="J1114" s="55" t="s">
        <v>2</v>
      </c>
      <c r="K1114" s="56"/>
      <c r="L1114" s="56"/>
      <c r="M1114" s="56"/>
      <c r="N1114" s="56"/>
      <c r="O1114" s="56"/>
      <c r="P1114" s="56"/>
      <c r="Q1114" s="57"/>
      <c r="S1114" s="36" t="s">
        <v>38</v>
      </c>
    </row>
    <row r="1115" spans="1:19" ht="24" customHeight="1" x14ac:dyDescent="0.25">
      <c r="A1115" s="37"/>
      <c r="B1115" s="32"/>
      <c r="C1115" s="33"/>
      <c r="D1115" s="33"/>
      <c r="E1115" s="33"/>
      <c r="F1115" s="33"/>
      <c r="G1115" s="34"/>
      <c r="H1115" s="37"/>
      <c r="I1115" s="37"/>
      <c r="J1115" s="7" t="s">
        <v>28</v>
      </c>
      <c r="K1115" s="7" t="s">
        <v>29</v>
      </c>
      <c r="L1115" s="7" t="s">
        <v>30</v>
      </c>
      <c r="M1115" s="7"/>
      <c r="N1115" s="7"/>
      <c r="O1115" s="6" t="s">
        <v>35</v>
      </c>
      <c r="P1115" s="6" t="s">
        <v>36</v>
      </c>
      <c r="Q1115" s="6" t="s">
        <v>37</v>
      </c>
      <c r="S1115" s="37"/>
    </row>
    <row r="1116" spans="1:19" ht="16.5" customHeight="1" x14ac:dyDescent="0.25">
      <c r="A1116" s="9"/>
      <c r="B1116" s="51" t="s">
        <v>86</v>
      </c>
      <c r="C1116" s="52"/>
      <c r="D1116" s="52"/>
      <c r="E1116" s="52"/>
      <c r="F1116" s="52"/>
      <c r="G1116" s="53"/>
      <c r="H1116" s="20"/>
      <c r="I1116" s="9">
        <v>3</v>
      </c>
      <c r="J1116" s="9"/>
      <c r="K1116" s="9"/>
      <c r="L1116" s="9"/>
      <c r="M1116" s="9">
        <f>I1116*O1116</f>
        <v>21.299999999999997</v>
      </c>
      <c r="N1116" s="9">
        <f>I1116*P1116</f>
        <v>9</v>
      </c>
      <c r="O1116" s="9">
        <v>7.1</v>
      </c>
      <c r="P1116" s="9">
        <v>3</v>
      </c>
      <c r="Q1116" s="9" t="s">
        <v>6</v>
      </c>
      <c r="R1116" s="1">
        <v>0</v>
      </c>
      <c r="S1116" s="26"/>
    </row>
    <row r="1117" spans="1:19" ht="16.5" customHeight="1" x14ac:dyDescent="0.25">
      <c r="A1117" s="9"/>
      <c r="B1117" s="51" t="s">
        <v>81</v>
      </c>
      <c r="C1117" s="52"/>
      <c r="D1117" s="52"/>
      <c r="E1117" s="52"/>
      <c r="F1117" s="52"/>
      <c r="G1117" s="53"/>
      <c r="H1117" s="20"/>
      <c r="I1117" s="9">
        <v>3</v>
      </c>
      <c r="J1117" s="9"/>
      <c r="K1117" s="9"/>
      <c r="L1117" s="9"/>
      <c r="M1117" s="9">
        <f>I1117*O1117</f>
        <v>19.200000000000003</v>
      </c>
      <c r="N1117" s="9">
        <f>I1117*P1117</f>
        <v>6</v>
      </c>
      <c r="O1117" s="9">
        <v>6.4</v>
      </c>
      <c r="P1117" s="9">
        <v>2</v>
      </c>
      <c r="Q1117" s="9" t="s">
        <v>3</v>
      </c>
      <c r="R1117" s="1">
        <v>0</v>
      </c>
      <c r="S1117" s="26"/>
    </row>
    <row r="1118" spans="1:19" ht="16.5" hidden="1" customHeight="1" x14ac:dyDescent="0.25">
      <c r="A1118" s="21"/>
      <c r="H1118" s="21"/>
      <c r="I1118" s="21"/>
      <c r="J1118" s="21"/>
      <c r="K1118" s="21"/>
      <c r="L1118" s="21"/>
      <c r="M1118" s="9">
        <f>I1118*O1118</f>
        <v>0</v>
      </c>
      <c r="N1118" s="9">
        <f>I1118*P1118</f>
        <v>0</v>
      </c>
      <c r="O1118" s="21"/>
      <c r="P1118" s="21"/>
      <c r="Q1118" s="21"/>
      <c r="S1118" s="25"/>
    </row>
    <row r="1119" spans="1:19" ht="16.5" customHeight="1" x14ac:dyDescent="0.25">
      <c r="A1119" s="9"/>
      <c r="B1119" s="39" t="s">
        <v>42</v>
      </c>
      <c r="C1119" s="40"/>
      <c r="D1119" s="40"/>
      <c r="E1119" s="40"/>
      <c r="F1119" s="40"/>
      <c r="G1119" s="41"/>
      <c r="H1119" s="23"/>
      <c r="I1119" s="24">
        <f>SUM(I1107:I1118)</f>
        <v>22</v>
      </c>
      <c r="J1119" s="9"/>
      <c r="K1119" s="9"/>
      <c r="L1119" s="9"/>
      <c r="M1119" s="9">
        <f>I1119*O1119</f>
        <v>142.78</v>
      </c>
      <c r="N1119" s="9">
        <f>I1119*P1119</f>
        <v>51.919999999999995</v>
      </c>
      <c r="O1119" s="24">
        <f>ROUND(SUM(M1107:M1118)/I1119,2)</f>
        <v>6.49</v>
      </c>
      <c r="P1119" s="24">
        <f>ROUND(SUM(N1107:N1118)/I1119,2)</f>
        <v>2.36</v>
      </c>
      <c r="Q1119" s="9"/>
      <c r="S1119" s="25"/>
    </row>
    <row r="1120" spans="1:19" ht="20.25" customHeight="1" x14ac:dyDescent="0.25">
      <c r="A1120" s="27" t="s">
        <v>88</v>
      </c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</row>
    <row r="1121" spans="1:19" ht="16.5" customHeight="1" x14ac:dyDescent="0.25">
      <c r="A1121" s="9"/>
      <c r="B1121" s="51" t="s">
        <v>89</v>
      </c>
      <c r="C1121" s="52"/>
      <c r="D1121" s="52"/>
      <c r="E1121" s="52"/>
      <c r="F1121" s="52"/>
      <c r="G1121" s="53"/>
      <c r="H1121" s="20"/>
      <c r="I1121" s="9">
        <v>2</v>
      </c>
      <c r="J1121" s="9"/>
      <c r="K1121" s="9"/>
      <c r="L1121" s="9"/>
      <c r="M1121" s="9">
        <f t="shared" ref="M1121:M1132" si="148">I1121*O1121</f>
        <v>14.6</v>
      </c>
      <c r="N1121" s="9">
        <f t="shared" ref="N1121:N1132" si="149">I1121*P1121</f>
        <v>6</v>
      </c>
      <c r="O1121" s="9">
        <v>7.3</v>
      </c>
      <c r="P1121" s="9">
        <v>3</v>
      </c>
      <c r="Q1121" s="9" t="s">
        <v>6</v>
      </c>
      <c r="R1121" s="1">
        <v>0</v>
      </c>
      <c r="S1121" s="26"/>
    </row>
    <row r="1122" spans="1:19" ht="16.5" customHeight="1" x14ac:dyDescent="0.25">
      <c r="A1122" s="9"/>
      <c r="B1122" s="51" t="s">
        <v>90</v>
      </c>
      <c r="C1122" s="52"/>
      <c r="D1122" s="52"/>
      <c r="E1122" s="52"/>
      <c r="F1122" s="52"/>
      <c r="G1122" s="53"/>
      <c r="H1122" s="20"/>
      <c r="I1122" s="9">
        <v>3</v>
      </c>
      <c r="J1122" s="9"/>
      <c r="K1122" s="9"/>
      <c r="L1122" s="9"/>
      <c r="M1122" s="9">
        <f t="shared" si="148"/>
        <v>17.100000000000001</v>
      </c>
      <c r="N1122" s="9">
        <f t="shared" si="149"/>
        <v>6</v>
      </c>
      <c r="O1122" s="9">
        <v>5.7</v>
      </c>
      <c r="P1122" s="9">
        <v>2</v>
      </c>
      <c r="Q1122" s="9" t="s">
        <v>3</v>
      </c>
      <c r="R1122" s="1">
        <v>0</v>
      </c>
      <c r="S1122" s="26"/>
    </row>
    <row r="1123" spans="1:19" ht="16.5" customHeight="1" x14ac:dyDescent="0.25">
      <c r="A1123" s="9"/>
      <c r="B1123" s="51" t="s">
        <v>91</v>
      </c>
      <c r="C1123" s="52"/>
      <c r="D1123" s="52"/>
      <c r="E1123" s="52"/>
      <c r="F1123" s="52"/>
      <c r="G1123" s="53"/>
      <c r="H1123" s="20"/>
      <c r="I1123" s="9">
        <v>2</v>
      </c>
      <c r="J1123" s="9"/>
      <c r="K1123" s="9"/>
      <c r="L1123" s="9"/>
      <c r="M1123" s="9">
        <f t="shared" si="148"/>
        <v>14.6</v>
      </c>
      <c r="N1123" s="9">
        <f t="shared" si="149"/>
        <v>6</v>
      </c>
      <c r="O1123" s="9">
        <v>7.3</v>
      </c>
      <c r="P1123" s="9">
        <v>3</v>
      </c>
      <c r="Q1123" s="9" t="s">
        <v>6</v>
      </c>
      <c r="R1123" s="1">
        <v>0</v>
      </c>
      <c r="S1123" s="26"/>
    </row>
    <row r="1124" spans="1:19" ht="16.5" customHeight="1" x14ac:dyDescent="0.25">
      <c r="A1124" s="9"/>
      <c r="B1124" s="51" t="s">
        <v>92</v>
      </c>
      <c r="C1124" s="52"/>
      <c r="D1124" s="52"/>
      <c r="E1124" s="52"/>
      <c r="F1124" s="52"/>
      <c r="G1124" s="53"/>
      <c r="H1124" s="20"/>
      <c r="I1124" s="9">
        <v>3</v>
      </c>
      <c r="J1124" s="9"/>
      <c r="K1124" s="9"/>
      <c r="L1124" s="9"/>
      <c r="M1124" s="9">
        <f t="shared" si="148"/>
        <v>15</v>
      </c>
      <c r="N1124" s="9">
        <f t="shared" si="149"/>
        <v>4.5</v>
      </c>
      <c r="O1124" s="9">
        <v>5</v>
      </c>
      <c r="P1124" s="9">
        <v>1.5</v>
      </c>
      <c r="Q1124" s="9" t="s">
        <v>4</v>
      </c>
      <c r="R1124" s="1">
        <v>0</v>
      </c>
      <c r="S1124" s="26"/>
    </row>
    <row r="1125" spans="1:19" ht="16.5" customHeight="1" x14ac:dyDescent="0.25">
      <c r="A1125" s="9"/>
      <c r="B1125" s="51" t="s">
        <v>93</v>
      </c>
      <c r="C1125" s="52"/>
      <c r="D1125" s="52"/>
      <c r="E1125" s="52"/>
      <c r="F1125" s="52"/>
      <c r="G1125" s="53"/>
      <c r="H1125" s="20"/>
      <c r="I1125" s="9">
        <v>1</v>
      </c>
      <c r="J1125" s="9"/>
      <c r="K1125" s="9"/>
      <c r="L1125" s="9"/>
      <c r="M1125" s="9">
        <f t="shared" si="148"/>
        <v>8.1999999999999993</v>
      </c>
      <c r="N1125" s="9">
        <f t="shared" si="149"/>
        <v>3.5</v>
      </c>
      <c r="O1125" s="9">
        <v>8.1999999999999993</v>
      </c>
      <c r="P1125" s="9">
        <v>3.5</v>
      </c>
      <c r="Q1125" s="9" t="s">
        <v>9</v>
      </c>
      <c r="R1125" s="1">
        <v>0</v>
      </c>
      <c r="S1125" s="26"/>
    </row>
    <row r="1126" spans="1:19" ht="16.5" customHeight="1" x14ac:dyDescent="0.25">
      <c r="A1126" s="9"/>
      <c r="B1126" s="51" t="s">
        <v>94</v>
      </c>
      <c r="C1126" s="52"/>
      <c r="D1126" s="52"/>
      <c r="E1126" s="52"/>
      <c r="F1126" s="52"/>
      <c r="G1126" s="53"/>
      <c r="H1126" s="20"/>
      <c r="I1126" s="9">
        <v>1</v>
      </c>
      <c r="J1126" s="9"/>
      <c r="K1126" s="9"/>
      <c r="L1126" s="9"/>
      <c r="M1126" s="9">
        <f t="shared" si="148"/>
        <v>6.2</v>
      </c>
      <c r="N1126" s="9">
        <f t="shared" si="149"/>
        <v>2</v>
      </c>
      <c r="O1126" s="9">
        <v>6.2</v>
      </c>
      <c r="P1126" s="9">
        <v>2</v>
      </c>
      <c r="Q1126" s="9" t="s">
        <v>3</v>
      </c>
      <c r="R1126" s="1">
        <v>0</v>
      </c>
      <c r="S1126" s="26"/>
    </row>
    <row r="1127" spans="1:19" ht="16.5" customHeight="1" x14ac:dyDescent="0.25">
      <c r="A1127" s="9"/>
      <c r="B1127" s="51" t="s">
        <v>97</v>
      </c>
      <c r="C1127" s="52"/>
      <c r="D1127" s="52"/>
      <c r="E1127" s="52"/>
      <c r="F1127" s="52"/>
      <c r="G1127" s="53"/>
      <c r="H1127" s="20"/>
      <c r="I1127" s="9">
        <v>1</v>
      </c>
      <c r="J1127" s="9"/>
      <c r="K1127" s="9"/>
      <c r="L1127" s="9"/>
      <c r="M1127" s="9">
        <f t="shared" si="148"/>
        <v>7</v>
      </c>
      <c r="N1127" s="9">
        <f t="shared" si="149"/>
        <v>3</v>
      </c>
      <c r="O1127" s="9">
        <v>7</v>
      </c>
      <c r="P1127" s="9">
        <v>3</v>
      </c>
      <c r="Q1127" s="9" t="s">
        <v>6</v>
      </c>
      <c r="R1127" s="1">
        <v>0</v>
      </c>
      <c r="S1127" s="26"/>
    </row>
    <row r="1128" spans="1:19" ht="16.5" customHeight="1" x14ac:dyDescent="0.25">
      <c r="A1128" s="9"/>
      <c r="B1128" s="51" t="s">
        <v>96</v>
      </c>
      <c r="C1128" s="52"/>
      <c r="D1128" s="52"/>
      <c r="E1128" s="52"/>
      <c r="F1128" s="52"/>
      <c r="G1128" s="53"/>
      <c r="H1128" s="20"/>
      <c r="I1128" s="9">
        <v>3</v>
      </c>
      <c r="J1128" s="9"/>
      <c r="K1128" s="9"/>
      <c r="L1128" s="9"/>
      <c r="M1128" s="9">
        <f t="shared" si="148"/>
        <v>22.5</v>
      </c>
      <c r="N1128" s="9">
        <f t="shared" si="149"/>
        <v>9</v>
      </c>
      <c r="O1128" s="9">
        <v>7.5</v>
      </c>
      <c r="P1128" s="9">
        <v>3</v>
      </c>
      <c r="Q1128" s="9" t="s">
        <v>6</v>
      </c>
      <c r="R1128" s="1">
        <v>0</v>
      </c>
      <c r="S1128" s="26"/>
    </row>
    <row r="1129" spans="1:19" ht="16.5" customHeight="1" x14ac:dyDescent="0.25">
      <c r="A1129" s="9"/>
      <c r="B1129" s="51" t="s">
        <v>95</v>
      </c>
      <c r="C1129" s="52"/>
      <c r="D1129" s="52"/>
      <c r="E1129" s="52"/>
      <c r="F1129" s="52"/>
      <c r="G1129" s="53"/>
      <c r="H1129" s="20"/>
      <c r="I1129" s="9">
        <v>3</v>
      </c>
      <c r="J1129" s="9"/>
      <c r="K1129" s="9"/>
      <c r="L1129" s="9"/>
      <c r="M1129" s="9">
        <f t="shared" si="148"/>
        <v>20.700000000000003</v>
      </c>
      <c r="N1129" s="9">
        <f t="shared" si="149"/>
        <v>7.5</v>
      </c>
      <c r="O1129" s="9">
        <v>6.9</v>
      </c>
      <c r="P1129" s="9">
        <v>2.5</v>
      </c>
      <c r="Q1129" s="9" t="s">
        <v>5</v>
      </c>
      <c r="R1129" s="1">
        <v>0</v>
      </c>
      <c r="S1129" s="26"/>
    </row>
    <row r="1130" spans="1:19" ht="16.5" customHeight="1" x14ac:dyDescent="0.25">
      <c r="A1130" s="9"/>
      <c r="B1130" s="51" t="s">
        <v>98</v>
      </c>
      <c r="C1130" s="52"/>
      <c r="D1130" s="52"/>
      <c r="E1130" s="52"/>
      <c r="F1130" s="52"/>
      <c r="G1130" s="53"/>
      <c r="H1130" s="20"/>
      <c r="I1130" s="9">
        <v>3</v>
      </c>
      <c r="J1130" s="9"/>
      <c r="K1130" s="9"/>
      <c r="L1130" s="9"/>
      <c r="M1130" s="9">
        <f t="shared" si="148"/>
        <v>20.100000000000001</v>
      </c>
      <c r="N1130" s="9">
        <f t="shared" si="149"/>
        <v>7.5</v>
      </c>
      <c r="O1130" s="9">
        <v>6.7</v>
      </c>
      <c r="P1130" s="9">
        <v>2.5</v>
      </c>
      <c r="Q1130" s="9" t="s">
        <v>5</v>
      </c>
      <c r="R1130" s="1">
        <v>0</v>
      </c>
      <c r="S1130" s="26"/>
    </row>
    <row r="1131" spans="1:19" ht="16.5" hidden="1" customHeight="1" x14ac:dyDescent="0.25">
      <c r="A1131" s="21"/>
      <c r="H1131" s="21"/>
      <c r="I1131" s="21"/>
      <c r="J1131" s="21"/>
      <c r="K1131" s="21"/>
      <c r="L1131" s="21"/>
      <c r="M1131" s="9">
        <f t="shared" si="148"/>
        <v>0</v>
      </c>
      <c r="N1131" s="9">
        <f t="shared" si="149"/>
        <v>0</v>
      </c>
      <c r="O1131" s="21"/>
      <c r="P1131" s="21"/>
      <c r="Q1131" s="21"/>
      <c r="S1131" s="25"/>
    </row>
    <row r="1132" spans="1:19" ht="16.5" customHeight="1" x14ac:dyDescent="0.25">
      <c r="A1132" s="9"/>
      <c r="B1132" s="39" t="s">
        <v>42</v>
      </c>
      <c r="C1132" s="40"/>
      <c r="D1132" s="40"/>
      <c r="E1132" s="40"/>
      <c r="F1132" s="40"/>
      <c r="G1132" s="41"/>
      <c r="H1132" s="23"/>
      <c r="I1132" s="24">
        <f>SUM(I1121:I1131)</f>
        <v>22</v>
      </c>
      <c r="J1132" s="9"/>
      <c r="K1132" s="9"/>
      <c r="L1132" s="9"/>
      <c r="M1132" s="9">
        <f t="shared" si="148"/>
        <v>146.07999999999998</v>
      </c>
      <c r="N1132" s="9">
        <f t="shared" si="149"/>
        <v>55</v>
      </c>
      <c r="O1132" s="24">
        <f>ROUND(SUM(M1121:M1131)/I1132,2)</f>
        <v>6.64</v>
      </c>
      <c r="P1132" s="24">
        <f>ROUND(SUM(N1121:N1131)/I1132,2)</f>
        <v>2.5</v>
      </c>
      <c r="Q1132" s="9"/>
      <c r="S1132" s="25"/>
    </row>
    <row r="1133" spans="1:19" ht="20.25" customHeight="1" x14ac:dyDescent="0.25">
      <c r="A1133" s="27" t="s">
        <v>99</v>
      </c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</row>
    <row r="1134" spans="1:19" ht="16.5" customHeight="1" x14ac:dyDescent="0.25">
      <c r="A1134" s="9"/>
      <c r="B1134" s="51" t="s">
        <v>100</v>
      </c>
      <c r="C1134" s="52"/>
      <c r="D1134" s="52"/>
      <c r="E1134" s="52"/>
      <c r="F1134" s="52"/>
      <c r="G1134" s="53"/>
      <c r="H1134" s="20"/>
      <c r="I1134" s="9">
        <v>2</v>
      </c>
      <c r="J1134" s="9"/>
      <c r="K1134" s="9"/>
      <c r="L1134" s="9"/>
      <c r="M1134" s="9">
        <f t="shared" ref="M1134:M1147" si="150">I1134*O1134</f>
        <v>14.2</v>
      </c>
      <c r="N1134" s="9">
        <f t="shared" ref="N1134:N1147" si="151">I1134*P1134</f>
        <v>6</v>
      </c>
      <c r="O1134" s="9">
        <v>7.1</v>
      </c>
      <c r="P1134" s="9">
        <v>3</v>
      </c>
      <c r="Q1134" s="9" t="s">
        <v>6</v>
      </c>
      <c r="R1134" s="1">
        <v>0</v>
      </c>
      <c r="S1134" s="26"/>
    </row>
    <row r="1135" spans="1:19" ht="16.5" customHeight="1" x14ac:dyDescent="0.25">
      <c r="A1135" s="9"/>
      <c r="B1135" s="51" t="s">
        <v>101</v>
      </c>
      <c r="C1135" s="52"/>
      <c r="D1135" s="52"/>
      <c r="E1135" s="52"/>
      <c r="F1135" s="52"/>
      <c r="G1135" s="53"/>
      <c r="H1135" s="20"/>
      <c r="I1135" s="9">
        <v>2</v>
      </c>
      <c r="J1135" s="9"/>
      <c r="K1135" s="9"/>
      <c r="L1135" s="9"/>
      <c r="M1135" s="9">
        <f t="shared" si="150"/>
        <v>14.8</v>
      </c>
      <c r="N1135" s="9">
        <f t="shared" si="151"/>
        <v>6</v>
      </c>
      <c r="O1135" s="9">
        <v>7.4</v>
      </c>
      <c r="P1135" s="9">
        <v>3</v>
      </c>
      <c r="Q1135" s="9" t="s">
        <v>6</v>
      </c>
      <c r="R1135" s="1">
        <v>0</v>
      </c>
      <c r="S1135" s="26"/>
    </row>
    <row r="1136" spans="1:19" ht="16.5" customHeight="1" x14ac:dyDescent="0.25">
      <c r="A1136" s="9"/>
      <c r="B1136" s="51" t="s">
        <v>102</v>
      </c>
      <c r="C1136" s="52"/>
      <c r="D1136" s="52"/>
      <c r="E1136" s="52"/>
      <c r="F1136" s="52"/>
      <c r="G1136" s="53"/>
      <c r="H1136" s="20"/>
      <c r="I1136" s="9">
        <v>1</v>
      </c>
      <c r="J1136" s="9"/>
      <c r="K1136" s="9"/>
      <c r="L1136" s="9"/>
      <c r="M1136" s="9">
        <f t="shared" si="150"/>
        <v>7.5</v>
      </c>
      <c r="N1136" s="9">
        <f t="shared" si="151"/>
        <v>3</v>
      </c>
      <c r="O1136" s="9">
        <v>7.5</v>
      </c>
      <c r="P1136" s="9">
        <v>3</v>
      </c>
      <c r="Q1136" s="9" t="s">
        <v>6</v>
      </c>
      <c r="R1136" s="1">
        <v>0</v>
      </c>
      <c r="S1136" s="26"/>
    </row>
    <row r="1137" spans="1:19" ht="16.5" customHeight="1" x14ac:dyDescent="0.25">
      <c r="A1137" s="9"/>
      <c r="B1137" s="51" t="s">
        <v>103</v>
      </c>
      <c r="C1137" s="52"/>
      <c r="D1137" s="52"/>
      <c r="E1137" s="52"/>
      <c r="F1137" s="52"/>
      <c r="G1137" s="53"/>
      <c r="H1137" s="20"/>
      <c r="I1137" s="9">
        <v>2</v>
      </c>
      <c r="J1137" s="9"/>
      <c r="K1137" s="9"/>
      <c r="L1137" s="9"/>
      <c r="M1137" s="9">
        <f t="shared" si="150"/>
        <v>13.2</v>
      </c>
      <c r="N1137" s="9">
        <f t="shared" si="151"/>
        <v>5</v>
      </c>
      <c r="O1137" s="9">
        <v>6.6</v>
      </c>
      <c r="P1137" s="9">
        <v>2.5</v>
      </c>
      <c r="Q1137" s="9" t="s">
        <v>5</v>
      </c>
      <c r="R1137" s="1">
        <v>0</v>
      </c>
      <c r="S1137" s="26"/>
    </row>
    <row r="1138" spans="1:19" ht="16.5" customHeight="1" x14ac:dyDescent="0.25">
      <c r="A1138" s="9"/>
      <c r="B1138" s="51" t="s">
        <v>104</v>
      </c>
      <c r="C1138" s="52"/>
      <c r="D1138" s="52"/>
      <c r="E1138" s="52"/>
      <c r="F1138" s="52"/>
      <c r="G1138" s="53"/>
      <c r="H1138" s="20"/>
      <c r="I1138" s="9">
        <v>3</v>
      </c>
      <c r="J1138" s="9"/>
      <c r="K1138" s="9"/>
      <c r="L1138" s="9"/>
      <c r="M1138" s="9">
        <f t="shared" si="150"/>
        <v>16.799999999999997</v>
      </c>
      <c r="N1138" s="9">
        <f t="shared" si="151"/>
        <v>6</v>
      </c>
      <c r="O1138" s="9">
        <v>5.6</v>
      </c>
      <c r="P1138" s="9">
        <v>2</v>
      </c>
      <c r="Q1138" s="9" t="s">
        <v>3</v>
      </c>
      <c r="R1138" s="1">
        <v>0</v>
      </c>
      <c r="S1138" s="26"/>
    </row>
    <row r="1139" spans="1:19" ht="16.5" customHeight="1" x14ac:dyDescent="0.25">
      <c r="A1139" s="9"/>
      <c r="B1139" s="51" t="s">
        <v>105</v>
      </c>
      <c r="C1139" s="52"/>
      <c r="D1139" s="52"/>
      <c r="E1139" s="52"/>
      <c r="F1139" s="52"/>
      <c r="G1139" s="53"/>
      <c r="H1139" s="20"/>
      <c r="I1139" s="9">
        <v>3</v>
      </c>
      <c r="J1139" s="9"/>
      <c r="K1139" s="9"/>
      <c r="L1139" s="9"/>
      <c r="M1139" s="9">
        <f t="shared" si="150"/>
        <v>24</v>
      </c>
      <c r="N1139" s="9">
        <f t="shared" si="151"/>
        <v>10.5</v>
      </c>
      <c r="O1139" s="9">
        <v>8</v>
      </c>
      <c r="P1139" s="9">
        <v>3.5</v>
      </c>
      <c r="Q1139" s="9" t="s">
        <v>9</v>
      </c>
      <c r="R1139" s="1">
        <v>0</v>
      </c>
      <c r="S1139" s="26"/>
    </row>
    <row r="1140" spans="1:19" ht="16.5" customHeight="1" x14ac:dyDescent="0.25">
      <c r="A1140" s="9"/>
      <c r="B1140" s="51" t="s">
        <v>106</v>
      </c>
      <c r="C1140" s="52"/>
      <c r="D1140" s="52"/>
      <c r="E1140" s="52"/>
      <c r="F1140" s="52"/>
      <c r="G1140" s="53"/>
      <c r="H1140" s="20"/>
      <c r="I1140" s="9">
        <v>2</v>
      </c>
      <c r="J1140" s="9"/>
      <c r="K1140" s="9"/>
      <c r="L1140" s="9"/>
      <c r="M1140" s="9">
        <f t="shared" si="150"/>
        <v>13.4</v>
      </c>
      <c r="N1140" s="9">
        <f t="shared" si="151"/>
        <v>5</v>
      </c>
      <c r="O1140" s="9">
        <v>6.7</v>
      </c>
      <c r="P1140" s="9">
        <v>2.5</v>
      </c>
      <c r="Q1140" s="9" t="s">
        <v>5</v>
      </c>
      <c r="R1140" s="1">
        <v>0</v>
      </c>
      <c r="S1140" s="26"/>
    </row>
    <row r="1141" spans="1:19" ht="16.5" customHeight="1" x14ac:dyDescent="0.25">
      <c r="A1141" s="9"/>
      <c r="B1141" s="51" t="s">
        <v>107</v>
      </c>
      <c r="C1141" s="52"/>
      <c r="D1141" s="52"/>
      <c r="E1141" s="52"/>
      <c r="F1141" s="52"/>
      <c r="G1141" s="53"/>
      <c r="H1141" s="20"/>
      <c r="I1141" s="9">
        <v>3</v>
      </c>
      <c r="J1141" s="9"/>
      <c r="K1141" s="9"/>
      <c r="L1141" s="9"/>
      <c r="M1141" s="9">
        <f t="shared" si="150"/>
        <v>20.100000000000001</v>
      </c>
      <c r="N1141" s="9">
        <f t="shared" si="151"/>
        <v>7.5</v>
      </c>
      <c r="O1141" s="9">
        <v>6.7</v>
      </c>
      <c r="P1141" s="9">
        <v>2.5</v>
      </c>
      <c r="Q1141" s="9" t="s">
        <v>5</v>
      </c>
      <c r="R1141" s="1">
        <v>0</v>
      </c>
      <c r="S1141" s="26"/>
    </row>
    <row r="1142" spans="1:19" ht="16.5" customHeight="1" x14ac:dyDescent="0.25">
      <c r="A1142" s="9"/>
      <c r="B1142" s="51" t="s">
        <v>108</v>
      </c>
      <c r="C1142" s="52"/>
      <c r="D1142" s="52"/>
      <c r="E1142" s="52"/>
      <c r="F1142" s="52"/>
      <c r="G1142" s="53"/>
      <c r="H1142" s="20"/>
      <c r="I1142" s="9">
        <v>1</v>
      </c>
      <c r="J1142" s="9"/>
      <c r="K1142" s="9"/>
      <c r="L1142" s="9"/>
      <c r="M1142" s="9">
        <f t="shared" si="150"/>
        <v>8</v>
      </c>
      <c r="N1142" s="9">
        <f t="shared" si="151"/>
        <v>3.5</v>
      </c>
      <c r="O1142" s="9">
        <v>8</v>
      </c>
      <c r="P1142" s="9">
        <v>3.5</v>
      </c>
      <c r="Q1142" s="9" t="s">
        <v>9</v>
      </c>
      <c r="R1142" s="1">
        <v>0</v>
      </c>
      <c r="S1142" s="26"/>
    </row>
    <row r="1143" spans="1:19" ht="16.5" customHeight="1" x14ac:dyDescent="0.25">
      <c r="A1143" s="9"/>
      <c r="B1143" s="51" t="s">
        <v>111</v>
      </c>
      <c r="C1143" s="52"/>
      <c r="D1143" s="52"/>
      <c r="E1143" s="52"/>
      <c r="F1143" s="52"/>
      <c r="G1143" s="53"/>
      <c r="H1143" s="20"/>
      <c r="I1143" s="9">
        <v>3</v>
      </c>
      <c r="J1143" s="9"/>
      <c r="K1143" s="9"/>
      <c r="L1143" s="9"/>
      <c r="M1143" s="9">
        <f t="shared" si="150"/>
        <v>25.5</v>
      </c>
      <c r="N1143" s="9">
        <f t="shared" si="151"/>
        <v>11.100000000000001</v>
      </c>
      <c r="O1143" s="9">
        <v>8.5</v>
      </c>
      <c r="P1143" s="9">
        <v>3.7</v>
      </c>
      <c r="Q1143" s="9" t="s">
        <v>10</v>
      </c>
      <c r="R1143" s="1">
        <v>0</v>
      </c>
      <c r="S1143" s="26"/>
    </row>
    <row r="1144" spans="1:19" ht="16.5" customHeight="1" x14ac:dyDescent="0.25">
      <c r="A1144" s="9"/>
      <c r="B1144" s="51" t="s">
        <v>110</v>
      </c>
      <c r="C1144" s="52"/>
      <c r="D1144" s="52"/>
      <c r="E1144" s="52"/>
      <c r="F1144" s="52"/>
      <c r="G1144" s="53"/>
      <c r="H1144" s="20"/>
      <c r="I1144" s="9">
        <v>1</v>
      </c>
      <c r="J1144" s="9"/>
      <c r="K1144" s="9"/>
      <c r="L1144" s="9"/>
      <c r="M1144" s="9">
        <f t="shared" si="150"/>
        <v>8.5</v>
      </c>
      <c r="N1144" s="9">
        <f t="shared" si="151"/>
        <v>3.7</v>
      </c>
      <c r="O1144" s="9">
        <v>8.5</v>
      </c>
      <c r="P1144" s="9">
        <v>3.7</v>
      </c>
      <c r="Q1144" s="9" t="s">
        <v>10</v>
      </c>
      <c r="R1144" s="1">
        <v>0</v>
      </c>
      <c r="S1144" s="26"/>
    </row>
    <row r="1145" spans="1:19" ht="16.5" customHeight="1" x14ac:dyDescent="0.25">
      <c r="A1145" s="9"/>
      <c r="B1145" s="51" t="s">
        <v>109</v>
      </c>
      <c r="C1145" s="52"/>
      <c r="D1145" s="52"/>
      <c r="E1145" s="52"/>
      <c r="F1145" s="52"/>
      <c r="G1145" s="53"/>
      <c r="H1145" s="20"/>
      <c r="I1145" s="9">
        <v>2</v>
      </c>
      <c r="J1145" s="9"/>
      <c r="K1145" s="9"/>
      <c r="L1145" s="9"/>
      <c r="M1145" s="9">
        <f t="shared" si="150"/>
        <v>13.4</v>
      </c>
      <c r="N1145" s="9">
        <f t="shared" si="151"/>
        <v>5</v>
      </c>
      <c r="O1145" s="9">
        <v>6.7</v>
      </c>
      <c r="P1145" s="9">
        <v>2.5</v>
      </c>
      <c r="Q1145" s="9" t="s">
        <v>5</v>
      </c>
      <c r="R1145" s="1">
        <v>0</v>
      </c>
      <c r="S1145" s="26"/>
    </row>
    <row r="1146" spans="1:19" ht="16.5" hidden="1" customHeight="1" x14ac:dyDescent="0.25">
      <c r="A1146" s="21"/>
      <c r="H1146" s="21"/>
      <c r="I1146" s="21"/>
      <c r="J1146" s="21"/>
      <c r="K1146" s="21"/>
      <c r="L1146" s="21"/>
      <c r="M1146" s="9">
        <f t="shared" si="150"/>
        <v>0</v>
      </c>
      <c r="N1146" s="9">
        <f t="shared" si="151"/>
        <v>0</v>
      </c>
      <c r="O1146" s="21"/>
      <c r="P1146" s="21"/>
      <c r="Q1146" s="21"/>
      <c r="S1146" s="25"/>
    </row>
    <row r="1147" spans="1:19" ht="16.5" customHeight="1" x14ac:dyDescent="0.25">
      <c r="A1147" s="9"/>
      <c r="B1147" s="39" t="s">
        <v>42</v>
      </c>
      <c r="C1147" s="40"/>
      <c r="D1147" s="40"/>
      <c r="E1147" s="40"/>
      <c r="F1147" s="40"/>
      <c r="G1147" s="41"/>
      <c r="H1147" s="23"/>
      <c r="I1147" s="24">
        <f>SUM(I1134:I1146)</f>
        <v>25</v>
      </c>
      <c r="J1147" s="9"/>
      <c r="K1147" s="9"/>
      <c r="L1147" s="9"/>
      <c r="M1147" s="9">
        <f t="shared" si="150"/>
        <v>179.5</v>
      </c>
      <c r="N1147" s="9">
        <f t="shared" si="151"/>
        <v>72.25</v>
      </c>
      <c r="O1147" s="24">
        <f>ROUND(SUM(M1134:M1146)/I1147,2)</f>
        <v>7.18</v>
      </c>
      <c r="P1147" s="24">
        <f>ROUND(SUM(N1134:N1146)/I1147,2)</f>
        <v>2.89</v>
      </c>
      <c r="Q1147" s="9"/>
      <c r="S1147" s="25"/>
    </row>
    <row r="1148" spans="1:19" ht="20.25" customHeight="1" x14ac:dyDescent="0.25">
      <c r="A1148" s="27" t="s">
        <v>112</v>
      </c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</row>
    <row r="1149" spans="1:19" ht="16.5" customHeight="1" x14ac:dyDescent="0.25">
      <c r="A1149" s="9"/>
      <c r="B1149" s="51" t="s">
        <v>113</v>
      </c>
      <c r="C1149" s="52"/>
      <c r="D1149" s="52"/>
      <c r="E1149" s="52"/>
      <c r="F1149" s="52"/>
      <c r="G1149" s="53"/>
      <c r="H1149" s="20"/>
      <c r="I1149" s="9">
        <v>2</v>
      </c>
      <c r="J1149" s="9"/>
      <c r="K1149" s="9"/>
      <c r="L1149" s="9"/>
      <c r="M1149" s="9">
        <f t="shared" ref="M1149:M1158" si="152">I1149*O1149</f>
        <v>0</v>
      </c>
      <c r="N1149" s="9">
        <f t="shared" ref="N1149:N1158" si="153">I1149*P1149</f>
        <v>0</v>
      </c>
      <c r="O1149" s="9"/>
      <c r="P1149" s="9"/>
      <c r="Q1149" s="9"/>
      <c r="R1149" s="1">
        <v>0</v>
      </c>
      <c r="S1149" s="26"/>
    </row>
    <row r="1150" spans="1:19" ht="16.5" customHeight="1" x14ac:dyDescent="0.25">
      <c r="A1150" s="9"/>
      <c r="B1150" s="51" t="s">
        <v>114</v>
      </c>
      <c r="C1150" s="52"/>
      <c r="D1150" s="52"/>
      <c r="E1150" s="52"/>
      <c r="F1150" s="52"/>
      <c r="G1150" s="53"/>
      <c r="H1150" s="20"/>
      <c r="I1150" s="9">
        <v>3</v>
      </c>
      <c r="J1150" s="9"/>
      <c r="K1150" s="9"/>
      <c r="L1150" s="9"/>
      <c r="M1150" s="9">
        <f t="shared" si="152"/>
        <v>24</v>
      </c>
      <c r="N1150" s="9">
        <f t="shared" si="153"/>
        <v>10.5</v>
      </c>
      <c r="O1150" s="9">
        <v>8</v>
      </c>
      <c r="P1150" s="9">
        <v>3.5</v>
      </c>
      <c r="Q1150" s="9" t="s">
        <v>9</v>
      </c>
      <c r="R1150" s="1">
        <v>0</v>
      </c>
      <c r="S1150" s="26"/>
    </row>
    <row r="1151" spans="1:19" ht="16.5" customHeight="1" x14ac:dyDescent="0.25">
      <c r="A1151" s="9"/>
      <c r="B1151" s="51" t="s">
        <v>133</v>
      </c>
      <c r="C1151" s="52"/>
      <c r="D1151" s="52"/>
      <c r="E1151" s="52"/>
      <c r="F1151" s="52"/>
      <c r="G1151" s="53"/>
      <c r="H1151" s="20"/>
      <c r="I1151" s="9">
        <v>3</v>
      </c>
      <c r="J1151" s="9"/>
      <c r="K1151" s="9"/>
      <c r="L1151" s="9"/>
      <c r="M1151" s="9">
        <f t="shared" si="152"/>
        <v>19.799999999999997</v>
      </c>
      <c r="N1151" s="9">
        <f t="shared" si="153"/>
        <v>7.5</v>
      </c>
      <c r="O1151" s="9">
        <v>6.6</v>
      </c>
      <c r="P1151" s="9">
        <v>2.5</v>
      </c>
      <c r="Q1151" s="9" t="s">
        <v>5</v>
      </c>
      <c r="R1151" s="1">
        <v>0</v>
      </c>
      <c r="S1151" s="26"/>
    </row>
    <row r="1152" spans="1:19" ht="16.5" customHeight="1" x14ac:dyDescent="0.25">
      <c r="A1152" s="9"/>
      <c r="B1152" s="51" t="s">
        <v>115</v>
      </c>
      <c r="C1152" s="52"/>
      <c r="D1152" s="52"/>
      <c r="E1152" s="52"/>
      <c r="F1152" s="52"/>
      <c r="G1152" s="53"/>
      <c r="H1152" s="20"/>
      <c r="I1152" s="9">
        <v>1</v>
      </c>
      <c r="J1152" s="9"/>
      <c r="K1152" s="9"/>
      <c r="L1152" s="9"/>
      <c r="M1152" s="9">
        <f t="shared" si="152"/>
        <v>7.2</v>
      </c>
      <c r="N1152" s="9">
        <f t="shared" si="153"/>
        <v>3</v>
      </c>
      <c r="O1152" s="9">
        <v>7.2</v>
      </c>
      <c r="P1152" s="9">
        <v>3</v>
      </c>
      <c r="Q1152" s="9" t="s">
        <v>6</v>
      </c>
      <c r="R1152" s="1">
        <v>0</v>
      </c>
      <c r="S1152" s="26"/>
    </row>
    <row r="1153" spans="1:19" ht="16.5" customHeight="1" x14ac:dyDescent="0.25">
      <c r="A1153" s="9"/>
      <c r="B1153" s="51" t="s">
        <v>116</v>
      </c>
      <c r="C1153" s="52"/>
      <c r="D1153" s="52"/>
      <c r="E1153" s="52"/>
      <c r="F1153" s="52"/>
      <c r="G1153" s="53"/>
      <c r="H1153" s="20"/>
      <c r="I1153" s="9">
        <v>3</v>
      </c>
      <c r="J1153" s="9"/>
      <c r="K1153" s="9"/>
      <c r="L1153" s="9"/>
      <c r="M1153" s="9">
        <f t="shared" si="152"/>
        <v>19.5</v>
      </c>
      <c r="N1153" s="9">
        <f t="shared" si="153"/>
        <v>7.5</v>
      </c>
      <c r="O1153" s="9">
        <v>6.5</v>
      </c>
      <c r="P1153" s="9">
        <v>2.5</v>
      </c>
      <c r="Q1153" s="9" t="s">
        <v>5</v>
      </c>
      <c r="R1153" s="1">
        <v>0</v>
      </c>
      <c r="S1153" s="26"/>
    </row>
    <row r="1154" spans="1:19" ht="16.5" customHeight="1" x14ac:dyDescent="0.25">
      <c r="A1154" s="9"/>
      <c r="B1154" s="51" t="s">
        <v>117</v>
      </c>
      <c r="C1154" s="52"/>
      <c r="D1154" s="52"/>
      <c r="E1154" s="52"/>
      <c r="F1154" s="52"/>
      <c r="G1154" s="53"/>
      <c r="H1154" s="20"/>
      <c r="I1154" s="9">
        <v>3</v>
      </c>
      <c r="J1154" s="9"/>
      <c r="K1154" s="9"/>
      <c r="L1154" s="9"/>
      <c r="M1154" s="9">
        <f t="shared" si="152"/>
        <v>20.399999999999999</v>
      </c>
      <c r="N1154" s="9">
        <f t="shared" si="153"/>
        <v>7.5</v>
      </c>
      <c r="O1154" s="9">
        <v>6.8</v>
      </c>
      <c r="P1154" s="9">
        <v>2.5</v>
      </c>
      <c r="Q1154" s="9" t="s">
        <v>5</v>
      </c>
      <c r="R1154" s="1">
        <v>0</v>
      </c>
      <c r="S1154" s="26"/>
    </row>
    <row r="1155" spans="1:19" ht="31.2" customHeight="1" x14ac:dyDescent="0.25">
      <c r="A1155" s="9"/>
      <c r="B1155" s="51" t="s">
        <v>119</v>
      </c>
      <c r="C1155" s="52"/>
      <c r="D1155" s="52"/>
      <c r="E1155" s="52"/>
      <c r="F1155" s="52"/>
      <c r="G1155" s="53"/>
      <c r="H1155" s="20"/>
      <c r="I1155" s="9">
        <v>2</v>
      </c>
      <c r="J1155" s="9"/>
      <c r="K1155" s="9"/>
      <c r="L1155" s="9"/>
      <c r="M1155" s="9">
        <f t="shared" si="152"/>
        <v>0</v>
      </c>
      <c r="N1155" s="9">
        <f t="shared" si="153"/>
        <v>0</v>
      </c>
      <c r="O1155" s="9"/>
      <c r="P1155" s="9"/>
      <c r="Q1155" s="9"/>
      <c r="R1155" s="1">
        <v>0</v>
      </c>
      <c r="S1155" s="26"/>
    </row>
    <row r="1156" spans="1:19" ht="16.5" customHeight="1" x14ac:dyDescent="0.25">
      <c r="A1156" s="9"/>
      <c r="B1156" s="51" t="s">
        <v>118</v>
      </c>
      <c r="C1156" s="52"/>
      <c r="D1156" s="52"/>
      <c r="E1156" s="52"/>
      <c r="F1156" s="52"/>
      <c r="G1156" s="53"/>
      <c r="H1156" s="20"/>
      <c r="I1156" s="9">
        <v>3</v>
      </c>
      <c r="J1156" s="9"/>
      <c r="K1156" s="9"/>
      <c r="L1156" s="9"/>
      <c r="M1156" s="9">
        <f t="shared" si="152"/>
        <v>21.9</v>
      </c>
      <c r="N1156" s="9">
        <f t="shared" si="153"/>
        <v>9</v>
      </c>
      <c r="O1156" s="9">
        <v>7.3</v>
      </c>
      <c r="P1156" s="9">
        <v>3</v>
      </c>
      <c r="Q1156" s="9" t="s">
        <v>6</v>
      </c>
      <c r="R1156" s="1">
        <v>0</v>
      </c>
      <c r="S1156" s="26"/>
    </row>
    <row r="1157" spans="1:19" ht="16.5" hidden="1" customHeight="1" x14ac:dyDescent="0.25">
      <c r="A1157" s="21"/>
      <c r="H1157" s="21"/>
      <c r="I1157" s="21"/>
      <c r="J1157" s="21"/>
      <c r="K1157" s="21"/>
      <c r="L1157" s="21"/>
      <c r="M1157" s="9">
        <f t="shared" si="152"/>
        <v>0</v>
      </c>
      <c r="N1157" s="9">
        <f t="shared" si="153"/>
        <v>0</v>
      </c>
      <c r="O1157" s="21"/>
      <c r="P1157" s="21"/>
      <c r="Q1157" s="21"/>
      <c r="S1157" s="25"/>
    </row>
    <row r="1158" spans="1:19" ht="16.5" customHeight="1" x14ac:dyDescent="0.25">
      <c r="A1158" s="9"/>
      <c r="B1158" s="39" t="s">
        <v>42</v>
      </c>
      <c r="C1158" s="40"/>
      <c r="D1158" s="40"/>
      <c r="E1158" s="40"/>
      <c r="F1158" s="40"/>
      <c r="G1158" s="41"/>
      <c r="H1158" s="23"/>
      <c r="I1158" s="24">
        <f>SUM(I1149:I1157)</f>
        <v>20</v>
      </c>
      <c r="J1158" s="9"/>
      <c r="K1158" s="9"/>
      <c r="L1158" s="9"/>
      <c r="M1158" s="9">
        <f t="shared" si="152"/>
        <v>112.8</v>
      </c>
      <c r="N1158" s="9">
        <f t="shared" si="153"/>
        <v>45</v>
      </c>
      <c r="O1158" s="24">
        <f>ROUND(SUM(M1149:M1157)/I1158,2)</f>
        <v>5.64</v>
      </c>
      <c r="P1158" s="24">
        <f>ROUND(SUM(N1149:N1157)/I1158,2)</f>
        <v>2.25</v>
      </c>
      <c r="Q1158" s="9"/>
      <c r="S1158" s="25"/>
    </row>
    <row r="1159" spans="1:19" ht="16.5" customHeight="1" x14ac:dyDescent="0.25">
      <c r="A1159" s="21"/>
      <c r="B1159" s="22"/>
      <c r="C1159" s="22"/>
      <c r="D1159" s="22"/>
      <c r="E1159" s="22"/>
      <c r="F1159" s="22"/>
      <c r="G1159" s="22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</row>
    <row r="1161" spans="1:19" ht="18" x14ac:dyDescent="0.25">
      <c r="A1161" s="35" t="s">
        <v>142</v>
      </c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</row>
    <row r="1162" spans="1:19" ht="18" x14ac:dyDescent="0.25">
      <c r="A1162" s="35" t="s">
        <v>176</v>
      </c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</row>
    <row r="1163" spans="1:19" ht="18" x14ac:dyDescent="0.25">
      <c r="A1163" s="35" t="s">
        <v>177</v>
      </c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</row>
    <row r="1164" spans="1:19" ht="18" x14ac:dyDescent="0.25">
      <c r="A1164" s="45" t="s">
        <v>156</v>
      </c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</row>
    <row r="1165" spans="1:19" ht="19.5" customHeight="1" x14ac:dyDescent="0.25">
      <c r="A1165" s="17"/>
      <c r="B1165" s="17"/>
      <c r="C1165" s="8"/>
      <c r="D1165" s="18"/>
      <c r="E1165" s="10"/>
      <c r="F1165" s="11"/>
      <c r="G1165" s="46" t="s">
        <v>49</v>
      </c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</row>
    <row r="1166" spans="1:19" ht="31.5" customHeight="1" x14ac:dyDescent="0.3">
      <c r="A1166" s="8"/>
      <c r="B1166" s="8"/>
      <c r="C1166" s="8"/>
      <c r="D1166" s="8"/>
      <c r="E1166" s="8"/>
      <c r="F1166" s="8"/>
      <c r="G1166" s="8"/>
      <c r="H1166" s="12"/>
      <c r="I1166" s="42" t="s">
        <v>40</v>
      </c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</row>
    <row r="1167" spans="1:19" ht="16.8" x14ac:dyDescent="0.3">
      <c r="A1167" s="8"/>
      <c r="B1167" s="8"/>
      <c r="C1167" s="8"/>
      <c r="D1167" s="8"/>
      <c r="E1167" s="8"/>
      <c r="F1167" s="8"/>
      <c r="G1167" s="8"/>
      <c r="H1167" s="12"/>
      <c r="I1167" s="12"/>
      <c r="J1167" s="12"/>
      <c r="K1167" s="12"/>
      <c r="L1167" s="8"/>
      <c r="M1167" s="8"/>
      <c r="N1167" s="8"/>
      <c r="O1167" s="8"/>
      <c r="P1167" s="8"/>
      <c r="Q1167" s="8"/>
    </row>
    <row r="1168" spans="1:19" ht="33" customHeight="1" x14ac:dyDescent="0.3">
      <c r="A1168" s="8"/>
      <c r="B1168" s="8"/>
      <c r="C1168" s="8"/>
      <c r="D1168" s="8"/>
      <c r="E1168" s="8"/>
      <c r="F1168" s="8"/>
      <c r="G1168" s="8"/>
      <c r="H1168" s="12"/>
      <c r="I1168" s="12"/>
      <c r="J1168" s="12"/>
      <c r="K1168" s="12"/>
      <c r="L1168" s="8"/>
      <c r="M1168" s="8"/>
      <c r="N1168" s="8"/>
      <c r="O1168" s="8"/>
      <c r="P1168" s="8"/>
      <c r="Q1168" s="8"/>
    </row>
    <row r="1169" spans="1:20" ht="11.25" customHeight="1" x14ac:dyDescent="0.3">
      <c r="A1169" s="8"/>
      <c r="B1169" s="8"/>
      <c r="C1169" s="8"/>
      <c r="D1169" s="8"/>
      <c r="E1169" s="8"/>
      <c r="F1169" s="8"/>
      <c r="G1169" s="8"/>
      <c r="H1169" s="12"/>
      <c r="I1169" s="12"/>
      <c r="J1169" s="12"/>
      <c r="K1169" s="12"/>
      <c r="L1169" s="8"/>
      <c r="M1169" s="8"/>
      <c r="N1169" s="8"/>
      <c r="O1169" s="8"/>
      <c r="P1169" s="8"/>
      <c r="Q1169" s="8"/>
    </row>
    <row r="1170" spans="1:20" ht="17.399999999999999" x14ac:dyDescent="0.3">
      <c r="A1170" s="8"/>
      <c r="B1170" s="8"/>
      <c r="C1170" s="8"/>
      <c r="D1170" s="8"/>
      <c r="E1170" s="8"/>
      <c r="F1170" s="8"/>
      <c r="G1170" s="47" t="s">
        <v>41</v>
      </c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</row>
    <row r="1171" spans="1:20" ht="54" customHeight="1" x14ac:dyDescent="0.25">
      <c r="A1171" s="48" t="s">
        <v>33</v>
      </c>
      <c r="B1171" s="48"/>
      <c r="C1171" s="48"/>
      <c r="D1171" s="48"/>
      <c r="E1171" s="48"/>
      <c r="F1171" s="42" t="s">
        <v>24</v>
      </c>
      <c r="G1171" s="42"/>
      <c r="H1171" s="42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</row>
    <row r="1172" spans="1:20" ht="17.399999999999999" x14ac:dyDescent="0.25">
      <c r="A1172" s="49" t="s">
        <v>34</v>
      </c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</row>
    <row r="1173" spans="1:20" ht="4.5" customHeight="1" x14ac:dyDescent="0.25">
      <c r="A1173" s="50"/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0"/>
      <c r="N1173" s="50"/>
      <c r="O1173" s="50"/>
      <c r="P1173" s="50"/>
      <c r="Q1173" s="50"/>
    </row>
    <row r="1174" spans="1:20" ht="5.25" customHeight="1" x14ac:dyDescent="0.25">
      <c r="A1174" s="50"/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0"/>
      <c r="O1174" s="50"/>
      <c r="P1174" s="50"/>
      <c r="Q1174" s="50"/>
    </row>
    <row r="1175" spans="1:20" ht="16.5" customHeight="1" x14ac:dyDescent="0.25">
      <c r="A1175" s="54" t="s">
        <v>178</v>
      </c>
      <c r="B1175" s="54"/>
      <c r="C1175" s="54"/>
      <c r="D1175" s="54"/>
      <c r="E1175" s="54"/>
      <c r="F1175" s="54"/>
      <c r="G1175" s="58" t="s">
        <v>179</v>
      </c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</row>
    <row r="1176" spans="1:20" ht="16.5" customHeight="1" x14ac:dyDescent="0.25">
      <c r="A1176" s="54" t="s">
        <v>180</v>
      </c>
      <c r="B1176" s="54"/>
      <c r="C1176" s="54"/>
      <c r="D1176" s="54"/>
      <c r="E1176" s="54"/>
      <c r="F1176" s="54"/>
      <c r="G1176" s="8" t="s">
        <v>46</v>
      </c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T1176" s="2"/>
    </row>
    <row r="1177" spans="1:20" ht="16.5" customHeight="1" x14ac:dyDescent="0.25">
      <c r="A1177" s="54" t="s">
        <v>47</v>
      </c>
      <c r="B1177" s="54"/>
      <c r="C1177" s="54"/>
      <c r="D1177" s="54"/>
      <c r="E1177" s="54"/>
      <c r="F1177" s="54"/>
      <c r="G1177" s="58" t="s">
        <v>48</v>
      </c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</row>
    <row r="1178" spans="1:20" ht="5.25" customHeight="1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19"/>
      <c r="K1178" s="19"/>
      <c r="L1178" s="19"/>
      <c r="M1178" s="19"/>
      <c r="N1178" s="19"/>
      <c r="O1178" s="19"/>
      <c r="P1178" s="19"/>
      <c r="Q1178" s="19"/>
    </row>
    <row r="1179" spans="1:20" ht="15" customHeight="1" x14ac:dyDescent="0.25">
      <c r="A1179" s="36" t="s">
        <v>0</v>
      </c>
      <c r="B1179" s="29" t="s">
        <v>1</v>
      </c>
      <c r="C1179" s="30"/>
      <c r="D1179" s="30"/>
      <c r="E1179" s="30"/>
      <c r="F1179" s="30"/>
      <c r="G1179" s="31"/>
      <c r="H1179" s="36" t="s">
        <v>32</v>
      </c>
      <c r="I1179" s="36" t="s">
        <v>39</v>
      </c>
      <c r="J1179" s="55" t="s">
        <v>2</v>
      </c>
      <c r="K1179" s="56"/>
      <c r="L1179" s="56"/>
      <c r="M1179" s="56"/>
      <c r="N1179" s="56"/>
      <c r="O1179" s="56"/>
      <c r="P1179" s="56"/>
      <c r="Q1179" s="57"/>
      <c r="S1179" s="36" t="s">
        <v>38</v>
      </c>
    </row>
    <row r="1180" spans="1:20" ht="24" customHeight="1" x14ac:dyDescent="0.25">
      <c r="A1180" s="37"/>
      <c r="B1180" s="32"/>
      <c r="C1180" s="33"/>
      <c r="D1180" s="33"/>
      <c r="E1180" s="33"/>
      <c r="F1180" s="33"/>
      <c r="G1180" s="34"/>
      <c r="H1180" s="37"/>
      <c r="I1180" s="37"/>
      <c r="J1180" s="7" t="s">
        <v>28</v>
      </c>
      <c r="K1180" s="7" t="s">
        <v>29</v>
      </c>
      <c r="L1180" s="7" t="s">
        <v>30</v>
      </c>
      <c r="M1180" s="7"/>
      <c r="N1180" s="7"/>
      <c r="O1180" s="6" t="s">
        <v>35</v>
      </c>
      <c r="P1180" s="6" t="s">
        <v>36</v>
      </c>
      <c r="Q1180" s="6" t="s">
        <v>37</v>
      </c>
      <c r="S1180" s="37"/>
    </row>
    <row r="1181" spans="1:20" ht="20.25" customHeight="1" x14ac:dyDescent="0.25">
      <c r="A1181" s="27" t="s">
        <v>54</v>
      </c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</row>
    <row r="1182" spans="1:20" ht="16.5" customHeight="1" x14ac:dyDescent="0.25">
      <c r="A1182" s="9"/>
      <c r="B1182" s="51" t="s">
        <v>61</v>
      </c>
      <c r="C1182" s="52"/>
      <c r="D1182" s="52"/>
      <c r="E1182" s="52"/>
      <c r="F1182" s="52"/>
      <c r="G1182" s="53"/>
      <c r="H1182" s="20"/>
      <c r="I1182" s="9">
        <v>1</v>
      </c>
      <c r="J1182" s="9"/>
      <c r="K1182" s="9"/>
      <c r="L1182" s="9"/>
      <c r="M1182" s="9">
        <f t="shared" ref="M1182:M1190" si="154">I1182*O1182</f>
        <v>6.3</v>
      </c>
      <c r="N1182" s="9">
        <f t="shared" ref="N1182:N1190" si="155">I1182*P1182</f>
        <v>2</v>
      </c>
      <c r="O1182" s="9">
        <v>6.3</v>
      </c>
      <c r="P1182" s="9">
        <v>2</v>
      </c>
      <c r="Q1182" s="9" t="s">
        <v>3</v>
      </c>
      <c r="R1182" s="1">
        <v>0</v>
      </c>
      <c r="S1182" s="26"/>
    </row>
    <row r="1183" spans="1:20" ht="16.5" customHeight="1" x14ac:dyDescent="0.25">
      <c r="A1183" s="9"/>
      <c r="B1183" s="51" t="s">
        <v>56</v>
      </c>
      <c r="C1183" s="52"/>
      <c r="D1183" s="52"/>
      <c r="E1183" s="52"/>
      <c r="F1183" s="52"/>
      <c r="G1183" s="53"/>
      <c r="H1183" s="20"/>
      <c r="I1183" s="9">
        <v>3</v>
      </c>
      <c r="J1183" s="9"/>
      <c r="K1183" s="9"/>
      <c r="L1183" s="9"/>
      <c r="M1183" s="9">
        <f t="shared" si="154"/>
        <v>21.299999999999997</v>
      </c>
      <c r="N1183" s="9">
        <f t="shared" si="155"/>
        <v>9</v>
      </c>
      <c r="O1183" s="9">
        <v>7.1</v>
      </c>
      <c r="P1183" s="9">
        <v>3</v>
      </c>
      <c r="Q1183" s="9" t="s">
        <v>6</v>
      </c>
      <c r="R1183" s="1">
        <v>0</v>
      </c>
      <c r="S1183" s="26"/>
    </row>
    <row r="1184" spans="1:20" ht="31.2" customHeight="1" x14ac:dyDescent="0.25">
      <c r="A1184" s="9"/>
      <c r="B1184" s="51" t="s">
        <v>57</v>
      </c>
      <c r="C1184" s="52"/>
      <c r="D1184" s="52"/>
      <c r="E1184" s="52"/>
      <c r="F1184" s="52"/>
      <c r="G1184" s="53"/>
      <c r="H1184" s="20"/>
      <c r="I1184" s="9">
        <v>3</v>
      </c>
      <c r="J1184" s="9"/>
      <c r="K1184" s="9"/>
      <c r="L1184" s="9"/>
      <c r="M1184" s="9">
        <f t="shared" si="154"/>
        <v>24</v>
      </c>
      <c r="N1184" s="9">
        <f t="shared" si="155"/>
        <v>10.5</v>
      </c>
      <c r="O1184" s="9">
        <v>8</v>
      </c>
      <c r="P1184" s="9">
        <v>3.5</v>
      </c>
      <c r="Q1184" s="9" t="s">
        <v>9</v>
      </c>
      <c r="R1184" s="1">
        <v>0</v>
      </c>
      <c r="S1184" s="26"/>
    </row>
    <row r="1185" spans="1:19" ht="16.5" customHeight="1" x14ac:dyDescent="0.25">
      <c r="A1185" s="9"/>
      <c r="B1185" s="51" t="s">
        <v>58</v>
      </c>
      <c r="C1185" s="52"/>
      <c r="D1185" s="52"/>
      <c r="E1185" s="52"/>
      <c r="F1185" s="52"/>
      <c r="G1185" s="53"/>
      <c r="H1185" s="20"/>
      <c r="I1185" s="9">
        <v>1</v>
      </c>
      <c r="J1185" s="9"/>
      <c r="K1185" s="9"/>
      <c r="L1185" s="9"/>
      <c r="M1185" s="9">
        <f t="shared" si="154"/>
        <v>7.3</v>
      </c>
      <c r="N1185" s="9">
        <f t="shared" si="155"/>
        <v>3</v>
      </c>
      <c r="O1185" s="9">
        <v>7.3</v>
      </c>
      <c r="P1185" s="9">
        <v>3</v>
      </c>
      <c r="Q1185" s="9" t="s">
        <v>6</v>
      </c>
      <c r="R1185" s="1">
        <v>0</v>
      </c>
      <c r="S1185" s="26"/>
    </row>
    <row r="1186" spans="1:19" ht="16.5" customHeight="1" x14ac:dyDescent="0.25">
      <c r="A1186" s="9"/>
      <c r="B1186" s="51" t="s">
        <v>59</v>
      </c>
      <c r="C1186" s="52"/>
      <c r="D1186" s="52"/>
      <c r="E1186" s="52"/>
      <c r="F1186" s="52"/>
      <c r="G1186" s="53"/>
      <c r="H1186" s="20"/>
      <c r="I1186" s="9">
        <v>1</v>
      </c>
      <c r="J1186" s="9"/>
      <c r="K1186" s="9"/>
      <c r="L1186" s="9"/>
      <c r="M1186" s="9">
        <f t="shared" si="154"/>
        <v>6.5</v>
      </c>
      <c r="N1186" s="9">
        <f t="shared" si="155"/>
        <v>2.5</v>
      </c>
      <c r="O1186" s="9">
        <v>6.5</v>
      </c>
      <c r="P1186" s="9">
        <v>2.5</v>
      </c>
      <c r="Q1186" s="9" t="s">
        <v>5</v>
      </c>
      <c r="R1186" s="1">
        <v>0</v>
      </c>
      <c r="S1186" s="26"/>
    </row>
    <row r="1187" spans="1:19" ht="16.5" customHeight="1" x14ac:dyDescent="0.25">
      <c r="A1187" s="9"/>
      <c r="B1187" s="51" t="s">
        <v>60</v>
      </c>
      <c r="C1187" s="52"/>
      <c r="D1187" s="52"/>
      <c r="E1187" s="52"/>
      <c r="F1187" s="52"/>
      <c r="G1187" s="53"/>
      <c r="H1187" s="20"/>
      <c r="I1187" s="9">
        <v>3</v>
      </c>
      <c r="J1187" s="9"/>
      <c r="K1187" s="9"/>
      <c r="L1187" s="9"/>
      <c r="M1187" s="9">
        <f t="shared" si="154"/>
        <v>24.900000000000002</v>
      </c>
      <c r="N1187" s="9">
        <f t="shared" si="155"/>
        <v>10.5</v>
      </c>
      <c r="O1187" s="9">
        <v>8.3000000000000007</v>
      </c>
      <c r="P1187" s="9">
        <v>3.5</v>
      </c>
      <c r="Q1187" s="9" t="s">
        <v>9</v>
      </c>
      <c r="R1187" s="1">
        <v>0</v>
      </c>
      <c r="S1187" s="26"/>
    </row>
    <row r="1188" spans="1:19" ht="16.5" customHeight="1" x14ac:dyDescent="0.25">
      <c r="A1188" s="9"/>
      <c r="B1188" s="51" t="s">
        <v>55</v>
      </c>
      <c r="C1188" s="52"/>
      <c r="D1188" s="52"/>
      <c r="E1188" s="52"/>
      <c r="F1188" s="52"/>
      <c r="G1188" s="53"/>
      <c r="H1188" s="20"/>
      <c r="I1188" s="9">
        <v>2</v>
      </c>
      <c r="J1188" s="9"/>
      <c r="K1188" s="9"/>
      <c r="L1188" s="9"/>
      <c r="M1188" s="9">
        <f t="shared" si="154"/>
        <v>14.6</v>
      </c>
      <c r="N1188" s="9">
        <f t="shared" si="155"/>
        <v>6</v>
      </c>
      <c r="O1188" s="9">
        <v>7.3</v>
      </c>
      <c r="P1188" s="9">
        <v>3</v>
      </c>
      <c r="Q1188" s="9" t="s">
        <v>6</v>
      </c>
      <c r="R1188" s="1">
        <v>0</v>
      </c>
      <c r="S1188" s="26"/>
    </row>
    <row r="1189" spans="1:19" ht="16.5" hidden="1" customHeight="1" x14ac:dyDescent="0.25">
      <c r="A1189" s="21"/>
      <c r="H1189" s="21"/>
      <c r="I1189" s="21"/>
      <c r="J1189" s="21"/>
      <c r="K1189" s="21"/>
      <c r="L1189" s="21"/>
      <c r="M1189" s="9">
        <f t="shared" si="154"/>
        <v>0</v>
      </c>
      <c r="N1189" s="9">
        <f t="shared" si="155"/>
        <v>0</v>
      </c>
      <c r="O1189" s="21"/>
      <c r="P1189" s="21"/>
      <c r="Q1189" s="21"/>
      <c r="S1189" s="25"/>
    </row>
    <row r="1190" spans="1:19" ht="16.5" customHeight="1" x14ac:dyDescent="0.25">
      <c r="A1190" s="9"/>
      <c r="B1190" s="39" t="s">
        <v>42</v>
      </c>
      <c r="C1190" s="40"/>
      <c r="D1190" s="40"/>
      <c r="E1190" s="40"/>
      <c r="F1190" s="40"/>
      <c r="G1190" s="41"/>
      <c r="H1190" s="23"/>
      <c r="I1190" s="24">
        <f>SUM(I1182:I1189)</f>
        <v>14</v>
      </c>
      <c r="J1190" s="9"/>
      <c r="K1190" s="9"/>
      <c r="L1190" s="9"/>
      <c r="M1190" s="9">
        <f t="shared" si="154"/>
        <v>104.86</v>
      </c>
      <c r="N1190" s="9">
        <f t="shared" si="155"/>
        <v>43.54</v>
      </c>
      <c r="O1190" s="24">
        <f>ROUND(SUM(M1182:M1189)/I1190,2)</f>
        <v>7.49</v>
      </c>
      <c r="P1190" s="24">
        <f>ROUND(SUM(N1182:N1189)/I1190,2)</f>
        <v>3.11</v>
      </c>
      <c r="Q1190" s="9"/>
      <c r="S1190" s="25"/>
    </row>
    <row r="1191" spans="1:19" ht="20.25" customHeight="1" x14ac:dyDescent="0.25">
      <c r="A1191" s="27" t="s">
        <v>62</v>
      </c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</row>
    <row r="1192" spans="1:19" ht="16.5" customHeight="1" x14ac:dyDescent="0.25">
      <c r="A1192" s="9"/>
      <c r="B1192" s="51" t="s">
        <v>63</v>
      </c>
      <c r="C1192" s="52"/>
      <c r="D1192" s="52"/>
      <c r="E1192" s="52"/>
      <c r="F1192" s="52"/>
      <c r="G1192" s="53"/>
      <c r="H1192" s="20"/>
      <c r="I1192" s="9">
        <v>4</v>
      </c>
      <c r="J1192" s="9"/>
      <c r="K1192" s="9"/>
      <c r="L1192" s="9"/>
      <c r="M1192" s="9">
        <f t="shared" ref="M1192:M1200" si="156">I1192*O1192</f>
        <v>24.8</v>
      </c>
      <c r="N1192" s="9">
        <f t="shared" ref="N1192:N1200" si="157">I1192*P1192</f>
        <v>8</v>
      </c>
      <c r="O1192" s="9">
        <v>6.2</v>
      </c>
      <c r="P1192" s="9">
        <v>2</v>
      </c>
      <c r="Q1192" s="9" t="s">
        <v>3</v>
      </c>
      <c r="R1192" s="1">
        <v>0</v>
      </c>
      <c r="S1192" s="26"/>
    </row>
    <row r="1193" spans="1:19" ht="16.5" customHeight="1" x14ac:dyDescent="0.25">
      <c r="A1193" s="9"/>
      <c r="B1193" s="51" t="s">
        <v>64</v>
      </c>
      <c r="C1193" s="52"/>
      <c r="D1193" s="52"/>
      <c r="E1193" s="52"/>
      <c r="F1193" s="52"/>
      <c r="G1193" s="53"/>
      <c r="H1193" s="20"/>
      <c r="I1193" s="9">
        <v>4</v>
      </c>
      <c r="J1193" s="9"/>
      <c r="K1193" s="9"/>
      <c r="L1193" s="9"/>
      <c r="M1193" s="9">
        <f t="shared" si="156"/>
        <v>32.799999999999997</v>
      </c>
      <c r="N1193" s="9">
        <f t="shared" si="157"/>
        <v>14</v>
      </c>
      <c r="O1193" s="9">
        <v>8.1999999999999993</v>
      </c>
      <c r="P1193" s="9">
        <v>3.5</v>
      </c>
      <c r="Q1193" s="9" t="s">
        <v>9</v>
      </c>
      <c r="R1193" s="1">
        <v>0</v>
      </c>
      <c r="S1193" s="26"/>
    </row>
    <row r="1194" spans="1:19" ht="16.5" customHeight="1" x14ac:dyDescent="0.25">
      <c r="A1194" s="9"/>
      <c r="B1194" s="51" t="s">
        <v>65</v>
      </c>
      <c r="C1194" s="52"/>
      <c r="D1194" s="52"/>
      <c r="E1194" s="52"/>
      <c r="F1194" s="52"/>
      <c r="G1194" s="53"/>
      <c r="H1194" s="20"/>
      <c r="I1194" s="9">
        <v>4</v>
      </c>
      <c r="J1194" s="9"/>
      <c r="K1194" s="9"/>
      <c r="L1194" s="9"/>
      <c r="M1194" s="9">
        <f t="shared" si="156"/>
        <v>30.4</v>
      </c>
      <c r="N1194" s="9">
        <f t="shared" si="157"/>
        <v>12</v>
      </c>
      <c r="O1194" s="9">
        <v>7.6</v>
      </c>
      <c r="P1194" s="9">
        <v>3</v>
      </c>
      <c r="Q1194" s="9" t="s">
        <v>6</v>
      </c>
      <c r="R1194" s="1">
        <v>0</v>
      </c>
      <c r="S1194" s="26"/>
    </row>
    <row r="1195" spans="1:19" ht="16.5" customHeight="1" x14ac:dyDescent="0.25">
      <c r="A1195" s="9"/>
      <c r="B1195" s="51" t="s">
        <v>66</v>
      </c>
      <c r="C1195" s="52"/>
      <c r="D1195" s="52"/>
      <c r="E1195" s="52"/>
      <c r="F1195" s="52"/>
      <c r="G1195" s="53"/>
      <c r="H1195" s="20"/>
      <c r="I1195" s="9">
        <v>1</v>
      </c>
      <c r="J1195" s="9"/>
      <c r="K1195" s="9"/>
      <c r="L1195" s="9"/>
      <c r="M1195" s="9">
        <f t="shared" si="156"/>
        <v>7.9</v>
      </c>
      <c r="N1195" s="9">
        <f t="shared" si="157"/>
        <v>3</v>
      </c>
      <c r="O1195" s="9">
        <v>7.9</v>
      </c>
      <c r="P1195" s="9">
        <v>3</v>
      </c>
      <c r="Q1195" s="9" t="s">
        <v>6</v>
      </c>
      <c r="R1195" s="1">
        <v>0</v>
      </c>
      <c r="S1195" s="26"/>
    </row>
    <row r="1196" spans="1:19" ht="16.5" customHeight="1" x14ac:dyDescent="0.25">
      <c r="A1196" s="9"/>
      <c r="B1196" s="51" t="s">
        <v>67</v>
      </c>
      <c r="C1196" s="52"/>
      <c r="D1196" s="52"/>
      <c r="E1196" s="52"/>
      <c r="F1196" s="52"/>
      <c r="G1196" s="53"/>
      <c r="H1196" s="20"/>
      <c r="I1196" s="9">
        <v>1</v>
      </c>
      <c r="J1196" s="9"/>
      <c r="K1196" s="9"/>
      <c r="L1196" s="9"/>
      <c r="M1196" s="9">
        <f t="shared" si="156"/>
        <v>7.9</v>
      </c>
      <c r="N1196" s="9">
        <f t="shared" si="157"/>
        <v>3</v>
      </c>
      <c r="O1196" s="9">
        <v>7.9</v>
      </c>
      <c r="P1196" s="9">
        <v>3</v>
      </c>
      <c r="Q1196" s="9" t="s">
        <v>6</v>
      </c>
      <c r="R1196" s="1">
        <v>0</v>
      </c>
      <c r="S1196" s="26"/>
    </row>
    <row r="1197" spans="1:19" ht="16.5" customHeight="1" x14ac:dyDescent="0.25">
      <c r="A1197" s="9"/>
      <c r="B1197" s="51" t="s">
        <v>68</v>
      </c>
      <c r="C1197" s="52"/>
      <c r="D1197" s="52"/>
      <c r="E1197" s="52"/>
      <c r="F1197" s="52"/>
      <c r="G1197" s="53"/>
      <c r="H1197" s="20"/>
      <c r="I1197" s="9">
        <v>1</v>
      </c>
      <c r="J1197" s="9"/>
      <c r="K1197" s="9"/>
      <c r="L1197" s="9"/>
      <c r="M1197" s="9">
        <f t="shared" si="156"/>
        <v>7</v>
      </c>
      <c r="N1197" s="9">
        <f t="shared" si="157"/>
        <v>3</v>
      </c>
      <c r="O1197" s="9">
        <v>7</v>
      </c>
      <c r="P1197" s="9">
        <v>3</v>
      </c>
      <c r="Q1197" s="9" t="s">
        <v>6</v>
      </c>
      <c r="R1197" s="1">
        <v>0</v>
      </c>
      <c r="S1197" s="26"/>
    </row>
    <row r="1198" spans="1:19" ht="16.5" customHeight="1" x14ac:dyDescent="0.25">
      <c r="A1198" s="9"/>
      <c r="B1198" s="51" t="s">
        <v>69</v>
      </c>
      <c r="C1198" s="52"/>
      <c r="D1198" s="52"/>
      <c r="E1198" s="52"/>
      <c r="F1198" s="52"/>
      <c r="G1198" s="53"/>
      <c r="H1198" s="20"/>
      <c r="I1198" s="9">
        <v>1</v>
      </c>
      <c r="J1198" s="9"/>
      <c r="K1198" s="9"/>
      <c r="L1198" s="9"/>
      <c r="M1198" s="9">
        <f t="shared" si="156"/>
        <v>7.8</v>
      </c>
      <c r="N1198" s="9">
        <f t="shared" si="157"/>
        <v>3</v>
      </c>
      <c r="O1198" s="9">
        <v>7.8</v>
      </c>
      <c r="P1198" s="9">
        <v>3</v>
      </c>
      <c r="Q1198" s="9" t="s">
        <v>6</v>
      </c>
      <c r="R1198" s="1">
        <v>0</v>
      </c>
      <c r="S1198" s="26"/>
    </row>
    <row r="1199" spans="1:19" ht="16.5" hidden="1" customHeight="1" x14ac:dyDescent="0.25">
      <c r="A1199" s="21"/>
      <c r="H1199" s="21"/>
      <c r="I1199" s="21"/>
      <c r="J1199" s="21"/>
      <c r="K1199" s="21"/>
      <c r="L1199" s="21"/>
      <c r="M1199" s="9">
        <f t="shared" si="156"/>
        <v>0</v>
      </c>
      <c r="N1199" s="9">
        <f t="shared" si="157"/>
        <v>0</v>
      </c>
      <c r="O1199" s="21"/>
      <c r="P1199" s="21"/>
      <c r="Q1199" s="21"/>
      <c r="S1199" s="25"/>
    </row>
    <row r="1200" spans="1:19" ht="16.5" customHeight="1" x14ac:dyDescent="0.25">
      <c r="A1200" s="9"/>
      <c r="B1200" s="39" t="s">
        <v>42</v>
      </c>
      <c r="C1200" s="40"/>
      <c r="D1200" s="40"/>
      <c r="E1200" s="40"/>
      <c r="F1200" s="40"/>
      <c r="G1200" s="41"/>
      <c r="H1200" s="23"/>
      <c r="I1200" s="24">
        <f>SUM(I1192:I1199)</f>
        <v>16</v>
      </c>
      <c r="J1200" s="9"/>
      <c r="K1200" s="9"/>
      <c r="L1200" s="9"/>
      <c r="M1200" s="9">
        <f t="shared" si="156"/>
        <v>118.56</v>
      </c>
      <c r="N1200" s="9">
        <f t="shared" si="157"/>
        <v>46.08</v>
      </c>
      <c r="O1200" s="24">
        <f>ROUND(SUM(M1192:M1199)/I1200,2)</f>
        <v>7.41</v>
      </c>
      <c r="P1200" s="24">
        <f>ROUND(SUM(N1192:N1199)/I1200,2)</f>
        <v>2.88</v>
      </c>
      <c r="Q1200" s="9"/>
      <c r="S1200" s="25"/>
    </row>
    <row r="1201" spans="1:19" ht="20.25" customHeight="1" x14ac:dyDescent="0.25">
      <c r="A1201" s="27" t="s">
        <v>70</v>
      </c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</row>
    <row r="1202" spans="1:19" ht="16.5" customHeight="1" x14ac:dyDescent="0.25">
      <c r="A1202" s="9"/>
      <c r="B1202" s="51" t="s">
        <v>71</v>
      </c>
      <c r="C1202" s="52"/>
      <c r="D1202" s="52"/>
      <c r="E1202" s="52"/>
      <c r="F1202" s="52"/>
      <c r="G1202" s="53"/>
      <c r="H1202" s="20"/>
      <c r="I1202" s="9">
        <v>4</v>
      </c>
      <c r="J1202" s="9"/>
      <c r="K1202" s="9"/>
      <c r="L1202" s="9"/>
      <c r="M1202" s="9">
        <f t="shared" ref="M1202:M1210" si="158">I1202*O1202</f>
        <v>21.6</v>
      </c>
      <c r="N1202" s="9">
        <f t="shared" ref="N1202:N1210" si="159">I1202*P1202</f>
        <v>6</v>
      </c>
      <c r="O1202" s="9">
        <v>5.4</v>
      </c>
      <c r="P1202" s="9">
        <v>1.5</v>
      </c>
      <c r="Q1202" s="9" t="s">
        <v>4</v>
      </c>
      <c r="R1202" s="1">
        <v>0</v>
      </c>
      <c r="S1202" s="26"/>
    </row>
    <row r="1203" spans="1:19" ht="16.5" customHeight="1" x14ac:dyDescent="0.25">
      <c r="A1203" s="9"/>
      <c r="B1203" s="51" t="s">
        <v>72</v>
      </c>
      <c r="C1203" s="52"/>
      <c r="D1203" s="52"/>
      <c r="E1203" s="52"/>
      <c r="F1203" s="52"/>
      <c r="G1203" s="53"/>
      <c r="H1203" s="20"/>
      <c r="I1203" s="9">
        <v>4</v>
      </c>
      <c r="J1203" s="9"/>
      <c r="K1203" s="9"/>
      <c r="L1203" s="9"/>
      <c r="M1203" s="9">
        <f t="shared" si="158"/>
        <v>29.6</v>
      </c>
      <c r="N1203" s="9">
        <f t="shared" si="159"/>
        <v>12</v>
      </c>
      <c r="O1203" s="9">
        <v>7.4</v>
      </c>
      <c r="P1203" s="9">
        <v>3</v>
      </c>
      <c r="Q1203" s="9" t="s">
        <v>6</v>
      </c>
      <c r="R1203" s="1">
        <v>0</v>
      </c>
      <c r="S1203" s="26"/>
    </row>
    <row r="1204" spans="1:19" ht="16.5" customHeight="1" x14ac:dyDescent="0.25">
      <c r="A1204" s="9"/>
      <c r="B1204" s="51" t="s">
        <v>73</v>
      </c>
      <c r="C1204" s="52"/>
      <c r="D1204" s="52"/>
      <c r="E1204" s="52"/>
      <c r="F1204" s="52"/>
      <c r="G1204" s="53"/>
      <c r="H1204" s="20"/>
      <c r="I1204" s="9">
        <v>1</v>
      </c>
      <c r="J1204" s="9"/>
      <c r="K1204" s="9"/>
      <c r="L1204" s="9"/>
      <c r="M1204" s="9">
        <f t="shared" si="158"/>
        <v>8.1999999999999993</v>
      </c>
      <c r="N1204" s="9">
        <f t="shared" si="159"/>
        <v>3.5</v>
      </c>
      <c r="O1204" s="9">
        <v>8.1999999999999993</v>
      </c>
      <c r="P1204" s="9">
        <v>3.5</v>
      </c>
      <c r="Q1204" s="9" t="s">
        <v>9</v>
      </c>
      <c r="R1204" s="1">
        <v>0</v>
      </c>
      <c r="S1204" s="26"/>
    </row>
    <row r="1205" spans="1:19" ht="16.5" customHeight="1" x14ac:dyDescent="0.25">
      <c r="A1205" s="9"/>
      <c r="B1205" s="51" t="s">
        <v>74</v>
      </c>
      <c r="C1205" s="52"/>
      <c r="D1205" s="52"/>
      <c r="E1205" s="52"/>
      <c r="F1205" s="52"/>
      <c r="G1205" s="53"/>
      <c r="H1205" s="20"/>
      <c r="I1205" s="9">
        <v>2</v>
      </c>
      <c r="J1205" s="9"/>
      <c r="K1205" s="9"/>
      <c r="L1205" s="9"/>
      <c r="M1205" s="9">
        <f t="shared" si="158"/>
        <v>15.4</v>
      </c>
      <c r="N1205" s="9">
        <f t="shared" si="159"/>
        <v>6</v>
      </c>
      <c r="O1205" s="9">
        <v>7.7</v>
      </c>
      <c r="P1205" s="9">
        <v>3</v>
      </c>
      <c r="Q1205" s="9" t="s">
        <v>6</v>
      </c>
      <c r="R1205" s="1">
        <v>0</v>
      </c>
      <c r="S1205" s="26"/>
    </row>
    <row r="1206" spans="1:19" ht="16.5" customHeight="1" x14ac:dyDescent="0.25">
      <c r="A1206" s="9"/>
      <c r="B1206" s="51" t="s">
        <v>75</v>
      </c>
      <c r="C1206" s="52"/>
      <c r="D1206" s="52"/>
      <c r="E1206" s="52"/>
      <c r="F1206" s="52"/>
      <c r="G1206" s="53"/>
      <c r="H1206" s="20"/>
      <c r="I1206" s="9">
        <v>1</v>
      </c>
      <c r="J1206" s="9"/>
      <c r="K1206" s="9"/>
      <c r="L1206" s="9"/>
      <c r="M1206" s="9">
        <f t="shared" si="158"/>
        <v>6.3</v>
      </c>
      <c r="N1206" s="9">
        <f t="shared" si="159"/>
        <v>2</v>
      </c>
      <c r="O1206" s="9">
        <v>6.3</v>
      </c>
      <c r="P1206" s="9">
        <v>2</v>
      </c>
      <c r="Q1206" s="9" t="s">
        <v>3</v>
      </c>
      <c r="R1206" s="1">
        <v>0</v>
      </c>
      <c r="S1206" s="26"/>
    </row>
    <row r="1207" spans="1:19" ht="16.5" customHeight="1" x14ac:dyDescent="0.25">
      <c r="A1207" s="9"/>
      <c r="B1207" s="51" t="s">
        <v>76</v>
      </c>
      <c r="C1207" s="52"/>
      <c r="D1207" s="52"/>
      <c r="E1207" s="52"/>
      <c r="F1207" s="52"/>
      <c r="G1207" s="53"/>
      <c r="H1207" s="20"/>
      <c r="I1207" s="9">
        <v>4</v>
      </c>
      <c r="J1207" s="9"/>
      <c r="K1207" s="9"/>
      <c r="L1207" s="9"/>
      <c r="M1207" s="9">
        <f t="shared" si="158"/>
        <v>33.6</v>
      </c>
      <c r="N1207" s="9">
        <f t="shared" si="159"/>
        <v>14</v>
      </c>
      <c r="O1207" s="9">
        <v>8.4</v>
      </c>
      <c r="P1207" s="9">
        <v>3.5</v>
      </c>
      <c r="Q1207" s="9" t="s">
        <v>9</v>
      </c>
      <c r="R1207" s="1">
        <v>0</v>
      </c>
      <c r="S1207" s="26"/>
    </row>
    <row r="1208" spans="1:19" ht="16.5" customHeight="1" x14ac:dyDescent="0.25">
      <c r="A1208" s="9"/>
      <c r="B1208" s="51" t="s">
        <v>77</v>
      </c>
      <c r="C1208" s="52"/>
      <c r="D1208" s="52"/>
      <c r="E1208" s="52"/>
      <c r="F1208" s="52"/>
      <c r="G1208" s="53"/>
      <c r="H1208" s="20"/>
      <c r="I1208" s="9">
        <v>3</v>
      </c>
      <c r="J1208" s="9"/>
      <c r="K1208" s="9"/>
      <c r="L1208" s="9"/>
      <c r="M1208" s="9">
        <f t="shared" si="158"/>
        <v>21.9</v>
      </c>
      <c r="N1208" s="9">
        <f t="shared" si="159"/>
        <v>9</v>
      </c>
      <c r="O1208" s="9">
        <v>7.3</v>
      </c>
      <c r="P1208" s="9">
        <v>3</v>
      </c>
      <c r="Q1208" s="9" t="s">
        <v>6</v>
      </c>
      <c r="R1208" s="1">
        <v>0</v>
      </c>
      <c r="S1208" s="26"/>
    </row>
    <row r="1209" spans="1:19" ht="16.5" hidden="1" customHeight="1" x14ac:dyDescent="0.25">
      <c r="A1209" s="21"/>
      <c r="H1209" s="21"/>
      <c r="I1209" s="21"/>
      <c r="J1209" s="21"/>
      <c r="K1209" s="21"/>
      <c r="L1209" s="21"/>
      <c r="M1209" s="9">
        <f t="shared" si="158"/>
        <v>0</v>
      </c>
      <c r="N1209" s="9">
        <f t="shared" si="159"/>
        <v>0</v>
      </c>
      <c r="O1209" s="21"/>
      <c r="P1209" s="21"/>
      <c r="Q1209" s="21"/>
      <c r="S1209" s="25"/>
    </row>
    <row r="1210" spans="1:19" ht="16.5" customHeight="1" x14ac:dyDescent="0.25">
      <c r="A1210" s="9"/>
      <c r="B1210" s="39" t="s">
        <v>42</v>
      </c>
      <c r="C1210" s="40"/>
      <c r="D1210" s="40"/>
      <c r="E1210" s="40"/>
      <c r="F1210" s="40"/>
      <c r="G1210" s="41"/>
      <c r="H1210" s="23"/>
      <c r="I1210" s="24">
        <f>SUM(I1202:I1209)</f>
        <v>19</v>
      </c>
      <c r="J1210" s="9"/>
      <c r="K1210" s="9"/>
      <c r="L1210" s="9"/>
      <c r="M1210" s="9">
        <f t="shared" si="158"/>
        <v>136.61000000000001</v>
      </c>
      <c r="N1210" s="9">
        <f t="shared" si="159"/>
        <v>52.44</v>
      </c>
      <c r="O1210" s="24">
        <f>ROUND(SUM(M1202:M1209)/I1210,2)</f>
        <v>7.19</v>
      </c>
      <c r="P1210" s="24">
        <f>ROUND(SUM(N1202:N1209)/I1210,2)</f>
        <v>2.76</v>
      </c>
      <c r="Q1210" s="9"/>
      <c r="S1210" s="25"/>
    </row>
    <row r="1211" spans="1:19" ht="20.25" customHeight="1" x14ac:dyDescent="0.25">
      <c r="A1211" s="27" t="s">
        <v>78</v>
      </c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</row>
    <row r="1212" spans="1:19" ht="16.5" customHeight="1" x14ac:dyDescent="0.25">
      <c r="A1212" s="9"/>
      <c r="B1212" s="51" t="s">
        <v>79</v>
      </c>
      <c r="C1212" s="52"/>
      <c r="D1212" s="52"/>
      <c r="E1212" s="52"/>
      <c r="F1212" s="52"/>
      <c r="G1212" s="53"/>
      <c r="H1212" s="20"/>
      <c r="I1212" s="9">
        <v>1</v>
      </c>
      <c r="J1212" s="9"/>
      <c r="K1212" s="9"/>
      <c r="L1212" s="9"/>
      <c r="M1212" s="9">
        <f t="shared" ref="M1212:M1218" si="160">I1212*O1212</f>
        <v>8.5</v>
      </c>
      <c r="N1212" s="9">
        <f t="shared" ref="N1212:N1218" si="161">I1212*P1212</f>
        <v>3.7</v>
      </c>
      <c r="O1212" s="9">
        <v>8.5</v>
      </c>
      <c r="P1212" s="9">
        <v>3.7</v>
      </c>
      <c r="Q1212" s="9" t="s">
        <v>10</v>
      </c>
      <c r="R1212" s="1">
        <v>0</v>
      </c>
      <c r="S1212" s="26"/>
    </row>
    <row r="1213" spans="1:19" ht="16.5" customHeight="1" x14ac:dyDescent="0.25">
      <c r="A1213" s="9"/>
      <c r="B1213" s="51" t="s">
        <v>80</v>
      </c>
      <c r="C1213" s="52"/>
      <c r="D1213" s="52"/>
      <c r="E1213" s="52"/>
      <c r="F1213" s="52"/>
      <c r="G1213" s="53"/>
      <c r="H1213" s="20"/>
      <c r="I1213" s="9">
        <v>3</v>
      </c>
      <c r="J1213" s="9"/>
      <c r="K1213" s="9"/>
      <c r="L1213" s="9"/>
      <c r="M1213" s="9">
        <f t="shared" si="160"/>
        <v>23.4</v>
      </c>
      <c r="N1213" s="9">
        <f t="shared" si="161"/>
        <v>9</v>
      </c>
      <c r="O1213" s="9">
        <v>7.8</v>
      </c>
      <c r="P1213" s="9">
        <v>3</v>
      </c>
      <c r="Q1213" s="9" t="s">
        <v>6</v>
      </c>
      <c r="R1213" s="1">
        <v>0</v>
      </c>
      <c r="S1213" s="26"/>
    </row>
    <row r="1214" spans="1:19" ht="16.5" customHeight="1" x14ac:dyDescent="0.25">
      <c r="A1214" s="9"/>
      <c r="B1214" s="51" t="s">
        <v>81</v>
      </c>
      <c r="C1214" s="52"/>
      <c r="D1214" s="52"/>
      <c r="E1214" s="52"/>
      <c r="F1214" s="52"/>
      <c r="G1214" s="53"/>
      <c r="H1214" s="20"/>
      <c r="I1214" s="9">
        <v>3</v>
      </c>
      <c r="J1214" s="9"/>
      <c r="K1214" s="9"/>
      <c r="L1214" s="9"/>
      <c r="M1214" s="9">
        <f t="shared" si="160"/>
        <v>23.4</v>
      </c>
      <c r="N1214" s="9">
        <f t="shared" si="161"/>
        <v>9</v>
      </c>
      <c r="O1214" s="9">
        <v>7.8</v>
      </c>
      <c r="P1214" s="9">
        <v>3</v>
      </c>
      <c r="Q1214" s="9" t="s">
        <v>6</v>
      </c>
      <c r="R1214" s="1">
        <v>0</v>
      </c>
      <c r="S1214" s="26"/>
    </row>
    <row r="1215" spans="1:19" ht="16.5" customHeight="1" x14ac:dyDescent="0.25">
      <c r="A1215" s="9"/>
      <c r="B1215" s="51" t="s">
        <v>82</v>
      </c>
      <c r="C1215" s="52"/>
      <c r="D1215" s="52"/>
      <c r="E1215" s="52"/>
      <c r="F1215" s="52"/>
      <c r="G1215" s="53"/>
      <c r="H1215" s="20"/>
      <c r="I1215" s="9">
        <v>2</v>
      </c>
      <c r="J1215" s="9"/>
      <c r="K1215" s="9"/>
      <c r="L1215" s="9"/>
      <c r="M1215" s="9">
        <f t="shared" si="160"/>
        <v>16</v>
      </c>
      <c r="N1215" s="9">
        <f t="shared" si="161"/>
        <v>7</v>
      </c>
      <c r="O1215" s="9">
        <v>8</v>
      </c>
      <c r="P1215" s="9">
        <v>3.5</v>
      </c>
      <c r="Q1215" s="9" t="s">
        <v>9</v>
      </c>
      <c r="R1215" s="1">
        <v>0</v>
      </c>
      <c r="S1215" s="26"/>
    </row>
    <row r="1216" spans="1:19" ht="16.5" customHeight="1" x14ac:dyDescent="0.25">
      <c r="A1216" s="9"/>
      <c r="B1216" s="51" t="s">
        <v>83</v>
      </c>
      <c r="C1216" s="52"/>
      <c r="D1216" s="52"/>
      <c r="E1216" s="52"/>
      <c r="F1216" s="52"/>
      <c r="G1216" s="53"/>
      <c r="H1216" s="20"/>
      <c r="I1216" s="9">
        <v>2</v>
      </c>
      <c r="J1216" s="9"/>
      <c r="K1216" s="9"/>
      <c r="L1216" s="9"/>
      <c r="M1216" s="9">
        <f t="shared" si="160"/>
        <v>15.4</v>
      </c>
      <c r="N1216" s="9">
        <f t="shared" si="161"/>
        <v>6</v>
      </c>
      <c r="O1216" s="9">
        <v>7.7</v>
      </c>
      <c r="P1216" s="9">
        <v>3</v>
      </c>
      <c r="Q1216" s="9" t="s">
        <v>6</v>
      </c>
      <c r="R1216" s="1">
        <v>0</v>
      </c>
      <c r="S1216" s="26"/>
    </row>
    <row r="1217" spans="1:19" ht="16.5" customHeight="1" x14ac:dyDescent="0.25">
      <c r="A1217" s="9"/>
      <c r="B1217" s="51" t="s">
        <v>84</v>
      </c>
      <c r="C1217" s="52"/>
      <c r="D1217" s="52"/>
      <c r="E1217" s="52"/>
      <c r="F1217" s="52"/>
      <c r="G1217" s="53"/>
      <c r="H1217" s="20"/>
      <c r="I1217" s="9">
        <v>3</v>
      </c>
      <c r="J1217" s="9"/>
      <c r="K1217" s="9"/>
      <c r="L1217" s="9"/>
      <c r="M1217" s="9">
        <f t="shared" si="160"/>
        <v>26.400000000000002</v>
      </c>
      <c r="N1217" s="9">
        <f t="shared" si="161"/>
        <v>11.100000000000001</v>
      </c>
      <c r="O1217" s="9">
        <v>8.8000000000000007</v>
      </c>
      <c r="P1217" s="9">
        <v>3.7</v>
      </c>
      <c r="Q1217" s="9" t="s">
        <v>10</v>
      </c>
      <c r="R1217" s="1">
        <v>0</v>
      </c>
      <c r="S1217" s="26"/>
    </row>
    <row r="1218" spans="1:19" ht="16.5" customHeight="1" x14ac:dyDescent="0.25">
      <c r="A1218" s="9"/>
      <c r="B1218" s="51" t="s">
        <v>85</v>
      </c>
      <c r="C1218" s="52"/>
      <c r="D1218" s="52"/>
      <c r="E1218" s="52"/>
      <c r="F1218" s="52"/>
      <c r="G1218" s="53"/>
      <c r="H1218" s="20"/>
      <c r="I1218" s="9">
        <v>2</v>
      </c>
      <c r="J1218" s="9"/>
      <c r="K1218" s="9"/>
      <c r="L1218" s="9"/>
      <c r="M1218" s="9">
        <f t="shared" si="160"/>
        <v>14.8</v>
      </c>
      <c r="N1218" s="9">
        <f t="shared" si="161"/>
        <v>6</v>
      </c>
      <c r="O1218" s="9">
        <v>7.4</v>
      </c>
      <c r="P1218" s="9">
        <v>3</v>
      </c>
      <c r="Q1218" s="9" t="s">
        <v>6</v>
      </c>
      <c r="R1218" s="1">
        <v>0</v>
      </c>
      <c r="S1218" s="26"/>
    </row>
    <row r="1219" spans="1:19" ht="15" customHeight="1" x14ac:dyDescent="0.25">
      <c r="A1219" s="36" t="s">
        <v>0</v>
      </c>
      <c r="B1219" s="29" t="s">
        <v>1</v>
      </c>
      <c r="C1219" s="30"/>
      <c r="D1219" s="30"/>
      <c r="E1219" s="30"/>
      <c r="F1219" s="30"/>
      <c r="G1219" s="31"/>
      <c r="H1219" s="36" t="s">
        <v>32</v>
      </c>
      <c r="I1219" s="36" t="s">
        <v>39</v>
      </c>
      <c r="J1219" s="55" t="s">
        <v>2</v>
      </c>
      <c r="K1219" s="56"/>
      <c r="L1219" s="56"/>
      <c r="M1219" s="56"/>
      <c r="N1219" s="56"/>
      <c r="O1219" s="56"/>
      <c r="P1219" s="56"/>
      <c r="Q1219" s="57"/>
      <c r="S1219" s="36" t="s">
        <v>38</v>
      </c>
    </row>
    <row r="1220" spans="1:19" ht="24" customHeight="1" x14ac:dyDescent="0.25">
      <c r="A1220" s="37"/>
      <c r="B1220" s="32"/>
      <c r="C1220" s="33"/>
      <c r="D1220" s="33"/>
      <c r="E1220" s="33"/>
      <c r="F1220" s="33"/>
      <c r="G1220" s="34"/>
      <c r="H1220" s="37"/>
      <c r="I1220" s="37"/>
      <c r="J1220" s="7" t="s">
        <v>28</v>
      </c>
      <c r="K1220" s="7" t="s">
        <v>29</v>
      </c>
      <c r="L1220" s="7" t="s">
        <v>30</v>
      </c>
      <c r="M1220" s="7"/>
      <c r="N1220" s="7"/>
      <c r="O1220" s="6" t="s">
        <v>35</v>
      </c>
      <c r="P1220" s="6" t="s">
        <v>36</v>
      </c>
      <c r="Q1220" s="6" t="s">
        <v>37</v>
      </c>
      <c r="S1220" s="37"/>
    </row>
    <row r="1221" spans="1:19" ht="16.5" customHeight="1" x14ac:dyDescent="0.25">
      <c r="A1221" s="9"/>
      <c r="B1221" s="51" t="s">
        <v>86</v>
      </c>
      <c r="C1221" s="52"/>
      <c r="D1221" s="52"/>
      <c r="E1221" s="52"/>
      <c r="F1221" s="52"/>
      <c r="G1221" s="53"/>
      <c r="H1221" s="20"/>
      <c r="I1221" s="9">
        <v>3</v>
      </c>
      <c r="J1221" s="9"/>
      <c r="K1221" s="9"/>
      <c r="L1221" s="9"/>
      <c r="M1221" s="9">
        <f>I1221*O1221</f>
        <v>26.700000000000003</v>
      </c>
      <c r="N1221" s="9">
        <f>I1221*P1221</f>
        <v>11.100000000000001</v>
      </c>
      <c r="O1221" s="9">
        <v>8.9</v>
      </c>
      <c r="P1221" s="9">
        <v>3.7</v>
      </c>
      <c r="Q1221" s="9" t="s">
        <v>10</v>
      </c>
      <c r="R1221" s="1">
        <v>0</v>
      </c>
      <c r="S1221" s="26"/>
    </row>
    <row r="1222" spans="1:19" ht="16.5" customHeight="1" x14ac:dyDescent="0.25">
      <c r="A1222" s="9"/>
      <c r="B1222" s="51" t="s">
        <v>87</v>
      </c>
      <c r="C1222" s="52"/>
      <c r="D1222" s="52"/>
      <c r="E1222" s="52"/>
      <c r="F1222" s="52"/>
      <c r="G1222" s="53"/>
      <c r="H1222" s="20"/>
      <c r="I1222" s="9">
        <v>3</v>
      </c>
      <c r="J1222" s="9"/>
      <c r="K1222" s="9"/>
      <c r="L1222" s="9"/>
      <c r="M1222" s="9">
        <f>I1222*O1222</f>
        <v>26.400000000000002</v>
      </c>
      <c r="N1222" s="9">
        <f>I1222*P1222</f>
        <v>11.100000000000001</v>
      </c>
      <c r="O1222" s="9">
        <v>8.8000000000000007</v>
      </c>
      <c r="P1222" s="9">
        <v>3.7</v>
      </c>
      <c r="Q1222" s="9" t="s">
        <v>10</v>
      </c>
      <c r="R1222" s="1">
        <v>0</v>
      </c>
      <c r="S1222" s="26"/>
    </row>
    <row r="1223" spans="1:19" ht="16.5" hidden="1" customHeight="1" x14ac:dyDescent="0.25">
      <c r="A1223" s="21"/>
      <c r="H1223" s="21"/>
      <c r="I1223" s="21"/>
      <c r="J1223" s="21"/>
      <c r="K1223" s="21"/>
      <c r="L1223" s="21"/>
      <c r="M1223" s="9">
        <f>I1223*O1223</f>
        <v>0</v>
      </c>
      <c r="N1223" s="9">
        <f>I1223*P1223</f>
        <v>0</v>
      </c>
      <c r="O1223" s="21"/>
      <c r="P1223" s="21"/>
      <c r="Q1223" s="21"/>
      <c r="S1223" s="25"/>
    </row>
    <row r="1224" spans="1:19" ht="16.5" customHeight="1" x14ac:dyDescent="0.25">
      <c r="A1224" s="9"/>
      <c r="B1224" s="39" t="s">
        <v>42</v>
      </c>
      <c r="C1224" s="40"/>
      <c r="D1224" s="40"/>
      <c r="E1224" s="40"/>
      <c r="F1224" s="40"/>
      <c r="G1224" s="41"/>
      <c r="H1224" s="23"/>
      <c r="I1224" s="24">
        <f>SUM(I1212:I1223)</f>
        <v>22</v>
      </c>
      <c r="J1224" s="9"/>
      <c r="K1224" s="9"/>
      <c r="L1224" s="9"/>
      <c r="M1224" s="9">
        <f>I1224*O1224</f>
        <v>181.06</v>
      </c>
      <c r="N1224" s="9">
        <f>I1224*P1224</f>
        <v>73.92</v>
      </c>
      <c r="O1224" s="24">
        <f>ROUND(SUM(M1212:M1223)/I1224,2)</f>
        <v>8.23</v>
      </c>
      <c r="P1224" s="24">
        <f>ROUND(SUM(N1212:N1223)/I1224,2)</f>
        <v>3.36</v>
      </c>
      <c r="Q1224" s="9"/>
      <c r="S1224" s="25"/>
    </row>
    <row r="1225" spans="1:19" ht="20.25" customHeight="1" x14ac:dyDescent="0.25">
      <c r="A1225" s="27" t="s">
        <v>88</v>
      </c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</row>
    <row r="1226" spans="1:19" ht="16.5" customHeight="1" x14ac:dyDescent="0.25">
      <c r="A1226" s="9"/>
      <c r="B1226" s="51" t="s">
        <v>89</v>
      </c>
      <c r="C1226" s="52"/>
      <c r="D1226" s="52"/>
      <c r="E1226" s="52"/>
      <c r="F1226" s="52"/>
      <c r="G1226" s="53"/>
      <c r="H1226" s="20"/>
      <c r="I1226" s="9">
        <v>2</v>
      </c>
      <c r="J1226" s="9"/>
      <c r="K1226" s="9"/>
      <c r="L1226" s="9"/>
      <c r="M1226" s="9">
        <f t="shared" ref="M1226:M1237" si="162">I1226*O1226</f>
        <v>17.2</v>
      </c>
      <c r="N1226" s="9">
        <f t="shared" ref="N1226:N1237" si="163">I1226*P1226</f>
        <v>7.4</v>
      </c>
      <c r="O1226" s="9">
        <v>8.6</v>
      </c>
      <c r="P1226" s="9">
        <v>3.7</v>
      </c>
      <c r="Q1226" s="9" t="s">
        <v>10</v>
      </c>
      <c r="R1226" s="1">
        <v>0</v>
      </c>
      <c r="S1226" s="26"/>
    </row>
    <row r="1227" spans="1:19" ht="16.5" customHeight="1" x14ac:dyDescent="0.25">
      <c r="A1227" s="9"/>
      <c r="B1227" s="51" t="s">
        <v>90</v>
      </c>
      <c r="C1227" s="52"/>
      <c r="D1227" s="52"/>
      <c r="E1227" s="52"/>
      <c r="F1227" s="52"/>
      <c r="G1227" s="53"/>
      <c r="H1227" s="20"/>
      <c r="I1227" s="9">
        <v>3</v>
      </c>
      <c r="J1227" s="9"/>
      <c r="K1227" s="9"/>
      <c r="L1227" s="9"/>
      <c r="M1227" s="9">
        <f t="shared" si="162"/>
        <v>22.5</v>
      </c>
      <c r="N1227" s="9">
        <f t="shared" si="163"/>
        <v>9</v>
      </c>
      <c r="O1227" s="9">
        <v>7.5</v>
      </c>
      <c r="P1227" s="9">
        <v>3</v>
      </c>
      <c r="Q1227" s="9" t="s">
        <v>6</v>
      </c>
      <c r="R1227" s="1">
        <v>0</v>
      </c>
      <c r="S1227" s="26"/>
    </row>
    <row r="1228" spans="1:19" ht="16.5" customHeight="1" x14ac:dyDescent="0.25">
      <c r="A1228" s="9"/>
      <c r="B1228" s="51" t="s">
        <v>91</v>
      </c>
      <c r="C1228" s="52"/>
      <c r="D1228" s="52"/>
      <c r="E1228" s="52"/>
      <c r="F1228" s="52"/>
      <c r="G1228" s="53"/>
      <c r="H1228" s="20"/>
      <c r="I1228" s="9">
        <v>2</v>
      </c>
      <c r="J1228" s="9"/>
      <c r="K1228" s="9"/>
      <c r="L1228" s="9"/>
      <c r="M1228" s="9">
        <f t="shared" si="162"/>
        <v>14.2</v>
      </c>
      <c r="N1228" s="9">
        <f t="shared" si="163"/>
        <v>6</v>
      </c>
      <c r="O1228" s="9">
        <v>7.1</v>
      </c>
      <c r="P1228" s="9">
        <v>3</v>
      </c>
      <c r="Q1228" s="9" t="s">
        <v>6</v>
      </c>
      <c r="R1228" s="1">
        <v>0</v>
      </c>
      <c r="S1228" s="26"/>
    </row>
    <row r="1229" spans="1:19" ht="16.5" customHeight="1" x14ac:dyDescent="0.25">
      <c r="A1229" s="9"/>
      <c r="B1229" s="51" t="s">
        <v>92</v>
      </c>
      <c r="C1229" s="52"/>
      <c r="D1229" s="52"/>
      <c r="E1229" s="52"/>
      <c r="F1229" s="52"/>
      <c r="G1229" s="53"/>
      <c r="H1229" s="20"/>
      <c r="I1229" s="9">
        <v>3</v>
      </c>
      <c r="J1229" s="9"/>
      <c r="K1229" s="9"/>
      <c r="L1229" s="9"/>
      <c r="M1229" s="9">
        <f t="shared" si="162"/>
        <v>22.200000000000003</v>
      </c>
      <c r="N1229" s="9">
        <f t="shared" si="163"/>
        <v>9</v>
      </c>
      <c r="O1229" s="9">
        <v>7.4</v>
      </c>
      <c r="P1229" s="9">
        <v>3</v>
      </c>
      <c r="Q1229" s="9" t="s">
        <v>6</v>
      </c>
      <c r="R1229" s="1">
        <v>0</v>
      </c>
      <c r="S1229" s="26"/>
    </row>
    <row r="1230" spans="1:19" ht="16.5" customHeight="1" x14ac:dyDescent="0.25">
      <c r="A1230" s="9"/>
      <c r="B1230" s="51" t="s">
        <v>93</v>
      </c>
      <c r="C1230" s="52"/>
      <c r="D1230" s="52"/>
      <c r="E1230" s="52"/>
      <c r="F1230" s="52"/>
      <c r="G1230" s="53"/>
      <c r="H1230" s="20"/>
      <c r="I1230" s="9">
        <v>1</v>
      </c>
      <c r="J1230" s="9"/>
      <c r="K1230" s="9"/>
      <c r="L1230" s="9"/>
      <c r="M1230" s="9">
        <f t="shared" si="162"/>
        <v>8.1999999999999993</v>
      </c>
      <c r="N1230" s="9">
        <f t="shared" si="163"/>
        <v>3.5</v>
      </c>
      <c r="O1230" s="9">
        <v>8.1999999999999993</v>
      </c>
      <c r="P1230" s="9">
        <v>3.5</v>
      </c>
      <c r="Q1230" s="9" t="s">
        <v>9</v>
      </c>
      <c r="R1230" s="1">
        <v>0</v>
      </c>
      <c r="S1230" s="26"/>
    </row>
    <row r="1231" spans="1:19" ht="16.5" customHeight="1" x14ac:dyDescent="0.25">
      <c r="A1231" s="9"/>
      <c r="B1231" s="51" t="s">
        <v>94</v>
      </c>
      <c r="C1231" s="52"/>
      <c r="D1231" s="52"/>
      <c r="E1231" s="52"/>
      <c r="F1231" s="52"/>
      <c r="G1231" s="53"/>
      <c r="H1231" s="20"/>
      <c r="I1231" s="9">
        <v>1</v>
      </c>
      <c r="J1231" s="9"/>
      <c r="K1231" s="9"/>
      <c r="L1231" s="9"/>
      <c r="M1231" s="9">
        <f t="shared" si="162"/>
        <v>7.4</v>
      </c>
      <c r="N1231" s="9">
        <f t="shared" si="163"/>
        <v>3</v>
      </c>
      <c r="O1231" s="9">
        <v>7.4</v>
      </c>
      <c r="P1231" s="9">
        <v>3</v>
      </c>
      <c r="Q1231" s="9" t="s">
        <v>6</v>
      </c>
      <c r="R1231" s="1">
        <v>0</v>
      </c>
      <c r="S1231" s="26"/>
    </row>
    <row r="1232" spans="1:19" ht="16.5" customHeight="1" x14ac:dyDescent="0.25">
      <c r="A1232" s="9"/>
      <c r="B1232" s="51" t="s">
        <v>95</v>
      </c>
      <c r="C1232" s="52"/>
      <c r="D1232" s="52"/>
      <c r="E1232" s="52"/>
      <c r="F1232" s="52"/>
      <c r="G1232" s="53"/>
      <c r="H1232" s="20"/>
      <c r="I1232" s="9">
        <v>3</v>
      </c>
      <c r="J1232" s="9"/>
      <c r="K1232" s="9"/>
      <c r="L1232" s="9"/>
      <c r="M1232" s="9">
        <f t="shared" si="162"/>
        <v>24</v>
      </c>
      <c r="N1232" s="9">
        <f t="shared" si="163"/>
        <v>10.5</v>
      </c>
      <c r="O1232" s="9">
        <v>8</v>
      </c>
      <c r="P1232" s="9">
        <v>3.5</v>
      </c>
      <c r="Q1232" s="9" t="s">
        <v>9</v>
      </c>
      <c r="R1232" s="1">
        <v>0</v>
      </c>
      <c r="S1232" s="26"/>
    </row>
    <row r="1233" spans="1:19" ht="16.5" customHeight="1" x14ac:dyDescent="0.25">
      <c r="A1233" s="9"/>
      <c r="B1233" s="51" t="s">
        <v>96</v>
      </c>
      <c r="C1233" s="52"/>
      <c r="D1233" s="52"/>
      <c r="E1233" s="52"/>
      <c r="F1233" s="52"/>
      <c r="G1233" s="53"/>
      <c r="H1233" s="20"/>
      <c r="I1233" s="9">
        <v>3</v>
      </c>
      <c r="J1233" s="9"/>
      <c r="K1233" s="9"/>
      <c r="L1233" s="9"/>
      <c r="M1233" s="9">
        <f t="shared" si="162"/>
        <v>25.5</v>
      </c>
      <c r="N1233" s="9">
        <f t="shared" si="163"/>
        <v>11.100000000000001</v>
      </c>
      <c r="O1233" s="9">
        <v>8.5</v>
      </c>
      <c r="P1233" s="9">
        <v>3.7</v>
      </c>
      <c r="Q1233" s="9" t="s">
        <v>10</v>
      </c>
      <c r="R1233" s="1">
        <v>0</v>
      </c>
      <c r="S1233" s="26"/>
    </row>
    <row r="1234" spans="1:19" ht="16.5" customHeight="1" x14ac:dyDescent="0.25">
      <c r="A1234" s="9"/>
      <c r="B1234" s="51" t="s">
        <v>97</v>
      </c>
      <c r="C1234" s="52"/>
      <c r="D1234" s="52"/>
      <c r="E1234" s="52"/>
      <c r="F1234" s="52"/>
      <c r="G1234" s="53"/>
      <c r="H1234" s="20"/>
      <c r="I1234" s="9">
        <v>1</v>
      </c>
      <c r="J1234" s="9"/>
      <c r="K1234" s="9"/>
      <c r="L1234" s="9"/>
      <c r="M1234" s="9">
        <f t="shared" si="162"/>
        <v>7</v>
      </c>
      <c r="N1234" s="9">
        <f t="shared" si="163"/>
        <v>3</v>
      </c>
      <c r="O1234" s="9">
        <v>7</v>
      </c>
      <c r="P1234" s="9">
        <v>3</v>
      </c>
      <c r="Q1234" s="9" t="s">
        <v>6</v>
      </c>
      <c r="R1234" s="1">
        <v>0</v>
      </c>
      <c r="S1234" s="26"/>
    </row>
    <row r="1235" spans="1:19" ht="16.5" customHeight="1" x14ac:dyDescent="0.25">
      <c r="A1235" s="9"/>
      <c r="B1235" s="51" t="s">
        <v>98</v>
      </c>
      <c r="C1235" s="52"/>
      <c r="D1235" s="52"/>
      <c r="E1235" s="52"/>
      <c r="F1235" s="52"/>
      <c r="G1235" s="53"/>
      <c r="H1235" s="20"/>
      <c r="I1235" s="9">
        <v>3</v>
      </c>
      <c r="J1235" s="9"/>
      <c r="K1235" s="9"/>
      <c r="L1235" s="9"/>
      <c r="M1235" s="9">
        <f t="shared" si="162"/>
        <v>21.299999999999997</v>
      </c>
      <c r="N1235" s="9">
        <f t="shared" si="163"/>
        <v>9</v>
      </c>
      <c r="O1235" s="9">
        <v>7.1</v>
      </c>
      <c r="P1235" s="9">
        <v>3</v>
      </c>
      <c r="Q1235" s="9" t="s">
        <v>6</v>
      </c>
      <c r="R1235" s="1">
        <v>0</v>
      </c>
      <c r="S1235" s="26"/>
    </row>
    <row r="1236" spans="1:19" ht="16.5" hidden="1" customHeight="1" x14ac:dyDescent="0.25">
      <c r="A1236" s="21"/>
      <c r="H1236" s="21"/>
      <c r="I1236" s="21"/>
      <c r="J1236" s="21"/>
      <c r="K1236" s="21"/>
      <c r="L1236" s="21"/>
      <c r="M1236" s="9">
        <f t="shared" si="162"/>
        <v>0</v>
      </c>
      <c r="N1236" s="9">
        <f t="shared" si="163"/>
        <v>0</v>
      </c>
      <c r="O1236" s="21"/>
      <c r="P1236" s="21"/>
      <c r="Q1236" s="21"/>
      <c r="S1236" s="25"/>
    </row>
    <row r="1237" spans="1:19" ht="16.5" customHeight="1" x14ac:dyDescent="0.25">
      <c r="A1237" s="9"/>
      <c r="B1237" s="39" t="s">
        <v>42</v>
      </c>
      <c r="C1237" s="40"/>
      <c r="D1237" s="40"/>
      <c r="E1237" s="40"/>
      <c r="F1237" s="40"/>
      <c r="G1237" s="41"/>
      <c r="H1237" s="23"/>
      <c r="I1237" s="24">
        <f>SUM(I1226:I1236)</f>
        <v>22</v>
      </c>
      <c r="J1237" s="9"/>
      <c r="K1237" s="9"/>
      <c r="L1237" s="9"/>
      <c r="M1237" s="9">
        <f t="shared" si="162"/>
        <v>169.4</v>
      </c>
      <c r="N1237" s="9">
        <f t="shared" si="163"/>
        <v>71.5</v>
      </c>
      <c r="O1237" s="24">
        <f>ROUND(SUM(M1226:M1236)/I1237,2)</f>
        <v>7.7</v>
      </c>
      <c r="P1237" s="24">
        <f>ROUND(SUM(N1226:N1236)/I1237,2)</f>
        <v>3.25</v>
      </c>
      <c r="Q1237" s="9"/>
      <c r="S1237" s="25"/>
    </row>
    <row r="1238" spans="1:19" ht="20.25" customHeight="1" x14ac:dyDescent="0.25">
      <c r="A1238" s="27" t="s">
        <v>99</v>
      </c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</row>
    <row r="1239" spans="1:19" ht="16.5" customHeight="1" x14ac:dyDescent="0.25">
      <c r="A1239" s="9"/>
      <c r="B1239" s="51" t="s">
        <v>100</v>
      </c>
      <c r="C1239" s="52"/>
      <c r="D1239" s="52"/>
      <c r="E1239" s="52"/>
      <c r="F1239" s="52"/>
      <c r="G1239" s="53"/>
      <c r="H1239" s="20"/>
      <c r="I1239" s="9">
        <v>2</v>
      </c>
      <c r="J1239" s="9"/>
      <c r="K1239" s="9"/>
      <c r="L1239" s="9"/>
      <c r="M1239" s="9">
        <f t="shared" ref="M1239:M1252" si="164">I1239*O1239</f>
        <v>16</v>
      </c>
      <c r="N1239" s="9">
        <f t="shared" ref="N1239:N1252" si="165">I1239*P1239</f>
        <v>7</v>
      </c>
      <c r="O1239" s="9">
        <v>8</v>
      </c>
      <c r="P1239" s="9">
        <v>3.5</v>
      </c>
      <c r="Q1239" s="9" t="s">
        <v>9</v>
      </c>
      <c r="R1239" s="1">
        <v>0</v>
      </c>
      <c r="S1239" s="26"/>
    </row>
    <row r="1240" spans="1:19" ht="16.5" customHeight="1" x14ac:dyDescent="0.25">
      <c r="A1240" s="9"/>
      <c r="B1240" s="51" t="s">
        <v>101</v>
      </c>
      <c r="C1240" s="52"/>
      <c r="D1240" s="52"/>
      <c r="E1240" s="52"/>
      <c r="F1240" s="52"/>
      <c r="G1240" s="53"/>
      <c r="H1240" s="20"/>
      <c r="I1240" s="9">
        <v>2</v>
      </c>
      <c r="J1240" s="9"/>
      <c r="K1240" s="9"/>
      <c r="L1240" s="9"/>
      <c r="M1240" s="9">
        <f t="shared" si="164"/>
        <v>14.6</v>
      </c>
      <c r="N1240" s="9">
        <f t="shared" si="165"/>
        <v>6</v>
      </c>
      <c r="O1240" s="9">
        <v>7.3</v>
      </c>
      <c r="P1240" s="9">
        <v>3</v>
      </c>
      <c r="Q1240" s="9" t="s">
        <v>6</v>
      </c>
      <c r="R1240" s="1">
        <v>0</v>
      </c>
      <c r="S1240" s="26"/>
    </row>
    <row r="1241" spans="1:19" ht="16.5" customHeight="1" x14ac:dyDescent="0.25">
      <c r="A1241" s="9"/>
      <c r="B1241" s="51" t="s">
        <v>102</v>
      </c>
      <c r="C1241" s="52"/>
      <c r="D1241" s="52"/>
      <c r="E1241" s="52"/>
      <c r="F1241" s="52"/>
      <c r="G1241" s="53"/>
      <c r="H1241" s="20"/>
      <c r="I1241" s="9">
        <v>1</v>
      </c>
      <c r="J1241" s="9"/>
      <c r="K1241" s="9"/>
      <c r="L1241" s="9"/>
      <c r="M1241" s="9">
        <f t="shared" si="164"/>
        <v>7.9</v>
      </c>
      <c r="N1241" s="9">
        <f t="shared" si="165"/>
        <v>3</v>
      </c>
      <c r="O1241" s="9">
        <v>7.9</v>
      </c>
      <c r="P1241" s="9">
        <v>3</v>
      </c>
      <c r="Q1241" s="9" t="s">
        <v>6</v>
      </c>
      <c r="R1241" s="1">
        <v>0</v>
      </c>
      <c r="S1241" s="26"/>
    </row>
    <row r="1242" spans="1:19" ht="16.5" customHeight="1" x14ac:dyDescent="0.25">
      <c r="A1242" s="9"/>
      <c r="B1242" s="51" t="s">
        <v>103</v>
      </c>
      <c r="C1242" s="52"/>
      <c r="D1242" s="52"/>
      <c r="E1242" s="52"/>
      <c r="F1242" s="52"/>
      <c r="G1242" s="53"/>
      <c r="H1242" s="20"/>
      <c r="I1242" s="9">
        <v>2</v>
      </c>
      <c r="J1242" s="9"/>
      <c r="K1242" s="9"/>
      <c r="L1242" s="9"/>
      <c r="M1242" s="9">
        <f t="shared" si="164"/>
        <v>14.4</v>
      </c>
      <c r="N1242" s="9">
        <f t="shared" si="165"/>
        <v>6</v>
      </c>
      <c r="O1242" s="9">
        <v>7.2</v>
      </c>
      <c r="P1242" s="9">
        <v>3</v>
      </c>
      <c r="Q1242" s="9" t="s">
        <v>6</v>
      </c>
      <c r="R1242" s="1">
        <v>0</v>
      </c>
      <c r="S1242" s="26"/>
    </row>
    <row r="1243" spans="1:19" ht="16.5" customHeight="1" x14ac:dyDescent="0.25">
      <c r="A1243" s="9"/>
      <c r="B1243" s="51" t="s">
        <v>104</v>
      </c>
      <c r="C1243" s="52"/>
      <c r="D1243" s="52"/>
      <c r="E1243" s="52"/>
      <c r="F1243" s="52"/>
      <c r="G1243" s="53"/>
      <c r="H1243" s="20"/>
      <c r="I1243" s="9">
        <v>3</v>
      </c>
      <c r="J1243" s="9"/>
      <c r="K1243" s="9"/>
      <c r="L1243" s="9"/>
      <c r="M1243" s="9">
        <f t="shared" si="164"/>
        <v>21.299999999999997</v>
      </c>
      <c r="N1243" s="9">
        <f t="shared" si="165"/>
        <v>9</v>
      </c>
      <c r="O1243" s="9">
        <v>7.1</v>
      </c>
      <c r="P1243" s="9">
        <v>3</v>
      </c>
      <c r="Q1243" s="9" t="s">
        <v>6</v>
      </c>
      <c r="R1243" s="1">
        <v>0</v>
      </c>
      <c r="S1243" s="26"/>
    </row>
    <row r="1244" spans="1:19" ht="16.5" customHeight="1" x14ac:dyDescent="0.25">
      <c r="A1244" s="9"/>
      <c r="B1244" s="51" t="s">
        <v>105</v>
      </c>
      <c r="C1244" s="52"/>
      <c r="D1244" s="52"/>
      <c r="E1244" s="52"/>
      <c r="F1244" s="52"/>
      <c r="G1244" s="53"/>
      <c r="H1244" s="20"/>
      <c r="I1244" s="9">
        <v>3</v>
      </c>
      <c r="J1244" s="9"/>
      <c r="K1244" s="9"/>
      <c r="L1244" s="9"/>
      <c r="M1244" s="9">
        <f t="shared" si="164"/>
        <v>24.900000000000002</v>
      </c>
      <c r="N1244" s="9">
        <f t="shared" si="165"/>
        <v>10.5</v>
      </c>
      <c r="O1244" s="9">
        <v>8.3000000000000007</v>
      </c>
      <c r="P1244" s="9">
        <v>3.5</v>
      </c>
      <c r="Q1244" s="9" t="s">
        <v>9</v>
      </c>
      <c r="R1244" s="1">
        <v>0</v>
      </c>
      <c r="S1244" s="26"/>
    </row>
    <row r="1245" spans="1:19" ht="16.5" customHeight="1" x14ac:dyDescent="0.25">
      <c r="A1245" s="9"/>
      <c r="B1245" s="51" t="s">
        <v>106</v>
      </c>
      <c r="C1245" s="52"/>
      <c r="D1245" s="52"/>
      <c r="E1245" s="52"/>
      <c r="F1245" s="52"/>
      <c r="G1245" s="53"/>
      <c r="H1245" s="20"/>
      <c r="I1245" s="9">
        <v>2</v>
      </c>
      <c r="J1245" s="9"/>
      <c r="K1245" s="9"/>
      <c r="L1245" s="9"/>
      <c r="M1245" s="9">
        <f t="shared" si="164"/>
        <v>14.6</v>
      </c>
      <c r="N1245" s="9">
        <f t="shared" si="165"/>
        <v>6</v>
      </c>
      <c r="O1245" s="9">
        <v>7.3</v>
      </c>
      <c r="P1245" s="9">
        <v>3</v>
      </c>
      <c r="Q1245" s="9" t="s">
        <v>6</v>
      </c>
      <c r="R1245" s="1">
        <v>0</v>
      </c>
      <c r="S1245" s="26"/>
    </row>
    <row r="1246" spans="1:19" ht="16.5" customHeight="1" x14ac:dyDescent="0.25">
      <c r="A1246" s="9"/>
      <c r="B1246" s="51" t="s">
        <v>107</v>
      </c>
      <c r="C1246" s="52"/>
      <c r="D1246" s="52"/>
      <c r="E1246" s="52"/>
      <c r="F1246" s="52"/>
      <c r="G1246" s="53"/>
      <c r="H1246" s="20"/>
      <c r="I1246" s="9">
        <v>3</v>
      </c>
      <c r="J1246" s="9"/>
      <c r="K1246" s="9"/>
      <c r="L1246" s="9"/>
      <c r="M1246" s="9">
        <f t="shared" si="164"/>
        <v>25.200000000000003</v>
      </c>
      <c r="N1246" s="9">
        <f t="shared" si="165"/>
        <v>10.5</v>
      </c>
      <c r="O1246" s="9">
        <v>8.4</v>
      </c>
      <c r="P1246" s="9">
        <v>3.5</v>
      </c>
      <c r="Q1246" s="9" t="s">
        <v>9</v>
      </c>
      <c r="R1246" s="1">
        <v>0</v>
      </c>
      <c r="S1246" s="26"/>
    </row>
    <row r="1247" spans="1:19" ht="16.5" customHeight="1" x14ac:dyDescent="0.25">
      <c r="A1247" s="9"/>
      <c r="B1247" s="51" t="s">
        <v>108</v>
      </c>
      <c r="C1247" s="52"/>
      <c r="D1247" s="52"/>
      <c r="E1247" s="52"/>
      <c r="F1247" s="52"/>
      <c r="G1247" s="53"/>
      <c r="H1247" s="20"/>
      <c r="I1247" s="9">
        <v>1</v>
      </c>
      <c r="J1247" s="9"/>
      <c r="K1247" s="9"/>
      <c r="L1247" s="9"/>
      <c r="M1247" s="9">
        <f t="shared" si="164"/>
        <v>8</v>
      </c>
      <c r="N1247" s="9">
        <f t="shared" si="165"/>
        <v>3.5</v>
      </c>
      <c r="O1247" s="9">
        <v>8</v>
      </c>
      <c r="P1247" s="9">
        <v>3.5</v>
      </c>
      <c r="Q1247" s="9" t="s">
        <v>9</v>
      </c>
      <c r="R1247" s="1">
        <v>0</v>
      </c>
      <c r="S1247" s="26"/>
    </row>
    <row r="1248" spans="1:19" ht="16.5" customHeight="1" x14ac:dyDescent="0.25">
      <c r="A1248" s="9"/>
      <c r="B1248" s="51" t="s">
        <v>111</v>
      </c>
      <c r="C1248" s="52"/>
      <c r="D1248" s="52"/>
      <c r="E1248" s="52"/>
      <c r="F1248" s="52"/>
      <c r="G1248" s="53"/>
      <c r="H1248" s="20"/>
      <c r="I1248" s="9">
        <v>3</v>
      </c>
      <c r="J1248" s="9"/>
      <c r="K1248" s="9"/>
      <c r="L1248" s="9"/>
      <c r="M1248" s="9">
        <f t="shared" si="164"/>
        <v>25.5</v>
      </c>
      <c r="N1248" s="9">
        <f t="shared" si="165"/>
        <v>11.100000000000001</v>
      </c>
      <c r="O1248" s="9">
        <v>8.5</v>
      </c>
      <c r="P1248" s="9">
        <v>3.7</v>
      </c>
      <c r="Q1248" s="9" t="s">
        <v>10</v>
      </c>
      <c r="R1248" s="1">
        <v>0</v>
      </c>
      <c r="S1248" s="26"/>
    </row>
    <row r="1249" spans="1:19" ht="16.5" customHeight="1" x14ac:dyDescent="0.25">
      <c r="A1249" s="9"/>
      <c r="B1249" s="51" t="s">
        <v>110</v>
      </c>
      <c r="C1249" s="52"/>
      <c r="D1249" s="52"/>
      <c r="E1249" s="52"/>
      <c r="F1249" s="52"/>
      <c r="G1249" s="53"/>
      <c r="H1249" s="20"/>
      <c r="I1249" s="9">
        <v>1</v>
      </c>
      <c r="J1249" s="9"/>
      <c r="K1249" s="9"/>
      <c r="L1249" s="9"/>
      <c r="M1249" s="9">
        <f t="shared" si="164"/>
        <v>9</v>
      </c>
      <c r="N1249" s="9">
        <f t="shared" si="165"/>
        <v>4</v>
      </c>
      <c r="O1249" s="9">
        <v>9</v>
      </c>
      <c r="P1249" s="9">
        <v>4</v>
      </c>
      <c r="Q1249" s="9" t="s">
        <v>12</v>
      </c>
      <c r="R1249" s="1">
        <v>0</v>
      </c>
      <c r="S1249" s="26"/>
    </row>
    <row r="1250" spans="1:19" ht="16.5" customHeight="1" x14ac:dyDescent="0.25">
      <c r="A1250" s="9"/>
      <c r="B1250" s="51" t="s">
        <v>109</v>
      </c>
      <c r="C1250" s="52"/>
      <c r="D1250" s="52"/>
      <c r="E1250" s="52"/>
      <c r="F1250" s="52"/>
      <c r="G1250" s="53"/>
      <c r="H1250" s="20"/>
      <c r="I1250" s="9">
        <v>2</v>
      </c>
      <c r="J1250" s="9"/>
      <c r="K1250" s="9"/>
      <c r="L1250" s="9"/>
      <c r="M1250" s="9">
        <f t="shared" si="164"/>
        <v>14.8</v>
      </c>
      <c r="N1250" s="9">
        <f t="shared" si="165"/>
        <v>6</v>
      </c>
      <c r="O1250" s="9">
        <v>7.4</v>
      </c>
      <c r="P1250" s="9">
        <v>3</v>
      </c>
      <c r="Q1250" s="9" t="s">
        <v>6</v>
      </c>
      <c r="R1250" s="1">
        <v>0</v>
      </c>
      <c r="S1250" s="26"/>
    </row>
    <row r="1251" spans="1:19" ht="16.5" hidden="1" customHeight="1" x14ac:dyDescent="0.25">
      <c r="A1251" s="21"/>
      <c r="H1251" s="21"/>
      <c r="I1251" s="21"/>
      <c r="J1251" s="21"/>
      <c r="K1251" s="21"/>
      <c r="L1251" s="21"/>
      <c r="M1251" s="9">
        <f t="shared" si="164"/>
        <v>0</v>
      </c>
      <c r="N1251" s="9">
        <f t="shared" si="165"/>
        <v>0</v>
      </c>
      <c r="O1251" s="21"/>
      <c r="P1251" s="21"/>
      <c r="Q1251" s="21"/>
      <c r="S1251" s="25"/>
    </row>
    <row r="1252" spans="1:19" ht="16.5" customHeight="1" x14ac:dyDescent="0.25">
      <c r="A1252" s="9"/>
      <c r="B1252" s="39" t="s">
        <v>42</v>
      </c>
      <c r="C1252" s="40"/>
      <c r="D1252" s="40"/>
      <c r="E1252" s="40"/>
      <c r="F1252" s="40"/>
      <c r="G1252" s="41"/>
      <c r="H1252" s="23"/>
      <c r="I1252" s="24">
        <f>SUM(I1239:I1251)</f>
        <v>25</v>
      </c>
      <c r="J1252" s="9"/>
      <c r="K1252" s="9"/>
      <c r="L1252" s="9"/>
      <c r="M1252" s="9">
        <f t="shared" si="164"/>
        <v>196.25</v>
      </c>
      <c r="N1252" s="9">
        <f t="shared" si="165"/>
        <v>82.5</v>
      </c>
      <c r="O1252" s="24">
        <f>ROUND(SUM(M1239:M1251)/I1252,2)</f>
        <v>7.85</v>
      </c>
      <c r="P1252" s="24">
        <f>ROUND(SUM(N1239:N1251)/I1252,2)</f>
        <v>3.3</v>
      </c>
      <c r="Q1252" s="9"/>
      <c r="S1252" s="25"/>
    </row>
    <row r="1253" spans="1:19" ht="20.25" customHeight="1" x14ac:dyDescent="0.25">
      <c r="A1253" s="27" t="s">
        <v>112</v>
      </c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</row>
    <row r="1254" spans="1:19" ht="16.5" customHeight="1" x14ac:dyDescent="0.25">
      <c r="A1254" s="9"/>
      <c r="B1254" s="51" t="s">
        <v>113</v>
      </c>
      <c r="C1254" s="52"/>
      <c r="D1254" s="52"/>
      <c r="E1254" s="52"/>
      <c r="F1254" s="52"/>
      <c r="G1254" s="53"/>
      <c r="H1254" s="20"/>
      <c r="I1254" s="9">
        <v>2</v>
      </c>
      <c r="J1254" s="9"/>
      <c r="K1254" s="9"/>
      <c r="L1254" s="9"/>
      <c r="M1254" s="9">
        <f t="shared" ref="M1254:M1262" si="166">I1254*O1254</f>
        <v>0</v>
      </c>
      <c r="N1254" s="9">
        <f t="shared" ref="N1254:N1262" si="167">I1254*P1254</f>
        <v>0</v>
      </c>
      <c r="O1254" s="9"/>
      <c r="P1254" s="9"/>
      <c r="Q1254" s="9"/>
      <c r="R1254" s="1">
        <v>0</v>
      </c>
      <c r="S1254" s="26"/>
    </row>
    <row r="1255" spans="1:19" ht="16.5" customHeight="1" x14ac:dyDescent="0.25">
      <c r="A1255" s="9"/>
      <c r="B1255" s="51" t="s">
        <v>114</v>
      </c>
      <c r="C1255" s="52"/>
      <c r="D1255" s="52"/>
      <c r="E1255" s="52"/>
      <c r="F1255" s="52"/>
      <c r="G1255" s="53"/>
      <c r="H1255" s="20"/>
      <c r="I1255" s="9">
        <v>3</v>
      </c>
      <c r="J1255" s="9"/>
      <c r="K1255" s="9"/>
      <c r="L1255" s="9"/>
      <c r="M1255" s="9">
        <f t="shared" si="166"/>
        <v>25.799999999999997</v>
      </c>
      <c r="N1255" s="9">
        <f t="shared" si="167"/>
        <v>11.100000000000001</v>
      </c>
      <c r="O1255" s="9">
        <v>8.6</v>
      </c>
      <c r="P1255" s="9">
        <v>3.7</v>
      </c>
      <c r="Q1255" s="9" t="s">
        <v>10</v>
      </c>
      <c r="R1255" s="1">
        <v>0</v>
      </c>
      <c r="S1255" s="26"/>
    </row>
    <row r="1256" spans="1:19" ht="16.5" customHeight="1" x14ac:dyDescent="0.25">
      <c r="A1256" s="9"/>
      <c r="B1256" s="51" t="s">
        <v>115</v>
      </c>
      <c r="C1256" s="52"/>
      <c r="D1256" s="52"/>
      <c r="E1256" s="52"/>
      <c r="F1256" s="52"/>
      <c r="G1256" s="53"/>
      <c r="H1256" s="20"/>
      <c r="I1256" s="9">
        <v>1</v>
      </c>
      <c r="J1256" s="9"/>
      <c r="K1256" s="9"/>
      <c r="L1256" s="9"/>
      <c r="M1256" s="9">
        <f t="shared" si="166"/>
        <v>7.4</v>
      </c>
      <c r="N1256" s="9">
        <f t="shared" si="167"/>
        <v>3</v>
      </c>
      <c r="O1256" s="9">
        <v>7.4</v>
      </c>
      <c r="P1256" s="9">
        <v>3</v>
      </c>
      <c r="Q1256" s="9" t="s">
        <v>6</v>
      </c>
      <c r="R1256" s="1">
        <v>0</v>
      </c>
      <c r="S1256" s="26"/>
    </row>
    <row r="1257" spans="1:19" ht="16.5" customHeight="1" x14ac:dyDescent="0.25">
      <c r="A1257" s="9"/>
      <c r="B1257" s="51" t="s">
        <v>116</v>
      </c>
      <c r="C1257" s="52"/>
      <c r="D1257" s="52"/>
      <c r="E1257" s="52"/>
      <c r="F1257" s="52"/>
      <c r="G1257" s="53"/>
      <c r="H1257" s="20"/>
      <c r="I1257" s="9">
        <v>3</v>
      </c>
      <c r="J1257" s="9"/>
      <c r="K1257" s="9"/>
      <c r="L1257" s="9"/>
      <c r="M1257" s="9">
        <f t="shared" si="166"/>
        <v>22.799999999999997</v>
      </c>
      <c r="N1257" s="9">
        <f t="shared" si="167"/>
        <v>9</v>
      </c>
      <c r="O1257" s="9">
        <v>7.6</v>
      </c>
      <c r="P1257" s="9">
        <v>3</v>
      </c>
      <c r="Q1257" s="9" t="s">
        <v>6</v>
      </c>
      <c r="R1257" s="1">
        <v>0</v>
      </c>
      <c r="S1257" s="26"/>
    </row>
    <row r="1258" spans="1:19" ht="16.5" customHeight="1" x14ac:dyDescent="0.25">
      <c r="A1258" s="9"/>
      <c r="B1258" s="51" t="s">
        <v>117</v>
      </c>
      <c r="C1258" s="52"/>
      <c r="D1258" s="52"/>
      <c r="E1258" s="52"/>
      <c r="F1258" s="52"/>
      <c r="G1258" s="53"/>
      <c r="H1258" s="20"/>
      <c r="I1258" s="9">
        <v>3</v>
      </c>
      <c r="J1258" s="9"/>
      <c r="K1258" s="9"/>
      <c r="L1258" s="9"/>
      <c r="M1258" s="9">
        <f t="shared" si="166"/>
        <v>20.100000000000001</v>
      </c>
      <c r="N1258" s="9">
        <f t="shared" si="167"/>
        <v>7.5</v>
      </c>
      <c r="O1258" s="9">
        <v>6.7</v>
      </c>
      <c r="P1258" s="9">
        <v>2.5</v>
      </c>
      <c r="Q1258" s="9" t="s">
        <v>5</v>
      </c>
      <c r="R1258" s="1">
        <v>0</v>
      </c>
      <c r="S1258" s="26"/>
    </row>
    <row r="1259" spans="1:19" ht="16.5" customHeight="1" x14ac:dyDescent="0.25">
      <c r="A1259" s="9"/>
      <c r="B1259" s="51" t="s">
        <v>118</v>
      </c>
      <c r="C1259" s="52"/>
      <c r="D1259" s="52"/>
      <c r="E1259" s="52"/>
      <c r="F1259" s="52"/>
      <c r="G1259" s="53"/>
      <c r="H1259" s="20"/>
      <c r="I1259" s="9">
        <v>3</v>
      </c>
      <c r="J1259" s="9"/>
      <c r="K1259" s="9"/>
      <c r="L1259" s="9"/>
      <c r="M1259" s="9">
        <f t="shared" si="166"/>
        <v>23.4</v>
      </c>
      <c r="N1259" s="9">
        <f t="shared" si="167"/>
        <v>9</v>
      </c>
      <c r="O1259" s="9">
        <v>7.8</v>
      </c>
      <c r="P1259" s="9">
        <v>3</v>
      </c>
      <c r="Q1259" s="9" t="s">
        <v>6</v>
      </c>
      <c r="R1259" s="1">
        <v>0</v>
      </c>
      <c r="S1259" s="26"/>
    </row>
    <row r="1260" spans="1:19" ht="31.2" customHeight="1" x14ac:dyDescent="0.25">
      <c r="A1260" s="9"/>
      <c r="B1260" s="51" t="s">
        <v>119</v>
      </c>
      <c r="C1260" s="52"/>
      <c r="D1260" s="52"/>
      <c r="E1260" s="52"/>
      <c r="F1260" s="52"/>
      <c r="G1260" s="53"/>
      <c r="H1260" s="20"/>
      <c r="I1260" s="9">
        <v>2</v>
      </c>
      <c r="J1260" s="9"/>
      <c r="K1260" s="9"/>
      <c r="L1260" s="9"/>
      <c r="M1260" s="9">
        <f t="shared" si="166"/>
        <v>0</v>
      </c>
      <c r="N1260" s="9">
        <f t="shared" si="167"/>
        <v>0</v>
      </c>
      <c r="O1260" s="9"/>
      <c r="P1260" s="9"/>
      <c r="Q1260" s="9"/>
      <c r="R1260" s="1">
        <v>0</v>
      </c>
      <c r="S1260" s="26"/>
    </row>
    <row r="1261" spans="1:19" ht="16.5" hidden="1" customHeight="1" x14ac:dyDescent="0.25">
      <c r="A1261" s="21"/>
      <c r="H1261" s="21"/>
      <c r="I1261" s="21"/>
      <c r="J1261" s="21"/>
      <c r="K1261" s="21"/>
      <c r="L1261" s="21"/>
      <c r="M1261" s="9">
        <f t="shared" si="166"/>
        <v>0</v>
      </c>
      <c r="N1261" s="9">
        <f t="shared" si="167"/>
        <v>0</v>
      </c>
      <c r="O1261" s="21"/>
      <c r="P1261" s="21"/>
      <c r="Q1261" s="21"/>
      <c r="S1261" s="25"/>
    </row>
    <row r="1262" spans="1:19" ht="16.5" customHeight="1" x14ac:dyDescent="0.25">
      <c r="A1262" s="9"/>
      <c r="B1262" s="39" t="s">
        <v>42</v>
      </c>
      <c r="C1262" s="40"/>
      <c r="D1262" s="40"/>
      <c r="E1262" s="40"/>
      <c r="F1262" s="40"/>
      <c r="G1262" s="41"/>
      <c r="H1262" s="23"/>
      <c r="I1262" s="24">
        <f>SUM(I1254:I1261)</f>
        <v>17</v>
      </c>
      <c r="J1262" s="9"/>
      <c r="K1262" s="9"/>
      <c r="L1262" s="9"/>
      <c r="M1262" s="9">
        <f t="shared" si="166"/>
        <v>99.449999999999989</v>
      </c>
      <c r="N1262" s="9">
        <f t="shared" si="167"/>
        <v>39.61</v>
      </c>
      <c r="O1262" s="24">
        <f>ROUND(SUM(M1254:M1261)/I1262,2)</f>
        <v>5.85</v>
      </c>
      <c r="P1262" s="24">
        <f>ROUND(SUM(N1254:N1261)/I1262,2)</f>
        <v>2.33</v>
      </c>
      <c r="Q1262" s="9"/>
      <c r="S1262" s="25"/>
    </row>
    <row r="1263" spans="1:19" ht="16.5" customHeight="1" x14ac:dyDescent="0.25">
      <c r="A1263" s="21"/>
      <c r="B1263" s="22"/>
      <c r="C1263" s="22"/>
      <c r="D1263" s="22"/>
      <c r="E1263" s="22"/>
      <c r="F1263" s="22"/>
      <c r="G1263" s="22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</row>
    <row r="1265" spans="1:20" ht="18" x14ac:dyDescent="0.25">
      <c r="A1265" s="35" t="s">
        <v>50</v>
      </c>
      <c r="B1265" s="35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</row>
    <row r="1266" spans="1:20" ht="18" x14ac:dyDescent="0.25">
      <c r="A1266" s="35" t="s">
        <v>181</v>
      </c>
      <c r="B1266" s="35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</row>
    <row r="1267" spans="1:20" ht="18" x14ac:dyDescent="0.25">
      <c r="A1267" s="35" t="s">
        <v>182</v>
      </c>
      <c r="B1267" s="35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</row>
    <row r="1268" spans="1:20" ht="18" x14ac:dyDescent="0.25">
      <c r="A1268" s="45" t="s">
        <v>53</v>
      </c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</row>
    <row r="1269" spans="1:20" ht="19.5" customHeight="1" x14ac:dyDescent="0.25">
      <c r="A1269" s="17"/>
      <c r="B1269" s="17"/>
      <c r="C1269" s="8"/>
      <c r="D1269" s="18"/>
      <c r="E1269" s="10"/>
      <c r="F1269" s="11"/>
      <c r="G1269" s="46" t="s">
        <v>49</v>
      </c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</row>
    <row r="1270" spans="1:20" ht="31.5" customHeight="1" x14ac:dyDescent="0.3">
      <c r="A1270" s="8"/>
      <c r="B1270" s="8"/>
      <c r="C1270" s="8"/>
      <c r="D1270" s="8"/>
      <c r="E1270" s="8"/>
      <c r="F1270" s="8"/>
      <c r="G1270" s="8"/>
      <c r="H1270" s="12"/>
      <c r="I1270" s="42" t="s">
        <v>40</v>
      </c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</row>
    <row r="1271" spans="1:20" ht="16.8" x14ac:dyDescent="0.3">
      <c r="A1271" s="8"/>
      <c r="B1271" s="8"/>
      <c r="C1271" s="8"/>
      <c r="D1271" s="8"/>
      <c r="E1271" s="8"/>
      <c r="F1271" s="8"/>
      <c r="G1271" s="8"/>
      <c r="H1271" s="12"/>
      <c r="I1271" s="12"/>
      <c r="J1271" s="12"/>
      <c r="K1271" s="12"/>
      <c r="L1271" s="8"/>
      <c r="M1271" s="8"/>
      <c r="N1271" s="8"/>
      <c r="O1271" s="8"/>
      <c r="P1271" s="8"/>
      <c r="Q1271" s="8"/>
    </row>
    <row r="1272" spans="1:20" ht="33" customHeight="1" x14ac:dyDescent="0.3">
      <c r="A1272" s="8"/>
      <c r="B1272" s="8"/>
      <c r="C1272" s="8"/>
      <c r="D1272" s="8"/>
      <c r="E1272" s="8"/>
      <c r="F1272" s="8"/>
      <c r="G1272" s="8"/>
      <c r="H1272" s="12"/>
      <c r="I1272" s="12"/>
      <c r="J1272" s="12"/>
      <c r="K1272" s="12"/>
      <c r="L1272" s="8"/>
      <c r="M1272" s="8"/>
      <c r="N1272" s="8"/>
      <c r="O1272" s="8"/>
      <c r="P1272" s="8"/>
      <c r="Q1272" s="8"/>
    </row>
    <row r="1273" spans="1:20" ht="11.25" customHeight="1" x14ac:dyDescent="0.3">
      <c r="A1273" s="8"/>
      <c r="B1273" s="8"/>
      <c r="C1273" s="8"/>
      <c r="D1273" s="8"/>
      <c r="E1273" s="8"/>
      <c r="F1273" s="8"/>
      <c r="G1273" s="8"/>
      <c r="H1273" s="12"/>
      <c r="I1273" s="12"/>
      <c r="J1273" s="12"/>
      <c r="K1273" s="12"/>
      <c r="L1273" s="8"/>
      <c r="M1273" s="8"/>
      <c r="N1273" s="8"/>
      <c r="O1273" s="8"/>
      <c r="P1273" s="8"/>
      <c r="Q1273" s="8"/>
    </row>
    <row r="1274" spans="1:20" ht="17.399999999999999" x14ac:dyDescent="0.3">
      <c r="A1274" s="8"/>
      <c r="B1274" s="8"/>
      <c r="C1274" s="8"/>
      <c r="D1274" s="8"/>
      <c r="E1274" s="8"/>
      <c r="F1274" s="8"/>
      <c r="G1274" s="47" t="s">
        <v>41</v>
      </c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</row>
    <row r="1275" spans="1:20" ht="54" customHeight="1" x14ac:dyDescent="0.25">
      <c r="A1275" s="48" t="s">
        <v>33</v>
      </c>
      <c r="B1275" s="48"/>
      <c r="C1275" s="48"/>
      <c r="D1275" s="48"/>
      <c r="E1275" s="48"/>
      <c r="F1275" s="42" t="s">
        <v>24</v>
      </c>
      <c r="G1275" s="42"/>
      <c r="H1275" s="42"/>
      <c r="I1275" s="42"/>
      <c r="J1275" s="42"/>
      <c r="K1275" s="42"/>
      <c r="L1275" s="42"/>
      <c r="M1275" s="42"/>
      <c r="N1275" s="42"/>
      <c r="O1275" s="42"/>
      <c r="P1275" s="42"/>
      <c r="Q1275" s="42"/>
      <c r="R1275" s="42"/>
      <c r="S1275" s="42"/>
    </row>
    <row r="1276" spans="1:20" ht="17.399999999999999" x14ac:dyDescent="0.25">
      <c r="A1276" s="49" t="s">
        <v>34</v>
      </c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  <c r="O1276" s="49"/>
      <c r="P1276" s="49"/>
      <c r="Q1276" s="49"/>
    </row>
    <row r="1277" spans="1:20" ht="4.5" customHeight="1" x14ac:dyDescent="0.25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/>
    </row>
    <row r="1278" spans="1:20" ht="5.25" customHeight="1" x14ac:dyDescent="0.25">
      <c r="A1278" s="50"/>
      <c r="B1278" s="50"/>
      <c r="C1278" s="50"/>
      <c r="D1278" s="50"/>
      <c r="E1278" s="50"/>
      <c r="F1278" s="50"/>
      <c r="G1278" s="50"/>
      <c r="H1278" s="50"/>
      <c r="I1278" s="50"/>
      <c r="J1278" s="50"/>
      <c r="K1278" s="50"/>
      <c r="L1278" s="50"/>
      <c r="M1278" s="50"/>
      <c r="N1278" s="50"/>
      <c r="O1278" s="50"/>
      <c r="P1278" s="50"/>
      <c r="Q1278" s="50"/>
    </row>
    <row r="1279" spans="1:20" ht="16.5" customHeight="1" x14ac:dyDescent="0.25">
      <c r="A1279" s="54" t="s">
        <v>183</v>
      </c>
      <c r="B1279" s="54"/>
      <c r="C1279" s="54"/>
      <c r="D1279" s="54"/>
      <c r="E1279" s="54"/>
      <c r="F1279" s="54"/>
      <c r="G1279" s="58" t="s">
        <v>184</v>
      </c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</row>
    <row r="1280" spans="1:20" ht="16.5" customHeight="1" x14ac:dyDescent="0.25">
      <c r="A1280" s="54" t="s">
        <v>185</v>
      </c>
      <c r="B1280" s="54"/>
      <c r="C1280" s="54"/>
      <c r="D1280" s="54"/>
      <c r="E1280" s="54"/>
      <c r="F1280" s="54"/>
      <c r="G1280" s="8" t="s">
        <v>46</v>
      </c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T1280" s="2"/>
    </row>
    <row r="1281" spans="1:19" ht="16.5" customHeight="1" x14ac:dyDescent="0.25">
      <c r="A1281" s="54" t="s">
        <v>47</v>
      </c>
      <c r="B1281" s="54"/>
      <c r="C1281" s="54"/>
      <c r="D1281" s="54"/>
      <c r="E1281" s="54"/>
      <c r="F1281" s="54"/>
      <c r="G1281" s="58" t="s">
        <v>48</v>
      </c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</row>
    <row r="1282" spans="1:19" ht="5.25" customHeight="1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19"/>
      <c r="K1282" s="19"/>
      <c r="L1282" s="19"/>
      <c r="M1282" s="19"/>
      <c r="N1282" s="19"/>
      <c r="O1282" s="19"/>
      <c r="P1282" s="19"/>
      <c r="Q1282" s="19"/>
    </row>
    <row r="1283" spans="1:19" ht="15" customHeight="1" x14ac:dyDescent="0.25">
      <c r="A1283" s="36" t="s">
        <v>0</v>
      </c>
      <c r="B1283" s="29" t="s">
        <v>1</v>
      </c>
      <c r="C1283" s="30"/>
      <c r="D1283" s="30"/>
      <c r="E1283" s="30"/>
      <c r="F1283" s="30"/>
      <c r="G1283" s="31"/>
      <c r="H1283" s="36" t="s">
        <v>32</v>
      </c>
      <c r="I1283" s="36" t="s">
        <v>39</v>
      </c>
      <c r="J1283" s="55" t="s">
        <v>2</v>
      </c>
      <c r="K1283" s="56"/>
      <c r="L1283" s="56"/>
      <c r="M1283" s="56"/>
      <c r="N1283" s="56"/>
      <c r="O1283" s="56"/>
      <c r="P1283" s="56"/>
      <c r="Q1283" s="57"/>
      <c r="S1283" s="36" t="s">
        <v>38</v>
      </c>
    </row>
    <row r="1284" spans="1:19" ht="24" customHeight="1" x14ac:dyDescent="0.25">
      <c r="A1284" s="37"/>
      <c r="B1284" s="32"/>
      <c r="C1284" s="33"/>
      <c r="D1284" s="33"/>
      <c r="E1284" s="33"/>
      <c r="F1284" s="33"/>
      <c r="G1284" s="34"/>
      <c r="H1284" s="37"/>
      <c r="I1284" s="37"/>
      <c r="J1284" s="7" t="s">
        <v>28</v>
      </c>
      <c r="K1284" s="7" t="s">
        <v>29</v>
      </c>
      <c r="L1284" s="7" t="s">
        <v>30</v>
      </c>
      <c r="M1284" s="7"/>
      <c r="N1284" s="7"/>
      <c r="O1284" s="6" t="s">
        <v>35</v>
      </c>
      <c r="P1284" s="6" t="s">
        <v>36</v>
      </c>
      <c r="Q1284" s="6" t="s">
        <v>37</v>
      </c>
      <c r="S1284" s="37"/>
    </row>
    <row r="1285" spans="1:19" ht="20.25" customHeight="1" x14ac:dyDescent="0.25">
      <c r="A1285" s="27" t="s">
        <v>54</v>
      </c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</row>
    <row r="1286" spans="1:19" ht="16.5" customHeight="1" x14ac:dyDescent="0.25">
      <c r="A1286" s="9"/>
      <c r="B1286" s="51" t="s">
        <v>55</v>
      </c>
      <c r="C1286" s="52"/>
      <c r="D1286" s="52"/>
      <c r="E1286" s="52"/>
      <c r="F1286" s="52"/>
      <c r="G1286" s="53"/>
      <c r="H1286" s="20"/>
      <c r="I1286" s="9">
        <v>2</v>
      </c>
      <c r="J1286" s="9"/>
      <c r="K1286" s="9"/>
      <c r="L1286" s="9"/>
      <c r="M1286" s="9">
        <f t="shared" ref="M1286:M1294" si="168">I1286*O1286</f>
        <v>14.2</v>
      </c>
      <c r="N1286" s="9">
        <f t="shared" ref="N1286:N1294" si="169">I1286*P1286</f>
        <v>6</v>
      </c>
      <c r="O1286" s="9">
        <v>7.1</v>
      </c>
      <c r="P1286" s="9">
        <v>3</v>
      </c>
      <c r="Q1286" s="9" t="s">
        <v>6</v>
      </c>
      <c r="R1286" s="1">
        <v>0</v>
      </c>
      <c r="S1286" s="26"/>
    </row>
    <row r="1287" spans="1:19" ht="16.5" customHeight="1" x14ac:dyDescent="0.25">
      <c r="A1287" s="9"/>
      <c r="B1287" s="51" t="s">
        <v>56</v>
      </c>
      <c r="C1287" s="52"/>
      <c r="D1287" s="52"/>
      <c r="E1287" s="52"/>
      <c r="F1287" s="52"/>
      <c r="G1287" s="53"/>
      <c r="H1287" s="20"/>
      <c r="I1287" s="9">
        <v>3</v>
      </c>
      <c r="J1287" s="9"/>
      <c r="K1287" s="9"/>
      <c r="L1287" s="9"/>
      <c r="M1287" s="9">
        <f t="shared" si="168"/>
        <v>29.099999999999998</v>
      </c>
      <c r="N1287" s="9">
        <f t="shared" si="169"/>
        <v>12</v>
      </c>
      <c r="O1287" s="9">
        <v>9.6999999999999993</v>
      </c>
      <c r="P1287" s="9">
        <v>4</v>
      </c>
      <c r="Q1287" s="9" t="s">
        <v>12</v>
      </c>
      <c r="R1287" s="1">
        <v>0</v>
      </c>
      <c r="S1287" s="26"/>
    </row>
    <row r="1288" spans="1:19" ht="31.2" customHeight="1" x14ac:dyDescent="0.25">
      <c r="A1288" s="9"/>
      <c r="B1288" s="51" t="s">
        <v>57</v>
      </c>
      <c r="C1288" s="52"/>
      <c r="D1288" s="52"/>
      <c r="E1288" s="52"/>
      <c r="F1288" s="52"/>
      <c r="G1288" s="53"/>
      <c r="H1288" s="20"/>
      <c r="I1288" s="9">
        <v>3</v>
      </c>
      <c r="J1288" s="9"/>
      <c r="K1288" s="9"/>
      <c r="L1288" s="9"/>
      <c r="M1288" s="9">
        <f t="shared" si="168"/>
        <v>22.799999999999997</v>
      </c>
      <c r="N1288" s="9">
        <f t="shared" si="169"/>
        <v>9</v>
      </c>
      <c r="O1288" s="9">
        <v>7.6</v>
      </c>
      <c r="P1288" s="9">
        <v>3</v>
      </c>
      <c r="Q1288" s="9" t="s">
        <v>6</v>
      </c>
      <c r="R1288" s="1">
        <v>0</v>
      </c>
      <c r="S1288" s="26"/>
    </row>
    <row r="1289" spans="1:19" ht="16.5" customHeight="1" x14ac:dyDescent="0.25">
      <c r="A1289" s="9"/>
      <c r="B1289" s="51" t="s">
        <v>58</v>
      </c>
      <c r="C1289" s="52"/>
      <c r="D1289" s="52"/>
      <c r="E1289" s="52"/>
      <c r="F1289" s="52"/>
      <c r="G1289" s="53"/>
      <c r="H1289" s="20"/>
      <c r="I1289" s="9">
        <v>1</v>
      </c>
      <c r="J1289" s="9"/>
      <c r="K1289" s="9"/>
      <c r="L1289" s="9"/>
      <c r="M1289" s="9">
        <f t="shared" si="168"/>
        <v>7.5</v>
      </c>
      <c r="N1289" s="9">
        <f t="shared" si="169"/>
        <v>3</v>
      </c>
      <c r="O1289" s="9">
        <v>7.5</v>
      </c>
      <c r="P1289" s="9">
        <v>3</v>
      </c>
      <c r="Q1289" s="9" t="s">
        <v>6</v>
      </c>
      <c r="R1289" s="1">
        <v>0</v>
      </c>
      <c r="S1289" s="26"/>
    </row>
    <row r="1290" spans="1:19" ht="16.5" customHeight="1" x14ac:dyDescent="0.25">
      <c r="A1290" s="9"/>
      <c r="B1290" s="51" t="s">
        <v>59</v>
      </c>
      <c r="C1290" s="52"/>
      <c r="D1290" s="52"/>
      <c r="E1290" s="52"/>
      <c r="F1290" s="52"/>
      <c r="G1290" s="53"/>
      <c r="H1290" s="20"/>
      <c r="I1290" s="9">
        <v>1</v>
      </c>
      <c r="J1290" s="9"/>
      <c r="K1290" s="9"/>
      <c r="L1290" s="9"/>
      <c r="M1290" s="9">
        <f t="shared" si="168"/>
        <v>6.2</v>
      </c>
      <c r="N1290" s="9">
        <f t="shared" si="169"/>
        <v>2</v>
      </c>
      <c r="O1290" s="9">
        <v>6.2</v>
      </c>
      <c r="P1290" s="9">
        <v>2</v>
      </c>
      <c r="Q1290" s="9" t="s">
        <v>3</v>
      </c>
      <c r="R1290" s="1">
        <v>0</v>
      </c>
      <c r="S1290" s="26"/>
    </row>
    <row r="1291" spans="1:19" ht="16.5" customHeight="1" x14ac:dyDescent="0.25">
      <c r="A1291" s="9"/>
      <c r="B1291" s="51" t="s">
        <v>60</v>
      </c>
      <c r="C1291" s="52"/>
      <c r="D1291" s="52"/>
      <c r="E1291" s="52"/>
      <c r="F1291" s="52"/>
      <c r="G1291" s="53"/>
      <c r="H1291" s="20"/>
      <c r="I1291" s="9">
        <v>3</v>
      </c>
      <c r="J1291" s="9"/>
      <c r="K1291" s="9"/>
      <c r="L1291" s="9"/>
      <c r="M1291" s="9">
        <f t="shared" si="168"/>
        <v>24</v>
      </c>
      <c r="N1291" s="9">
        <f t="shared" si="169"/>
        <v>10.5</v>
      </c>
      <c r="O1291" s="9">
        <v>8</v>
      </c>
      <c r="P1291" s="9">
        <v>3.5</v>
      </c>
      <c r="Q1291" s="9" t="s">
        <v>9</v>
      </c>
      <c r="R1291" s="1">
        <v>0</v>
      </c>
      <c r="S1291" s="26"/>
    </row>
    <row r="1292" spans="1:19" ht="16.5" customHeight="1" x14ac:dyDescent="0.25">
      <c r="A1292" s="9"/>
      <c r="B1292" s="51" t="s">
        <v>61</v>
      </c>
      <c r="C1292" s="52"/>
      <c r="D1292" s="52"/>
      <c r="E1292" s="52"/>
      <c r="F1292" s="52"/>
      <c r="G1292" s="53"/>
      <c r="H1292" s="20"/>
      <c r="I1292" s="9">
        <v>1</v>
      </c>
      <c r="J1292" s="9"/>
      <c r="K1292" s="9"/>
      <c r="L1292" s="9"/>
      <c r="M1292" s="9">
        <f t="shared" si="168"/>
        <v>5.4</v>
      </c>
      <c r="N1292" s="9">
        <f t="shared" si="169"/>
        <v>1.5</v>
      </c>
      <c r="O1292" s="9">
        <v>5.4</v>
      </c>
      <c r="P1292" s="9">
        <v>1.5</v>
      </c>
      <c r="Q1292" s="9" t="s">
        <v>4</v>
      </c>
      <c r="R1292" s="1">
        <v>0</v>
      </c>
      <c r="S1292" s="26"/>
    </row>
    <row r="1293" spans="1:19" ht="16.5" hidden="1" customHeight="1" x14ac:dyDescent="0.25">
      <c r="A1293" s="21"/>
      <c r="H1293" s="21"/>
      <c r="I1293" s="21"/>
      <c r="J1293" s="21"/>
      <c r="K1293" s="21"/>
      <c r="L1293" s="21"/>
      <c r="M1293" s="9">
        <f t="shared" si="168"/>
        <v>0</v>
      </c>
      <c r="N1293" s="9">
        <f t="shared" si="169"/>
        <v>0</v>
      </c>
      <c r="O1293" s="21"/>
      <c r="P1293" s="21"/>
      <c r="Q1293" s="21"/>
      <c r="S1293" s="25"/>
    </row>
    <row r="1294" spans="1:19" ht="16.5" customHeight="1" x14ac:dyDescent="0.25">
      <c r="A1294" s="9"/>
      <c r="B1294" s="39" t="s">
        <v>42</v>
      </c>
      <c r="C1294" s="40"/>
      <c r="D1294" s="40"/>
      <c r="E1294" s="40"/>
      <c r="F1294" s="40"/>
      <c r="G1294" s="41"/>
      <c r="H1294" s="23"/>
      <c r="I1294" s="24">
        <f>SUM(I1286:I1293)</f>
        <v>14</v>
      </c>
      <c r="J1294" s="9"/>
      <c r="K1294" s="9"/>
      <c r="L1294" s="9"/>
      <c r="M1294" s="9">
        <f t="shared" si="168"/>
        <v>109.2</v>
      </c>
      <c r="N1294" s="9">
        <f t="shared" si="169"/>
        <v>43.96</v>
      </c>
      <c r="O1294" s="24">
        <f>ROUND(SUM(M1286:M1293)/I1294,2)</f>
        <v>7.8</v>
      </c>
      <c r="P1294" s="24">
        <f>ROUND(SUM(N1286:N1293)/I1294,2)</f>
        <v>3.14</v>
      </c>
      <c r="Q1294" s="9"/>
      <c r="S1294" s="25"/>
    </row>
    <row r="1295" spans="1:19" ht="20.25" customHeight="1" x14ac:dyDescent="0.25">
      <c r="A1295" s="27" t="s">
        <v>62</v>
      </c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</row>
    <row r="1296" spans="1:19" ht="16.5" customHeight="1" x14ac:dyDescent="0.25">
      <c r="A1296" s="9"/>
      <c r="B1296" s="51" t="s">
        <v>63</v>
      </c>
      <c r="C1296" s="52"/>
      <c r="D1296" s="52"/>
      <c r="E1296" s="52"/>
      <c r="F1296" s="52"/>
      <c r="G1296" s="53"/>
      <c r="H1296" s="20"/>
      <c r="I1296" s="9">
        <v>4</v>
      </c>
      <c r="J1296" s="9"/>
      <c r="K1296" s="9"/>
      <c r="L1296" s="9"/>
      <c r="M1296" s="9">
        <f t="shared" ref="M1296:M1304" si="170">I1296*O1296</f>
        <v>28</v>
      </c>
      <c r="N1296" s="9">
        <f t="shared" ref="N1296:N1304" si="171">I1296*P1296</f>
        <v>12</v>
      </c>
      <c r="O1296" s="9">
        <v>7</v>
      </c>
      <c r="P1296" s="9">
        <v>3</v>
      </c>
      <c r="Q1296" s="9" t="s">
        <v>6</v>
      </c>
      <c r="R1296" s="1">
        <v>0</v>
      </c>
      <c r="S1296" s="26"/>
    </row>
    <row r="1297" spans="1:19" ht="16.5" customHeight="1" x14ac:dyDescent="0.25">
      <c r="A1297" s="9"/>
      <c r="B1297" s="51" t="s">
        <v>64</v>
      </c>
      <c r="C1297" s="52"/>
      <c r="D1297" s="52"/>
      <c r="E1297" s="52"/>
      <c r="F1297" s="52"/>
      <c r="G1297" s="53"/>
      <c r="H1297" s="20"/>
      <c r="I1297" s="9">
        <v>4</v>
      </c>
      <c r="J1297" s="9"/>
      <c r="K1297" s="9"/>
      <c r="L1297" s="9"/>
      <c r="M1297" s="9">
        <f t="shared" si="170"/>
        <v>38</v>
      </c>
      <c r="N1297" s="9">
        <f t="shared" si="171"/>
        <v>16</v>
      </c>
      <c r="O1297" s="9">
        <v>9.5</v>
      </c>
      <c r="P1297" s="9">
        <v>4</v>
      </c>
      <c r="Q1297" s="9" t="s">
        <v>12</v>
      </c>
      <c r="R1297" s="1">
        <v>0</v>
      </c>
      <c r="S1297" s="26"/>
    </row>
    <row r="1298" spans="1:19" ht="16.5" customHeight="1" x14ac:dyDescent="0.25">
      <c r="A1298" s="9"/>
      <c r="B1298" s="51" t="s">
        <v>65</v>
      </c>
      <c r="C1298" s="52"/>
      <c r="D1298" s="52"/>
      <c r="E1298" s="52"/>
      <c r="F1298" s="52"/>
      <c r="G1298" s="53"/>
      <c r="H1298" s="20"/>
      <c r="I1298" s="9">
        <v>4</v>
      </c>
      <c r="J1298" s="9"/>
      <c r="K1298" s="9"/>
      <c r="L1298" s="9"/>
      <c r="M1298" s="9">
        <f t="shared" si="170"/>
        <v>30.8</v>
      </c>
      <c r="N1298" s="9">
        <f t="shared" si="171"/>
        <v>12</v>
      </c>
      <c r="O1298" s="9">
        <v>7.7</v>
      </c>
      <c r="P1298" s="9">
        <v>3</v>
      </c>
      <c r="Q1298" s="9" t="s">
        <v>6</v>
      </c>
      <c r="R1298" s="1">
        <v>0</v>
      </c>
      <c r="S1298" s="26"/>
    </row>
    <row r="1299" spans="1:19" ht="16.5" customHeight="1" x14ac:dyDescent="0.25">
      <c r="A1299" s="9"/>
      <c r="B1299" s="51" t="s">
        <v>66</v>
      </c>
      <c r="C1299" s="52"/>
      <c r="D1299" s="52"/>
      <c r="E1299" s="52"/>
      <c r="F1299" s="52"/>
      <c r="G1299" s="53"/>
      <c r="H1299" s="20"/>
      <c r="I1299" s="9">
        <v>1</v>
      </c>
      <c r="J1299" s="9"/>
      <c r="K1299" s="9"/>
      <c r="L1299" s="9"/>
      <c r="M1299" s="9">
        <f t="shared" si="170"/>
        <v>8</v>
      </c>
      <c r="N1299" s="9">
        <f t="shared" si="171"/>
        <v>3.5</v>
      </c>
      <c r="O1299" s="9">
        <v>8</v>
      </c>
      <c r="P1299" s="9">
        <v>3.5</v>
      </c>
      <c r="Q1299" s="9" t="s">
        <v>9</v>
      </c>
      <c r="R1299" s="1">
        <v>0</v>
      </c>
      <c r="S1299" s="26"/>
    </row>
    <row r="1300" spans="1:19" ht="16.5" customHeight="1" x14ac:dyDescent="0.25">
      <c r="A1300" s="9"/>
      <c r="B1300" s="51" t="s">
        <v>67</v>
      </c>
      <c r="C1300" s="52"/>
      <c r="D1300" s="52"/>
      <c r="E1300" s="52"/>
      <c r="F1300" s="52"/>
      <c r="G1300" s="53"/>
      <c r="H1300" s="20"/>
      <c r="I1300" s="9">
        <v>1</v>
      </c>
      <c r="J1300" s="9"/>
      <c r="K1300" s="9"/>
      <c r="L1300" s="9"/>
      <c r="M1300" s="9">
        <f t="shared" si="170"/>
        <v>8.3000000000000007</v>
      </c>
      <c r="N1300" s="9">
        <f t="shared" si="171"/>
        <v>3.5</v>
      </c>
      <c r="O1300" s="9">
        <v>8.3000000000000007</v>
      </c>
      <c r="P1300" s="9">
        <v>3.5</v>
      </c>
      <c r="Q1300" s="9" t="s">
        <v>9</v>
      </c>
      <c r="R1300" s="1">
        <v>0</v>
      </c>
      <c r="S1300" s="26"/>
    </row>
    <row r="1301" spans="1:19" ht="16.5" customHeight="1" x14ac:dyDescent="0.25">
      <c r="A1301" s="9"/>
      <c r="B1301" s="51" t="s">
        <v>68</v>
      </c>
      <c r="C1301" s="52"/>
      <c r="D1301" s="52"/>
      <c r="E1301" s="52"/>
      <c r="F1301" s="52"/>
      <c r="G1301" s="53"/>
      <c r="H1301" s="20"/>
      <c r="I1301" s="9">
        <v>1</v>
      </c>
      <c r="J1301" s="9"/>
      <c r="K1301" s="9"/>
      <c r="L1301" s="9"/>
      <c r="M1301" s="9">
        <f t="shared" si="170"/>
        <v>7.3</v>
      </c>
      <c r="N1301" s="9">
        <f t="shared" si="171"/>
        <v>3</v>
      </c>
      <c r="O1301" s="9">
        <v>7.3</v>
      </c>
      <c r="P1301" s="9">
        <v>3</v>
      </c>
      <c r="Q1301" s="9" t="s">
        <v>6</v>
      </c>
      <c r="R1301" s="1">
        <v>0</v>
      </c>
      <c r="S1301" s="26"/>
    </row>
    <row r="1302" spans="1:19" ht="16.5" customHeight="1" x14ac:dyDescent="0.25">
      <c r="A1302" s="9"/>
      <c r="B1302" s="51" t="s">
        <v>69</v>
      </c>
      <c r="C1302" s="52"/>
      <c r="D1302" s="52"/>
      <c r="E1302" s="52"/>
      <c r="F1302" s="52"/>
      <c r="G1302" s="53"/>
      <c r="H1302" s="20"/>
      <c r="I1302" s="9">
        <v>1</v>
      </c>
      <c r="J1302" s="9"/>
      <c r="K1302" s="9"/>
      <c r="L1302" s="9"/>
      <c r="M1302" s="9">
        <f t="shared" si="170"/>
        <v>7.9</v>
      </c>
      <c r="N1302" s="9">
        <f t="shared" si="171"/>
        <v>3</v>
      </c>
      <c r="O1302" s="9">
        <v>7.9</v>
      </c>
      <c r="P1302" s="9">
        <v>3</v>
      </c>
      <c r="Q1302" s="9" t="s">
        <v>6</v>
      </c>
      <c r="R1302" s="1">
        <v>0</v>
      </c>
      <c r="S1302" s="26"/>
    </row>
    <row r="1303" spans="1:19" ht="16.5" hidden="1" customHeight="1" x14ac:dyDescent="0.25">
      <c r="A1303" s="21"/>
      <c r="H1303" s="21"/>
      <c r="I1303" s="21"/>
      <c r="J1303" s="21"/>
      <c r="K1303" s="21"/>
      <c r="L1303" s="21"/>
      <c r="M1303" s="9">
        <f t="shared" si="170"/>
        <v>0</v>
      </c>
      <c r="N1303" s="9">
        <f t="shared" si="171"/>
        <v>0</v>
      </c>
      <c r="O1303" s="21"/>
      <c r="P1303" s="21"/>
      <c r="Q1303" s="21"/>
      <c r="S1303" s="25"/>
    </row>
    <row r="1304" spans="1:19" ht="16.5" customHeight="1" x14ac:dyDescent="0.25">
      <c r="A1304" s="9"/>
      <c r="B1304" s="39" t="s">
        <v>42</v>
      </c>
      <c r="C1304" s="40"/>
      <c r="D1304" s="40"/>
      <c r="E1304" s="40"/>
      <c r="F1304" s="40"/>
      <c r="G1304" s="41"/>
      <c r="H1304" s="23"/>
      <c r="I1304" s="24">
        <f>SUM(I1296:I1303)</f>
        <v>16</v>
      </c>
      <c r="J1304" s="9"/>
      <c r="K1304" s="9"/>
      <c r="L1304" s="9"/>
      <c r="M1304" s="9">
        <f t="shared" si="170"/>
        <v>128.32</v>
      </c>
      <c r="N1304" s="9">
        <f t="shared" si="171"/>
        <v>52.96</v>
      </c>
      <c r="O1304" s="24">
        <f>ROUND(SUM(M1296:M1303)/I1304,2)</f>
        <v>8.02</v>
      </c>
      <c r="P1304" s="24">
        <f>ROUND(SUM(N1296:N1303)/I1304,2)</f>
        <v>3.31</v>
      </c>
      <c r="Q1304" s="9"/>
      <c r="S1304" s="25"/>
    </row>
    <row r="1305" spans="1:19" ht="20.25" customHeight="1" x14ac:dyDescent="0.25">
      <c r="A1305" s="27" t="s">
        <v>70</v>
      </c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</row>
    <row r="1306" spans="1:19" ht="16.5" customHeight="1" x14ac:dyDescent="0.25">
      <c r="A1306" s="9"/>
      <c r="B1306" s="51" t="s">
        <v>71</v>
      </c>
      <c r="C1306" s="52"/>
      <c r="D1306" s="52"/>
      <c r="E1306" s="52"/>
      <c r="F1306" s="52"/>
      <c r="G1306" s="53"/>
      <c r="H1306" s="20"/>
      <c r="I1306" s="9">
        <v>4</v>
      </c>
      <c r="J1306" s="9"/>
      <c r="K1306" s="9"/>
      <c r="L1306" s="9"/>
      <c r="M1306" s="9">
        <f t="shared" ref="M1306:M1314" si="172">I1306*O1306</f>
        <v>23.2</v>
      </c>
      <c r="N1306" s="9">
        <f t="shared" ref="N1306:N1314" si="173">I1306*P1306</f>
        <v>8</v>
      </c>
      <c r="O1306" s="9">
        <v>5.8</v>
      </c>
      <c r="P1306" s="9">
        <v>2</v>
      </c>
      <c r="Q1306" s="9" t="s">
        <v>3</v>
      </c>
      <c r="R1306" s="1">
        <v>0</v>
      </c>
      <c r="S1306" s="26"/>
    </row>
    <row r="1307" spans="1:19" ht="16.5" customHeight="1" x14ac:dyDescent="0.25">
      <c r="A1307" s="9"/>
      <c r="B1307" s="51" t="s">
        <v>72</v>
      </c>
      <c r="C1307" s="52"/>
      <c r="D1307" s="52"/>
      <c r="E1307" s="52"/>
      <c r="F1307" s="52"/>
      <c r="G1307" s="53"/>
      <c r="H1307" s="20"/>
      <c r="I1307" s="9">
        <v>4</v>
      </c>
      <c r="J1307" s="9"/>
      <c r="K1307" s="9"/>
      <c r="L1307" s="9"/>
      <c r="M1307" s="9">
        <f t="shared" si="172"/>
        <v>31.6</v>
      </c>
      <c r="N1307" s="9">
        <f t="shared" si="173"/>
        <v>12</v>
      </c>
      <c r="O1307" s="9">
        <v>7.9</v>
      </c>
      <c r="P1307" s="9">
        <v>3</v>
      </c>
      <c r="Q1307" s="9" t="s">
        <v>6</v>
      </c>
      <c r="R1307" s="1">
        <v>0</v>
      </c>
      <c r="S1307" s="26"/>
    </row>
    <row r="1308" spans="1:19" ht="16.5" customHeight="1" x14ac:dyDescent="0.25">
      <c r="A1308" s="9"/>
      <c r="B1308" s="51" t="s">
        <v>73</v>
      </c>
      <c r="C1308" s="52"/>
      <c r="D1308" s="52"/>
      <c r="E1308" s="52"/>
      <c r="F1308" s="52"/>
      <c r="G1308" s="53"/>
      <c r="H1308" s="20"/>
      <c r="I1308" s="9">
        <v>1</v>
      </c>
      <c r="J1308" s="9"/>
      <c r="K1308" s="9"/>
      <c r="L1308" s="9"/>
      <c r="M1308" s="9">
        <f t="shared" si="172"/>
        <v>8.1</v>
      </c>
      <c r="N1308" s="9">
        <f t="shared" si="173"/>
        <v>3.5</v>
      </c>
      <c r="O1308" s="9">
        <v>8.1</v>
      </c>
      <c r="P1308" s="9">
        <v>3.5</v>
      </c>
      <c r="Q1308" s="9" t="s">
        <v>9</v>
      </c>
      <c r="R1308" s="1">
        <v>0</v>
      </c>
      <c r="S1308" s="26"/>
    </row>
    <row r="1309" spans="1:19" ht="16.5" customHeight="1" x14ac:dyDescent="0.25">
      <c r="A1309" s="9"/>
      <c r="B1309" s="51" t="s">
        <v>74</v>
      </c>
      <c r="C1309" s="52"/>
      <c r="D1309" s="52"/>
      <c r="E1309" s="52"/>
      <c r="F1309" s="52"/>
      <c r="G1309" s="53"/>
      <c r="H1309" s="20"/>
      <c r="I1309" s="9">
        <v>2</v>
      </c>
      <c r="J1309" s="9"/>
      <c r="K1309" s="9"/>
      <c r="L1309" s="9"/>
      <c r="M1309" s="9">
        <f t="shared" si="172"/>
        <v>14.8</v>
      </c>
      <c r="N1309" s="9">
        <f t="shared" si="173"/>
        <v>6</v>
      </c>
      <c r="O1309" s="9">
        <v>7.4</v>
      </c>
      <c r="P1309" s="9">
        <v>3</v>
      </c>
      <c r="Q1309" s="9" t="s">
        <v>6</v>
      </c>
      <c r="R1309" s="1">
        <v>0</v>
      </c>
      <c r="S1309" s="26"/>
    </row>
    <row r="1310" spans="1:19" ht="16.5" customHeight="1" x14ac:dyDescent="0.25">
      <c r="A1310" s="9"/>
      <c r="B1310" s="51" t="s">
        <v>75</v>
      </c>
      <c r="C1310" s="52"/>
      <c r="D1310" s="52"/>
      <c r="E1310" s="52"/>
      <c r="F1310" s="52"/>
      <c r="G1310" s="53"/>
      <c r="H1310" s="20"/>
      <c r="I1310" s="9">
        <v>1</v>
      </c>
      <c r="J1310" s="9"/>
      <c r="K1310" s="9"/>
      <c r="L1310" s="9"/>
      <c r="M1310" s="9">
        <f t="shared" si="172"/>
        <v>6.3</v>
      </c>
      <c r="N1310" s="9">
        <f t="shared" si="173"/>
        <v>2</v>
      </c>
      <c r="O1310" s="9">
        <v>6.3</v>
      </c>
      <c r="P1310" s="9">
        <v>2</v>
      </c>
      <c r="Q1310" s="9" t="s">
        <v>3</v>
      </c>
      <c r="R1310" s="1">
        <v>0</v>
      </c>
      <c r="S1310" s="26"/>
    </row>
    <row r="1311" spans="1:19" ht="16.5" customHeight="1" x14ac:dyDescent="0.25">
      <c r="A1311" s="9"/>
      <c r="B1311" s="51" t="s">
        <v>76</v>
      </c>
      <c r="C1311" s="52"/>
      <c r="D1311" s="52"/>
      <c r="E1311" s="52"/>
      <c r="F1311" s="52"/>
      <c r="G1311" s="53"/>
      <c r="H1311" s="20"/>
      <c r="I1311" s="9">
        <v>4</v>
      </c>
      <c r="J1311" s="9"/>
      <c r="K1311" s="9"/>
      <c r="L1311" s="9"/>
      <c r="M1311" s="9">
        <f t="shared" si="172"/>
        <v>32.799999999999997</v>
      </c>
      <c r="N1311" s="9">
        <f t="shared" si="173"/>
        <v>14</v>
      </c>
      <c r="O1311" s="9">
        <v>8.1999999999999993</v>
      </c>
      <c r="P1311" s="9">
        <v>3.5</v>
      </c>
      <c r="Q1311" s="9" t="s">
        <v>9</v>
      </c>
      <c r="R1311" s="1">
        <v>0</v>
      </c>
      <c r="S1311" s="26"/>
    </row>
    <row r="1312" spans="1:19" ht="16.5" customHeight="1" x14ac:dyDescent="0.25">
      <c r="A1312" s="9"/>
      <c r="B1312" s="51" t="s">
        <v>77</v>
      </c>
      <c r="C1312" s="52"/>
      <c r="D1312" s="52"/>
      <c r="E1312" s="52"/>
      <c r="F1312" s="52"/>
      <c r="G1312" s="53"/>
      <c r="H1312" s="20"/>
      <c r="I1312" s="9">
        <v>3</v>
      </c>
      <c r="J1312" s="9"/>
      <c r="K1312" s="9"/>
      <c r="L1312" s="9"/>
      <c r="M1312" s="9">
        <f t="shared" si="172"/>
        <v>18.299999999999997</v>
      </c>
      <c r="N1312" s="9">
        <f t="shared" si="173"/>
        <v>6</v>
      </c>
      <c r="O1312" s="9">
        <v>6.1</v>
      </c>
      <c r="P1312" s="9">
        <v>2</v>
      </c>
      <c r="Q1312" s="9" t="s">
        <v>3</v>
      </c>
      <c r="R1312" s="1">
        <v>0</v>
      </c>
      <c r="S1312" s="26"/>
    </row>
    <row r="1313" spans="1:19" ht="16.5" hidden="1" customHeight="1" x14ac:dyDescent="0.25">
      <c r="A1313" s="21"/>
      <c r="H1313" s="21"/>
      <c r="I1313" s="21"/>
      <c r="J1313" s="21"/>
      <c r="K1313" s="21"/>
      <c r="L1313" s="21"/>
      <c r="M1313" s="9">
        <f t="shared" si="172"/>
        <v>0</v>
      </c>
      <c r="N1313" s="9">
        <f t="shared" si="173"/>
        <v>0</v>
      </c>
      <c r="O1313" s="21"/>
      <c r="P1313" s="21"/>
      <c r="Q1313" s="21"/>
      <c r="S1313" s="25"/>
    </row>
    <row r="1314" spans="1:19" ht="16.5" customHeight="1" x14ac:dyDescent="0.25">
      <c r="A1314" s="9"/>
      <c r="B1314" s="39" t="s">
        <v>42</v>
      </c>
      <c r="C1314" s="40"/>
      <c r="D1314" s="40"/>
      <c r="E1314" s="40"/>
      <c r="F1314" s="40"/>
      <c r="G1314" s="41"/>
      <c r="H1314" s="23"/>
      <c r="I1314" s="24">
        <f>SUM(I1306:I1313)</f>
        <v>19</v>
      </c>
      <c r="J1314" s="9"/>
      <c r="K1314" s="9"/>
      <c r="L1314" s="9"/>
      <c r="M1314" s="9">
        <f t="shared" si="172"/>
        <v>135.09</v>
      </c>
      <c r="N1314" s="9">
        <f t="shared" si="173"/>
        <v>51.49</v>
      </c>
      <c r="O1314" s="24">
        <f>ROUND(SUM(M1306:M1313)/I1314,2)</f>
        <v>7.11</v>
      </c>
      <c r="P1314" s="24">
        <f>ROUND(SUM(N1306:N1313)/I1314,2)</f>
        <v>2.71</v>
      </c>
      <c r="Q1314" s="9"/>
      <c r="S1314" s="25"/>
    </row>
    <row r="1315" spans="1:19" ht="20.25" customHeight="1" x14ac:dyDescent="0.25">
      <c r="A1315" s="27" t="s">
        <v>78</v>
      </c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</row>
    <row r="1316" spans="1:19" ht="16.5" customHeight="1" x14ac:dyDescent="0.25">
      <c r="A1316" s="9"/>
      <c r="B1316" s="51" t="s">
        <v>79</v>
      </c>
      <c r="C1316" s="52"/>
      <c r="D1316" s="52"/>
      <c r="E1316" s="52"/>
      <c r="F1316" s="52"/>
      <c r="G1316" s="53"/>
      <c r="H1316" s="20"/>
      <c r="I1316" s="9">
        <v>1</v>
      </c>
      <c r="J1316" s="9"/>
      <c r="K1316" s="9"/>
      <c r="L1316" s="9"/>
      <c r="M1316" s="9">
        <f t="shared" ref="M1316:M1322" si="174">I1316*O1316</f>
        <v>8</v>
      </c>
      <c r="N1316" s="9">
        <f t="shared" ref="N1316:N1322" si="175">I1316*P1316</f>
        <v>3.5</v>
      </c>
      <c r="O1316" s="9">
        <v>8</v>
      </c>
      <c r="P1316" s="9">
        <v>3.5</v>
      </c>
      <c r="Q1316" s="9" t="s">
        <v>9</v>
      </c>
      <c r="R1316" s="1">
        <v>0</v>
      </c>
      <c r="S1316" s="26"/>
    </row>
    <row r="1317" spans="1:19" ht="16.5" customHeight="1" x14ac:dyDescent="0.25">
      <c r="A1317" s="9"/>
      <c r="B1317" s="51" t="s">
        <v>80</v>
      </c>
      <c r="C1317" s="52"/>
      <c r="D1317" s="52"/>
      <c r="E1317" s="52"/>
      <c r="F1317" s="52"/>
      <c r="G1317" s="53"/>
      <c r="H1317" s="20"/>
      <c r="I1317" s="9">
        <v>3</v>
      </c>
      <c r="J1317" s="9"/>
      <c r="K1317" s="9"/>
      <c r="L1317" s="9"/>
      <c r="M1317" s="9">
        <f t="shared" si="174"/>
        <v>24.299999999999997</v>
      </c>
      <c r="N1317" s="9">
        <f t="shared" si="175"/>
        <v>10.5</v>
      </c>
      <c r="O1317" s="9">
        <v>8.1</v>
      </c>
      <c r="P1317" s="9">
        <v>3.5</v>
      </c>
      <c r="Q1317" s="9" t="s">
        <v>9</v>
      </c>
      <c r="R1317" s="1">
        <v>0</v>
      </c>
      <c r="S1317" s="26"/>
    </row>
    <row r="1318" spans="1:19" ht="16.5" customHeight="1" x14ac:dyDescent="0.25">
      <c r="A1318" s="9"/>
      <c r="B1318" s="51" t="s">
        <v>87</v>
      </c>
      <c r="C1318" s="52"/>
      <c r="D1318" s="52"/>
      <c r="E1318" s="52"/>
      <c r="F1318" s="52"/>
      <c r="G1318" s="53"/>
      <c r="H1318" s="20"/>
      <c r="I1318" s="9">
        <v>3</v>
      </c>
      <c r="J1318" s="9"/>
      <c r="K1318" s="9"/>
      <c r="L1318" s="9"/>
      <c r="M1318" s="9">
        <f t="shared" si="174"/>
        <v>26.700000000000003</v>
      </c>
      <c r="N1318" s="9">
        <f t="shared" si="175"/>
        <v>11.100000000000001</v>
      </c>
      <c r="O1318" s="9">
        <v>8.9</v>
      </c>
      <c r="P1318" s="9">
        <v>3.7</v>
      </c>
      <c r="Q1318" s="9" t="s">
        <v>10</v>
      </c>
      <c r="R1318" s="1">
        <v>0</v>
      </c>
      <c r="S1318" s="26"/>
    </row>
    <row r="1319" spans="1:19" ht="16.5" customHeight="1" x14ac:dyDescent="0.25">
      <c r="A1319" s="9"/>
      <c r="B1319" s="51" t="s">
        <v>82</v>
      </c>
      <c r="C1319" s="52"/>
      <c r="D1319" s="52"/>
      <c r="E1319" s="52"/>
      <c r="F1319" s="52"/>
      <c r="G1319" s="53"/>
      <c r="H1319" s="20"/>
      <c r="I1319" s="9">
        <v>2</v>
      </c>
      <c r="J1319" s="9"/>
      <c r="K1319" s="9"/>
      <c r="L1319" s="9"/>
      <c r="M1319" s="9">
        <f t="shared" si="174"/>
        <v>14.8</v>
      </c>
      <c r="N1319" s="9">
        <f t="shared" si="175"/>
        <v>6</v>
      </c>
      <c r="O1319" s="9">
        <v>7.4</v>
      </c>
      <c r="P1319" s="9">
        <v>3</v>
      </c>
      <c r="Q1319" s="9" t="s">
        <v>6</v>
      </c>
      <c r="R1319" s="1">
        <v>0</v>
      </c>
      <c r="S1319" s="26"/>
    </row>
    <row r="1320" spans="1:19" ht="16.5" customHeight="1" x14ac:dyDescent="0.25">
      <c r="A1320" s="9"/>
      <c r="B1320" s="51" t="s">
        <v>83</v>
      </c>
      <c r="C1320" s="52"/>
      <c r="D1320" s="52"/>
      <c r="E1320" s="52"/>
      <c r="F1320" s="52"/>
      <c r="G1320" s="53"/>
      <c r="H1320" s="20"/>
      <c r="I1320" s="9">
        <v>2</v>
      </c>
      <c r="J1320" s="9"/>
      <c r="K1320" s="9"/>
      <c r="L1320" s="9"/>
      <c r="M1320" s="9">
        <f t="shared" si="174"/>
        <v>15.4</v>
      </c>
      <c r="N1320" s="9">
        <f t="shared" si="175"/>
        <v>6</v>
      </c>
      <c r="O1320" s="9">
        <v>7.7</v>
      </c>
      <c r="P1320" s="9">
        <v>3</v>
      </c>
      <c r="Q1320" s="9" t="s">
        <v>6</v>
      </c>
      <c r="R1320" s="1">
        <v>0</v>
      </c>
      <c r="S1320" s="26"/>
    </row>
    <row r="1321" spans="1:19" ht="16.5" customHeight="1" x14ac:dyDescent="0.25">
      <c r="A1321" s="9"/>
      <c r="B1321" s="51" t="s">
        <v>84</v>
      </c>
      <c r="C1321" s="52"/>
      <c r="D1321" s="52"/>
      <c r="E1321" s="52"/>
      <c r="F1321" s="52"/>
      <c r="G1321" s="53"/>
      <c r="H1321" s="20"/>
      <c r="I1321" s="9">
        <v>3</v>
      </c>
      <c r="J1321" s="9"/>
      <c r="K1321" s="9"/>
      <c r="L1321" s="9"/>
      <c r="M1321" s="9">
        <f t="shared" si="174"/>
        <v>23.1</v>
      </c>
      <c r="N1321" s="9">
        <f t="shared" si="175"/>
        <v>9</v>
      </c>
      <c r="O1321" s="9">
        <v>7.7</v>
      </c>
      <c r="P1321" s="9">
        <v>3</v>
      </c>
      <c r="Q1321" s="9" t="s">
        <v>6</v>
      </c>
      <c r="R1321" s="1">
        <v>0</v>
      </c>
      <c r="S1321" s="26"/>
    </row>
    <row r="1322" spans="1:19" ht="16.5" customHeight="1" x14ac:dyDescent="0.25">
      <c r="A1322" s="9"/>
      <c r="B1322" s="51" t="s">
        <v>85</v>
      </c>
      <c r="C1322" s="52"/>
      <c r="D1322" s="52"/>
      <c r="E1322" s="52"/>
      <c r="F1322" s="52"/>
      <c r="G1322" s="53"/>
      <c r="H1322" s="20"/>
      <c r="I1322" s="9">
        <v>2</v>
      </c>
      <c r="J1322" s="9"/>
      <c r="K1322" s="9"/>
      <c r="L1322" s="9"/>
      <c r="M1322" s="9">
        <f t="shared" si="174"/>
        <v>14.6</v>
      </c>
      <c r="N1322" s="9">
        <f t="shared" si="175"/>
        <v>6</v>
      </c>
      <c r="O1322" s="9">
        <v>7.3</v>
      </c>
      <c r="P1322" s="9">
        <v>3</v>
      </c>
      <c r="Q1322" s="9" t="s">
        <v>6</v>
      </c>
      <c r="R1322" s="1">
        <v>0</v>
      </c>
      <c r="S1322" s="26"/>
    </row>
    <row r="1323" spans="1:19" ht="15" customHeight="1" x14ac:dyDescent="0.25">
      <c r="A1323" s="36" t="s">
        <v>0</v>
      </c>
      <c r="B1323" s="29" t="s">
        <v>1</v>
      </c>
      <c r="C1323" s="30"/>
      <c r="D1323" s="30"/>
      <c r="E1323" s="30"/>
      <c r="F1323" s="30"/>
      <c r="G1323" s="31"/>
      <c r="H1323" s="36" t="s">
        <v>32</v>
      </c>
      <c r="I1323" s="36" t="s">
        <v>39</v>
      </c>
      <c r="J1323" s="55" t="s">
        <v>2</v>
      </c>
      <c r="K1323" s="56"/>
      <c r="L1323" s="56"/>
      <c r="M1323" s="56"/>
      <c r="N1323" s="56"/>
      <c r="O1323" s="56"/>
      <c r="P1323" s="56"/>
      <c r="Q1323" s="57"/>
      <c r="S1323" s="36" t="s">
        <v>38</v>
      </c>
    </row>
    <row r="1324" spans="1:19" ht="24" customHeight="1" x14ac:dyDescent="0.25">
      <c r="A1324" s="37"/>
      <c r="B1324" s="32"/>
      <c r="C1324" s="33"/>
      <c r="D1324" s="33"/>
      <c r="E1324" s="33"/>
      <c r="F1324" s="33"/>
      <c r="G1324" s="34"/>
      <c r="H1324" s="37"/>
      <c r="I1324" s="37"/>
      <c r="J1324" s="7" t="s">
        <v>28</v>
      </c>
      <c r="K1324" s="7" t="s">
        <v>29</v>
      </c>
      <c r="L1324" s="7" t="s">
        <v>30</v>
      </c>
      <c r="M1324" s="7"/>
      <c r="N1324" s="7"/>
      <c r="O1324" s="6" t="s">
        <v>35</v>
      </c>
      <c r="P1324" s="6" t="s">
        <v>36</v>
      </c>
      <c r="Q1324" s="6" t="s">
        <v>37</v>
      </c>
      <c r="S1324" s="37"/>
    </row>
    <row r="1325" spans="1:19" ht="16.5" customHeight="1" x14ac:dyDescent="0.25">
      <c r="A1325" s="9"/>
      <c r="B1325" s="51" t="s">
        <v>86</v>
      </c>
      <c r="C1325" s="52"/>
      <c r="D1325" s="52"/>
      <c r="E1325" s="52"/>
      <c r="F1325" s="52"/>
      <c r="G1325" s="53"/>
      <c r="H1325" s="20"/>
      <c r="I1325" s="9">
        <v>3</v>
      </c>
      <c r="J1325" s="9"/>
      <c r="K1325" s="9"/>
      <c r="L1325" s="9"/>
      <c r="M1325" s="9">
        <f>I1325*O1325</f>
        <v>24.900000000000002</v>
      </c>
      <c r="N1325" s="9">
        <f>I1325*P1325</f>
        <v>10.5</v>
      </c>
      <c r="O1325" s="9">
        <v>8.3000000000000007</v>
      </c>
      <c r="P1325" s="9">
        <v>3.5</v>
      </c>
      <c r="Q1325" s="9" t="s">
        <v>9</v>
      </c>
      <c r="R1325" s="1">
        <v>0</v>
      </c>
      <c r="S1325" s="26"/>
    </row>
    <row r="1326" spans="1:19" ht="16.5" customHeight="1" x14ac:dyDescent="0.25">
      <c r="A1326" s="9"/>
      <c r="B1326" s="51" t="s">
        <v>81</v>
      </c>
      <c r="C1326" s="52"/>
      <c r="D1326" s="52"/>
      <c r="E1326" s="52"/>
      <c r="F1326" s="52"/>
      <c r="G1326" s="53"/>
      <c r="H1326" s="20"/>
      <c r="I1326" s="9">
        <v>3</v>
      </c>
      <c r="J1326" s="9"/>
      <c r="K1326" s="9"/>
      <c r="L1326" s="9"/>
      <c r="M1326" s="9">
        <f>I1326*O1326</f>
        <v>23.1</v>
      </c>
      <c r="N1326" s="9">
        <f>I1326*P1326</f>
        <v>9</v>
      </c>
      <c r="O1326" s="9">
        <v>7.7</v>
      </c>
      <c r="P1326" s="9">
        <v>3</v>
      </c>
      <c r="Q1326" s="9" t="s">
        <v>6</v>
      </c>
      <c r="R1326" s="1">
        <v>0</v>
      </c>
      <c r="S1326" s="26"/>
    </row>
    <row r="1327" spans="1:19" ht="16.5" hidden="1" customHeight="1" x14ac:dyDescent="0.25">
      <c r="A1327" s="21"/>
      <c r="H1327" s="21"/>
      <c r="I1327" s="21"/>
      <c r="J1327" s="21"/>
      <c r="K1327" s="21"/>
      <c r="L1327" s="21"/>
      <c r="M1327" s="9">
        <f>I1327*O1327</f>
        <v>0</v>
      </c>
      <c r="N1327" s="9">
        <f>I1327*P1327</f>
        <v>0</v>
      </c>
      <c r="O1327" s="21"/>
      <c r="P1327" s="21"/>
      <c r="Q1327" s="21"/>
      <c r="S1327" s="25"/>
    </row>
    <row r="1328" spans="1:19" ht="16.5" customHeight="1" x14ac:dyDescent="0.25">
      <c r="A1328" s="9"/>
      <c r="B1328" s="39" t="s">
        <v>42</v>
      </c>
      <c r="C1328" s="40"/>
      <c r="D1328" s="40"/>
      <c r="E1328" s="40"/>
      <c r="F1328" s="40"/>
      <c r="G1328" s="41"/>
      <c r="H1328" s="23"/>
      <c r="I1328" s="24">
        <f>SUM(I1316:I1327)</f>
        <v>22</v>
      </c>
      <c r="J1328" s="9"/>
      <c r="K1328" s="9"/>
      <c r="L1328" s="9"/>
      <c r="M1328" s="9">
        <f>I1328*O1328</f>
        <v>174.9</v>
      </c>
      <c r="N1328" s="9">
        <f>I1328*P1328</f>
        <v>71.5</v>
      </c>
      <c r="O1328" s="24">
        <f>ROUND(SUM(M1316:M1327)/I1328,2)</f>
        <v>7.95</v>
      </c>
      <c r="P1328" s="24">
        <f>ROUND(SUM(N1316:N1327)/I1328,2)</f>
        <v>3.25</v>
      </c>
      <c r="Q1328" s="9"/>
      <c r="S1328" s="25"/>
    </row>
    <row r="1329" spans="1:19" ht="20.25" customHeight="1" x14ac:dyDescent="0.25">
      <c r="A1329" s="27" t="s">
        <v>88</v>
      </c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</row>
    <row r="1330" spans="1:19" ht="16.5" customHeight="1" x14ac:dyDescent="0.25">
      <c r="A1330" s="9"/>
      <c r="B1330" s="51" t="s">
        <v>89</v>
      </c>
      <c r="C1330" s="52"/>
      <c r="D1330" s="52"/>
      <c r="E1330" s="52"/>
      <c r="F1330" s="52"/>
      <c r="G1330" s="53"/>
      <c r="H1330" s="20"/>
      <c r="I1330" s="9">
        <v>2</v>
      </c>
      <c r="J1330" s="9"/>
      <c r="K1330" s="9"/>
      <c r="L1330" s="9"/>
      <c r="M1330" s="9">
        <f t="shared" ref="M1330:M1341" si="176">I1330*O1330</f>
        <v>15.4</v>
      </c>
      <c r="N1330" s="9">
        <f t="shared" ref="N1330:N1341" si="177">I1330*P1330</f>
        <v>6</v>
      </c>
      <c r="O1330" s="9">
        <v>7.7</v>
      </c>
      <c r="P1330" s="9">
        <v>3</v>
      </c>
      <c r="Q1330" s="9" t="s">
        <v>6</v>
      </c>
      <c r="R1330" s="1">
        <v>0</v>
      </c>
      <c r="S1330" s="26"/>
    </row>
    <row r="1331" spans="1:19" ht="16.5" customHeight="1" x14ac:dyDescent="0.25">
      <c r="A1331" s="9"/>
      <c r="B1331" s="51" t="s">
        <v>90</v>
      </c>
      <c r="C1331" s="52"/>
      <c r="D1331" s="52"/>
      <c r="E1331" s="52"/>
      <c r="F1331" s="52"/>
      <c r="G1331" s="53"/>
      <c r="H1331" s="20"/>
      <c r="I1331" s="9">
        <v>3</v>
      </c>
      <c r="J1331" s="9"/>
      <c r="K1331" s="9"/>
      <c r="L1331" s="9"/>
      <c r="M1331" s="9">
        <f t="shared" si="176"/>
        <v>25.5</v>
      </c>
      <c r="N1331" s="9">
        <f t="shared" si="177"/>
        <v>11.100000000000001</v>
      </c>
      <c r="O1331" s="9">
        <v>8.5</v>
      </c>
      <c r="P1331" s="9">
        <v>3.7</v>
      </c>
      <c r="Q1331" s="9" t="s">
        <v>10</v>
      </c>
      <c r="R1331" s="1">
        <v>0</v>
      </c>
      <c r="S1331" s="26"/>
    </row>
    <row r="1332" spans="1:19" ht="16.5" customHeight="1" x14ac:dyDescent="0.25">
      <c r="A1332" s="9"/>
      <c r="B1332" s="51" t="s">
        <v>91</v>
      </c>
      <c r="C1332" s="52"/>
      <c r="D1332" s="52"/>
      <c r="E1332" s="52"/>
      <c r="F1332" s="52"/>
      <c r="G1332" s="53"/>
      <c r="H1332" s="20"/>
      <c r="I1332" s="9">
        <v>2</v>
      </c>
      <c r="J1332" s="9"/>
      <c r="K1332" s="9"/>
      <c r="L1332" s="9"/>
      <c r="M1332" s="9">
        <f t="shared" si="176"/>
        <v>14.6</v>
      </c>
      <c r="N1332" s="9">
        <f t="shared" si="177"/>
        <v>6</v>
      </c>
      <c r="O1332" s="9">
        <v>7.3</v>
      </c>
      <c r="P1332" s="9">
        <v>3</v>
      </c>
      <c r="Q1332" s="9" t="s">
        <v>6</v>
      </c>
      <c r="R1332" s="1">
        <v>0</v>
      </c>
      <c r="S1332" s="26"/>
    </row>
    <row r="1333" spans="1:19" ht="16.5" customHeight="1" x14ac:dyDescent="0.25">
      <c r="A1333" s="9"/>
      <c r="B1333" s="51" t="s">
        <v>92</v>
      </c>
      <c r="C1333" s="52"/>
      <c r="D1333" s="52"/>
      <c r="E1333" s="52"/>
      <c r="F1333" s="52"/>
      <c r="G1333" s="53"/>
      <c r="H1333" s="20"/>
      <c r="I1333" s="9">
        <v>3</v>
      </c>
      <c r="J1333" s="9"/>
      <c r="K1333" s="9"/>
      <c r="L1333" s="9"/>
      <c r="M1333" s="9">
        <f t="shared" si="176"/>
        <v>20.700000000000003</v>
      </c>
      <c r="N1333" s="9">
        <f t="shared" si="177"/>
        <v>7.5</v>
      </c>
      <c r="O1333" s="9">
        <v>6.9</v>
      </c>
      <c r="P1333" s="9">
        <v>2.5</v>
      </c>
      <c r="Q1333" s="9" t="s">
        <v>5</v>
      </c>
      <c r="R1333" s="1">
        <v>0</v>
      </c>
      <c r="S1333" s="26"/>
    </row>
    <row r="1334" spans="1:19" ht="16.5" customHeight="1" x14ac:dyDescent="0.25">
      <c r="A1334" s="9"/>
      <c r="B1334" s="51" t="s">
        <v>93</v>
      </c>
      <c r="C1334" s="52"/>
      <c r="D1334" s="52"/>
      <c r="E1334" s="52"/>
      <c r="F1334" s="52"/>
      <c r="G1334" s="53"/>
      <c r="H1334" s="20"/>
      <c r="I1334" s="9">
        <v>1</v>
      </c>
      <c r="J1334" s="9"/>
      <c r="K1334" s="9"/>
      <c r="L1334" s="9"/>
      <c r="M1334" s="9">
        <f t="shared" si="176"/>
        <v>5.5</v>
      </c>
      <c r="N1334" s="9">
        <f t="shared" si="177"/>
        <v>2</v>
      </c>
      <c r="O1334" s="9">
        <v>5.5</v>
      </c>
      <c r="P1334" s="9">
        <v>2</v>
      </c>
      <c r="Q1334" s="9" t="s">
        <v>3</v>
      </c>
      <c r="R1334" s="1">
        <v>0</v>
      </c>
      <c r="S1334" s="26"/>
    </row>
    <row r="1335" spans="1:19" ht="16.5" customHeight="1" x14ac:dyDescent="0.25">
      <c r="A1335" s="9"/>
      <c r="B1335" s="51" t="s">
        <v>94</v>
      </c>
      <c r="C1335" s="52"/>
      <c r="D1335" s="52"/>
      <c r="E1335" s="52"/>
      <c r="F1335" s="52"/>
      <c r="G1335" s="53"/>
      <c r="H1335" s="20"/>
      <c r="I1335" s="9">
        <v>1</v>
      </c>
      <c r="J1335" s="9"/>
      <c r="K1335" s="9"/>
      <c r="L1335" s="9"/>
      <c r="M1335" s="9">
        <f t="shared" si="176"/>
        <v>7.1</v>
      </c>
      <c r="N1335" s="9">
        <f t="shared" si="177"/>
        <v>3</v>
      </c>
      <c r="O1335" s="9">
        <v>7.1</v>
      </c>
      <c r="P1335" s="9">
        <v>3</v>
      </c>
      <c r="Q1335" s="9" t="s">
        <v>6</v>
      </c>
      <c r="R1335" s="1">
        <v>0</v>
      </c>
      <c r="S1335" s="26"/>
    </row>
    <row r="1336" spans="1:19" ht="16.5" customHeight="1" x14ac:dyDescent="0.25">
      <c r="A1336" s="9"/>
      <c r="B1336" s="51" t="s">
        <v>95</v>
      </c>
      <c r="C1336" s="52"/>
      <c r="D1336" s="52"/>
      <c r="E1336" s="52"/>
      <c r="F1336" s="52"/>
      <c r="G1336" s="53"/>
      <c r="H1336" s="20"/>
      <c r="I1336" s="9">
        <v>3</v>
      </c>
      <c r="J1336" s="9"/>
      <c r="K1336" s="9"/>
      <c r="L1336" s="9"/>
      <c r="M1336" s="9">
        <f t="shared" si="176"/>
        <v>28.5</v>
      </c>
      <c r="N1336" s="9">
        <f t="shared" si="177"/>
        <v>12</v>
      </c>
      <c r="O1336" s="9">
        <v>9.5</v>
      </c>
      <c r="P1336" s="9">
        <v>4</v>
      </c>
      <c r="Q1336" s="9" t="s">
        <v>12</v>
      </c>
      <c r="R1336" s="1">
        <v>0</v>
      </c>
      <c r="S1336" s="26"/>
    </row>
    <row r="1337" spans="1:19" ht="16.5" customHeight="1" x14ac:dyDescent="0.25">
      <c r="A1337" s="9"/>
      <c r="B1337" s="51" t="s">
        <v>96</v>
      </c>
      <c r="C1337" s="52"/>
      <c r="D1337" s="52"/>
      <c r="E1337" s="52"/>
      <c r="F1337" s="52"/>
      <c r="G1337" s="53"/>
      <c r="H1337" s="20"/>
      <c r="I1337" s="9">
        <v>3</v>
      </c>
      <c r="J1337" s="9"/>
      <c r="K1337" s="9"/>
      <c r="L1337" s="9"/>
      <c r="M1337" s="9">
        <f t="shared" si="176"/>
        <v>25.799999999999997</v>
      </c>
      <c r="N1337" s="9">
        <f t="shared" si="177"/>
        <v>11.100000000000001</v>
      </c>
      <c r="O1337" s="9">
        <v>8.6</v>
      </c>
      <c r="P1337" s="9">
        <v>3.7</v>
      </c>
      <c r="Q1337" s="9" t="s">
        <v>10</v>
      </c>
      <c r="R1337" s="1">
        <v>0</v>
      </c>
      <c r="S1337" s="26"/>
    </row>
    <row r="1338" spans="1:19" ht="16.5" customHeight="1" x14ac:dyDescent="0.25">
      <c r="A1338" s="9"/>
      <c r="B1338" s="51" t="s">
        <v>97</v>
      </c>
      <c r="C1338" s="52"/>
      <c r="D1338" s="52"/>
      <c r="E1338" s="52"/>
      <c r="F1338" s="52"/>
      <c r="G1338" s="53"/>
      <c r="H1338" s="20"/>
      <c r="I1338" s="9">
        <v>1</v>
      </c>
      <c r="J1338" s="9"/>
      <c r="K1338" s="9"/>
      <c r="L1338" s="9"/>
      <c r="M1338" s="9">
        <f t="shared" si="176"/>
        <v>8</v>
      </c>
      <c r="N1338" s="9">
        <f t="shared" si="177"/>
        <v>3.5</v>
      </c>
      <c r="O1338" s="9">
        <v>8</v>
      </c>
      <c r="P1338" s="9">
        <v>3.5</v>
      </c>
      <c r="Q1338" s="9" t="s">
        <v>9</v>
      </c>
      <c r="R1338" s="1">
        <v>0</v>
      </c>
      <c r="S1338" s="26"/>
    </row>
    <row r="1339" spans="1:19" ht="16.5" customHeight="1" x14ac:dyDescent="0.25">
      <c r="A1339" s="9"/>
      <c r="B1339" s="51" t="s">
        <v>98</v>
      </c>
      <c r="C1339" s="52"/>
      <c r="D1339" s="52"/>
      <c r="E1339" s="52"/>
      <c r="F1339" s="52"/>
      <c r="G1339" s="53"/>
      <c r="H1339" s="20"/>
      <c r="I1339" s="9">
        <v>3</v>
      </c>
      <c r="J1339" s="9"/>
      <c r="K1339" s="9"/>
      <c r="L1339" s="9"/>
      <c r="M1339" s="9">
        <f t="shared" si="176"/>
        <v>20.399999999999999</v>
      </c>
      <c r="N1339" s="9">
        <f t="shared" si="177"/>
        <v>7.5</v>
      </c>
      <c r="O1339" s="9">
        <v>6.8</v>
      </c>
      <c r="P1339" s="9">
        <v>2.5</v>
      </c>
      <c r="Q1339" s="9" t="s">
        <v>5</v>
      </c>
      <c r="R1339" s="1">
        <v>0</v>
      </c>
      <c r="S1339" s="26"/>
    </row>
    <row r="1340" spans="1:19" ht="16.5" hidden="1" customHeight="1" x14ac:dyDescent="0.25">
      <c r="A1340" s="21"/>
      <c r="H1340" s="21"/>
      <c r="I1340" s="21"/>
      <c r="J1340" s="21"/>
      <c r="K1340" s="21"/>
      <c r="L1340" s="21"/>
      <c r="M1340" s="9">
        <f t="shared" si="176"/>
        <v>0</v>
      </c>
      <c r="N1340" s="9">
        <f t="shared" si="177"/>
        <v>0</v>
      </c>
      <c r="O1340" s="21"/>
      <c r="P1340" s="21"/>
      <c r="Q1340" s="21"/>
      <c r="S1340" s="25"/>
    </row>
    <row r="1341" spans="1:19" ht="16.5" customHeight="1" x14ac:dyDescent="0.25">
      <c r="A1341" s="9"/>
      <c r="B1341" s="39" t="s">
        <v>42</v>
      </c>
      <c r="C1341" s="40"/>
      <c r="D1341" s="40"/>
      <c r="E1341" s="40"/>
      <c r="F1341" s="40"/>
      <c r="G1341" s="41"/>
      <c r="H1341" s="23"/>
      <c r="I1341" s="24">
        <f>SUM(I1330:I1340)</f>
        <v>22</v>
      </c>
      <c r="J1341" s="9"/>
      <c r="K1341" s="9"/>
      <c r="L1341" s="9"/>
      <c r="M1341" s="9">
        <f t="shared" si="176"/>
        <v>171.6</v>
      </c>
      <c r="N1341" s="9">
        <f t="shared" si="177"/>
        <v>69.739999999999995</v>
      </c>
      <c r="O1341" s="24">
        <f>ROUND(SUM(M1330:M1340)/I1341,2)</f>
        <v>7.8</v>
      </c>
      <c r="P1341" s="24">
        <f>ROUND(SUM(N1330:N1340)/I1341,2)</f>
        <v>3.17</v>
      </c>
      <c r="Q1341" s="9"/>
      <c r="S1341" s="25"/>
    </row>
    <row r="1342" spans="1:19" ht="20.25" customHeight="1" x14ac:dyDescent="0.25">
      <c r="A1342" s="27" t="s">
        <v>99</v>
      </c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</row>
    <row r="1343" spans="1:19" ht="16.5" customHeight="1" x14ac:dyDescent="0.25">
      <c r="A1343" s="9"/>
      <c r="B1343" s="51" t="s">
        <v>100</v>
      </c>
      <c r="C1343" s="52"/>
      <c r="D1343" s="52"/>
      <c r="E1343" s="52"/>
      <c r="F1343" s="52"/>
      <c r="G1343" s="53"/>
      <c r="H1343" s="20"/>
      <c r="I1343" s="9">
        <v>2</v>
      </c>
      <c r="J1343" s="9"/>
      <c r="K1343" s="9"/>
      <c r="L1343" s="9"/>
      <c r="M1343" s="9">
        <f t="shared" ref="M1343:M1356" si="178">I1343*O1343</f>
        <v>16.2</v>
      </c>
      <c r="N1343" s="9">
        <f t="shared" ref="N1343:N1356" si="179">I1343*P1343</f>
        <v>7</v>
      </c>
      <c r="O1343" s="9">
        <v>8.1</v>
      </c>
      <c r="P1343" s="9">
        <v>3.5</v>
      </c>
      <c r="Q1343" s="9" t="s">
        <v>9</v>
      </c>
      <c r="R1343" s="1">
        <v>0</v>
      </c>
      <c r="S1343" s="26"/>
    </row>
    <row r="1344" spans="1:19" ht="16.5" customHeight="1" x14ac:dyDescent="0.25">
      <c r="A1344" s="9"/>
      <c r="B1344" s="51" t="s">
        <v>101</v>
      </c>
      <c r="C1344" s="52"/>
      <c r="D1344" s="52"/>
      <c r="E1344" s="52"/>
      <c r="F1344" s="52"/>
      <c r="G1344" s="53"/>
      <c r="H1344" s="20"/>
      <c r="I1344" s="9">
        <v>2</v>
      </c>
      <c r="J1344" s="9"/>
      <c r="K1344" s="9"/>
      <c r="L1344" s="9"/>
      <c r="M1344" s="9">
        <f t="shared" si="178"/>
        <v>12.8</v>
      </c>
      <c r="N1344" s="9">
        <f t="shared" si="179"/>
        <v>4</v>
      </c>
      <c r="O1344" s="9">
        <v>6.4</v>
      </c>
      <c r="P1344" s="9">
        <v>2</v>
      </c>
      <c r="Q1344" s="9" t="s">
        <v>3</v>
      </c>
      <c r="R1344" s="1">
        <v>0</v>
      </c>
      <c r="S1344" s="26"/>
    </row>
    <row r="1345" spans="1:19" ht="16.5" customHeight="1" x14ac:dyDescent="0.25">
      <c r="A1345" s="9"/>
      <c r="B1345" s="51" t="s">
        <v>102</v>
      </c>
      <c r="C1345" s="52"/>
      <c r="D1345" s="52"/>
      <c r="E1345" s="52"/>
      <c r="F1345" s="52"/>
      <c r="G1345" s="53"/>
      <c r="H1345" s="20"/>
      <c r="I1345" s="9">
        <v>1</v>
      </c>
      <c r="J1345" s="9"/>
      <c r="K1345" s="9"/>
      <c r="L1345" s="9"/>
      <c r="M1345" s="9">
        <f t="shared" si="178"/>
        <v>7.3</v>
      </c>
      <c r="N1345" s="9">
        <f t="shared" si="179"/>
        <v>3</v>
      </c>
      <c r="O1345" s="9">
        <v>7.3</v>
      </c>
      <c r="P1345" s="9">
        <v>3</v>
      </c>
      <c r="Q1345" s="9" t="s">
        <v>6</v>
      </c>
      <c r="R1345" s="1">
        <v>0</v>
      </c>
      <c r="S1345" s="26"/>
    </row>
    <row r="1346" spans="1:19" ht="16.5" customHeight="1" x14ac:dyDescent="0.25">
      <c r="A1346" s="9"/>
      <c r="B1346" s="51" t="s">
        <v>103</v>
      </c>
      <c r="C1346" s="52"/>
      <c r="D1346" s="52"/>
      <c r="E1346" s="52"/>
      <c r="F1346" s="52"/>
      <c r="G1346" s="53"/>
      <c r="H1346" s="20"/>
      <c r="I1346" s="9">
        <v>2</v>
      </c>
      <c r="J1346" s="9"/>
      <c r="K1346" s="9"/>
      <c r="L1346" s="9"/>
      <c r="M1346" s="9">
        <f t="shared" si="178"/>
        <v>14.6</v>
      </c>
      <c r="N1346" s="9">
        <f t="shared" si="179"/>
        <v>6</v>
      </c>
      <c r="O1346" s="9">
        <v>7.3</v>
      </c>
      <c r="P1346" s="9">
        <v>3</v>
      </c>
      <c r="Q1346" s="9" t="s">
        <v>6</v>
      </c>
      <c r="R1346" s="1">
        <v>0</v>
      </c>
      <c r="S1346" s="26"/>
    </row>
    <row r="1347" spans="1:19" ht="16.5" customHeight="1" x14ac:dyDescent="0.25">
      <c r="A1347" s="9"/>
      <c r="B1347" s="51" t="s">
        <v>104</v>
      </c>
      <c r="C1347" s="52"/>
      <c r="D1347" s="52"/>
      <c r="E1347" s="52"/>
      <c r="F1347" s="52"/>
      <c r="G1347" s="53"/>
      <c r="H1347" s="20"/>
      <c r="I1347" s="9">
        <v>3</v>
      </c>
      <c r="J1347" s="9"/>
      <c r="K1347" s="9"/>
      <c r="L1347" s="9"/>
      <c r="M1347" s="9">
        <f t="shared" si="178"/>
        <v>22.799999999999997</v>
      </c>
      <c r="N1347" s="9">
        <f t="shared" si="179"/>
        <v>9</v>
      </c>
      <c r="O1347" s="9">
        <v>7.6</v>
      </c>
      <c r="P1347" s="9">
        <v>3</v>
      </c>
      <c r="Q1347" s="9" t="s">
        <v>6</v>
      </c>
      <c r="R1347" s="1">
        <v>0</v>
      </c>
      <c r="S1347" s="26"/>
    </row>
    <row r="1348" spans="1:19" ht="16.5" customHeight="1" x14ac:dyDescent="0.25">
      <c r="A1348" s="9"/>
      <c r="B1348" s="51" t="s">
        <v>105</v>
      </c>
      <c r="C1348" s="52"/>
      <c r="D1348" s="52"/>
      <c r="E1348" s="52"/>
      <c r="F1348" s="52"/>
      <c r="G1348" s="53"/>
      <c r="H1348" s="20"/>
      <c r="I1348" s="9">
        <v>3</v>
      </c>
      <c r="J1348" s="9"/>
      <c r="K1348" s="9"/>
      <c r="L1348" s="9"/>
      <c r="M1348" s="9">
        <f t="shared" si="178"/>
        <v>24</v>
      </c>
      <c r="N1348" s="9">
        <f t="shared" si="179"/>
        <v>10.5</v>
      </c>
      <c r="O1348" s="9">
        <v>8</v>
      </c>
      <c r="P1348" s="9">
        <v>3.5</v>
      </c>
      <c r="Q1348" s="9" t="s">
        <v>9</v>
      </c>
      <c r="R1348" s="1">
        <v>0</v>
      </c>
      <c r="S1348" s="26"/>
    </row>
    <row r="1349" spans="1:19" ht="16.5" customHeight="1" x14ac:dyDescent="0.25">
      <c r="A1349" s="9"/>
      <c r="B1349" s="51" t="s">
        <v>106</v>
      </c>
      <c r="C1349" s="52"/>
      <c r="D1349" s="52"/>
      <c r="E1349" s="52"/>
      <c r="F1349" s="52"/>
      <c r="G1349" s="53"/>
      <c r="H1349" s="20"/>
      <c r="I1349" s="9">
        <v>2</v>
      </c>
      <c r="J1349" s="9"/>
      <c r="K1349" s="9"/>
      <c r="L1349" s="9"/>
      <c r="M1349" s="9">
        <f t="shared" si="178"/>
        <v>15.2</v>
      </c>
      <c r="N1349" s="9">
        <f t="shared" si="179"/>
        <v>6</v>
      </c>
      <c r="O1349" s="9">
        <v>7.6</v>
      </c>
      <c r="P1349" s="9">
        <v>3</v>
      </c>
      <c r="Q1349" s="9" t="s">
        <v>6</v>
      </c>
      <c r="R1349" s="1">
        <v>0</v>
      </c>
      <c r="S1349" s="26"/>
    </row>
    <row r="1350" spans="1:19" ht="16.5" customHeight="1" x14ac:dyDescent="0.25">
      <c r="A1350" s="9"/>
      <c r="B1350" s="51" t="s">
        <v>107</v>
      </c>
      <c r="C1350" s="52"/>
      <c r="D1350" s="52"/>
      <c r="E1350" s="52"/>
      <c r="F1350" s="52"/>
      <c r="G1350" s="53"/>
      <c r="H1350" s="20"/>
      <c r="I1350" s="9">
        <v>3</v>
      </c>
      <c r="J1350" s="9"/>
      <c r="K1350" s="9"/>
      <c r="L1350" s="9"/>
      <c r="M1350" s="9">
        <f t="shared" si="178"/>
        <v>25.799999999999997</v>
      </c>
      <c r="N1350" s="9">
        <f t="shared" si="179"/>
        <v>11.100000000000001</v>
      </c>
      <c r="O1350" s="9">
        <v>8.6</v>
      </c>
      <c r="P1350" s="9">
        <v>3.7</v>
      </c>
      <c r="Q1350" s="9" t="s">
        <v>10</v>
      </c>
      <c r="R1350" s="1">
        <v>0</v>
      </c>
      <c r="S1350" s="26"/>
    </row>
    <row r="1351" spans="1:19" ht="16.5" customHeight="1" x14ac:dyDescent="0.25">
      <c r="A1351" s="9"/>
      <c r="B1351" s="51" t="s">
        <v>108</v>
      </c>
      <c r="C1351" s="52"/>
      <c r="D1351" s="52"/>
      <c r="E1351" s="52"/>
      <c r="F1351" s="52"/>
      <c r="G1351" s="53"/>
      <c r="H1351" s="20"/>
      <c r="I1351" s="9">
        <v>1</v>
      </c>
      <c r="J1351" s="9"/>
      <c r="K1351" s="9"/>
      <c r="L1351" s="9"/>
      <c r="M1351" s="9">
        <f t="shared" si="178"/>
        <v>8</v>
      </c>
      <c r="N1351" s="9">
        <f t="shared" si="179"/>
        <v>3.5</v>
      </c>
      <c r="O1351" s="9">
        <v>8</v>
      </c>
      <c r="P1351" s="9">
        <v>3.5</v>
      </c>
      <c r="Q1351" s="9" t="s">
        <v>9</v>
      </c>
      <c r="R1351" s="1">
        <v>0</v>
      </c>
      <c r="S1351" s="26"/>
    </row>
    <row r="1352" spans="1:19" ht="16.5" customHeight="1" x14ac:dyDescent="0.25">
      <c r="A1352" s="9"/>
      <c r="B1352" s="51" t="s">
        <v>109</v>
      </c>
      <c r="C1352" s="52"/>
      <c r="D1352" s="52"/>
      <c r="E1352" s="52"/>
      <c r="F1352" s="52"/>
      <c r="G1352" s="53"/>
      <c r="H1352" s="20"/>
      <c r="I1352" s="9">
        <v>2</v>
      </c>
      <c r="J1352" s="9"/>
      <c r="K1352" s="9"/>
      <c r="L1352" s="9"/>
      <c r="M1352" s="9">
        <f t="shared" si="178"/>
        <v>14.2</v>
      </c>
      <c r="N1352" s="9">
        <f t="shared" si="179"/>
        <v>6</v>
      </c>
      <c r="O1352" s="9">
        <v>7.1</v>
      </c>
      <c r="P1352" s="9">
        <v>3</v>
      </c>
      <c r="Q1352" s="9" t="s">
        <v>6</v>
      </c>
      <c r="R1352" s="1">
        <v>0</v>
      </c>
      <c r="S1352" s="26"/>
    </row>
    <row r="1353" spans="1:19" ht="16.5" customHeight="1" x14ac:dyDescent="0.25">
      <c r="A1353" s="9"/>
      <c r="B1353" s="51" t="s">
        <v>110</v>
      </c>
      <c r="C1353" s="52"/>
      <c r="D1353" s="52"/>
      <c r="E1353" s="52"/>
      <c r="F1353" s="52"/>
      <c r="G1353" s="53"/>
      <c r="H1353" s="20"/>
      <c r="I1353" s="9">
        <v>1</v>
      </c>
      <c r="J1353" s="9"/>
      <c r="K1353" s="9"/>
      <c r="L1353" s="9"/>
      <c r="M1353" s="9">
        <f t="shared" si="178"/>
        <v>8.5</v>
      </c>
      <c r="N1353" s="9">
        <f t="shared" si="179"/>
        <v>3.7</v>
      </c>
      <c r="O1353" s="9">
        <v>8.5</v>
      </c>
      <c r="P1353" s="9">
        <v>3.7</v>
      </c>
      <c r="Q1353" s="9" t="s">
        <v>10</v>
      </c>
      <c r="R1353" s="1">
        <v>0</v>
      </c>
      <c r="S1353" s="26"/>
    </row>
    <row r="1354" spans="1:19" ht="16.5" customHeight="1" x14ac:dyDescent="0.25">
      <c r="A1354" s="9"/>
      <c r="B1354" s="51" t="s">
        <v>111</v>
      </c>
      <c r="C1354" s="52"/>
      <c r="D1354" s="52"/>
      <c r="E1354" s="52"/>
      <c r="F1354" s="52"/>
      <c r="G1354" s="53"/>
      <c r="H1354" s="20"/>
      <c r="I1354" s="9">
        <v>3</v>
      </c>
      <c r="J1354" s="9"/>
      <c r="K1354" s="9"/>
      <c r="L1354" s="9"/>
      <c r="M1354" s="9">
        <f t="shared" si="178"/>
        <v>26.700000000000003</v>
      </c>
      <c r="N1354" s="9">
        <f t="shared" si="179"/>
        <v>11.100000000000001</v>
      </c>
      <c r="O1354" s="9">
        <v>8.9</v>
      </c>
      <c r="P1354" s="9">
        <v>3.7</v>
      </c>
      <c r="Q1354" s="9" t="s">
        <v>10</v>
      </c>
      <c r="R1354" s="1">
        <v>0</v>
      </c>
      <c r="S1354" s="26"/>
    </row>
    <row r="1355" spans="1:19" ht="16.5" hidden="1" customHeight="1" x14ac:dyDescent="0.25">
      <c r="A1355" s="21"/>
      <c r="H1355" s="21"/>
      <c r="I1355" s="21"/>
      <c r="J1355" s="21"/>
      <c r="K1355" s="21"/>
      <c r="L1355" s="21"/>
      <c r="M1355" s="9">
        <f t="shared" si="178"/>
        <v>0</v>
      </c>
      <c r="N1355" s="9">
        <f t="shared" si="179"/>
        <v>0</v>
      </c>
      <c r="O1355" s="21"/>
      <c r="P1355" s="21"/>
      <c r="Q1355" s="21"/>
      <c r="S1355" s="25"/>
    </row>
    <row r="1356" spans="1:19" ht="16.5" customHeight="1" x14ac:dyDescent="0.25">
      <c r="A1356" s="9"/>
      <c r="B1356" s="39" t="s">
        <v>42</v>
      </c>
      <c r="C1356" s="40"/>
      <c r="D1356" s="40"/>
      <c r="E1356" s="40"/>
      <c r="F1356" s="40"/>
      <c r="G1356" s="41"/>
      <c r="H1356" s="23"/>
      <c r="I1356" s="24">
        <f>SUM(I1343:I1355)</f>
        <v>25</v>
      </c>
      <c r="J1356" s="9"/>
      <c r="K1356" s="9"/>
      <c r="L1356" s="9"/>
      <c r="M1356" s="9">
        <f t="shared" si="178"/>
        <v>196</v>
      </c>
      <c r="N1356" s="9">
        <f t="shared" si="179"/>
        <v>81</v>
      </c>
      <c r="O1356" s="24">
        <f>ROUND(SUM(M1343:M1355)/I1356,2)</f>
        <v>7.84</v>
      </c>
      <c r="P1356" s="24">
        <f>ROUND(SUM(N1343:N1355)/I1356,2)</f>
        <v>3.24</v>
      </c>
      <c r="Q1356" s="9"/>
      <c r="S1356" s="25"/>
    </row>
    <row r="1357" spans="1:19" ht="20.25" customHeight="1" x14ac:dyDescent="0.25">
      <c r="A1357" s="27" t="s">
        <v>112</v>
      </c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</row>
    <row r="1358" spans="1:19" ht="16.5" customHeight="1" x14ac:dyDescent="0.25">
      <c r="A1358" s="9"/>
      <c r="B1358" s="51" t="s">
        <v>113</v>
      </c>
      <c r="C1358" s="52"/>
      <c r="D1358" s="52"/>
      <c r="E1358" s="52"/>
      <c r="F1358" s="52"/>
      <c r="G1358" s="53"/>
      <c r="H1358" s="20"/>
      <c r="I1358" s="9">
        <v>2</v>
      </c>
      <c r="J1358" s="9"/>
      <c r="K1358" s="9"/>
      <c r="L1358" s="9"/>
      <c r="M1358" s="9">
        <f t="shared" ref="M1358:M1366" si="180">I1358*O1358</f>
        <v>0</v>
      </c>
      <c r="N1358" s="9">
        <f t="shared" ref="N1358:N1366" si="181">I1358*P1358</f>
        <v>0</v>
      </c>
      <c r="O1358" s="9"/>
      <c r="P1358" s="9"/>
      <c r="Q1358" s="9"/>
      <c r="R1358" s="1">
        <v>0</v>
      </c>
      <c r="S1358" s="26"/>
    </row>
    <row r="1359" spans="1:19" ht="16.5" customHeight="1" x14ac:dyDescent="0.25">
      <c r="A1359" s="9"/>
      <c r="B1359" s="51" t="s">
        <v>114</v>
      </c>
      <c r="C1359" s="52"/>
      <c r="D1359" s="52"/>
      <c r="E1359" s="52"/>
      <c r="F1359" s="52"/>
      <c r="G1359" s="53"/>
      <c r="H1359" s="20"/>
      <c r="I1359" s="9">
        <v>3</v>
      </c>
      <c r="J1359" s="9"/>
      <c r="K1359" s="9"/>
      <c r="L1359" s="9"/>
      <c r="M1359" s="9">
        <f t="shared" si="180"/>
        <v>27.599999999999998</v>
      </c>
      <c r="N1359" s="9">
        <f t="shared" si="181"/>
        <v>12</v>
      </c>
      <c r="O1359" s="9">
        <v>9.1999999999999993</v>
      </c>
      <c r="P1359" s="9">
        <v>4</v>
      </c>
      <c r="Q1359" s="9" t="s">
        <v>12</v>
      </c>
      <c r="R1359" s="1">
        <v>0</v>
      </c>
      <c r="S1359" s="26"/>
    </row>
    <row r="1360" spans="1:19" ht="16.5" customHeight="1" x14ac:dyDescent="0.25">
      <c r="A1360" s="9"/>
      <c r="B1360" s="51" t="s">
        <v>115</v>
      </c>
      <c r="C1360" s="52"/>
      <c r="D1360" s="52"/>
      <c r="E1360" s="52"/>
      <c r="F1360" s="52"/>
      <c r="G1360" s="53"/>
      <c r="H1360" s="20"/>
      <c r="I1360" s="9">
        <v>1</v>
      </c>
      <c r="J1360" s="9"/>
      <c r="K1360" s="9"/>
      <c r="L1360" s="9"/>
      <c r="M1360" s="9">
        <f t="shared" si="180"/>
        <v>7.7</v>
      </c>
      <c r="N1360" s="9">
        <f t="shared" si="181"/>
        <v>3</v>
      </c>
      <c r="O1360" s="9">
        <v>7.7</v>
      </c>
      <c r="P1360" s="9">
        <v>3</v>
      </c>
      <c r="Q1360" s="9" t="s">
        <v>6</v>
      </c>
      <c r="R1360" s="1">
        <v>0</v>
      </c>
      <c r="S1360" s="26"/>
    </row>
    <row r="1361" spans="1:19" ht="16.5" customHeight="1" x14ac:dyDescent="0.25">
      <c r="A1361" s="9"/>
      <c r="B1361" s="51" t="s">
        <v>116</v>
      </c>
      <c r="C1361" s="52"/>
      <c r="D1361" s="52"/>
      <c r="E1361" s="52"/>
      <c r="F1361" s="52"/>
      <c r="G1361" s="53"/>
      <c r="H1361" s="20"/>
      <c r="I1361" s="9">
        <v>3</v>
      </c>
      <c r="J1361" s="9"/>
      <c r="K1361" s="9"/>
      <c r="L1361" s="9"/>
      <c r="M1361" s="9">
        <f t="shared" si="180"/>
        <v>20.100000000000001</v>
      </c>
      <c r="N1361" s="9">
        <f t="shared" si="181"/>
        <v>7.5</v>
      </c>
      <c r="O1361" s="9">
        <v>6.7</v>
      </c>
      <c r="P1361" s="9">
        <v>2.5</v>
      </c>
      <c r="Q1361" s="9" t="s">
        <v>5</v>
      </c>
      <c r="R1361" s="1">
        <v>0</v>
      </c>
      <c r="S1361" s="26"/>
    </row>
    <row r="1362" spans="1:19" ht="16.5" customHeight="1" x14ac:dyDescent="0.25">
      <c r="A1362" s="9"/>
      <c r="B1362" s="51" t="s">
        <v>117</v>
      </c>
      <c r="C1362" s="52"/>
      <c r="D1362" s="52"/>
      <c r="E1362" s="52"/>
      <c r="F1362" s="52"/>
      <c r="G1362" s="53"/>
      <c r="H1362" s="20"/>
      <c r="I1362" s="9">
        <v>3</v>
      </c>
      <c r="J1362" s="9"/>
      <c r="K1362" s="9"/>
      <c r="L1362" s="9"/>
      <c r="M1362" s="9">
        <f t="shared" si="180"/>
        <v>24.599999999999998</v>
      </c>
      <c r="N1362" s="9">
        <f t="shared" si="181"/>
        <v>10.5</v>
      </c>
      <c r="O1362" s="9">
        <v>8.1999999999999993</v>
      </c>
      <c r="P1362" s="9">
        <v>3.5</v>
      </c>
      <c r="Q1362" s="9" t="s">
        <v>9</v>
      </c>
      <c r="R1362" s="1">
        <v>0</v>
      </c>
      <c r="S1362" s="26"/>
    </row>
    <row r="1363" spans="1:19" ht="31.2" customHeight="1" x14ac:dyDescent="0.25">
      <c r="A1363" s="9"/>
      <c r="B1363" s="51" t="s">
        <v>119</v>
      </c>
      <c r="C1363" s="52"/>
      <c r="D1363" s="52"/>
      <c r="E1363" s="52"/>
      <c r="F1363" s="52"/>
      <c r="G1363" s="53"/>
      <c r="H1363" s="20"/>
      <c r="I1363" s="9">
        <v>2</v>
      </c>
      <c r="J1363" s="9"/>
      <c r="K1363" s="9"/>
      <c r="L1363" s="9"/>
      <c r="M1363" s="9">
        <f t="shared" si="180"/>
        <v>0</v>
      </c>
      <c r="N1363" s="9">
        <f t="shared" si="181"/>
        <v>0</v>
      </c>
      <c r="O1363" s="9"/>
      <c r="P1363" s="9"/>
      <c r="Q1363" s="9"/>
      <c r="R1363" s="1">
        <v>0</v>
      </c>
      <c r="S1363" s="26"/>
    </row>
    <row r="1364" spans="1:19" ht="16.5" customHeight="1" x14ac:dyDescent="0.25">
      <c r="A1364" s="9"/>
      <c r="B1364" s="51" t="s">
        <v>118</v>
      </c>
      <c r="C1364" s="52"/>
      <c r="D1364" s="52"/>
      <c r="E1364" s="52"/>
      <c r="F1364" s="52"/>
      <c r="G1364" s="53"/>
      <c r="H1364" s="20"/>
      <c r="I1364" s="9">
        <v>3</v>
      </c>
      <c r="J1364" s="9"/>
      <c r="K1364" s="9"/>
      <c r="L1364" s="9"/>
      <c r="M1364" s="9">
        <f t="shared" si="180"/>
        <v>24</v>
      </c>
      <c r="N1364" s="9">
        <f t="shared" si="181"/>
        <v>10.5</v>
      </c>
      <c r="O1364" s="9">
        <v>8</v>
      </c>
      <c r="P1364" s="9">
        <v>3.5</v>
      </c>
      <c r="Q1364" s="9" t="s">
        <v>9</v>
      </c>
      <c r="R1364" s="1">
        <v>0</v>
      </c>
      <c r="S1364" s="26"/>
    </row>
    <row r="1365" spans="1:19" ht="16.5" hidden="1" customHeight="1" x14ac:dyDescent="0.25">
      <c r="A1365" s="21"/>
      <c r="H1365" s="21"/>
      <c r="I1365" s="21"/>
      <c r="J1365" s="21"/>
      <c r="K1365" s="21"/>
      <c r="L1365" s="21"/>
      <c r="M1365" s="9">
        <f t="shared" si="180"/>
        <v>0</v>
      </c>
      <c r="N1365" s="9">
        <f t="shared" si="181"/>
        <v>0</v>
      </c>
      <c r="O1365" s="21"/>
      <c r="P1365" s="21"/>
      <c r="Q1365" s="21"/>
      <c r="S1365" s="25"/>
    </row>
    <row r="1366" spans="1:19" ht="16.5" customHeight="1" x14ac:dyDescent="0.25">
      <c r="A1366" s="9"/>
      <c r="B1366" s="39" t="s">
        <v>42</v>
      </c>
      <c r="C1366" s="40"/>
      <c r="D1366" s="40"/>
      <c r="E1366" s="40"/>
      <c r="F1366" s="40"/>
      <c r="G1366" s="41"/>
      <c r="H1366" s="23"/>
      <c r="I1366" s="24">
        <f>SUM(I1358:I1365)</f>
        <v>17</v>
      </c>
      <c r="J1366" s="9"/>
      <c r="K1366" s="9"/>
      <c r="L1366" s="9"/>
      <c r="M1366" s="9">
        <f t="shared" si="180"/>
        <v>104.04</v>
      </c>
      <c r="N1366" s="9">
        <f t="shared" si="181"/>
        <v>43.52</v>
      </c>
      <c r="O1366" s="24">
        <f>ROUND(SUM(M1358:M1365)/I1366,2)</f>
        <v>6.12</v>
      </c>
      <c r="P1366" s="24">
        <f>ROUND(SUM(N1358:N1365)/I1366,2)</f>
        <v>2.56</v>
      </c>
      <c r="Q1366" s="9"/>
      <c r="S1366" s="25"/>
    </row>
    <row r="1367" spans="1:19" ht="16.5" customHeight="1" x14ac:dyDescent="0.25">
      <c r="A1367" s="21"/>
      <c r="B1367" s="22"/>
      <c r="C1367" s="22"/>
      <c r="D1367" s="22"/>
      <c r="E1367" s="22"/>
      <c r="F1367" s="22"/>
      <c r="G1367" s="22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</row>
    <row r="1369" spans="1:19" ht="18" x14ac:dyDescent="0.25">
      <c r="A1369" s="35" t="s">
        <v>50</v>
      </c>
      <c r="B1369" s="35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  <c r="N1369" s="35"/>
      <c r="O1369" s="35"/>
      <c r="P1369" s="35"/>
      <c r="Q1369" s="35"/>
      <c r="R1369" s="35"/>
      <c r="S1369" s="35"/>
    </row>
    <row r="1370" spans="1:19" ht="18" x14ac:dyDescent="0.25">
      <c r="A1370" s="35" t="s">
        <v>186</v>
      </c>
      <c r="B1370" s="35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</row>
    <row r="1371" spans="1:19" ht="18" x14ac:dyDescent="0.25">
      <c r="A1371" s="35" t="s">
        <v>187</v>
      </c>
      <c r="B1371" s="35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</row>
    <row r="1372" spans="1:19" ht="18" x14ac:dyDescent="0.25">
      <c r="A1372" s="45" t="s">
        <v>53</v>
      </c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</row>
    <row r="1373" spans="1:19" ht="19.5" customHeight="1" x14ac:dyDescent="0.25">
      <c r="A1373" s="17"/>
      <c r="B1373" s="17"/>
      <c r="C1373" s="8"/>
      <c r="D1373" s="18"/>
      <c r="E1373" s="10"/>
      <c r="F1373" s="11"/>
      <c r="G1373" s="46" t="s">
        <v>49</v>
      </c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</row>
    <row r="1374" spans="1:19" ht="31.5" customHeight="1" x14ac:dyDescent="0.3">
      <c r="A1374" s="8"/>
      <c r="B1374" s="8"/>
      <c r="C1374" s="8"/>
      <c r="D1374" s="8"/>
      <c r="E1374" s="8"/>
      <c r="F1374" s="8"/>
      <c r="G1374" s="8"/>
      <c r="H1374" s="12"/>
      <c r="I1374" s="42" t="s">
        <v>40</v>
      </c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</row>
    <row r="1375" spans="1:19" ht="16.8" x14ac:dyDescent="0.3">
      <c r="A1375" s="8"/>
      <c r="B1375" s="8"/>
      <c r="C1375" s="8"/>
      <c r="D1375" s="8"/>
      <c r="E1375" s="8"/>
      <c r="F1375" s="8"/>
      <c r="G1375" s="8"/>
      <c r="H1375" s="12"/>
      <c r="I1375" s="12"/>
      <c r="J1375" s="12"/>
      <c r="K1375" s="12"/>
      <c r="L1375" s="8"/>
      <c r="M1375" s="8"/>
      <c r="N1375" s="8"/>
      <c r="O1375" s="8"/>
      <c r="P1375" s="8"/>
      <c r="Q1375" s="8"/>
    </row>
    <row r="1376" spans="1:19" ht="33" customHeight="1" x14ac:dyDescent="0.3">
      <c r="A1376" s="8"/>
      <c r="B1376" s="8"/>
      <c r="C1376" s="8"/>
      <c r="D1376" s="8"/>
      <c r="E1376" s="8"/>
      <c r="F1376" s="8"/>
      <c r="G1376" s="8"/>
      <c r="H1376" s="12"/>
      <c r="I1376" s="12"/>
      <c r="J1376" s="12"/>
      <c r="K1376" s="12"/>
      <c r="L1376" s="8"/>
      <c r="M1376" s="8"/>
      <c r="N1376" s="8"/>
      <c r="O1376" s="8"/>
      <c r="P1376" s="8"/>
      <c r="Q1376" s="8"/>
    </row>
    <row r="1377" spans="1:20" ht="11.25" customHeight="1" x14ac:dyDescent="0.3">
      <c r="A1377" s="8"/>
      <c r="B1377" s="8"/>
      <c r="C1377" s="8"/>
      <c r="D1377" s="8"/>
      <c r="E1377" s="8"/>
      <c r="F1377" s="8"/>
      <c r="G1377" s="8"/>
      <c r="H1377" s="12"/>
      <c r="I1377" s="12"/>
      <c r="J1377" s="12"/>
      <c r="K1377" s="12"/>
      <c r="L1377" s="8"/>
      <c r="M1377" s="8"/>
      <c r="N1377" s="8"/>
      <c r="O1377" s="8"/>
      <c r="P1377" s="8"/>
      <c r="Q1377" s="8"/>
    </row>
    <row r="1378" spans="1:20" ht="17.399999999999999" x14ac:dyDescent="0.3">
      <c r="A1378" s="8"/>
      <c r="B1378" s="8"/>
      <c r="C1378" s="8"/>
      <c r="D1378" s="8"/>
      <c r="E1378" s="8"/>
      <c r="F1378" s="8"/>
      <c r="G1378" s="47" t="s">
        <v>41</v>
      </c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</row>
    <row r="1379" spans="1:20" ht="54" customHeight="1" x14ac:dyDescent="0.25">
      <c r="A1379" s="48" t="s">
        <v>33</v>
      </c>
      <c r="B1379" s="48"/>
      <c r="C1379" s="48"/>
      <c r="D1379" s="48"/>
      <c r="E1379" s="48"/>
      <c r="F1379" s="42" t="s">
        <v>24</v>
      </c>
      <c r="G1379" s="42"/>
      <c r="H1379" s="42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</row>
    <row r="1380" spans="1:20" ht="17.399999999999999" x14ac:dyDescent="0.25">
      <c r="A1380" s="49" t="s">
        <v>34</v>
      </c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  <c r="O1380" s="49"/>
      <c r="P1380" s="49"/>
      <c r="Q1380" s="49"/>
    </row>
    <row r="1381" spans="1:20" ht="4.5" customHeight="1" x14ac:dyDescent="0.25">
      <c r="A1381" s="50"/>
      <c r="B1381" s="50"/>
      <c r="C1381" s="50"/>
      <c r="D1381" s="50"/>
      <c r="E1381" s="50"/>
      <c r="F1381" s="50"/>
      <c r="G1381" s="50"/>
      <c r="H1381" s="50"/>
      <c r="I1381" s="50"/>
      <c r="J1381" s="50"/>
      <c r="K1381" s="50"/>
      <c r="L1381" s="50"/>
      <c r="M1381" s="50"/>
      <c r="N1381" s="50"/>
      <c r="O1381" s="50"/>
      <c r="P1381" s="50"/>
      <c r="Q1381" s="50"/>
    </row>
    <row r="1382" spans="1:20" ht="5.25" customHeight="1" x14ac:dyDescent="0.25">
      <c r="A1382" s="50"/>
      <c r="B1382" s="50"/>
      <c r="C1382" s="50"/>
      <c r="D1382" s="50"/>
      <c r="E1382" s="50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P1382" s="50"/>
      <c r="Q1382" s="50"/>
    </row>
    <row r="1383" spans="1:20" ht="16.5" customHeight="1" x14ac:dyDescent="0.25">
      <c r="A1383" s="54" t="s">
        <v>188</v>
      </c>
      <c r="B1383" s="54"/>
      <c r="C1383" s="54"/>
      <c r="D1383" s="54"/>
      <c r="E1383" s="54"/>
      <c r="F1383" s="54"/>
      <c r="G1383" s="58" t="s">
        <v>189</v>
      </c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</row>
    <row r="1384" spans="1:20" ht="16.5" customHeight="1" x14ac:dyDescent="0.25">
      <c r="A1384" s="54" t="s">
        <v>190</v>
      </c>
      <c r="B1384" s="54"/>
      <c r="C1384" s="54"/>
      <c r="D1384" s="54"/>
      <c r="E1384" s="54"/>
      <c r="F1384" s="54"/>
      <c r="G1384" s="8" t="s">
        <v>46</v>
      </c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T1384" s="2"/>
    </row>
    <row r="1385" spans="1:20" ht="16.5" customHeight="1" x14ac:dyDescent="0.25">
      <c r="A1385" s="54" t="s">
        <v>47</v>
      </c>
      <c r="B1385" s="54"/>
      <c r="C1385" s="54"/>
      <c r="D1385" s="54"/>
      <c r="E1385" s="54"/>
      <c r="F1385" s="54"/>
      <c r="G1385" s="58" t="s">
        <v>48</v>
      </c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</row>
    <row r="1386" spans="1:20" ht="5.25" customHeight="1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19"/>
      <c r="K1386" s="19"/>
      <c r="L1386" s="19"/>
      <c r="M1386" s="19"/>
      <c r="N1386" s="19"/>
      <c r="O1386" s="19"/>
      <c r="P1386" s="19"/>
      <c r="Q1386" s="19"/>
    </row>
    <row r="1387" spans="1:20" ht="15" customHeight="1" x14ac:dyDescent="0.25">
      <c r="A1387" s="36" t="s">
        <v>0</v>
      </c>
      <c r="B1387" s="29" t="s">
        <v>1</v>
      </c>
      <c r="C1387" s="30"/>
      <c r="D1387" s="30"/>
      <c r="E1387" s="30"/>
      <c r="F1387" s="30"/>
      <c r="G1387" s="31"/>
      <c r="H1387" s="36" t="s">
        <v>32</v>
      </c>
      <c r="I1387" s="36" t="s">
        <v>39</v>
      </c>
      <c r="J1387" s="55" t="s">
        <v>2</v>
      </c>
      <c r="K1387" s="56"/>
      <c r="L1387" s="56"/>
      <c r="M1387" s="56"/>
      <c r="N1387" s="56"/>
      <c r="O1387" s="56"/>
      <c r="P1387" s="56"/>
      <c r="Q1387" s="57"/>
      <c r="S1387" s="36" t="s">
        <v>38</v>
      </c>
    </row>
    <row r="1388" spans="1:20" ht="24" customHeight="1" x14ac:dyDescent="0.25">
      <c r="A1388" s="37"/>
      <c r="B1388" s="32"/>
      <c r="C1388" s="33"/>
      <c r="D1388" s="33"/>
      <c r="E1388" s="33"/>
      <c r="F1388" s="33"/>
      <c r="G1388" s="34"/>
      <c r="H1388" s="37"/>
      <c r="I1388" s="37"/>
      <c r="J1388" s="7" t="s">
        <v>28</v>
      </c>
      <c r="K1388" s="7" t="s">
        <v>29</v>
      </c>
      <c r="L1388" s="7" t="s">
        <v>30</v>
      </c>
      <c r="M1388" s="7"/>
      <c r="N1388" s="7"/>
      <c r="O1388" s="6" t="s">
        <v>35</v>
      </c>
      <c r="P1388" s="6" t="s">
        <v>36</v>
      </c>
      <c r="Q1388" s="6" t="s">
        <v>37</v>
      </c>
      <c r="S1388" s="37"/>
    </row>
    <row r="1389" spans="1:20" ht="20.25" customHeight="1" x14ac:dyDescent="0.25">
      <c r="A1389" s="27" t="s">
        <v>54</v>
      </c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</row>
    <row r="1390" spans="1:20" ht="16.5" customHeight="1" x14ac:dyDescent="0.25">
      <c r="A1390" s="9"/>
      <c r="B1390" s="51" t="s">
        <v>61</v>
      </c>
      <c r="C1390" s="52"/>
      <c r="D1390" s="52"/>
      <c r="E1390" s="52"/>
      <c r="F1390" s="52"/>
      <c r="G1390" s="53"/>
      <c r="H1390" s="20"/>
      <c r="I1390" s="9">
        <v>1</v>
      </c>
      <c r="J1390" s="9"/>
      <c r="K1390" s="9"/>
      <c r="L1390" s="9"/>
      <c r="M1390" s="9">
        <f t="shared" ref="M1390:M1398" si="182">I1390*O1390</f>
        <v>6</v>
      </c>
      <c r="N1390" s="9">
        <f t="shared" ref="N1390:N1398" si="183">I1390*P1390</f>
        <v>2</v>
      </c>
      <c r="O1390" s="9">
        <v>6</v>
      </c>
      <c r="P1390" s="9">
        <v>2</v>
      </c>
      <c r="Q1390" s="9" t="s">
        <v>3</v>
      </c>
      <c r="R1390" s="1">
        <v>0</v>
      </c>
      <c r="S1390" s="26"/>
    </row>
    <row r="1391" spans="1:20" ht="16.5" customHeight="1" x14ac:dyDescent="0.25">
      <c r="A1391" s="9"/>
      <c r="B1391" s="51" t="s">
        <v>56</v>
      </c>
      <c r="C1391" s="52"/>
      <c r="D1391" s="52"/>
      <c r="E1391" s="52"/>
      <c r="F1391" s="52"/>
      <c r="G1391" s="53"/>
      <c r="H1391" s="20"/>
      <c r="I1391" s="9">
        <v>3</v>
      </c>
      <c r="J1391" s="9"/>
      <c r="K1391" s="9"/>
      <c r="L1391" s="9"/>
      <c r="M1391" s="9">
        <f t="shared" si="182"/>
        <v>7.5</v>
      </c>
      <c r="N1391" s="9">
        <f t="shared" si="183"/>
        <v>0</v>
      </c>
      <c r="O1391" s="9">
        <v>2.5</v>
      </c>
      <c r="P1391" s="9">
        <v>0</v>
      </c>
      <c r="Q1391" s="9" t="s">
        <v>7</v>
      </c>
      <c r="R1391" s="1">
        <v>0</v>
      </c>
      <c r="S1391" s="26"/>
    </row>
    <row r="1392" spans="1:20" ht="31.2" customHeight="1" x14ac:dyDescent="0.25">
      <c r="A1392" s="9"/>
      <c r="B1392" s="51" t="s">
        <v>57</v>
      </c>
      <c r="C1392" s="52"/>
      <c r="D1392" s="52"/>
      <c r="E1392" s="52"/>
      <c r="F1392" s="52"/>
      <c r="G1392" s="53"/>
      <c r="H1392" s="20"/>
      <c r="I1392" s="9">
        <v>3</v>
      </c>
      <c r="J1392" s="9"/>
      <c r="K1392" s="9"/>
      <c r="L1392" s="9"/>
      <c r="M1392" s="9">
        <f t="shared" si="182"/>
        <v>24.299999999999997</v>
      </c>
      <c r="N1392" s="9">
        <f t="shared" si="183"/>
        <v>10.5</v>
      </c>
      <c r="O1392" s="9">
        <v>8.1</v>
      </c>
      <c r="P1392" s="9">
        <v>3.5</v>
      </c>
      <c r="Q1392" s="9" t="s">
        <v>9</v>
      </c>
      <c r="R1392" s="1">
        <v>0</v>
      </c>
      <c r="S1392" s="26"/>
    </row>
    <row r="1393" spans="1:19" ht="16.5" customHeight="1" x14ac:dyDescent="0.25">
      <c r="A1393" s="9"/>
      <c r="B1393" s="51" t="s">
        <v>58</v>
      </c>
      <c r="C1393" s="52"/>
      <c r="D1393" s="52"/>
      <c r="E1393" s="52"/>
      <c r="F1393" s="52"/>
      <c r="G1393" s="53"/>
      <c r="H1393" s="20"/>
      <c r="I1393" s="9">
        <v>1</v>
      </c>
      <c r="J1393" s="9"/>
      <c r="K1393" s="9"/>
      <c r="L1393" s="9"/>
      <c r="M1393" s="9">
        <f t="shared" si="182"/>
        <v>7.3</v>
      </c>
      <c r="N1393" s="9">
        <f t="shared" si="183"/>
        <v>3</v>
      </c>
      <c r="O1393" s="9">
        <v>7.3</v>
      </c>
      <c r="P1393" s="9">
        <v>3</v>
      </c>
      <c r="Q1393" s="9" t="s">
        <v>6</v>
      </c>
      <c r="R1393" s="1">
        <v>0</v>
      </c>
      <c r="S1393" s="26"/>
    </row>
    <row r="1394" spans="1:19" ht="16.5" customHeight="1" x14ac:dyDescent="0.25">
      <c r="A1394" s="9"/>
      <c r="B1394" s="51" t="s">
        <v>59</v>
      </c>
      <c r="C1394" s="52"/>
      <c r="D1394" s="52"/>
      <c r="E1394" s="52"/>
      <c r="F1394" s="52"/>
      <c r="G1394" s="53"/>
      <c r="H1394" s="20"/>
      <c r="I1394" s="9">
        <v>1</v>
      </c>
      <c r="J1394" s="9"/>
      <c r="K1394" s="9"/>
      <c r="L1394" s="9"/>
      <c r="M1394" s="9">
        <f t="shared" si="182"/>
        <v>7.3</v>
      </c>
      <c r="N1394" s="9">
        <f t="shared" si="183"/>
        <v>3</v>
      </c>
      <c r="O1394" s="9">
        <v>7.3</v>
      </c>
      <c r="P1394" s="9">
        <v>3</v>
      </c>
      <c r="Q1394" s="9" t="s">
        <v>6</v>
      </c>
      <c r="R1394" s="1">
        <v>0</v>
      </c>
      <c r="S1394" s="26"/>
    </row>
    <row r="1395" spans="1:19" ht="16.5" customHeight="1" x14ac:dyDescent="0.25">
      <c r="A1395" s="9"/>
      <c r="B1395" s="51" t="s">
        <v>60</v>
      </c>
      <c r="C1395" s="52"/>
      <c r="D1395" s="52"/>
      <c r="E1395" s="52"/>
      <c r="F1395" s="52"/>
      <c r="G1395" s="53"/>
      <c r="H1395" s="20"/>
      <c r="I1395" s="9">
        <v>3</v>
      </c>
      <c r="J1395" s="9"/>
      <c r="K1395" s="9"/>
      <c r="L1395" s="9"/>
      <c r="M1395" s="9">
        <f t="shared" si="182"/>
        <v>24.599999999999998</v>
      </c>
      <c r="N1395" s="9">
        <f t="shared" si="183"/>
        <v>10.5</v>
      </c>
      <c r="O1395" s="9">
        <v>8.1999999999999993</v>
      </c>
      <c r="P1395" s="9">
        <v>3.5</v>
      </c>
      <c r="Q1395" s="9" t="s">
        <v>9</v>
      </c>
      <c r="R1395" s="1">
        <v>0</v>
      </c>
      <c r="S1395" s="26"/>
    </row>
    <row r="1396" spans="1:19" ht="16.5" customHeight="1" x14ac:dyDescent="0.25">
      <c r="A1396" s="9"/>
      <c r="B1396" s="51" t="s">
        <v>55</v>
      </c>
      <c r="C1396" s="52"/>
      <c r="D1396" s="52"/>
      <c r="E1396" s="52"/>
      <c r="F1396" s="52"/>
      <c r="G1396" s="53"/>
      <c r="H1396" s="20"/>
      <c r="I1396" s="9">
        <v>2</v>
      </c>
      <c r="J1396" s="9"/>
      <c r="K1396" s="9"/>
      <c r="L1396" s="9"/>
      <c r="M1396" s="9">
        <f t="shared" si="182"/>
        <v>15.4</v>
      </c>
      <c r="N1396" s="9">
        <f t="shared" si="183"/>
        <v>6</v>
      </c>
      <c r="O1396" s="9">
        <v>7.7</v>
      </c>
      <c r="P1396" s="9">
        <v>3</v>
      </c>
      <c r="Q1396" s="9" t="s">
        <v>6</v>
      </c>
      <c r="R1396" s="1">
        <v>0</v>
      </c>
      <c r="S1396" s="26"/>
    </row>
    <row r="1397" spans="1:19" ht="16.5" hidden="1" customHeight="1" x14ac:dyDescent="0.25">
      <c r="A1397" s="21"/>
      <c r="H1397" s="21"/>
      <c r="I1397" s="21"/>
      <c r="J1397" s="21"/>
      <c r="K1397" s="21"/>
      <c r="L1397" s="21"/>
      <c r="M1397" s="9">
        <f t="shared" si="182"/>
        <v>0</v>
      </c>
      <c r="N1397" s="9">
        <f t="shared" si="183"/>
        <v>0</v>
      </c>
      <c r="O1397" s="21"/>
      <c r="P1397" s="21"/>
      <c r="Q1397" s="21"/>
      <c r="S1397" s="25"/>
    </row>
    <row r="1398" spans="1:19" ht="16.5" customHeight="1" x14ac:dyDescent="0.25">
      <c r="A1398" s="9"/>
      <c r="B1398" s="39" t="s">
        <v>42</v>
      </c>
      <c r="C1398" s="40"/>
      <c r="D1398" s="40"/>
      <c r="E1398" s="40"/>
      <c r="F1398" s="40"/>
      <c r="G1398" s="41"/>
      <c r="H1398" s="23"/>
      <c r="I1398" s="24">
        <f>SUM(I1390:I1397)</f>
        <v>14</v>
      </c>
      <c r="J1398" s="9"/>
      <c r="K1398" s="9"/>
      <c r="L1398" s="9"/>
      <c r="M1398" s="9">
        <f t="shared" si="182"/>
        <v>92.399999999999991</v>
      </c>
      <c r="N1398" s="9">
        <f t="shared" si="183"/>
        <v>35</v>
      </c>
      <c r="O1398" s="24">
        <f>ROUND(SUM(M1390:M1397)/I1398,2)</f>
        <v>6.6</v>
      </c>
      <c r="P1398" s="24">
        <f>ROUND(SUM(N1390:N1397)/I1398,2)</f>
        <v>2.5</v>
      </c>
      <c r="Q1398" s="9"/>
      <c r="S1398" s="25"/>
    </row>
    <row r="1399" spans="1:19" ht="20.25" customHeight="1" x14ac:dyDescent="0.25">
      <c r="A1399" s="27" t="s">
        <v>62</v>
      </c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</row>
    <row r="1400" spans="1:19" ht="16.5" customHeight="1" x14ac:dyDescent="0.25">
      <c r="A1400" s="9"/>
      <c r="B1400" s="51" t="s">
        <v>63</v>
      </c>
      <c r="C1400" s="52"/>
      <c r="D1400" s="52"/>
      <c r="E1400" s="52"/>
      <c r="F1400" s="52"/>
      <c r="G1400" s="53"/>
      <c r="H1400" s="20"/>
      <c r="I1400" s="9">
        <v>4</v>
      </c>
      <c r="J1400" s="9"/>
      <c r="K1400" s="9"/>
      <c r="L1400" s="9"/>
      <c r="M1400" s="9">
        <f t="shared" ref="M1400:M1408" si="184">I1400*O1400</f>
        <v>21.2</v>
      </c>
      <c r="N1400" s="9">
        <f t="shared" ref="N1400:N1408" si="185">I1400*P1400</f>
        <v>6</v>
      </c>
      <c r="O1400" s="9">
        <v>5.3</v>
      </c>
      <c r="P1400" s="9">
        <v>1.5</v>
      </c>
      <c r="Q1400" s="9" t="s">
        <v>4</v>
      </c>
      <c r="R1400" s="1">
        <v>0</v>
      </c>
      <c r="S1400" s="26"/>
    </row>
    <row r="1401" spans="1:19" ht="16.5" customHeight="1" x14ac:dyDescent="0.25">
      <c r="A1401" s="9"/>
      <c r="B1401" s="51" t="s">
        <v>64</v>
      </c>
      <c r="C1401" s="52"/>
      <c r="D1401" s="52"/>
      <c r="E1401" s="52"/>
      <c r="F1401" s="52"/>
      <c r="G1401" s="53"/>
      <c r="H1401" s="20"/>
      <c r="I1401" s="9">
        <v>4</v>
      </c>
      <c r="J1401" s="9"/>
      <c r="K1401" s="9"/>
      <c r="L1401" s="9"/>
      <c r="M1401" s="9">
        <f t="shared" si="184"/>
        <v>8</v>
      </c>
      <c r="N1401" s="9">
        <f t="shared" si="185"/>
        <v>0</v>
      </c>
      <c r="O1401" s="9">
        <v>2</v>
      </c>
      <c r="P1401" s="9">
        <v>0</v>
      </c>
      <c r="Q1401" s="9" t="s">
        <v>7</v>
      </c>
      <c r="R1401" s="1">
        <v>0</v>
      </c>
      <c r="S1401" s="26"/>
    </row>
    <row r="1402" spans="1:19" ht="16.5" customHeight="1" x14ac:dyDescent="0.25">
      <c r="A1402" s="9"/>
      <c r="B1402" s="51" t="s">
        <v>65</v>
      </c>
      <c r="C1402" s="52"/>
      <c r="D1402" s="52"/>
      <c r="E1402" s="52"/>
      <c r="F1402" s="52"/>
      <c r="G1402" s="53"/>
      <c r="H1402" s="20"/>
      <c r="I1402" s="9">
        <v>4</v>
      </c>
      <c r="J1402" s="9"/>
      <c r="K1402" s="9"/>
      <c r="L1402" s="9"/>
      <c r="M1402" s="9">
        <f t="shared" si="184"/>
        <v>28.4</v>
      </c>
      <c r="N1402" s="9">
        <f t="shared" si="185"/>
        <v>12</v>
      </c>
      <c r="O1402" s="9">
        <v>7.1</v>
      </c>
      <c r="P1402" s="9">
        <v>3</v>
      </c>
      <c r="Q1402" s="9" t="s">
        <v>6</v>
      </c>
      <c r="R1402" s="1">
        <v>0</v>
      </c>
      <c r="S1402" s="26"/>
    </row>
    <row r="1403" spans="1:19" ht="16.5" customHeight="1" x14ac:dyDescent="0.25">
      <c r="A1403" s="9"/>
      <c r="B1403" s="51" t="s">
        <v>66</v>
      </c>
      <c r="C1403" s="52"/>
      <c r="D1403" s="52"/>
      <c r="E1403" s="52"/>
      <c r="F1403" s="52"/>
      <c r="G1403" s="53"/>
      <c r="H1403" s="20"/>
      <c r="I1403" s="9">
        <v>1</v>
      </c>
      <c r="J1403" s="9"/>
      <c r="K1403" s="9"/>
      <c r="L1403" s="9"/>
      <c r="M1403" s="9">
        <f t="shared" si="184"/>
        <v>7.4</v>
      </c>
      <c r="N1403" s="9">
        <f t="shared" si="185"/>
        <v>3</v>
      </c>
      <c r="O1403" s="9">
        <v>7.4</v>
      </c>
      <c r="P1403" s="9">
        <v>3</v>
      </c>
      <c r="Q1403" s="9" t="s">
        <v>6</v>
      </c>
      <c r="R1403" s="1">
        <v>0</v>
      </c>
      <c r="S1403" s="26"/>
    </row>
    <row r="1404" spans="1:19" ht="16.5" customHeight="1" x14ac:dyDescent="0.25">
      <c r="A1404" s="9"/>
      <c r="B1404" s="51" t="s">
        <v>67</v>
      </c>
      <c r="C1404" s="52"/>
      <c r="D1404" s="52"/>
      <c r="E1404" s="52"/>
      <c r="F1404" s="52"/>
      <c r="G1404" s="53"/>
      <c r="H1404" s="20"/>
      <c r="I1404" s="9">
        <v>1</v>
      </c>
      <c r="J1404" s="9"/>
      <c r="K1404" s="9"/>
      <c r="L1404" s="9"/>
      <c r="M1404" s="9">
        <f t="shared" si="184"/>
        <v>7.7</v>
      </c>
      <c r="N1404" s="9">
        <f t="shared" si="185"/>
        <v>3</v>
      </c>
      <c r="O1404" s="9">
        <v>7.7</v>
      </c>
      <c r="P1404" s="9">
        <v>3</v>
      </c>
      <c r="Q1404" s="9" t="s">
        <v>6</v>
      </c>
      <c r="R1404" s="1">
        <v>0</v>
      </c>
      <c r="S1404" s="26"/>
    </row>
    <row r="1405" spans="1:19" ht="16.5" customHeight="1" x14ac:dyDescent="0.25">
      <c r="A1405" s="9"/>
      <c r="B1405" s="51" t="s">
        <v>69</v>
      </c>
      <c r="C1405" s="52"/>
      <c r="D1405" s="52"/>
      <c r="E1405" s="52"/>
      <c r="F1405" s="52"/>
      <c r="G1405" s="53"/>
      <c r="H1405" s="20"/>
      <c r="I1405" s="9">
        <v>1</v>
      </c>
      <c r="J1405" s="9"/>
      <c r="K1405" s="9"/>
      <c r="L1405" s="9"/>
      <c r="M1405" s="9">
        <f t="shared" si="184"/>
        <v>7.3</v>
      </c>
      <c r="N1405" s="9">
        <f t="shared" si="185"/>
        <v>3</v>
      </c>
      <c r="O1405" s="9">
        <v>7.3</v>
      </c>
      <c r="P1405" s="9">
        <v>3</v>
      </c>
      <c r="Q1405" s="9" t="s">
        <v>6</v>
      </c>
      <c r="R1405" s="1">
        <v>0</v>
      </c>
      <c r="S1405" s="26"/>
    </row>
    <row r="1406" spans="1:19" ht="16.5" customHeight="1" x14ac:dyDescent="0.25">
      <c r="A1406" s="9"/>
      <c r="B1406" s="51" t="s">
        <v>68</v>
      </c>
      <c r="C1406" s="52"/>
      <c r="D1406" s="52"/>
      <c r="E1406" s="52"/>
      <c r="F1406" s="52"/>
      <c r="G1406" s="53"/>
      <c r="H1406" s="20"/>
      <c r="I1406" s="9">
        <v>1</v>
      </c>
      <c r="J1406" s="9"/>
      <c r="K1406" s="9"/>
      <c r="L1406" s="9"/>
      <c r="M1406" s="9">
        <f t="shared" si="184"/>
        <v>7.8</v>
      </c>
      <c r="N1406" s="9">
        <f t="shared" si="185"/>
        <v>3</v>
      </c>
      <c r="O1406" s="9">
        <v>7.8</v>
      </c>
      <c r="P1406" s="9">
        <v>3</v>
      </c>
      <c r="Q1406" s="9" t="s">
        <v>6</v>
      </c>
      <c r="R1406" s="1">
        <v>0</v>
      </c>
      <c r="S1406" s="26"/>
    </row>
    <row r="1407" spans="1:19" ht="16.5" hidden="1" customHeight="1" x14ac:dyDescent="0.25">
      <c r="A1407" s="21"/>
      <c r="H1407" s="21"/>
      <c r="I1407" s="21"/>
      <c r="J1407" s="21"/>
      <c r="K1407" s="21"/>
      <c r="L1407" s="21"/>
      <c r="M1407" s="9">
        <f t="shared" si="184"/>
        <v>0</v>
      </c>
      <c r="N1407" s="9">
        <f t="shared" si="185"/>
        <v>0</v>
      </c>
      <c r="O1407" s="21"/>
      <c r="P1407" s="21"/>
      <c r="Q1407" s="21"/>
      <c r="S1407" s="25"/>
    </row>
    <row r="1408" spans="1:19" ht="16.5" customHeight="1" x14ac:dyDescent="0.25">
      <c r="A1408" s="9"/>
      <c r="B1408" s="39" t="s">
        <v>42</v>
      </c>
      <c r="C1408" s="40"/>
      <c r="D1408" s="40"/>
      <c r="E1408" s="40"/>
      <c r="F1408" s="40"/>
      <c r="G1408" s="41"/>
      <c r="H1408" s="23"/>
      <c r="I1408" s="24">
        <f>SUM(I1400:I1407)</f>
        <v>16</v>
      </c>
      <c r="J1408" s="9"/>
      <c r="K1408" s="9"/>
      <c r="L1408" s="9"/>
      <c r="M1408" s="9">
        <f t="shared" si="184"/>
        <v>87.84</v>
      </c>
      <c r="N1408" s="9">
        <f t="shared" si="185"/>
        <v>30.08</v>
      </c>
      <c r="O1408" s="24">
        <f>ROUND(SUM(M1400:M1407)/I1408,2)</f>
        <v>5.49</v>
      </c>
      <c r="P1408" s="24">
        <f>ROUND(SUM(N1400:N1407)/I1408,2)</f>
        <v>1.88</v>
      </c>
      <c r="Q1408" s="9"/>
      <c r="S1408" s="25"/>
    </row>
    <row r="1409" spans="1:19" ht="20.25" customHeight="1" x14ac:dyDescent="0.25">
      <c r="A1409" s="27" t="s">
        <v>145</v>
      </c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</row>
    <row r="1410" spans="1:19" ht="16.5" customHeight="1" x14ac:dyDescent="0.25">
      <c r="A1410" s="9"/>
      <c r="B1410" s="51" t="s">
        <v>56</v>
      </c>
      <c r="C1410" s="52"/>
      <c r="D1410" s="52"/>
      <c r="E1410" s="52"/>
      <c r="F1410" s="52"/>
      <c r="G1410" s="53"/>
      <c r="H1410" s="20"/>
      <c r="I1410" s="9">
        <v>3</v>
      </c>
      <c r="J1410" s="9"/>
      <c r="K1410" s="9"/>
      <c r="L1410" s="9"/>
      <c r="M1410" s="9">
        <f>I1410*O1410</f>
        <v>18</v>
      </c>
      <c r="N1410" s="9">
        <f>I1410*P1410</f>
        <v>6</v>
      </c>
      <c r="O1410" s="9">
        <v>6</v>
      </c>
      <c r="P1410" s="9">
        <v>2</v>
      </c>
      <c r="Q1410" s="9" t="s">
        <v>3</v>
      </c>
      <c r="R1410" s="1">
        <v>6</v>
      </c>
      <c r="S1410" s="26" t="s">
        <v>132</v>
      </c>
    </row>
    <row r="1411" spans="1:19" ht="16.5" hidden="1" customHeight="1" x14ac:dyDescent="0.25">
      <c r="A1411" s="21"/>
      <c r="H1411" s="21"/>
      <c r="I1411" s="21"/>
      <c r="J1411" s="21"/>
      <c r="K1411" s="21"/>
      <c r="L1411" s="21"/>
      <c r="M1411" s="9">
        <f>I1411*O1411</f>
        <v>0</v>
      </c>
      <c r="N1411" s="9">
        <f>I1411*P1411</f>
        <v>0</v>
      </c>
      <c r="O1411" s="21"/>
      <c r="P1411" s="21"/>
      <c r="Q1411" s="21"/>
      <c r="S1411" s="25"/>
    </row>
    <row r="1412" spans="1:19" ht="16.5" customHeight="1" x14ac:dyDescent="0.25">
      <c r="A1412" s="9"/>
      <c r="B1412" s="39" t="s">
        <v>42</v>
      </c>
      <c r="C1412" s="40"/>
      <c r="D1412" s="40"/>
      <c r="E1412" s="40"/>
      <c r="F1412" s="40"/>
      <c r="G1412" s="41"/>
      <c r="H1412" s="23"/>
      <c r="I1412" s="24">
        <f>SUM(I1410:I1411)</f>
        <v>3</v>
      </c>
      <c r="J1412" s="9"/>
      <c r="K1412" s="9"/>
      <c r="L1412" s="9"/>
      <c r="M1412" s="9">
        <f>I1412*O1412</f>
        <v>18</v>
      </c>
      <c r="N1412" s="9">
        <f>I1412*P1412</f>
        <v>6</v>
      </c>
      <c r="O1412" s="24">
        <f>ROUND(SUM(M1410:M1411)/I1412,2)</f>
        <v>6</v>
      </c>
      <c r="P1412" s="24">
        <f>ROUND(SUM(N1410:N1411)/I1412,2)</f>
        <v>2</v>
      </c>
      <c r="Q1412" s="9"/>
      <c r="S1412" s="25"/>
    </row>
    <row r="1413" spans="1:19" ht="20.25" customHeight="1" x14ac:dyDescent="0.25">
      <c r="A1413" s="27" t="s">
        <v>131</v>
      </c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</row>
    <row r="1414" spans="1:19" ht="16.5" customHeight="1" x14ac:dyDescent="0.25">
      <c r="A1414" s="9"/>
      <c r="B1414" s="51" t="s">
        <v>64</v>
      </c>
      <c r="C1414" s="52"/>
      <c r="D1414" s="52"/>
      <c r="E1414" s="52"/>
      <c r="F1414" s="52"/>
      <c r="G1414" s="53"/>
      <c r="H1414" s="20"/>
      <c r="I1414" s="9">
        <v>4</v>
      </c>
      <c r="J1414" s="9"/>
      <c r="K1414" s="9"/>
      <c r="L1414" s="9"/>
      <c r="M1414" s="9">
        <f>I1414*O1414</f>
        <v>19.2</v>
      </c>
      <c r="N1414" s="9">
        <f>I1414*P1414</f>
        <v>4</v>
      </c>
      <c r="O1414" s="9">
        <v>4.8</v>
      </c>
      <c r="P1414" s="9">
        <v>1</v>
      </c>
      <c r="Q1414" s="9" t="s">
        <v>8</v>
      </c>
      <c r="R1414" s="1">
        <v>6</v>
      </c>
      <c r="S1414" s="26" t="s">
        <v>132</v>
      </c>
    </row>
    <row r="1415" spans="1:19" ht="16.5" hidden="1" customHeight="1" x14ac:dyDescent="0.25">
      <c r="A1415" s="21"/>
      <c r="H1415" s="21"/>
      <c r="I1415" s="21"/>
      <c r="J1415" s="21"/>
      <c r="K1415" s="21"/>
      <c r="L1415" s="21"/>
      <c r="M1415" s="9">
        <f>I1415*O1415</f>
        <v>0</v>
      </c>
      <c r="N1415" s="9">
        <f>I1415*P1415</f>
        <v>0</v>
      </c>
      <c r="O1415" s="21"/>
      <c r="P1415" s="21"/>
      <c r="Q1415" s="21"/>
      <c r="S1415" s="25"/>
    </row>
    <row r="1416" spans="1:19" ht="16.5" customHeight="1" x14ac:dyDescent="0.25">
      <c r="A1416" s="9"/>
      <c r="B1416" s="39" t="s">
        <v>42</v>
      </c>
      <c r="C1416" s="40"/>
      <c r="D1416" s="40"/>
      <c r="E1416" s="40"/>
      <c r="F1416" s="40"/>
      <c r="G1416" s="41"/>
      <c r="H1416" s="23"/>
      <c r="I1416" s="24">
        <f>SUM(I1414:I1415)</f>
        <v>4</v>
      </c>
      <c r="J1416" s="9"/>
      <c r="K1416" s="9"/>
      <c r="L1416" s="9"/>
      <c r="M1416" s="9">
        <f>I1416*O1416</f>
        <v>19.2</v>
      </c>
      <c r="N1416" s="9">
        <f>I1416*P1416</f>
        <v>4</v>
      </c>
      <c r="O1416" s="24">
        <f>ROUND(SUM(M1414:M1415)/I1416,2)</f>
        <v>4.8</v>
      </c>
      <c r="P1416" s="24">
        <f>ROUND(SUM(N1414:N1415)/I1416,2)</f>
        <v>1</v>
      </c>
      <c r="Q1416" s="9"/>
      <c r="S1416" s="25"/>
    </row>
    <row r="1417" spans="1:19" ht="20.25" customHeight="1" x14ac:dyDescent="0.25">
      <c r="A1417" s="27" t="s">
        <v>70</v>
      </c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</row>
    <row r="1418" spans="1:19" ht="16.5" customHeight="1" x14ac:dyDescent="0.25">
      <c r="A1418" s="9"/>
      <c r="B1418" s="51" t="s">
        <v>74</v>
      </c>
      <c r="C1418" s="52"/>
      <c r="D1418" s="52"/>
      <c r="E1418" s="52"/>
      <c r="F1418" s="52"/>
      <c r="G1418" s="53"/>
      <c r="H1418" s="20"/>
      <c r="I1418" s="9">
        <v>2</v>
      </c>
      <c r="J1418" s="9"/>
      <c r="K1418" s="9"/>
      <c r="L1418" s="9"/>
      <c r="M1418" s="9">
        <f t="shared" ref="M1418:M1426" si="186">I1418*O1418</f>
        <v>15.4</v>
      </c>
      <c r="N1418" s="9">
        <f t="shared" ref="N1418:N1426" si="187">I1418*P1418</f>
        <v>6</v>
      </c>
      <c r="O1418" s="9">
        <v>7.7</v>
      </c>
      <c r="P1418" s="9">
        <v>3</v>
      </c>
      <c r="Q1418" s="9" t="s">
        <v>6</v>
      </c>
      <c r="R1418" s="1">
        <v>0</v>
      </c>
      <c r="S1418" s="26"/>
    </row>
    <row r="1419" spans="1:19" ht="16.5" customHeight="1" x14ac:dyDescent="0.25">
      <c r="A1419" s="9"/>
      <c r="B1419" s="51" t="s">
        <v>73</v>
      </c>
      <c r="C1419" s="52"/>
      <c r="D1419" s="52"/>
      <c r="E1419" s="52"/>
      <c r="F1419" s="52"/>
      <c r="G1419" s="53"/>
      <c r="H1419" s="20"/>
      <c r="I1419" s="9">
        <v>1</v>
      </c>
      <c r="J1419" s="9"/>
      <c r="K1419" s="9"/>
      <c r="L1419" s="9"/>
      <c r="M1419" s="9">
        <f t="shared" si="186"/>
        <v>7</v>
      </c>
      <c r="N1419" s="9">
        <f t="shared" si="187"/>
        <v>3</v>
      </c>
      <c r="O1419" s="9">
        <v>7</v>
      </c>
      <c r="P1419" s="9">
        <v>3</v>
      </c>
      <c r="Q1419" s="9" t="s">
        <v>6</v>
      </c>
      <c r="R1419" s="1">
        <v>0</v>
      </c>
      <c r="S1419" s="26"/>
    </row>
    <row r="1420" spans="1:19" ht="16.5" customHeight="1" x14ac:dyDescent="0.25">
      <c r="A1420" s="9"/>
      <c r="B1420" s="51" t="s">
        <v>72</v>
      </c>
      <c r="C1420" s="52"/>
      <c r="D1420" s="52"/>
      <c r="E1420" s="52"/>
      <c r="F1420" s="52"/>
      <c r="G1420" s="53"/>
      <c r="H1420" s="20"/>
      <c r="I1420" s="9">
        <v>4</v>
      </c>
      <c r="J1420" s="9"/>
      <c r="K1420" s="9"/>
      <c r="L1420" s="9"/>
      <c r="M1420" s="9">
        <f t="shared" si="186"/>
        <v>20.8</v>
      </c>
      <c r="N1420" s="9">
        <f t="shared" si="187"/>
        <v>6</v>
      </c>
      <c r="O1420" s="9">
        <v>5.2</v>
      </c>
      <c r="P1420" s="9">
        <v>1.5</v>
      </c>
      <c r="Q1420" s="9" t="s">
        <v>4</v>
      </c>
      <c r="R1420" s="1">
        <v>0</v>
      </c>
      <c r="S1420" s="26"/>
    </row>
    <row r="1421" spans="1:19" ht="16.5" customHeight="1" x14ac:dyDescent="0.25">
      <c r="A1421" s="9"/>
      <c r="B1421" s="51" t="s">
        <v>71</v>
      </c>
      <c r="C1421" s="52"/>
      <c r="D1421" s="52"/>
      <c r="E1421" s="52"/>
      <c r="F1421" s="52"/>
      <c r="G1421" s="53"/>
      <c r="H1421" s="20"/>
      <c r="I1421" s="9">
        <v>4</v>
      </c>
      <c r="J1421" s="9"/>
      <c r="K1421" s="9"/>
      <c r="L1421" s="9"/>
      <c r="M1421" s="9">
        <f t="shared" si="186"/>
        <v>2</v>
      </c>
      <c r="N1421" s="9">
        <f t="shared" si="187"/>
        <v>0</v>
      </c>
      <c r="O1421" s="9">
        <v>0.5</v>
      </c>
      <c r="P1421" s="9">
        <v>0</v>
      </c>
      <c r="Q1421" s="9" t="s">
        <v>7</v>
      </c>
      <c r="R1421" s="1">
        <v>0</v>
      </c>
      <c r="S1421" s="26"/>
    </row>
    <row r="1422" spans="1:19" ht="16.5" customHeight="1" x14ac:dyDescent="0.25">
      <c r="A1422" s="9"/>
      <c r="B1422" s="51" t="s">
        <v>77</v>
      </c>
      <c r="C1422" s="52"/>
      <c r="D1422" s="52"/>
      <c r="E1422" s="52"/>
      <c r="F1422" s="52"/>
      <c r="G1422" s="53"/>
      <c r="H1422" s="20"/>
      <c r="I1422" s="9">
        <v>3</v>
      </c>
      <c r="J1422" s="9"/>
      <c r="K1422" s="9"/>
      <c r="L1422" s="9"/>
      <c r="M1422" s="9">
        <f t="shared" si="186"/>
        <v>16.5</v>
      </c>
      <c r="N1422" s="9">
        <f t="shared" si="187"/>
        <v>6</v>
      </c>
      <c r="O1422" s="9">
        <v>5.5</v>
      </c>
      <c r="P1422" s="9">
        <v>2</v>
      </c>
      <c r="Q1422" s="9" t="s">
        <v>3</v>
      </c>
      <c r="R1422" s="1">
        <v>0</v>
      </c>
      <c r="S1422" s="26"/>
    </row>
    <row r="1423" spans="1:19" ht="16.5" customHeight="1" x14ac:dyDescent="0.25">
      <c r="A1423" s="9"/>
      <c r="B1423" s="51" t="s">
        <v>75</v>
      </c>
      <c r="C1423" s="52"/>
      <c r="D1423" s="52"/>
      <c r="E1423" s="52"/>
      <c r="F1423" s="52"/>
      <c r="G1423" s="53"/>
      <c r="H1423" s="20"/>
      <c r="I1423" s="9">
        <v>1</v>
      </c>
      <c r="J1423" s="9"/>
      <c r="K1423" s="9"/>
      <c r="L1423" s="9"/>
      <c r="M1423" s="9">
        <f t="shared" si="186"/>
        <v>6.3</v>
      </c>
      <c r="N1423" s="9">
        <f t="shared" si="187"/>
        <v>2</v>
      </c>
      <c r="O1423" s="9">
        <v>6.3</v>
      </c>
      <c r="P1423" s="9">
        <v>2</v>
      </c>
      <c r="Q1423" s="9" t="s">
        <v>3</v>
      </c>
      <c r="R1423" s="1">
        <v>0</v>
      </c>
      <c r="S1423" s="26"/>
    </row>
    <row r="1424" spans="1:19" ht="16.5" customHeight="1" x14ac:dyDescent="0.25">
      <c r="A1424" s="9"/>
      <c r="B1424" s="51" t="s">
        <v>76</v>
      </c>
      <c r="C1424" s="52"/>
      <c r="D1424" s="52"/>
      <c r="E1424" s="52"/>
      <c r="F1424" s="52"/>
      <c r="G1424" s="53"/>
      <c r="H1424" s="20"/>
      <c r="I1424" s="9">
        <v>4</v>
      </c>
      <c r="J1424" s="9"/>
      <c r="K1424" s="9"/>
      <c r="L1424" s="9"/>
      <c r="M1424" s="9">
        <f t="shared" si="186"/>
        <v>23.6</v>
      </c>
      <c r="N1424" s="9">
        <f t="shared" si="187"/>
        <v>8</v>
      </c>
      <c r="O1424" s="9">
        <v>5.9</v>
      </c>
      <c r="P1424" s="9">
        <v>2</v>
      </c>
      <c r="Q1424" s="9" t="s">
        <v>3</v>
      </c>
      <c r="R1424" s="1">
        <v>0</v>
      </c>
      <c r="S1424" s="26"/>
    </row>
    <row r="1425" spans="1:19" ht="16.5" hidden="1" customHeight="1" x14ac:dyDescent="0.25">
      <c r="A1425" s="21"/>
      <c r="H1425" s="21"/>
      <c r="I1425" s="21"/>
      <c r="J1425" s="21"/>
      <c r="K1425" s="21"/>
      <c r="L1425" s="21"/>
      <c r="M1425" s="9">
        <f t="shared" si="186"/>
        <v>0</v>
      </c>
      <c r="N1425" s="9">
        <f t="shared" si="187"/>
        <v>0</v>
      </c>
      <c r="O1425" s="21"/>
      <c r="P1425" s="21"/>
      <c r="Q1425" s="21"/>
      <c r="S1425" s="25"/>
    </row>
    <row r="1426" spans="1:19" ht="16.5" customHeight="1" x14ac:dyDescent="0.25">
      <c r="A1426" s="9"/>
      <c r="B1426" s="39" t="s">
        <v>42</v>
      </c>
      <c r="C1426" s="40"/>
      <c r="D1426" s="40"/>
      <c r="E1426" s="40"/>
      <c r="F1426" s="40"/>
      <c r="G1426" s="41"/>
      <c r="H1426" s="23"/>
      <c r="I1426" s="24">
        <f>SUM(I1418:I1425)</f>
        <v>19</v>
      </c>
      <c r="J1426" s="9"/>
      <c r="K1426" s="9"/>
      <c r="L1426" s="9"/>
      <c r="M1426" s="9">
        <f t="shared" si="186"/>
        <v>91.580000000000013</v>
      </c>
      <c r="N1426" s="9">
        <f t="shared" si="187"/>
        <v>30.97</v>
      </c>
      <c r="O1426" s="24">
        <f>ROUND(SUM(M1418:M1425)/I1426,2)</f>
        <v>4.82</v>
      </c>
      <c r="P1426" s="24">
        <f>ROUND(SUM(N1418:N1425)/I1426,2)</f>
        <v>1.63</v>
      </c>
      <c r="Q1426" s="9"/>
      <c r="S1426" s="25"/>
    </row>
    <row r="1427" spans="1:19" ht="15" customHeight="1" x14ac:dyDescent="0.25">
      <c r="A1427" s="36" t="s">
        <v>0</v>
      </c>
      <c r="B1427" s="29" t="s">
        <v>1</v>
      </c>
      <c r="C1427" s="30"/>
      <c r="D1427" s="30"/>
      <c r="E1427" s="30"/>
      <c r="F1427" s="30"/>
      <c r="G1427" s="31"/>
      <c r="H1427" s="36" t="s">
        <v>32</v>
      </c>
      <c r="I1427" s="36" t="s">
        <v>39</v>
      </c>
      <c r="J1427" s="55" t="s">
        <v>2</v>
      </c>
      <c r="K1427" s="56"/>
      <c r="L1427" s="56"/>
      <c r="M1427" s="56"/>
      <c r="N1427" s="56"/>
      <c r="O1427" s="56"/>
      <c r="P1427" s="56"/>
      <c r="Q1427" s="57"/>
      <c r="S1427" s="36" t="s">
        <v>38</v>
      </c>
    </row>
    <row r="1428" spans="1:19" ht="24" customHeight="1" x14ac:dyDescent="0.25">
      <c r="A1428" s="37"/>
      <c r="B1428" s="32"/>
      <c r="C1428" s="33"/>
      <c r="D1428" s="33"/>
      <c r="E1428" s="33"/>
      <c r="F1428" s="33"/>
      <c r="G1428" s="34"/>
      <c r="H1428" s="37"/>
      <c r="I1428" s="37"/>
      <c r="J1428" s="7" t="s">
        <v>28</v>
      </c>
      <c r="K1428" s="7" t="s">
        <v>29</v>
      </c>
      <c r="L1428" s="7" t="s">
        <v>30</v>
      </c>
      <c r="M1428" s="7"/>
      <c r="N1428" s="7"/>
      <c r="O1428" s="6" t="s">
        <v>35</v>
      </c>
      <c r="P1428" s="6" t="s">
        <v>36</v>
      </c>
      <c r="Q1428" s="6" t="s">
        <v>37</v>
      </c>
      <c r="S1428" s="37"/>
    </row>
    <row r="1429" spans="1:19" ht="20.25" customHeight="1" x14ac:dyDescent="0.25">
      <c r="A1429" s="27" t="s">
        <v>157</v>
      </c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</row>
    <row r="1430" spans="1:19" ht="16.5" customHeight="1" x14ac:dyDescent="0.25">
      <c r="A1430" s="9"/>
      <c r="B1430" s="51" t="s">
        <v>71</v>
      </c>
      <c r="C1430" s="52"/>
      <c r="D1430" s="52"/>
      <c r="E1430" s="52"/>
      <c r="F1430" s="52"/>
      <c r="G1430" s="53"/>
      <c r="H1430" s="20"/>
      <c r="I1430" s="9">
        <v>4</v>
      </c>
      <c r="J1430" s="9"/>
      <c r="K1430" s="9"/>
      <c r="L1430" s="9"/>
      <c r="M1430" s="9">
        <f>I1430*O1430</f>
        <v>18.399999999999999</v>
      </c>
      <c r="N1430" s="9">
        <f>I1430*P1430</f>
        <v>4</v>
      </c>
      <c r="O1430" s="9">
        <v>4.5999999999999996</v>
      </c>
      <c r="P1430" s="9">
        <v>1</v>
      </c>
      <c r="Q1430" s="9" t="s">
        <v>8</v>
      </c>
      <c r="R1430" s="1">
        <v>6</v>
      </c>
      <c r="S1430" s="26" t="s">
        <v>132</v>
      </c>
    </row>
    <row r="1431" spans="1:19" ht="16.5" hidden="1" customHeight="1" x14ac:dyDescent="0.25">
      <c r="A1431" s="21"/>
      <c r="H1431" s="21"/>
      <c r="I1431" s="21"/>
      <c r="J1431" s="21"/>
      <c r="K1431" s="21"/>
      <c r="L1431" s="21"/>
      <c r="M1431" s="9">
        <f>I1431*O1431</f>
        <v>0</v>
      </c>
      <c r="N1431" s="9">
        <f>I1431*P1431</f>
        <v>0</v>
      </c>
      <c r="O1431" s="21"/>
      <c r="P1431" s="21"/>
      <c r="Q1431" s="21"/>
      <c r="S1431" s="25"/>
    </row>
    <row r="1432" spans="1:19" ht="16.5" customHeight="1" x14ac:dyDescent="0.25">
      <c r="A1432" s="9"/>
      <c r="B1432" s="39" t="s">
        <v>42</v>
      </c>
      <c r="C1432" s="40"/>
      <c r="D1432" s="40"/>
      <c r="E1432" s="40"/>
      <c r="F1432" s="40"/>
      <c r="G1432" s="41"/>
      <c r="H1432" s="23"/>
      <c r="I1432" s="24">
        <f>SUM(I1430:I1431)</f>
        <v>4</v>
      </c>
      <c r="J1432" s="9"/>
      <c r="K1432" s="9"/>
      <c r="L1432" s="9"/>
      <c r="M1432" s="9">
        <f>I1432*O1432</f>
        <v>18.399999999999999</v>
      </c>
      <c r="N1432" s="9">
        <f>I1432*P1432</f>
        <v>4</v>
      </c>
      <c r="O1432" s="24">
        <f>ROUND(SUM(M1430:M1431)/I1432,2)</f>
        <v>4.5999999999999996</v>
      </c>
      <c r="P1432" s="24">
        <f>ROUND(SUM(N1430:N1431)/I1432,2)</f>
        <v>1</v>
      </c>
      <c r="Q1432" s="9"/>
      <c r="S1432" s="25"/>
    </row>
    <row r="1433" spans="1:19" ht="20.25" customHeight="1" x14ac:dyDescent="0.25">
      <c r="A1433" s="27" t="s">
        <v>78</v>
      </c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</row>
    <row r="1434" spans="1:19" ht="16.5" customHeight="1" x14ac:dyDescent="0.25">
      <c r="A1434" s="9"/>
      <c r="B1434" s="51" t="s">
        <v>80</v>
      </c>
      <c r="C1434" s="52"/>
      <c r="D1434" s="52"/>
      <c r="E1434" s="52"/>
      <c r="F1434" s="52"/>
      <c r="G1434" s="53"/>
      <c r="H1434" s="20"/>
      <c r="I1434" s="9">
        <v>3</v>
      </c>
      <c r="J1434" s="9"/>
      <c r="K1434" s="9"/>
      <c r="L1434" s="9"/>
      <c r="M1434" s="9">
        <f t="shared" ref="M1434:M1444" si="188">I1434*O1434</f>
        <v>22.799999999999997</v>
      </c>
      <c r="N1434" s="9">
        <f t="shared" ref="N1434:N1444" si="189">I1434*P1434</f>
        <v>9</v>
      </c>
      <c r="O1434" s="9">
        <v>7.6</v>
      </c>
      <c r="P1434" s="9">
        <v>3</v>
      </c>
      <c r="Q1434" s="9" t="s">
        <v>6</v>
      </c>
      <c r="R1434" s="1">
        <v>0</v>
      </c>
      <c r="S1434" s="26"/>
    </row>
    <row r="1435" spans="1:19" ht="16.5" customHeight="1" x14ac:dyDescent="0.25">
      <c r="A1435" s="9"/>
      <c r="B1435" s="51" t="s">
        <v>87</v>
      </c>
      <c r="C1435" s="52"/>
      <c r="D1435" s="52"/>
      <c r="E1435" s="52"/>
      <c r="F1435" s="52"/>
      <c r="G1435" s="53"/>
      <c r="H1435" s="20"/>
      <c r="I1435" s="9">
        <v>3</v>
      </c>
      <c r="J1435" s="9"/>
      <c r="K1435" s="9"/>
      <c r="L1435" s="9"/>
      <c r="M1435" s="9">
        <f t="shared" si="188"/>
        <v>16.5</v>
      </c>
      <c r="N1435" s="9">
        <f t="shared" si="189"/>
        <v>6</v>
      </c>
      <c r="O1435" s="9">
        <v>5.5</v>
      </c>
      <c r="P1435" s="9">
        <v>2</v>
      </c>
      <c r="Q1435" s="9" t="s">
        <v>3</v>
      </c>
      <c r="R1435" s="1">
        <v>0</v>
      </c>
      <c r="S1435" s="26"/>
    </row>
    <row r="1436" spans="1:19" ht="16.5" customHeight="1" x14ac:dyDescent="0.25">
      <c r="A1436" s="9"/>
      <c r="B1436" s="51" t="s">
        <v>82</v>
      </c>
      <c r="C1436" s="52"/>
      <c r="D1436" s="52"/>
      <c r="E1436" s="52"/>
      <c r="F1436" s="52"/>
      <c r="G1436" s="53"/>
      <c r="H1436" s="20"/>
      <c r="I1436" s="9">
        <v>2</v>
      </c>
      <c r="J1436" s="9"/>
      <c r="K1436" s="9"/>
      <c r="L1436" s="9"/>
      <c r="M1436" s="9">
        <f t="shared" si="188"/>
        <v>14.6</v>
      </c>
      <c r="N1436" s="9">
        <f t="shared" si="189"/>
        <v>6</v>
      </c>
      <c r="O1436" s="9">
        <v>7.3</v>
      </c>
      <c r="P1436" s="9">
        <v>3</v>
      </c>
      <c r="Q1436" s="9" t="s">
        <v>6</v>
      </c>
      <c r="R1436" s="1">
        <v>0</v>
      </c>
      <c r="S1436" s="26"/>
    </row>
    <row r="1437" spans="1:19" ht="16.5" customHeight="1" x14ac:dyDescent="0.25">
      <c r="A1437" s="9"/>
      <c r="B1437" s="51" t="s">
        <v>79</v>
      </c>
      <c r="C1437" s="52"/>
      <c r="D1437" s="52"/>
      <c r="E1437" s="52"/>
      <c r="F1437" s="52"/>
      <c r="G1437" s="53"/>
      <c r="H1437" s="20"/>
      <c r="I1437" s="9">
        <v>1</v>
      </c>
      <c r="J1437" s="9"/>
      <c r="K1437" s="9"/>
      <c r="L1437" s="9"/>
      <c r="M1437" s="9">
        <f t="shared" si="188"/>
        <v>8</v>
      </c>
      <c r="N1437" s="9">
        <f t="shared" si="189"/>
        <v>3.5</v>
      </c>
      <c r="O1437" s="9">
        <v>8</v>
      </c>
      <c r="P1437" s="9">
        <v>3.5</v>
      </c>
      <c r="Q1437" s="9" t="s">
        <v>9</v>
      </c>
      <c r="R1437" s="1">
        <v>0</v>
      </c>
      <c r="S1437" s="26"/>
    </row>
    <row r="1438" spans="1:19" ht="16.5" customHeight="1" x14ac:dyDescent="0.25">
      <c r="A1438" s="9"/>
      <c r="B1438" s="51" t="s">
        <v>84</v>
      </c>
      <c r="C1438" s="52"/>
      <c r="D1438" s="52"/>
      <c r="E1438" s="52"/>
      <c r="F1438" s="52"/>
      <c r="G1438" s="53"/>
      <c r="H1438" s="20"/>
      <c r="I1438" s="9">
        <v>3</v>
      </c>
      <c r="J1438" s="9"/>
      <c r="K1438" s="9"/>
      <c r="L1438" s="9"/>
      <c r="M1438" s="9">
        <f t="shared" si="188"/>
        <v>21.6</v>
      </c>
      <c r="N1438" s="9">
        <f t="shared" si="189"/>
        <v>9</v>
      </c>
      <c r="O1438" s="9">
        <v>7.2</v>
      </c>
      <c r="P1438" s="9">
        <v>3</v>
      </c>
      <c r="Q1438" s="9" t="s">
        <v>6</v>
      </c>
      <c r="R1438" s="1">
        <v>0</v>
      </c>
      <c r="S1438" s="26"/>
    </row>
    <row r="1439" spans="1:19" ht="16.5" customHeight="1" x14ac:dyDescent="0.25">
      <c r="A1439" s="9"/>
      <c r="B1439" s="51" t="s">
        <v>85</v>
      </c>
      <c r="C1439" s="52"/>
      <c r="D1439" s="52"/>
      <c r="E1439" s="52"/>
      <c r="F1439" s="52"/>
      <c r="G1439" s="53"/>
      <c r="H1439" s="20"/>
      <c r="I1439" s="9">
        <v>2</v>
      </c>
      <c r="J1439" s="9"/>
      <c r="K1439" s="9"/>
      <c r="L1439" s="9"/>
      <c r="M1439" s="9">
        <f t="shared" si="188"/>
        <v>11.6</v>
      </c>
      <c r="N1439" s="9">
        <f t="shared" si="189"/>
        <v>4</v>
      </c>
      <c r="O1439" s="9">
        <v>5.8</v>
      </c>
      <c r="P1439" s="9">
        <v>2</v>
      </c>
      <c r="Q1439" s="9" t="s">
        <v>3</v>
      </c>
      <c r="R1439" s="1">
        <v>0</v>
      </c>
      <c r="S1439" s="26"/>
    </row>
    <row r="1440" spans="1:19" ht="16.5" customHeight="1" x14ac:dyDescent="0.25">
      <c r="A1440" s="9"/>
      <c r="B1440" s="51" t="s">
        <v>86</v>
      </c>
      <c r="C1440" s="52"/>
      <c r="D1440" s="52"/>
      <c r="E1440" s="52"/>
      <c r="F1440" s="52"/>
      <c r="G1440" s="53"/>
      <c r="H1440" s="20"/>
      <c r="I1440" s="9">
        <v>3</v>
      </c>
      <c r="J1440" s="9"/>
      <c r="K1440" s="9"/>
      <c r="L1440" s="9"/>
      <c r="M1440" s="9">
        <f t="shared" si="188"/>
        <v>18.600000000000001</v>
      </c>
      <c r="N1440" s="9">
        <f t="shared" si="189"/>
        <v>6</v>
      </c>
      <c r="O1440" s="9">
        <v>6.2</v>
      </c>
      <c r="P1440" s="9">
        <v>2</v>
      </c>
      <c r="Q1440" s="9" t="s">
        <v>3</v>
      </c>
      <c r="R1440" s="1">
        <v>0</v>
      </c>
      <c r="S1440" s="26"/>
    </row>
    <row r="1441" spans="1:19" ht="16.5" customHeight="1" x14ac:dyDescent="0.25">
      <c r="A1441" s="9"/>
      <c r="B1441" s="51" t="s">
        <v>83</v>
      </c>
      <c r="C1441" s="52"/>
      <c r="D1441" s="52"/>
      <c r="E1441" s="52"/>
      <c r="F1441" s="52"/>
      <c r="G1441" s="53"/>
      <c r="H1441" s="20"/>
      <c r="I1441" s="9">
        <v>2</v>
      </c>
      <c r="J1441" s="9"/>
      <c r="K1441" s="9"/>
      <c r="L1441" s="9"/>
      <c r="M1441" s="9">
        <f t="shared" si="188"/>
        <v>13.2</v>
      </c>
      <c r="N1441" s="9">
        <f t="shared" si="189"/>
        <v>5</v>
      </c>
      <c r="O1441" s="9">
        <v>6.6</v>
      </c>
      <c r="P1441" s="9">
        <v>2.5</v>
      </c>
      <c r="Q1441" s="9" t="s">
        <v>5</v>
      </c>
      <c r="R1441" s="1">
        <v>0</v>
      </c>
      <c r="S1441" s="26"/>
    </row>
    <row r="1442" spans="1:19" ht="16.5" customHeight="1" x14ac:dyDescent="0.25">
      <c r="A1442" s="9"/>
      <c r="B1442" s="51" t="s">
        <v>81</v>
      </c>
      <c r="C1442" s="52"/>
      <c r="D1442" s="52"/>
      <c r="E1442" s="52"/>
      <c r="F1442" s="52"/>
      <c r="G1442" s="53"/>
      <c r="H1442" s="20"/>
      <c r="I1442" s="9">
        <v>3</v>
      </c>
      <c r="J1442" s="9"/>
      <c r="K1442" s="9"/>
      <c r="L1442" s="9"/>
      <c r="M1442" s="9">
        <f t="shared" si="188"/>
        <v>20.399999999999999</v>
      </c>
      <c r="N1442" s="9">
        <f t="shared" si="189"/>
        <v>7.5</v>
      </c>
      <c r="O1442" s="9">
        <v>6.8</v>
      </c>
      <c r="P1442" s="9">
        <v>2.5</v>
      </c>
      <c r="Q1442" s="9" t="s">
        <v>5</v>
      </c>
      <c r="R1442" s="1">
        <v>0</v>
      </c>
      <c r="S1442" s="26"/>
    </row>
    <row r="1443" spans="1:19" ht="16.5" hidden="1" customHeight="1" x14ac:dyDescent="0.25">
      <c r="A1443" s="21"/>
      <c r="H1443" s="21"/>
      <c r="I1443" s="21"/>
      <c r="J1443" s="21"/>
      <c r="K1443" s="21"/>
      <c r="L1443" s="21"/>
      <c r="M1443" s="9">
        <f t="shared" si="188"/>
        <v>0</v>
      </c>
      <c r="N1443" s="9">
        <f t="shared" si="189"/>
        <v>0</v>
      </c>
      <c r="O1443" s="21"/>
      <c r="P1443" s="21"/>
      <c r="Q1443" s="21"/>
      <c r="S1443" s="25"/>
    </row>
    <row r="1444" spans="1:19" ht="16.5" customHeight="1" x14ac:dyDescent="0.25">
      <c r="A1444" s="9"/>
      <c r="B1444" s="39" t="s">
        <v>42</v>
      </c>
      <c r="C1444" s="40"/>
      <c r="D1444" s="40"/>
      <c r="E1444" s="40"/>
      <c r="F1444" s="40"/>
      <c r="G1444" s="41"/>
      <c r="H1444" s="23"/>
      <c r="I1444" s="24">
        <f>SUM(I1434:I1443)</f>
        <v>22</v>
      </c>
      <c r="J1444" s="9"/>
      <c r="K1444" s="9"/>
      <c r="L1444" s="9"/>
      <c r="M1444" s="9">
        <f t="shared" si="188"/>
        <v>147.4</v>
      </c>
      <c r="N1444" s="9">
        <f t="shared" si="189"/>
        <v>56.099999999999994</v>
      </c>
      <c r="O1444" s="24">
        <f>ROUND(SUM(M1434:M1443)/I1444,2)</f>
        <v>6.7</v>
      </c>
      <c r="P1444" s="24">
        <f>ROUND(SUM(N1434:N1443)/I1444,2)</f>
        <v>2.5499999999999998</v>
      </c>
      <c r="Q1444" s="9"/>
      <c r="S1444" s="25"/>
    </row>
    <row r="1445" spans="1:19" ht="20.25" customHeight="1" x14ac:dyDescent="0.25">
      <c r="A1445" s="27" t="s">
        <v>88</v>
      </c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</row>
    <row r="1446" spans="1:19" ht="16.5" customHeight="1" x14ac:dyDescent="0.25">
      <c r="A1446" s="9"/>
      <c r="B1446" s="51" t="s">
        <v>96</v>
      </c>
      <c r="C1446" s="52"/>
      <c r="D1446" s="52"/>
      <c r="E1446" s="52"/>
      <c r="F1446" s="52"/>
      <c r="G1446" s="53"/>
      <c r="H1446" s="20"/>
      <c r="I1446" s="9">
        <v>3</v>
      </c>
      <c r="J1446" s="9"/>
      <c r="K1446" s="9"/>
      <c r="L1446" s="9"/>
      <c r="M1446" s="9">
        <f t="shared" ref="M1446:M1457" si="190">I1446*O1446</f>
        <v>19.5</v>
      </c>
      <c r="N1446" s="9">
        <f t="shared" ref="N1446:N1457" si="191">I1446*P1446</f>
        <v>7.5</v>
      </c>
      <c r="O1446" s="9">
        <v>6.5</v>
      </c>
      <c r="P1446" s="9">
        <v>2.5</v>
      </c>
      <c r="Q1446" s="9" t="s">
        <v>5</v>
      </c>
      <c r="R1446" s="1">
        <v>0</v>
      </c>
      <c r="S1446" s="26"/>
    </row>
    <row r="1447" spans="1:19" ht="16.5" customHeight="1" x14ac:dyDescent="0.25">
      <c r="A1447" s="9"/>
      <c r="B1447" s="51" t="s">
        <v>90</v>
      </c>
      <c r="C1447" s="52"/>
      <c r="D1447" s="52"/>
      <c r="E1447" s="52"/>
      <c r="F1447" s="52"/>
      <c r="G1447" s="53"/>
      <c r="H1447" s="20"/>
      <c r="I1447" s="9">
        <v>3</v>
      </c>
      <c r="J1447" s="9"/>
      <c r="K1447" s="9"/>
      <c r="L1447" s="9"/>
      <c r="M1447" s="9">
        <f t="shared" si="190"/>
        <v>15.899999999999999</v>
      </c>
      <c r="N1447" s="9">
        <f t="shared" si="191"/>
        <v>4.5</v>
      </c>
      <c r="O1447" s="9">
        <v>5.3</v>
      </c>
      <c r="P1447" s="9">
        <v>1.5</v>
      </c>
      <c r="Q1447" s="9" t="s">
        <v>4</v>
      </c>
      <c r="R1447" s="1">
        <v>0</v>
      </c>
      <c r="S1447" s="26"/>
    </row>
    <row r="1448" spans="1:19" ht="16.5" customHeight="1" x14ac:dyDescent="0.25">
      <c r="A1448" s="9"/>
      <c r="B1448" s="51" t="s">
        <v>91</v>
      </c>
      <c r="C1448" s="52"/>
      <c r="D1448" s="52"/>
      <c r="E1448" s="52"/>
      <c r="F1448" s="52"/>
      <c r="G1448" s="53"/>
      <c r="H1448" s="20"/>
      <c r="I1448" s="9">
        <v>2</v>
      </c>
      <c r="J1448" s="9"/>
      <c r="K1448" s="9"/>
      <c r="L1448" s="9"/>
      <c r="M1448" s="9">
        <f t="shared" si="190"/>
        <v>14.6</v>
      </c>
      <c r="N1448" s="9">
        <f t="shared" si="191"/>
        <v>6</v>
      </c>
      <c r="O1448" s="9">
        <v>7.3</v>
      </c>
      <c r="P1448" s="9">
        <v>3</v>
      </c>
      <c r="Q1448" s="9" t="s">
        <v>6</v>
      </c>
      <c r="R1448" s="1">
        <v>0</v>
      </c>
      <c r="S1448" s="26"/>
    </row>
    <row r="1449" spans="1:19" ht="16.5" customHeight="1" x14ac:dyDescent="0.25">
      <c r="A1449" s="9"/>
      <c r="B1449" s="51" t="s">
        <v>92</v>
      </c>
      <c r="C1449" s="52"/>
      <c r="D1449" s="52"/>
      <c r="E1449" s="52"/>
      <c r="F1449" s="52"/>
      <c r="G1449" s="53"/>
      <c r="H1449" s="20"/>
      <c r="I1449" s="9">
        <v>3</v>
      </c>
      <c r="J1449" s="9"/>
      <c r="K1449" s="9"/>
      <c r="L1449" s="9"/>
      <c r="M1449" s="9">
        <f t="shared" si="190"/>
        <v>14.100000000000001</v>
      </c>
      <c r="N1449" s="9">
        <f t="shared" si="191"/>
        <v>3</v>
      </c>
      <c r="O1449" s="9">
        <v>4.7</v>
      </c>
      <c r="P1449" s="9">
        <v>1</v>
      </c>
      <c r="Q1449" s="9" t="s">
        <v>8</v>
      </c>
      <c r="R1449" s="1">
        <v>0</v>
      </c>
      <c r="S1449" s="26"/>
    </row>
    <row r="1450" spans="1:19" ht="16.5" customHeight="1" x14ac:dyDescent="0.25">
      <c r="A1450" s="9"/>
      <c r="B1450" s="51" t="s">
        <v>93</v>
      </c>
      <c r="C1450" s="52"/>
      <c r="D1450" s="52"/>
      <c r="E1450" s="52"/>
      <c r="F1450" s="52"/>
      <c r="G1450" s="53"/>
      <c r="H1450" s="20"/>
      <c r="I1450" s="9">
        <v>1</v>
      </c>
      <c r="J1450" s="9"/>
      <c r="K1450" s="9"/>
      <c r="L1450" s="9"/>
      <c r="M1450" s="9">
        <f t="shared" si="190"/>
        <v>6.7</v>
      </c>
      <c r="N1450" s="9">
        <f t="shared" si="191"/>
        <v>2.5</v>
      </c>
      <c r="O1450" s="9">
        <v>6.7</v>
      </c>
      <c r="P1450" s="9">
        <v>2.5</v>
      </c>
      <c r="Q1450" s="9" t="s">
        <v>5</v>
      </c>
      <c r="R1450" s="1">
        <v>0</v>
      </c>
      <c r="S1450" s="26"/>
    </row>
    <row r="1451" spans="1:19" ht="16.5" customHeight="1" x14ac:dyDescent="0.25">
      <c r="A1451" s="9"/>
      <c r="B1451" s="51" t="s">
        <v>94</v>
      </c>
      <c r="C1451" s="52"/>
      <c r="D1451" s="52"/>
      <c r="E1451" s="52"/>
      <c r="F1451" s="52"/>
      <c r="G1451" s="53"/>
      <c r="H1451" s="20"/>
      <c r="I1451" s="9">
        <v>1</v>
      </c>
      <c r="J1451" s="9"/>
      <c r="K1451" s="9"/>
      <c r="L1451" s="9"/>
      <c r="M1451" s="9">
        <f t="shared" si="190"/>
        <v>7.3</v>
      </c>
      <c r="N1451" s="9">
        <f t="shared" si="191"/>
        <v>3</v>
      </c>
      <c r="O1451" s="9">
        <v>7.3</v>
      </c>
      <c r="P1451" s="9">
        <v>3</v>
      </c>
      <c r="Q1451" s="9" t="s">
        <v>6</v>
      </c>
      <c r="R1451" s="1">
        <v>0</v>
      </c>
      <c r="S1451" s="26"/>
    </row>
    <row r="1452" spans="1:19" ht="16.5" customHeight="1" x14ac:dyDescent="0.25">
      <c r="A1452" s="9"/>
      <c r="B1452" s="51" t="s">
        <v>97</v>
      </c>
      <c r="C1452" s="52"/>
      <c r="D1452" s="52"/>
      <c r="E1452" s="52"/>
      <c r="F1452" s="52"/>
      <c r="G1452" s="53"/>
      <c r="H1452" s="20"/>
      <c r="I1452" s="9">
        <v>1</v>
      </c>
      <c r="J1452" s="9"/>
      <c r="K1452" s="9"/>
      <c r="L1452" s="9"/>
      <c r="M1452" s="9">
        <f t="shared" si="190"/>
        <v>7</v>
      </c>
      <c r="N1452" s="9">
        <f t="shared" si="191"/>
        <v>3</v>
      </c>
      <c r="O1452" s="9">
        <v>7</v>
      </c>
      <c r="P1452" s="9">
        <v>3</v>
      </c>
      <c r="Q1452" s="9" t="s">
        <v>6</v>
      </c>
      <c r="R1452" s="1">
        <v>0</v>
      </c>
      <c r="S1452" s="26"/>
    </row>
    <row r="1453" spans="1:19" ht="16.5" customHeight="1" x14ac:dyDescent="0.25">
      <c r="A1453" s="9"/>
      <c r="B1453" s="51" t="s">
        <v>98</v>
      </c>
      <c r="C1453" s="52"/>
      <c r="D1453" s="52"/>
      <c r="E1453" s="52"/>
      <c r="F1453" s="52"/>
      <c r="G1453" s="53"/>
      <c r="H1453" s="20"/>
      <c r="I1453" s="9">
        <v>3</v>
      </c>
      <c r="J1453" s="9"/>
      <c r="K1453" s="9"/>
      <c r="L1453" s="9"/>
      <c r="M1453" s="9">
        <f t="shared" si="190"/>
        <v>19.200000000000003</v>
      </c>
      <c r="N1453" s="9">
        <f t="shared" si="191"/>
        <v>6</v>
      </c>
      <c r="O1453" s="9">
        <v>6.4</v>
      </c>
      <c r="P1453" s="9">
        <v>2</v>
      </c>
      <c r="Q1453" s="9" t="s">
        <v>3</v>
      </c>
      <c r="R1453" s="1">
        <v>0</v>
      </c>
      <c r="S1453" s="26"/>
    </row>
    <row r="1454" spans="1:19" ht="16.5" customHeight="1" x14ac:dyDescent="0.25">
      <c r="A1454" s="9"/>
      <c r="B1454" s="51" t="s">
        <v>95</v>
      </c>
      <c r="C1454" s="52"/>
      <c r="D1454" s="52"/>
      <c r="E1454" s="52"/>
      <c r="F1454" s="52"/>
      <c r="G1454" s="53"/>
      <c r="H1454" s="20"/>
      <c r="I1454" s="9">
        <v>3</v>
      </c>
      <c r="J1454" s="9"/>
      <c r="K1454" s="9"/>
      <c r="L1454" s="9"/>
      <c r="M1454" s="9">
        <f t="shared" si="190"/>
        <v>22.200000000000003</v>
      </c>
      <c r="N1454" s="9">
        <f t="shared" si="191"/>
        <v>9</v>
      </c>
      <c r="O1454" s="9">
        <v>7.4</v>
      </c>
      <c r="P1454" s="9">
        <v>3</v>
      </c>
      <c r="Q1454" s="9" t="s">
        <v>6</v>
      </c>
      <c r="R1454" s="1">
        <v>0</v>
      </c>
      <c r="S1454" s="26"/>
    </row>
    <row r="1455" spans="1:19" ht="16.5" customHeight="1" x14ac:dyDescent="0.25">
      <c r="A1455" s="9"/>
      <c r="B1455" s="51" t="s">
        <v>89</v>
      </c>
      <c r="C1455" s="52"/>
      <c r="D1455" s="52"/>
      <c r="E1455" s="52"/>
      <c r="F1455" s="52"/>
      <c r="G1455" s="53"/>
      <c r="H1455" s="20"/>
      <c r="I1455" s="9">
        <v>2</v>
      </c>
      <c r="J1455" s="9"/>
      <c r="K1455" s="9"/>
      <c r="L1455" s="9"/>
      <c r="M1455" s="9">
        <f t="shared" si="190"/>
        <v>16</v>
      </c>
      <c r="N1455" s="9">
        <f t="shared" si="191"/>
        <v>7</v>
      </c>
      <c r="O1455" s="9">
        <v>8</v>
      </c>
      <c r="P1455" s="9">
        <v>3.5</v>
      </c>
      <c r="Q1455" s="9" t="s">
        <v>9</v>
      </c>
      <c r="R1455" s="1">
        <v>0</v>
      </c>
      <c r="S1455" s="26"/>
    </row>
    <row r="1456" spans="1:19" ht="16.5" hidden="1" customHeight="1" x14ac:dyDescent="0.25">
      <c r="A1456" s="21"/>
      <c r="H1456" s="21"/>
      <c r="I1456" s="21"/>
      <c r="J1456" s="21"/>
      <c r="K1456" s="21"/>
      <c r="L1456" s="21"/>
      <c r="M1456" s="9">
        <f t="shared" si="190"/>
        <v>0</v>
      </c>
      <c r="N1456" s="9">
        <f t="shared" si="191"/>
        <v>0</v>
      </c>
      <c r="O1456" s="21"/>
      <c r="P1456" s="21"/>
      <c r="Q1456" s="21"/>
      <c r="S1456" s="25"/>
    </row>
    <row r="1457" spans="1:19" ht="16.5" customHeight="1" x14ac:dyDescent="0.25">
      <c r="A1457" s="9"/>
      <c r="B1457" s="39" t="s">
        <v>42</v>
      </c>
      <c r="C1457" s="40"/>
      <c r="D1457" s="40"/>
      <c r="E1457" s="40"/>
      <c r="F1457" s="40"/>
      <c r="G1457" s="41"/>
      <c r="H1457" s="23"/>
      <c r="I1457" s="24">
        <f>SUM(I1446:I1456)</f>
        <v>22</v>
      </c>
      <c r="J1457" s="9"/>
      <c r="K1457" s="9"/>
      <c r="L1457" s="9"/>
      <c r="M1457" s="9">
        <f t="shared" si="190"/>
        <v>142.56</v>
      </c>
      <c r="N1457" s="9">
        <f t="shared" si="191"/>
        <v>51.48</v>
      </c>
      <c r="O1457" s="24">
        <f>ROUND(SUM(M1446:M1456)/I1457,2)</f>
        <v>6.48</v>
      </c>
      <c r="P1457" s="24">
        <f>ROUND(SUM(N1446:N1456)/I1457,2)</f>
        <v>2.34</v>
      </c>
      <c r="Q1457" s="9"/>
      <c r="S1457" s="25"/>
    </row>
    <row r="1458" spans="1:19" ht="20.25" customHeight="1" x14ac:dyDescent="0.25">
      <c r="A1458" s="27" t="s">
        <v>99</v>
      </c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</row>
    <row r="1459" spans="1:19" ht="16.5" customHeight="1" x14ac:dyDescent="0.25">
      <c r="A1459" s="9"/>
      <c r="B1459" s="51" t="s">
        <v>100</v>
      </c>
      <c r="C1459" s="52"/>
      <c r="D1459" s="52"/>
      <c r="E1459" s="52"/>
      <c r="F1459" s="52"/>
      <c r="G1459" s="53"/>
      <c r="H1459" s="20"/>
      <c r="I1459" s="9">
        <v>2</v>
      </c>
      <c r="J1459" s="9"/>
      <c r="K1459" s="9"/>
      <c r="L1459" s="9"/>
      <c r="M1459" s="9">
        <f t="shared" ref="M1459:M1472" si="192">I1459*O1459</f>
        <v>15.4</v>
      </c>
      <c r="N1459" s="9">
        <f t="shared" ref="N1459:N1472" si="193">I1459*P1459</f>
        <v>6</v>
      </c>
      <c r="O1459" s="9">
        <v>7.7</v>
      </c>
      <c r="P1459" s="9">
        <v>3</v>
      </c>
      <c r="Q1459" s="9" t="s">
        <v>6</v>
      </c>
      <c r="R1459" s="1">
        <v>0</v>
      </c>
      <c r="S1459" s="26"/>
    </row>
    <row r="1460" spans="1:19" ht="16.5" customHeight="1" x14ac:dyDescent="0.25">
      <c r="A1460" s="9"/>
      <c r="B1460" s="51" t="s">
        <v>101</v>
      </c>
      <c r="C1460" s="52"/>
      <c r="D1460" s="52"/>
      <c r="E1460" s="52"/>
      <c r="F1460" s="52"/>
      <c r="G1460" s="53"/>
      <c r="H1460" s="20"/>
      <c r="I1460" s="9">
        <v>2</v>
      </c>
      <c r="J1460" s="9"/>
      <c r="K1460" s="9"/>
      <c r="L1460" s="9"/>
      <c r="M1460" s="9">
        <f t="shared" si="192"/>
        <v>14.6</v>
      </c>
      <c r="N1460" s="9">
        <f t="shared" si="193"/>
        <v>6</v>
      </c>
      <c r="O1460" s="9">
        <v>7.3</v>
      </c>
      <c r="P1460" s="9">
        <v>3</v>
      </c>
      <c r="Q1460" s="9" t="s">
        <v>6</v>
      </c>
      <c r="R1460" s="1">
        <v>0</v>
      </c>
      <c r="S1460" s="26"/>
    </row>
    <row r="1461" spans="1:19" ht="16.5" customHeight="1" x14ac:dyDescent="0.25">
      <c r="A1461" s="9"/>
      <c r="B1461" s="51" t="s">
        <v>102</v>
      </c>
      <c r="C1461" s="52"/>
      <c r="D1461" s="52"/>
      <c r="E1461" s="52"/>
      <c r="F1461" s="52"/>
      <c r="G1461" s="53"/>
      <c r="H1461" s="20"/>
      <c r="I1461" s="9">
        <v>1</v>
      </c>
      <c r="J1461" s="9"/>
      <c r="K1461" s="9"/>
      <c r="L1461" s="9"/>
      <c r="M1461" s="9">
        <f t="shared" si="192"/>
        <v>7.6</v>
      </c>
      <c r="N1461" s="9">
        <f t="shared" si="193"/>
        <v>3</v>
      </c>
      <c r="O1461" s="9">
        <v>7.6</v>
      </c>
      <c r="P1461" s="9">
        <v>3</v>
      </c>
      <c r="Q1461" s="9" t="s">
        <v>6</v>
      </c>
      <c r="R1461" s="1">
        <v>0</v>
      </c>
      <c r="S1461" s="26"/>
    </row>
    <row r="1462" spans="1:19" ht="16.5" customHeight="1" x14ac:dyDescent="0.25">
      <c r="A1462" s="9"/>
      <c r="B1462" s="51" t="s">
        <v>103</v>
      </c>
      <c r="C1462" s="52"/>
      <c r="D1462" s="52"/>
      <c r="E1462" s="52"/>
      <c r="F1462" s="52"/>
      <c r="G1462" s="53"/>
      <c r="H1462" s="20"/>
      <c r="I1462" s="9">
        <v>2</v>
      </c>
      <c r="J1462" s="9"/>
      <c r="K1462" s="9"/>
      <c r="L1462" s="9"/>
      <c r="M1462" s="9">
        <f t="shared" si="192"/>
        <v>13.4</v>
      </c>
      <c r="N1462" s="9">
        <f t="shared" si="193"/>
        <v>5</v>
      </c>
      <c r="O1462" s="9">
        <v>6.7</v>
      </c>
      <c r="P1462" s="9">
        <v>2.5</v>
      </c>
      <c r="Q1462" s="9" t="s">
        <v>5</v>
      </c>
      <c r="R1462" s="1">
        <v>0</v>
      </c>
      <c r="S1462" s="26"/>
    </row>
    <row r="1463" spans="1:19" ht="16.5" customHeight="1" x14ac:dyDescent="0.25">
      <c r="A1463" s="9"/>
      <c r="B1463" s="51" t="s">
        <v>104</v>
      </c>
      <c r="C1463" s="52"/>
      <c r="D1463" s="52"/>
      <c r="E1463" s="52"/>
      <c r="F1463" s="52"/>
      <c r="G1463" s="53"/>
      <c r="H1463" s="20"/>
      <c r="I1463" s="9">
        <v>3</v>
      </c>
      <c r="J1463" s="9"/>
      <c r="K1463" s="9"/>
      <c r="L1463" s="9"/>
      <c r="M1463" s="9">
        <f t="shared" si="192"/>
        <v>19.5</v>
      </c>
      <c r="N1463" s="9">
        <f t="shared" si="193"/>
        <v>7.5</v>
      </c>
      <c r="O1463" s="9">
        <v>6.5</v>
      </c>
      <c r="P1463" s="9">
        <v>2.5</v>
      </c>
      <c r="Q1463" s="9" t="s">
        <v>5</v>
      </c>
      <c r="R1463" s="1">
        <v>0</v>
      </c>
      <c r="S1463" s="26"/>
    </row>
    <row r="1464" spans="1:19" ht="16.5" customHeight="1" x14ac:dyDescent="0.25">
      <c r="A1464" s="9"/>
      <c r="B1464" s="51" t="s">
        <v>110</v>
      </c>
      <c r="C1464" s="52"/>
      <c r="D1464" s="52"/>
      <c r="E1464" s="52"/>
      <c r="F1464" s="52"/>
      <c r="G1464" s="53"/>
      <c r="H1464" s="20"/>
      <c r="I1464" s="9">
        <v>1</v>
      </c>
      <c r="J1464" s="9"/>
      <c r="K1464" s="9"/>
      <c r="L1464" s="9"/>
      <c r="M1464" s="9">
        <f t="shared" si="192"/>
        <v>8.5</v>
      </c>
      <c r="N1464" s="9">
        <f t="shared" si="193"/>
        <v>3.7</v>
      </c>
      <c r="O1464" s="9">
        <v>8.5</v>
      </c>
      <c r="P1464" s="9">
        <v>3.7</v>
      </c>
      <c r="Q1464" s="9" t="s">
        <v>10</v>
      </c>
      <c r="R1464" s="1">
        <v>0</v>
      </c>
      <c r="S1464" s="26"/>
    </row>
    <row r="1465" spans="1:19" ht="16.5" customHeight="1" x14ac:dyDescent="0.25">
      <c r="A1465" s="9"/>
      <c r="B1465" s="51" t="s">
        <v>106</v>
      </c>
      <c r="C1465" s="52"/>
      <c r="D1465" s="52"/>
      <c r="E1465" s="52"/>
      <c r="F1465" s="52"/>
      <c r="G1465" s="53"/>
      <c r="H1465" s="20"/>
      <c r="I1465" s="9">
        <v>2</v>
      </c>
      <c r="J1465" s="9"/>
      <c r="K1465" s="9"/>
      <c r="L1465" s="9"/>
      <c r="M1465" s="9">
        <f t="shared" si="192"/>
        <v>13.4</v>
      </c>
      <c r="N1465" s="9">
        <f t="shared" si="193"/>
        <v>5</v>
      </c>
      <c r="O1465" s="9">
        <v>6.7</v>
      </c>
      <c r="P1465" s="9">
        <v>2.5</v>
      </c>
      <c r="Q1465" s="9" t="s">
        <v>5</v>
      </c>
      <c r="R1465" s="1">
        <v>0</v>
      </c>
      <c r="S1465" s="26"/>
    </row>
    <row r="1466" spans="1:19" ht="16.5" customHeight="1" x14ac:dyDescent="0.25">
      <c r="A1466" s="9"/>
      <c r="B1466" s="51" t="s">
        <v>107</v>
      </c>
      <c r="C1466" s="52"/>
      <c r="D1466" s="52"/>
      <c r="E1466" s="52"/>
      <c r="F1466" s="52"/>
      <c r="G1466" s="53"/>
      <c r="H1466" s="20"/>
      <c r="I1466" s="9">
        <v>3</v>
      </c>
      <c r="J1466" s="9"/>
      <c r="K1466" s="9"/>
      <c r="L1466" s="9"/>
      <c r="M1466" s="9">
        <f t="shared" si="192"/>
        <v>20.700000000000003</v>
      </c>
      <c r="N1466" s="9">
        <f t="shared" si="193"/>
        <v>7.5</v>
      </c>
      <c r="O1466" s="9">
        <v>6.9</v>
      </c>
      <c r="P1466" s="9">
        <v>2.5</v>
      </c>
      <c r="Q1466" s="9" t="s">
        <v>5</v>
      </c>
      <c r="R1466" s="1">
        <v>0</v>
      </c>
      <c r="S1466" s="26"/>
    </row>
    <row r="1467" spans="1:19" ht="16.5" customHeight="1" x14ac:dyDescent="0.25">
      <c r="A1467" s="9"/>
      <c r="B1467" s="51" t="s">
        <v>108</v>
      </c>
      <c r="C1467" s="52"/>
      <c r="D1467" s="52"/>
      <c r="E1467" s="52"/>
      <c r="F1467" s="52"/>
      <c r="G1467" s="53"/>
      <c r="H1467" s="20"/>
      <c r="I1467" s="9">
        <v>1</v>
      </c>
      <c r="J1467" s="9"/>
      <c r="K1467" s="9"/>
      <c r="L1467" s="9"/>
      <c r="M1467" s="9">
        <f t="shared" si="192"/>
        <v>8</v>
      </c>
      <c r="N1467" s="9">
        <f t="shared" si="193"/>
        <v>3.5</v>
      </c>
      <c r="O1467" s="9">
        <v>8</v>
      </c>
      <c r="P1467" s="9">
        <v>3.5</v>
      </c>
      <c r="Q1467" s="9" t="s">
        <v>9</v>
      </c>
      <c r="R1467" s="1">
        <v>0</v>
      </c>
      <c r="S1467" s="26"/>
    </row>
    <row r="1468" spans="1:19" ht="16.5" customHeight="1" x14ac:dyDescent="0.25">
      <c r="A1468" s="9"/>
      <c r="B1468" s="51" t="s">
        <v>109</v>
      </c>
      <c r="C1468" s="52"/>
      <c r="D1468" s="52"/>
      <c r="E1468" s="52"/>
      <c r="F1468" s="52"/>
      <c r="G1468" s="53"/>
      <c r="H1468" s="20"/>
      <c r="I1468" s="9">
        <v>2</v>
      </c>
      <c r="J1468" s="9"/>
      <c r="K1468" s="9"/>
      <c r="L1468" s="9"/>
      <c r="M1468" s="9">
        <f t="shared" si="192"/>
        <v>14</v>
      </c>
      <c r="N1468" s="9">
        <f t="shared" si="193"/>
        <v>6</v>
      </c>
      <c r="O1468" s="9">
        <v>7</v>
      </c>
      <c r="P1468" s="9">
        <v>3</v>
      </c>
      <c r="Q1468" s="9" t="s">
        <v>6</v>
      </c>
      <c r="R1468" s="1">
        <v>0</v>
      </c>
      <c r="S1468" s="26"/>
    </row>
    <row r="1469" spans="1:19" ht="16.5" customHeight="1" x14ac:dyDescent="0.25">
      <c r="A1469" s="9"/>
      <c r="B1469" s="51" t="s">
        <v>105</v>
      </c>
      <c r="C1469" s="52"/>
      <c r="D1469" s="52"/>
      <c r="E1469" s="52"/>
      <c r="F1469" s="52"/>
      <c r="G1469" s="53"/>
      <c r="H1469" s="20"/>
      <c r="I1469" s="9">
        <v>3</v>
      </c>
      <c r="J1469" s="9"/>
      <c r="K1469" s="9"/>
      <c r="L1469" s="9"/>
      <c r="M1469" s="9">
        <f t="shared" si="192"/>
        <v>22.200000000000003</v>
      </c>
      <c r="N1469" s="9">
        <f t="shared" si="193"/>
        <v>9</v>
      </c>
      <c r="O1469" s="9">
        <v>7.4</v>
      </c>
      <c r="P1469" s="9">
        <v>3</v>
      </c>
      <c r="Q1469" s="9" t="s">
        <v>6</v>
      </c>
      <c r="R1469" s="1">
        <v>0</v>
      </c>
      <c r="S1469" s="26"/>
    </row>
    <row r="1470" spans="1:19" ht="16.5" customHeight="1" x14ac:dyDescent="0.25">
      <c r="A1470" s="9"/>
      <c r="B1470" s="51" t="s">
        <v>111</v>
      </c>
      <c r="C1470" s="52"/>
      <c r="D1470" s="52"/>
      <c r="E1470" s="52"/>
      <c r="F1470" s="52"/>
      <c r="G1470" s="53"/>
      <c r="H1470" s="20"/>
      <c r="I1470" s="9">
        <v>3</v>
      </c>
      <c r="J1470" s="9"/>
      <c r="K1470" s="9"/>
      <c r="L1470" s="9"/>
      <c r="M1470" s="9">
        <f t="shared" si="192"/>
        <v>25.5</v>
      </c>
      <c r="N1470" s="9">
        <f t="shared" si="193"/>
        <v>11.100000000000001</v>
      </c>
      <c r="O1470" s="9">
        <v>8.5</v>
      </c>
      <c r="P1470" s="9">
        <v>3.7</v>
      </c>
      <c r="Q1470" s="9" t="s">
        <v>10</v>
      </c>
      <c r="R1470" s="1">
        <v>0</v>
      </c>
      <c r="S1470" s="26"/>
    </row>
    <row r="1471" spans="1:19" ht="16.5" hidden="1" customHeight="1" x14ac:dyDescent="0.25">
      <c r="A1471" s="21"/>
      <c r="H1471" s="21"/>
      <c r="I1471" s="21"/>
      <c r="J1471" s="21"/>
      <c r="K1471" s="21"/>
      <c r="L1471" s="21"/>
      <c r="M1471" s="9">
        <f t="shared" si="192"/>
        <v>0</v>
      </c>
      <c r="N1471" s="9">
        <f t="shared" si="193"/>
        <v>0</v>
      </c>
      <c r="O1471" s="21"/>
      <c r="P1471" s="21"/>
      <c r="Q1471" s="21"/>
      <c r="S1471" s="25"/>
    </row>
    <row r="1472" spans="1:19" ht="16.5" customHeight="1" x14ac:dyDescent="0.25">
      <c r="A1472" s="9"/>
      <c r="B1472" s="39" t="s">
        <v>42</v>
      </c>
      <c r="C1472" s="40"/>
      <c r="D1472" s="40"/>
      <c r="E1472" s="40"/>
      <c r="F1472" s="40"/>
      <c r="G1472" s="41"/>
      <c r="H1472" s="23"/>
      <c r="I1472" s="24">
        <f>SUM(I1459:I1471)</f>
        <v>25</v>
      </c>
      <c r="J1472" s="9"/>
      <c r="K1472" s="9"/>
      <c r="L1472" s="9"/>
      <c r="M1472" s="9">
        <f t="shared" si="192"/>
        <v>182.75</v>
      </c>
      <c r="N1472" s="9">
        <f t="shared" si="193"/>
        <v>73.25</v>
      </c>
      <c r="O1472" s="24">
        <f>ROUND(SUM(M1459:M1471)/I1472,2)</f>
        <v>7.31</v>
      </c>
      <c r="P1472" s="24">
        <f>ROUND(SUM(N1459:N1471)/I1472,2)</f>
        <v>2.93</v>
      </c>
      <c r="Q1472" s="9"/>
      <c r="S1472" s="25"/>
    </row>
    <row r="1473" spans="1:19" ht="20.25" customHeight="1" x14ac:dyDescent="0.25">
      <c r="A1473" s="27" t="s">
        <v>112</v>
      </c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</row>
    <row r="1474" spans="1:19" ht="16.5" customHeight="1" x14ac:dyDescent="0.25">
      <c r="A1474" s="9"/>
      <c r="B1474" s="51" t="s">
        <v>113</v>
      </c>
      <c r="C1474" s="52"/>
      <c r="D1474" s="52"/>
      <c r="E1474" s="52"/>
      <c r="F1474" s="52"/>
      <c r="G1474" s="53"/>
      <c r="H1474" s="20"/>
      <c r="I1474" s="9">
        <v>2</v>
      </c>
      <c r="J1474" s="9"/>
      <c r="K1474" s="9"/>
      <c r="L1474" s="9"/>
      <c r="M1474" s="9">
        <f t="shared" ref="M1474:M1483" si="194">I1474*O1474</f>
        <v>0</v>
      </c>
      <c r="N1474" s="9">
        <f t="shared" ref="N1474:N1483" si="195">I1474*P1474</f>
        <v>0</v>
      </c>
      <c r="O1474" s="9"/>
      <c r="P1474" s="9"/>
      <c r="Q1474" s="9"/>
      <c r="R1474" s="1">
        <v>0</v>
      </c>
      <c r="S1474" s="26"/>
    </row>
    <row r="1475" spans="1:19" ht="16.5" customHeight="1" x14ac:dyDescent="0.25">
      <c r="A1475" s="9"/>
      <c r="B1475" s="51" t="s">
        <v>114</v>
      </c>
      <c r="C1475" s="52"/>
      <c r="D1475" s="52"/>
      <c r="E1475" s="52"/>
      <c r="F1475" s="52"/>
      <c r="G1475" s="53"/>
      <c r="H1475" s="20"/>
      <c r="I1475" s="9">
        <v>3</v>
      </c>
      <c r="J1475" s="9"/>
      <c r="K1475" s="9"/>
      <c r="L1475" s="9"/>
      <c r="M1475" s="9">
        <f t="shared" si="194"/>
        <v>19.200000000000003</v>
      </c>
      <c r="N1475" s="9">
        <f t="shared" si="195"/>
        <v>6</v>
      </c>
      <c r="O1475" s="9">
        <v>6.4</v>
      </c>
      <c r="P1475" s="9">
        <v>2</v>
      </c>
      <c r="Q1475" s="9" t="s">
        <v>3</v>
      </c>
      <c r="R1475" s="1">
        <v>0</v>
      </c>
      <c r="S1475" s="26"/>
    </row>
    <row r="1476" spans="1:19" ht="16.5" customHeight="1" x14ac:dyDescent="0.25">
      <c r="A1476" s="9"/>
      <c r="B1476" s="51" t="s">
        <v>133</v>
      </c>
      <c r="C1476" s="52"/>
      <c r="D1476" s="52"/>
      <c r="E1476" s="52"/>
      <c r="F1476" s="52"/>
      <c r="G1476" s="53"/>
      <c r="H1476" s="20"/>
      <c r="I1476" s="9">
        <v>3</v>
      </c>
      <c r="J1476" s="9"/>
      <c r="K1476" s="9"/>
      <c r="L1476" s="9"/>
      <c r="M1476" s="9">
        <f t="shared" si="194"/>
        <v>19.5</v>
      </c>
      <c r="N1476" s="9">
        <f t="shared" si="195"/>
        <v>7.5</v>
      </c>
      <c r="O1476" s="9">
        <v>6.5</v>
      </c>
      <c r="P1476" s="9">
        <v>2.5</v>
      </c>
      <c r="Q1476" s="9" t="s">
        <v>5</v>
      </c>
      <c r="R1476" s="1">
        <v>0</v>
      </c>
      <c r="S1476" s="26"/>
    </row>
    <row r="1477" spans="1:19" ht="16.5" customHeight="1" x14ac:dyDescent="0.25">
      <c r="A1477" s="9"/>
      <c r="B1477" s="51" t="s">
        <v>115</v>
      </c>
      <c r="C1477" s="52"/>
      <c r="D1477" s="52"/>
      <c r="E1477" s="52"/>
      <c r="F1477" s="52"/>
      <c r="G1477" s="53"/>
      <c r="H1477" s="20"/>
      <c r="I1477" s="9">
        <v>1</v>
      </c>
      <c r="J1477" s="9"/>
      <c r="K1477" s="9"/>
      <c r="L1477" s="9"/>
      <c r="M1477" s="9">
        <f t="shared" si="194"/>
        <v>6.8</v>
      </c>
      <c r="N1477" s="9">
        <f t="shared" si="195"/>
        <v>2.5</v>
      </c>
      <c r="O1477" s="9">
        <v>6.8</v>
      </c>
      <c r="P1477" s="9">
        <v>2.5</v>
      </c>
      <c r="Q1477" s="9" t="s">
        <v>5</v>
      </c>
      <c r="R1477" s="1">
        <v>0</v>
      </c>
      <c r="S1477" s="26"/>
    </row>
    <row r="1478" spans="1:19" ht="16.5" customHeight="1" x14ac:dyDescent="0.25">
      <c r="A1478" s="9"/>
      <c r="B1478" s="51" t="s">
        <v>116</v>
      </c>
      <c r="C1478" s="52"/>
      <c r="D1478" s="52"/>
      <c r="E1478" s="52"/>
      <c r="F1478" s="52"/>
      <c r="G1478" s="53"/>
      <c r="H1478" s="20"/>
      <c r="I1478" s="9">
        <v>3</v>
      </c>
      <c r="J1478" s="9"/>
      <c r="K1478" s="9"/>
      <c r="L1478" s="9"/>
      <c r="M1478" s="9">
        <f t="shared" si="194"/>
        <v>22.799999999999997</v>
      </c>
      <c r="N1478" s="9">
        <f t="shared" si="195"/>
        <v>9</v>
      </c>
      <c r="O1478" s="9">
        <v>7.6</v>
      </c>
      <c r="P1478" s="9">
        <v>3</v>
      </c>
      <c r="Q1478" s="9" t="s">
        <v>6</v>
      </c>
      <c r="R1478" s="1">
        <v>0</v>
      </c>
      <c r="S1478" s="26"/>
    </row>
    <row r="1479" spans="1:19" ht="16.5" customHeight="1" x14ac:dyDescent="0.25">
      <c r="A1479" s="9"/>
      <c r="B1479" s="51" t="s">
        <v>117</v>
      </c>
      <c r="C1479" s="52"/>
      <c r="D1479" s="52"/>
      <c r="E1479" s="52"/>
      <c r="F1479" s="52"/>
      <c r="G1479" s="53"/>
      <c r="H1479" s="20"/>
      <c r="I1479" s="9">
        <v>3</v>
      </c>
      <c r="J1479" s="9"/>
      <c r="K1479" s="9"/>
      <c r="L1479" s="9"/>
      <c r="M1479" s="9">
        <f t="shared" si="194"/>
        <v>17.399999999999999</v>
      </c>
      <c r="N1479" s="9">
        <f t="shared" si="195"/>
        <v>6</v>
      </c>
      <c r="O1479" s="9">
        <v>5.8</v>
      </c>
      <c r="P1479" s="9">
        <v>2</v>
      </c>
      <c r="Q1479" s="9" t="s">
        <v>3</v>
      </c>
      <c r="R1479" s="1">
        <v>0</v>
      </c>
      <c r="S1479" s="26"/>
    </row>
    <row r="1480" spans="1:19" ht="31.2" customHeight="1" x14ac:dyDescent="0.25">
      <c r="A1480" s="9"/>
      <c r="B1480" s="51" t="s">
        <v>119</v>
      </c>
      <c r="C1480" s="52"/>
      <c r="D1480" s="52"/>
      <c r="E1480" s="52"/>
      <c r="F1480" s="52"/>
      <c r="G1480" s="53"/>
      <c r="H1480" s="20"/>
      <c r="I1480" s="9">
        <v>2</v>
      </c>
      <c r="J1480" s="9"/>
      <c r="K1480" s="9"/>
      <c r="L1480" s="9"/>
      <c r="M1480" s="9">
        <f t="shared" si="194"/>
        <v>0</v>
      </c>
      <c r="N1480" s="9">
        <f t="shared" si="195"/>
        <v>0</v>
      </c>
      <c r="O1480" s="9"/>
      <c r="P1480" s="9"/>
      <c r="Q1480" s="9"/>
      <c r="R1480" s="1">
        <v>0</v>
      </c>
      <c r="S1480" s="26"/>
    </row>
    <row r="1481" spans="1:19" ht="16.5" customHeight="1" x14ac:dyDescent="0.25">
      <c r="A1481" s="9"/>
      <c r="B1481" s="51" t="s">
        <v>118</v>
      </c>
      <c r="C1481" s="52"/>
      <c r="D1481" s="52"/>
      <c r="E1481" s="52"/>
      <c r="F1481" s="52"/>
      <c r="G1481" s="53"/>
      <c r="H1481" s="20"/>
      <c r="I1481" s="9">
        <v>3</v>
      </c>
      <c r="J1481" s="9"/>
      <c r="K1481" s="9"/>
      <c r="L1481" s="9"/>
      <c r="M1481" s="9">
        <f t="shared" si="194"/>
        <v>21.299999999999997</v>
      </c>
      <c r="N1481" s="9">
        <f t="shared" si="195"/>
        <v>9</v>
      </c>
      <c r="O1481" s="9">
        <v>7.1</v>
      </c>
      <c r="P1481" s="9">
        <v>3</v>
      </c>
      <c r="Q1481" s="9" t="s">
        <v>6</v>
      </c>
      <c r="R1481" s="1">
        <v>0</v>
      </c>
      <c r="S1481" s="26"/>
    </row>
    <row r="1482" spans="1:19" ht="16.5" hidden="1" customHeight="1" x14ac:dyDescent="0.25">
      <c r="A1482" s="21"/>
      <c r="H1482" s="21"/>
      <c r="I1482" s="21"/>
      <c r="J1482" s="21"/>
      <c r="K1482" s="21"/>
      <c r="L1482" s="21"/>
      <c r="M1482" s="9">
        <f t="shared" si="194"/>
        <v>0</v>
      </c>
      <c r="N1482" s="9">
        <f t="shared" si="195"/>
        <v>0</v>
      </c>
      <c r="O1482" s="21"/>
      <c r="P1482" s="21"/>
      <c r="Q1482" s="21"/>
      <c r="S1482" s="25"/>
    </row>
    <row r="1483" spans="1:19" ht="16.5" customHeight="1" x14ac:dyDescent="0.25">
      <c r="A1483" s="9"/>
      <c r="B1483" s="39" t="s">
        <v>42</v>
      </c>
      <c r="C1483" s="40"/>
      <c r="D1483" s="40"/>
      <c r="E1483" s="40"/>
      <c r="F1483" s="40"/>
      <c r="G1483" s="41"/>
      <c r="H1483" s="23"/>
      <c r="I1483" s="24">
        <f>SUM(I1474:I1482)</f>
        <v>20</v>
      </c>
      <c r="J1483" s="9"/>
      <c r="K1483" s="9"/>
      <c r="L1483" s="9"/>
      <c r="M1483" s="9">
        <f t="shared" si="194"/>
        <v>107</v>
      </c>
      <c r="N1483" s="9">
        <f t="shared" si="195"/>
        <v>40</v>
      </c>
      <c r="O1483" s="24">
        <f>ROUND(SUM(M1474:M1482)/I1483,2)</f>
        <v>5.35</v>
      </c>
      <c r="P1483" s="24">
        <f>ROUND(SUM(N1474:N1482)/I1483,2)</f>
        <v>2</v>
      </c>
      <c r="Q1483" s="9"/>
      <c r="S1483" s="25"/>
    </row>
    <row r="1484" spans="1:19" ht="16.5" customHeight="1" x14ac:dyDescent="0.25">
      <c r="A1484" s="21"/>
      <c r="B1484" s="22"/>
      <c r="C1484" s="22"/>
      <c r="D1484" s="22"/>
      <c r="E1484" s="22"/>
      <c r="F1484" s="22"/>
      <c r="G1484" s="22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</row>
    <row r="1486" spans="1:19" ht="18" x14ac:dyDescent="0.25">
      <c r="A1486" s="35" t="s">
        <v>191</v>
      </c>
      <c r="B1486" s="35"/>
      <c r="C1486" s="35"/>
      <c r="D1486" s="35"/>
      <c r="E1486" s="35"/>
      <c r="F1486" s="35"/>
      <c r="G1486" s="35"/>
      <c r="H1486" s="35"/>
      <c r="I1486" s="35"/>
      <c r="J1486" s="35"/>
      <c r="K1486" s="35"/>
      <c r="L1486" s="35"/>
      <c r="M1486" s="35"/>
      <c r="N1486" s="35"/>
      <c r="O1486" s="35"/>
      <c r="P1486" s="35"/>
      <c r="Q1486" s="35"/>
      <c r="R1486" s="35"/>
      <c r="S1486" s="35"/>
    </row>
    <row r="1487" spans="1:19" ht="18" x14ac:dyDescent="0.25">
      <c r="A1487" s="35" t="s">
        <v>192</v>
      </c>
      <c r="B1487" s="35"/>
      <c r="C1487" s="35"/>
      <c r="D1487" s="35"/>
      <c r="E1487" s="35"/>
      <c r="F1487" s="35"/>
      <c r="G1487" s="35"/>
      <c r="H1487" s="35"/>
      <c r="I1487" s="35"/>
      <c r="J1487" s="35"/>
      <c r="K1487" s="35"/>
      <c r="L1487" s="35"/>
      <c r="M1487" s="35"/>
      <c r="N1487" s="35"/>
      <c r="O1487" s="35"/>
      <c r="P1487" s="35"/>
      <c r="Q1487" s="35"/>
      <c r="R1487" s="35"/>
      <c r="S1487" s="35"/>
    </row>
    <row r="1488" spans="1:19" ht="18" x14ac:dyDescent="0.25">
      <c r="A1488" s="35" t="s">
        <v>193</v>
      </c>
      <c r="B1488" s="35"/>
      <c r="C1488" s="35"/>
      <c r="D1488" s="35"/>
      <c r="E1488" s="35"/>
      <c r="F1488" s="35"/>
      <c r="G1488" s="35"/>
      <c r="H1488" s="35"/>
      <c r="I1488" s="35"/>
      <c r="J1488" s="35"/>
      <c r="K1488" s="35"/>
      <c r="L1488" s="35"/>
      <c r="M1488" s="35"/>
      <c r="N1488" s="35"/>
      <c r="O1488" s="35"/>
      <c r="P1488" s="35"/>
      <c r="Q1488" s="35"/>
      <c r="R1488" s="35"/>
      <c r="S1488" s="35"/>
    </row>
    <row r="1489" spans="1:20" ht="18" x14ac:dyDescent="0.25">
      <c r="A1489" s="45" t="s">
        <v>194</v>
      </c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</row>
    <row r="1490" spans="1:20" ht="19.5" customHeight="1" x14ac:dyDescent="0.25">
      <c r="A1490" s="17"/>
      <c r="B1490" s="17"/>
      <c r="C1490" s="8"/>
      <c r="D1490" s="18"/>
      <c r="E1490" s="10"/>
      <c r="F1490" s="11"/>
      <c r="G1490" s="46" t="s">
        <v>49</v>
      </c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</row>
    <row r="1491" spans="1:20" ht="31.5" customHeight="1" x14ac:dyDescent="0.3">
      <c r="A1491" s="8"/>
      <c r="B1491" s="8"/>
      <c r="C1491" s="8"/>
      <c r="D1491" s="8"/>
      <c r="E1491" s="8"/>
      <c r="F1491" s="8"/>
      <c r="G1491" s="8"/>
      <c r="H1491" s="12"/>
      <c r="I1491" s="42" t="s">
        <v>40</v>
      </c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</row>
    <row r="1492" spans="1:20" ht="16.8" x14ac:dyDescent="0.3">
      <c r="A1492" s="8"/>
      <c r="B1492" s="8"/>
      <c r="C1492" s="8"/>
      <c r="D1492" s="8"/>
      <c r="E1492" s="8"/>
      <c r="F1492" s="8"/>
      <c r="G1492" s="8"/>
      <c r="H1492" s="12"/>
      <c r="I1492" s="12"/>
      <c r="J1492" s="12"/>
      <c r="K1492" s="12"/>
      <c r="L1492" s="8"/>
      <c r="M1492" s="8"/>
      <c r="N1492" s="8"/>
      <c r="O1492" s="8"/>
      <c r="P1492" s="8"/>
      <c r="Q1492" s="8"/>
    </row>
    <row r="1493" spans="1:20" ht="33" customHeight="1" x14ac:dyDescent="0.3">
      <c r="A1493" s="8"/>
      <c r="B1493" s="8"/>
      <c r="C1493" s="8"/>
      <c r="D1493" s="8"/>
      <c r="E1493" s="8"/>
      <c r="F1493" s="8"/>
      <c r="G1493" s="8"/>
      <c r="H1493" s="12"/>
      <c r="I1493" s="12"/>
      <c r="J1493" s="12"/>
      <c r="K1493" s="12"/>
      <c r="L1493" s="8"/>
      <c r="M1493" s="8"/>
      <c r="N1493" s="8"/>
      <c r="O1493" s="8"/>
      <c r="P1493" s="8"/>
      <c r="Q1493" s="8"/>
    </row>
    <row r="1494" spans="1:20" ht="11.25" customHeight="1" x14ac:dyDescent="0.3">
      <c r="A1494" s="8"/>
      <c r="B1494" s="8"/>
      <c r="C1494" s="8"/>
      <c r="D1494" s="8"/>
      <c r="E1494" s="8"/>
      <c r="F1494" s="8"/>
      <c r="G1494" s="8"/>
      <c r="H1494" s="12"/>
      <c r="I1494" s="12"/>
      <c r="J1494" s="12"/>
      <c r="K1494" s="12"/>
      <c r="L1494" s="8"/>
      <c r="M1494" s="8"/>
      <c r="N1494" s="8"/>
      <c r="O1494" s="8"/>
      <c r="P1494" s="8"/>
      <c r="Q1494" s="8"/>
    </row>
    <row r="1495" spans="1:20" ht="17.399999999999999" x14ac:dyDescent="0.3">
      <c r="A1495" s="8"/>
      <c r="B1495" s="8"/>
      <c r="C1495" s="8"/>
      <c r="D1495" s="8"/>
      <c r="E1495" s="8"/>
      <c r="F1495" s="8"/>
      <c r="G1495" s="47" t="s">
        <v>41</v>
      </c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  <c r="S1495" s="47"/>
    </row>
    <row r="1496" spans="1:20" ht="54" customHeight="1" x14ac:dyDescent="0.25">
      <c r="A1496" s="48" t="s">
        <v>33</v>
      </c>
      <c r="B1496" s="48"/>
      <c r="C1496" s="48"/>
      <c r="D1496" s="48"/>
      <c r="E1496" s="48"/>
      <c r="F1496" s="42" t="s">
        <v>24</v>
      </c>
      <c r="G1496" s="42"/>
      <c r="H1496" s="42"/>
      <c r="I1496" s="42"/>
      <c r="J1496" s="42"/>
      <c r="K1496" s="42"/>
      <c r="L1496" s="42"/>
      <c r="M1496" s="42"/>
      <c r="N1496" s="42"/>
      <c r="O1496" s="42"/>
      <c r="P1496" s="42"/>
      <c r="Q1496" s="42"/>
      <c r="R1496" s="42"/>
      <c r="S1496" s="42"/>
    </row>
    <row r="1497" spans="1:20" ht="17.399999999999999" x14ac:dyDescent="0.25">
      <c r="A1497" s="49" t="s">
        <v>34</v>
      </c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</row>
    <row r="1498" spans="1:20" ht="4.5" customHeight="1" x14ac:dyDescent="0.25">
      <c r="A1498" s="50"/>
      <c r="B1498" s="50"/>
      <c r="C1498" s="50"/>
      <c r="D1498" s="50"/>
      <c r="E1498" s="50"/>
      <c r="F1498" s="50"/>
      <c r="G1498" s="50"/>
      <c r="H1498" s="50"/>
      <c r="I1498" s="50"/>
      <c r="J1498" s="50"/>
      <c r="K1498" s="50"/>
      <c r="L1498" s="50"/>
      <c r="M1498" s="50"/>
      <c r="N1498" s="50"/>
      <c r="O1498" s="50"/>
      <c r="P1498" s="50"/>
      <c r="Q1498" s="50"/>
    </row>
    <row r="1499" spans="1:20" ht="5.25" customHeight="1" x14ac:dyDescent="0.25">
      <c r="A1499" s="50"/>
      <c r="B1499" s="50"/>
      <c r="C1499" s="50"/>
      <c r="D1499" s="50"/>
      <c r="E1499" s="50"/>
      <c r="F1499" s="50"/>
      <c r="G1499" s="50"/>
      <c r="H1499" s="50"/>
      <c r="I1499" s="50"/>
      <c r="J1499" s="50"/>
      <c r="K1499" s="50"/>
      <c r="L1499" s="50"/>
      <c r="M1499" s="50"/>
      <c r="N1499" s="50"/>
      <c r="O1499" s="50"/>
      <c r="P1499" s="50"/>
      <c r="Q1499" s="50"/>
    </row>
    <row r="1500" spans="1:20" ht="16.5" customHeight="1" x14ac:dyDescent="0.25">
      <c r="A1500" s="54" t="s">
        <v>195</v>
      </c>
      <c r="B1500" s="54"/>
      <c r="C1500" s="54"/>
      <c r="D1500" s="54"/>
      <c r="E1500" s="54"/>
      <c r="F1500" s="54"/>
      <c r="G1500" s="58" t="s">
        <v>196</v>
      </c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</row>
    <row r="1501" spans="1:20" ht="16.5" customHeight="1" x14ac:dyDescent="0.25">
      <c r="A1501" s="54" t="s">
        <v>197</v>
      </c>
      <c r="B1501" s="54"/>
      <c r="C1501" s="54"/>
      <c r="D1501" s="54"/>
      <c r="E1501" s="54"/>
      <c r="F1501" s="54"/>
      <c r="G1501" s="8" t="s">
        <v>46</v>
      </c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T1501" s="2"/>
    </row>
    <row r="1502" spans="1:20" ht="16.5" customHeight="1" x14ac:dyDescent="0.25">
      <c r="A1502" s="54" t="s">
        <v>47</v>
      </c>
      <c r="B1502" s="54"/>
      <c r="C1502" s="54"/>
      <c r="D1502" s="54"/>
      <c r="E1502" s="54"/>
      <c r="F1502" s="54"/>
      <c r="G1502" s="58" t="s">
        <v>48</v>
      </c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</row>
    <row r="1503" spans="1:20" ht="5.25" customHeight="1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19"/>
      <c r="K1503" s="19"/>
      <c r="L1503" s="19"/>
      <c r="M1503" s="19"/>
      <c r="N1503" s="19"/>
      <c r="O1503" s="19"/>
      <c r="P1503" s="19"/>
      <c r="Q1503" s="19"/>
    </row>
    <row r="1504" spans="1:20" ht="15" customHeight="1" x14ac:dyDescent="0.25">
      <c r="A1504" s="36" t="s">
        <v>0</v>
      </c>
      <c r="B1504" s="29" t="s">
        <v>1</v>
      </c>
      <c r="C1504" s="30"/>
      <c r="D1504" s="30"/>
      <c r="E1504" s="30"/>
      <c r="F1504" s="30"/>
      <c r="G1504" s="31"/>
      <c r="H1504" s="36" t="s">
        <v>32</v>
      </c>
      <c r="I1504" s="36" t="s">
        <v>39</v>
      </c>
      <c r="J1504" s="55" t="s">
        <v>2</v>
      </c>
      <c r="K1504" s="56"/>
      <c r="L1504" s="56"/>
      <c r="M1504" s="56"/>
      <c r="N1504" s="56"/>
      <c r="O1504" s="56"/>
      <c r="P1504" s="56"/>
      <c r="Q1504" s="57"/>
      <c r="S1504" s="36" t="s">
        <v>38</v>
      </c>
    </row>
    <row r="1505" spans="1:19" ht="24" customHeight="1" x14ac:dyDescent="0.25">
      <c r="A1505" s="37"/>
      <c r="B1505" s="32"/>
      <c r="C1505" s="33"/>
      <c r="D1505" s="33"/>
      <c r="E1505" s="33"/>
      <c r="F1505" s="33"/>
      <c r="G1505" s="34"/>
      <c r="H1505" s="37"/>
      <c r="I1505" s="37"/>
      <c r="J1505" s="7" t="s">
        <v>28</v>
      </c>
      <c r="K1505" s="7" t="s">
        <v>29</v>
      </c>
      <c r="L1505" s="7" t="s">
        <v>30</v>
      </c>
      <c r="M1505" s="7"/>
      <c r="N1505" s="7"/>
      <c r="O1505" s="6" t="s">
        <v>35</v>
      </c>
      <c r="P1505" s="6" t="s">
        <v>36</v>
      </c>
      <c r="Q1505" s="6" t="s">
        <v>37</v>
      </c>
      <c r="S1505" s="37"/>
    </row>
    <row r="1506" spans="1:19" ht="20.25" customHeight="1" x14ac:dyDescent="0.25">
      <c r="A1506" s="27" t="s">
        <v>54</v>
      </c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</row>
    <row r="1507" spans="1:19" ht="16.5" customHeight="1" x14ac:dyDescent="0.25">
      <c r="A1507" s="9"/>
      <c r="B1507" s="51" t="s">
        <v>61</v>
      </c>
      <c r="C1507" s="52"/>
      <c r="D1507" s="52"/>
      <c r="E1507" s="52"/>
      <c r="F1507" s="52"/>
      <c r="G1507" s="53"/>
      <c r="H1507" s="20"/>
      <c r="I1507" s="9">
        <v>1</v>
      </c>
      <c r="J1507" s="9"/>
      <c r="K1507" s="9"/>
      <c r="L1507" s="9"/>
      <c r="M1507" s="9">
        <f t="shared" ref="M1507:M1515" si="196">I1507*O1507</f>
        <v>6.4</v>
      </c>
      <c r="N1507" s="9">
        <f t="shared" ref="N1507:N1515" si="197">I1507*P1507</f>
        <v>2</v>
      </c>
      <c r="O1507" s="9">
        <v>6.4</v>
      </c>
      <c r="P1507" s="9">
        <v>2</v>
      </c>
      <c r="Q1507" s="9" t="s">
        <v>3</v>
      </c>
      <c r="R1507" s="1">
        <v>0</v>
      </c>
      <c r="S1507" s="26"/>
    </row>
    <row r="1508" spans="1:19" ht="16.5" customHeight="1" x14ac:dyDescent="0.25">
      <c r="A1508" s="9"/>
      <c r="B1508" s="51" t="s">
        <v>56</v>
      </c>
      <c r="C1508" s="52"/>
      <c r="D1508" s="52"/>
      <c r="E1508" s="52"/>
      <c r="F1508" s="52"/>
      <c r="G1508" s="53"/>
      <c r="H1508" s="20"/>
      <c r="I1508" s="9">
        <v>3</v>
      </c>
      <c r="J1508" s="9"/>
      <c r="K1508" s="9"/>
      <c r="L1508" s="9"/>
      <c r="M1508" s="9">
        <f t="shared" si="196"/>
        <v>9</v>
      </c>
      <c r="N1508" s="9">
        <f t="shared" si="197"/>
        <v>0</v>
      </c>
      <c r="O1508" s="9">
        <v>3</v>
      </c>
      <c r="P1508" s="9">
        <v>0</v>
      </c>
      <c r="Q1508" s="9" t="s">
        <v>7</v>
      </c>
      <c r="R1508" s="1">
        <v>0</v>
      </c>
      <c r="S1508" s="26"/>
    </row>
    <row r="1509" spans="1:19" ht="31.2" customHeight="1" x14ac:dyDescent="0.25">
      <c r="A1509" s="9"/>
      <c r="B1509" s="51" t="s">
        <v>57</v>
      </c>
      <c r="C1509" s="52"/>
      <c r="D1509" s="52"/>
      <c r="E1509" s="52"/>
      <c r="F1509" s="52"/>
      <c r="G1509" s="53"/>
      <c r="H1509" s="20"/>
      <c r="I1509" s="9">
        <v>3</v>
      </c>
      <c r="J1509" s="9"/>
      <c r="K1509" s="9"/>
      <c r="L1509" s="9"/>
      <c r="M1509" s="9">
        <f t="shared" si="196"/>
        <v>21.299999999999997</v>
      </c>
      <c r="N1509" s="9">
        <f t="shared" si="197"/>
        <v>9</v>
      </c>
      <c r="O1509" s="9">
        <v>7.1</v>
      </c>
      <c r="P1509" s="9">
        <v>3</v>
      </c>
      <c r="Q1509" s="9" t="s">
        <v>6</v>
      </c>
      <c r="R1509" s="1">
        <v>0</v>
      </c>
      <c r="S1509" s="26"/>
    </row>
    <row r="1510" spans="1:19" ht="16.5" customHeight="1" x14ac:dyDescent="0.25">
      <c r="A1510" s="9"/>
      <c r="B1510" s="51" t="s">
        <v>58</v>
      </c>
      <c r="C1510" s="52"/>
      <c r="D1510" s="52"/>
      <c r="E1510" s="52"/>
      <c r="F1510" s="52"/>
      <c r="G1510" s="53"/>
      <c r="H1510" s="20"/>
      <c r="I1510" s="9">
        <v>1</v>
      </c>
      <c r="J1510" s="9"/>
      <c r="K1510" s="9"/>
      <c r="L1510" s="9"/>
      <c r="M1510" s="9">
        <f t="shared" si="196"/>
        <v>7.3</v>
      </c>
      <c r="N1510" s="9">
        <f t="shared" si="197"/>
        <v>3</v>
      </c>
      <c r="O1510" s="9">
        <v>7.3</v>
      </c>
      <c r="P1510" s="9">
        <v>3</v>
      </c>
      <c r="Q1510" s="9" t="s">
        <v>6</v>
      </c>
      <c r="R1510" s="1">
        <v>0</v>
      </c>
      <c r="S1510" s="26"/>
    </row>
    <row r="1511" spans="1:19" ht="16.5" customHeight="1" x14ac:dyDescent="0.25">
      <c r="A1511" s="9"/>
      <c r="B1511" s="51" t="s">
        <v>59</v>
      </c>
      <c r="C1511" s="52"/>
      <c r="D1511" s="52"/>
      <c r="E1511" s="52"/>
      <c r="F1511" s="52"/>
      <c r="G1511" s="53"/>
      <c r="H1511" s="20"/>
      <c r="I1511" s="9">
        <v>1</v>
      </c>
      <c r="J1511" s="9"/>
      <c r="K1511" s="9"/>
      <c r="L1511" s="9"/>
      <c r="M1511" s="9">
        <f t="shared" si="196"/>
        <v>8</v>
      </c>
      <c r="N1511" s="9">
        <f t="shared" si="197"/>
        <v>3.5</v>
      </c>
      <c r="O1511" s="9">
        <v>8</v>
      </c>
      <c r="P1511" s="9">
        <v>3.5</v>
      </c>
      <c r="Q1511" s="9" t="s">
        <v>9</v>
      </c>
      <c r="R1511" s="1">
        <v>0</v>
      </c>
      <c r="S1511" s="26"/>
    </row>
    <row r="1512" spans="1:19" ht="16.5" customHeight="1" x14ac:dyDescent="0.25">
      <c r="A1512" s="9"/>
      <c r="B1512" s="51" t="s">
        <v>60</v>
      </c>
      <c r="C1512" s="52"/>
      <c r="D1512" s="52"/>
      <c r="E1512" s="52"/>
      <c r="F1512" s="52"/>
      <c r="G1512" s="53"/>
      <c r="H1512" s="20"/>
      <c r="I1512" s="9">
        <v>3</v>
      </c>
      <c r="J1512" s="9"/>
      <c r="K1512" s="9"/>
      <c r="L1512" s="9"/>
      <c r="M1512" s="9">
        <f t="shared" si="196"/>
        <v>23.4</v>
      </c>
      <c r="N1512" s="9">
        <f t="shared" si="197"/>
        <v>9</v>
      </c>
      <c r="O1512" s="9">
        <v>7.8</v>
      </c>
      <c r="P1512" s="9">
        <v>3</v>
      </c>
      <c r="Q1512" s="9" t="s">
        <v>6</v>
      </c>
      <c r="R1512" s="1">
        <v>0</v>
      </c>
      <c r="S1512" s="26"/>
    </row>
    <row r="1513" spans="1:19" ht="16.5" customHeight="1" x14ac:dyDescent="0.25">
      <c r="A1513" s="9"/>
      <c r="B1513" s="51" t="s">
        <v>55</v>
      </c>
      <c r="C1513" s="52"/>
      <c r="D1513" s="52"/>
      <c r="E1513" s="52"/>
      <c r="F1513" s="52"/>
      <c r="G1513" s="53"/>
      <c r="H1513" s="20"/>
      <c r="I1513" s="9">
        <v>2</v>
      </c>
      <c r="J1513" s="9"/>
      <c r="K1513" s="9"/>
      <c r="L1513" s="9"/>
      <c r="M1513" s="9">
        <f t="shared" si="196"/>
        <v>15.2</v>
      </c>
      <c r="N1513" s="9">
        <f t="shared" si="197"/>
        <v>6</v>
      </c>
      <c r="O1513" s="9">
        <v>7.6</v>
      </c>
      <c r="P1513" s="9">
        <v>3</v>
      </c>
      <c r="Q1513" s="9" t="s">
        <v>6</v>
      </c>
      <c r="R1513" s="1">
        <v>0</v>
      </c>
      <c r="S1513" s="26"/>
    </row>
    <row r="1514" spans="1:19" ht="16.5" hidden="1" customHeight="1" x14ac:dyDescent="0.25">
      <c r="A1514" s="21"/>
      <c r="H1514" s="21"/>
      <c r="I1514" s="21"/>
      <c r="J1514" s="21"/>
      <c r="K1514" s="21"/>
      <c r="L1514" s="21"/>
      <c r="M1514" s="9">
        <f t="shared" si="196"/>
        <v>0</v>
      </c>
      <c r="N1514" s="9">
        <f t="shared" si="197"/>
        <v>0</v>
      </c>
      <c r="O1514" s="21"/>
      <c r="P1514" s="21"/>
      <c r="Q1514" s="21"/>
      <c r="S1514" s="25"/>
    </row>
    <row r="1515" spans="1:19" ht="16.5" customHeight="1" x14ac:dyDescent="0.25">
      <c r="A1515" s="9"/>
      <c r="B1515" s="39" t="s">
        <v>42</v>
      </c>
      <c r="C1515" s="40"/>
      <c r="D1515" s="40"/>
      <c r="E1515" s="40"/>
      <c r="F1515" s="40"/>
      <c r="G1515" s="41"/>
      <c r="H1515" s="23"/>
      <c r="I1515" s="24">
        <f>SUM(I1507:I1514)</f>
        <v>14</v>
      </c>
      <c r="J1515" s="9"/>
      <c r="K1515" s="9"/>
      <c r="L1515" s="9"/>
      <c r="M1515" s="9">
        <f t="shared" si="196"/>
        <v>90.58</v>
      </c>
      <c r="N1515" s="9">
        <f t="shared" si="197"/>
        <v>32.479999999999997</v>
      </c>
      <c r="O1515" s="24">
        <f>ROUND(SUM(M1507:M1514)/I1515,2)</f>
        <v>6.47</v>
      </c>
      <c r="P1515" s="24">
        <f>ROUND(SUM(N1507:N1514)/I1515,2)</f>
        <v>2.3199999999999998</v>
      </c>
      <c r="Q1515" s="9"/>
      <c r="S1515" s="25"/>
    </row>
    <row r="1516" spans="1:19" ht="20.25" customHeight="1" x14ac:dyDescent="0.25">
      <c r="A1516" s="27" t="s">
        <v>62</v>
      </c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</row>
    <row r="1517" spans="1:19" ht="16.5" customHeight="1" x14ac:dyDescent="0.25">
      <c r="A1517" s="9"/>
      <c r="B1517" s="51" t="s">
        <v>63</v>
      </c>
      <c r="C1517" s="52"/>
      <c r="D1517" s="52"/>
      <c r="E1517" s="52"/>
      <c r="F1517" s="52"/>
      <c r="G1517" s="53"/>
      <c r="H1517" s="20"/>
      <c r="I1517" s="9">
        <v>4</v>
      </c>
      <c r="J1517" s="9"/>
      <c r="K1517" s="9"/>
      <c r="L1517" s="9"/>
      <c r="M1517" s="9">
        <f t="shared" ref="M1517:M1525" si="198">I1517*O1517</f>
        <v>21.2</v>
      </c>
      <c r="N1517" s="9">
        <f t="shared" ref="N1517:N1525" si="199">I1517*P1517</f>
        <v>6</v>
      </c>
      <c r="O1517" s="9">
        <v>5.3</v>
      </c>
      <c r="P1517" s="9">
        <v>1.5</v>
      </c>
      <c r="Q1517" s="9" t="s">
        <v>4</v>
      </c>
      <c r="R1517" s="1">
        <v>0</v>
      </c>
      <c r="S1517" s="26"/>
    </row>
    <row r="1518" spans="1:19" ht="16.5" customHeight="1" x14ac:dyDescent="0.25">
      <c r="A1518" s="9"/>
      <c r="B1518" s="51" t="s">
        <v>64</v>
      </c>
      <c r="C1518" s="52"/>
      <c r="D1518" s="52"/>
      <c r="E1518" s="52"/>
      <c r="F1518" s="52"/>
      <c r="G1518" s="53"/>
      <c r="H1518" s="20"/>
      <c r="I1518" s="9">
        <v>4</v>
      </c>
      <c r="J1518" s="9"/>
      <c r="K1518" s="9"/>
      <c r="L1518" s="9"/>
      <c r="M1518" s="9">
        <f t="shared" si="198"/>
        <v>10</v>
      </c>
      <c r="N1518" s="9">
        <f t="shared" si="199"/>
        <v>0</v>
      </c>
      <c r="O1518" s="9">
        <v>2.5</v>
      </c>
      <c r="P1518" s="9">
        <v>0</v>
      </c>
      <c r="Q1518" s="9" t="s">
        <v>7</v>
      </c>
      <c r="R1518" s="1">
        <v>0</v>
      </c>
      <c r="S1518" s="26"/>
    </row>
    <row r="1519" spans="1:19" ht="16.5" customHeight="1" x14ac:dyDescent="0.25">
      <c r="A1519" s="9"/>
      <c r="B1519" s="51" t="s">
        <v>65</v>
      </c>
      <c r="C1519" s="52"/>
      <c r="D1519" s="52"/>
      <c r="E1519" s="52"/>
      <c r="F1519" s="52"/>
      <c r="G1519" s="53"/>
      <c r="H1519" s="20"/>
      <c r="I1519" s="9">
        <v>4</v>
      </c>
      <c r="J1519" s="9"/>
      <c r="K1519" s="9"/>
      <c r="L1519" s="9"/>
      <c r="M1519" s="9">
        <f t="shared" si="198"/>
        <v>27.2</v>
      </c>
      <c r="N1519" s="9">
        <f t="shared" si="199"/>
        <v>10</v>
      </c>
      <c r="O1519" s="9">
        <v>6.8</v>
      </c>
      <c r="P1519" s="9">
        <v>2.5</v>
      </c>
      <c r="Q1519" s="9" t="s">
        <v>5</v>
      </c>
      <c r="R1519" s="1">
        <v>0</v>
      </c>
      <c r="S1519" s="26"/>
    </row>
    <row r="1520" spans="1:19" ht="16.5" customHeight="1" x14ac:dyDescent="0.25">
      <c r="A1520" s="9"/>
      <c r="B1520" s="51" t="s">
        <v>66</v>
      </c>
      <c r="C1520" s="52"/>
      <c r="D1520" s="52"/>
      <c r="E1520" s="52"/>
      <c r="F1520" s="52"/>
      <c r="G1520" s="53"/>
      <c r="H1520" s="20"/>
      <c r="I1520" s="9">
        <v>1</v>
      </c>
      <c r="J1520" s="9"/>
      <c r="K1520" s="9"/>
      <c r="L1520" s="9"/>
      <c r="M1520" s="9">
        <f t="shared" si="198"/>
        <v>7.4</v>
      </c>
      <c r="N1520" s="9">
        <f t="shared" si="199"/>
        <v>3</v>
      </c>
      <c r="O1520" s="9">
        <v>7.4</v>
      </c>
      <c r="P1520" s="9">
        <v>3</v>
      </c>
      <c r="Q1520" s="9" t="s">
        <v>6</v>
      </c>
      <c r="R1520" s="1">
        <v>0</v>
      </c>
      <c r="S1520" s="26"/>
    </row>
    <row r="1521" spans="1:19" ht="16.5" customHeight="1" x14ac:dyDescent="0.25">
      <c r="A1521" s="9"/>
      <c r="B1521" s="51" t="s">
        <v>67</v>
      </c>
      <c r="C1521" s="52"/>
      <c r="D1521" s="52"/>
      <c r="E1521" s="52"/>
      <c r="F1521" s="52"/>
      <c r="G1521" s="53"/>
      <c r="H1521" s="20"/>
      <c r="I1521" s="9">
        <v>1</v>
      </c>
      <c r="J1521" s="9"/>
      <c r="K1521" s="9"/>
      <c r="L1521" s="9"/>
      <c r="M1521" s="9">
        <f t="shared" si="198"/>
        <v>7.3</v>
      </c>
      <c r="N1521" s="9">
        <f t="shared" si="199"/>
        <v>3</v>
      </c>
      <c r="O1521" s="9">
        <v>7.3</v>
      </c>
      <c r="P1521" s="9">
        <v>3</v>
      </c>
      <c r="Q1521" s="9" t="s">
        <v>6</v>
      </c>
      <c r="R1521" s="1">
        <v>0</v>
      </c>
      <c r="S1521" s="26"/>
    </row>
    <row r="1522" spans="1:19" ht="16.5" customHeight="1" x14ac:dyDescent="0.25">
      <c r="A1522" s="9"/>
      <c r="B1522" s="51" t="s">
        <v>69</v>
      </c>
      <c r="C1522" s="52"/>
      <c r="D1522" s="52"/>
      <c r="E1522" s="52"/>
      <c r="F1522" s="52"/>
      <c r="G1522" s="53"/>
      <c r="H1522" s="20"/>
      <c r="I1522" s="9">
        <v>1</v>
      </c>
      <c r="J1522" s="9"/>
      <c r="K1522" s="9"/>
      <c r="L1522" s="9"/>
      <c r="M1522" s="9">
        <f t="shared" si="198"/>
        <v>7</v>
      </c>
      <c r="N1522" s="9">
        <f t="shared" si="199"/>
        <v>3</v>
      </c>
      <c r="O1522" s="9">
        <v>7</v>
      </c>
      <c r="P1522" s="9">
        <v>3</v>
      </c>
      <c r="Q1522" s="9" t="s">
        <v>6</v>
      </c>
      <c r="R1522" s="1">
        <v>0</v>
      </c>
      <c r="S1522" s="26"/>
    </row>
    <row r="1523" spans="1:19" ht="16.5" customHeight="1" x14ac:dyDescent="0.25">
      <c r="A1523" s="9"/>
      <c r="B1523" s="51" t="s">
        <v>68</v>
      </c>
      <c r="C1523" s="52"/>
      <c r="D1523" s="52"/>
      <c r="E1523" s="52"/>
      <c r="F1523" s="52"/>
      <c r="G1523" s="53"/>
      <c r="H1523" s="20"/>
      <c r="I1523" s="9">
        <v>1</v>
      </c>
      <c r="J1523" s="9"/>
      <c r="K1523" s="9"/>
      <c r="L1523" s="9"/>
      <c r="M1523" s="9">
        <f t="shared" si="198"/>
        <v>7.8</v>
      </c>
      <c r="N1523" s="9">
        <f t="shared" si="199"/>
        <v>3</v>
      </c>
      <c r="O1523" s="9">
        <v>7.8</v>
      </c>
      <c r="P1523" s="9">
        <v>3</v>
      </c>
      <c r="Q1523" s="9" t="s">
        <v>6</v>
      </c>
      <c r="R1523" s="1">
        <v>0</v>
      </c>
      <c r="S1523" s="26"/>
    </row>
    <row r="1524" spans="1:19" ht="16.5" hidden="1" customHeight="1" x14ac:dyDescent="0.25">
      <c r="A1524" s="21"/>
      <c r="H1524" s="21"/>
      <c r="I1524" s="21"/>
      <c r="J1524" s="21"/>
      <c r="K1524" s="21"/>
      <c r="L1524" s="21"/>
      <c r="M1524" s="9">
        <f t="shared" si="198"/>
        <v>0</v>
      </c>
      <c r="N1524" s="9">
        <f t="shared" si="199"/>
        <v>0</v>
      </c>
      <c r="O1524" s="21"/>
      <c r="P1524" s="21"/>
      <c r="Q1524" s="21"/>
      <c r="S1524" s="25"/>
    </row>
    <row r="1525" spans="1:19" ht="16.5" customHeight="1" x14ac:dyDescent="0.25">
      <c r="A1525" s="9"/>
      <c r="B1525" s="39" t="s">
        <v>42</v>
      </c>
      <c r="C1525" s="40"/>
      <c r="D1525" s="40"/>
      <c r="E1525" s="40"/>
      <c r="F1525" s="40"/>
      <c r="G1525" s="41"/>
      <c r="H1525" s="23"/>
      <c r="I1525" s="24">
        <f>SUM(I1517:I1524)</f>
        <v>16</v>
      </c>
      <c r="J1525" s="9"/>
      <c r="K1525" s="9"/>
      <c r="L1525" s="9"/>
      <c r="M1525" s="9">
        <f t="shared" si="198"/>
        <v>87.84</v>
      </c>
      <c r="N1525" s="9">
        <f t="shared" si="199"/>
        <v>28</v>
      </c>
      <c r="O1525" s="24">
        <f>ROUND(SUM(M1517:M1524)/I1525,2)</f>
        <v>5.49</v>
      </c>
      <c r="P1525" s="24">
        <f>ROUND(SUM(N1517:N1524)/I1525,2)</f>
        <v>1.75</v>
      </c>
      <c r="Q1525" s="9"/>
      <c r="S1525" s="25"/>
    </row>
    <row r="1526" spans="1:19" ht="20.25" customHeight="1" x14ac:dyDescent="0.25">
      <c r="A1526" s="27" t="s">
        <v>145</v>
      </c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</row>
    <row r="1527" spans="1:19" ht="16.5" customHeight="1" x14ac:dyDescent="0.25">
      <c r="A1527" s="9"/>
      <c r="B1527" s="51" t="s">
        <v>56</v>
      </c>
      <c r="C1527" s="52"/>
      <c r="D1527" s="52"/>
      <c r="E1527" s="52"/>
      <c r="F1527" s="52"/>
      <c r="G1527" s="53"/>
      <c r="H1527" s="20"/>
      <c r="I1527" s="9">
        <v>3</v>
      </c>
      <c r="J1527" s="9"/>
      <c r="K1527" s="9"/>
      <c r="L1527" s="9"/>
      <c r="M1527" s="9">
        <f>I1527*O1527</f>
        <v>7.5</v>
      </c>
      <c r="N1527" s="9">
        <f>I1527*P1527</f>
        <v>0</v>
      </c>
      <c r="O1527" s="9">
        <v>2.5</v>
      </c>
      <c r="P1527" s="9">
        <v>0</v>
      </c>
      <c r="Q1527" s="9" t="s">
        <v>7</v>
      </c>
      <c r="R1527" s="1">
        <v>6</v>
      </c>
      <c r="S1527" s="26" t="s">
        <v>132</v>
      </c>
    </row>
    <row r="1528" spans="1:19" ht="16.5" hidden="1" customHeight="1" x14ac:dyDescent="0.25">
      <c r="A1528" s="21"/>
      <c r="H1528" s="21"/>
      <c r="I1528" s="21"/>
      <c r="J1528" s="21"/>
      <c r="K1528" s="21"/>
      <c r="L1528" s="21"/>
      <c r="M1528" s="9">
        <f>I1528*O1528</f>
        <v>0</v>
      </c>
      <c r="N1528" s="9">
        <f>I1528*P1528</f>
        <v>0</v>
      </c>
      <c r="O1528" s="21"/>
      <c r="P1528" s="21"/>
      <c r="Q1528" s="21"/>
      <c r="S1528" s="25"/>
    </row>
    <row r="1529" spans="1:19" ht="16.5" customHeight="1" x14ac:dyDescent="0.25">
      <c r="A1529" s="9"/>
      <c r="B1529" s="39" t="s">
        <v>42</v>
      </c>
      <c r="C1529" s="40"/>
      <c r="D1529" s="40"/>
      <c r="E1529" s="40"/>
      <c r="F1529" s="40"/>
      <c r="G1529" s="41"/>
      <c r="H1529" s="23"/>
      <c r="I1529" s="24">
        <f>SUM(I1527:I1528)</f>
        <v>3</v>
      </c>
      <c r="J1529" s="9"/>
      <c r="K1529" s="9"/>
      <c r="L1529" s="9"/>
      <c r="M1529" s="9">
        <f>I1529*O1529</f>
        <v>7.5</v>
      </c>
      <c r="N1529" s="9">
        <f>I1529*P1529</f>
        <v>0</v>
      </c>
      <c r="O1529" s="24">
        <f>ROUND(SUM(M1527:M1528)/I1529,2)</f>
        <v>2.5</v>
      </c>
      <c r="P1529" s="24">
        <f>ROUND(SUM(N1527:N1528)/I1529,2)</f>
        <v>0</v>
      </c>
      <c r="Q1529" s="9"/>
      <c r="S1529" s="25"/>
    </row>
    <row r="1530" spans="1:19" ht="20.25" customHeight="1" x14ac:dyDescent="0.25">
      <c r="A1530" s="27" t="s">
        <v>131</v>
      </c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</row>
    <row r="1531" spans="1:19" ht="16.5" customHeight="1" x14ac:dyDescent="0.25">
      <c r="A1531" s="9"/>
      <c r="B1531" s="51" t="s">
        <v>64</v>
      </c>
      <c r="C1531" s="52"/>
      <c r="D1531" s="52"/>
      <c r="E1531" s="52"/>
      <c r="F1531" s="52"/>
      <c r="G1531" s="53"/>
      <c r="H1531" s="20"/>
      <c r="I1531" s="9">
        <v>4</v>
      </c>
      <c r="J1531" s="9"/>
      <c r="K1531" s="9"/>
      <c r="L1531" s="9"/>
      <c r="M1531" s="9">
        <f>I1531*O1531</f>
        <v>23.6</v>
      </c>
      <c r="N1531" s="9">
        <f>I1531*P1531</f>
        <v>8</v>
      </c>
      <c r="O1531" s="9">
        <v>5.9</v>
      </c>
      <c r="P1531" s="9">
        <v>2</v>
      </c>
      <c r="Q1531" s="9" t="s">
        <v>3</v>
      </c>
      <c r="R1531" s="1">
        <v>6</v>
      </c>
      <c r="S1531" s="26" t="s">
        <v>132</v>
      </c>
    </row>
    <row r="1532" spans="1:19" ht="16.5" customHeight="1" x14ac:dyDescent="0.25">
      <c r="A1532" s="9"/>
      <c r="B1532" s="51" t="s">
        <v>56</v>
      </c>
      <c r="C1532" s="52"/>
      <c r="D1532" s="52"/>
      <c r="E1532" s="52"/>
      <c r="F1532" s="52"/>
      <c r="G1532" s="53"/>
      <c r="H1532" s="20"/>
      <c r="I1532" s="9">
        <v>3</v>
      </c>
      <c r="J1532" s="9"/>
      <c r="K1532" s="9"/>
      <c r="L1532" s="9"/>
      <c r="M1532" s="9">
        <f>I1532*O1532</f>
        <v>14.700000000000001</v>
      </c>
      <c r="N1532" s="9">
        <f>I1532*P1532</f>
        <v>3</v>
      </c>
      <c r="O1532" s="9">
        <v>4.9000000000000004</v>
      </c>
      <c r="P1532" s="9">
        <v>1</v>
      </c>
      <c r="Q1532" s="9" t="s">
        <v>8</v>
      </c>
      <c r="R1532" s="1">
        <v>4</v>
      </c>
      <c r="S1532" s="26" t="s">
        <v>200</v>
      </c>
    </row>
    <row r="1533" spans="1:19" ht="16.5" hidden="1" customHeight="1" x14ac:dyDescent="0.25">
      <c r="A1533" s="21"/>
      <c r="H1533" s="21"/>
      <c r="I1533" s="21"/>
      <c r="J1533" s="21"/>
      <c r="K1533" s="21"/>
      <c r="L1533" s="21"/>
      <c r="M1533" s="9">
        <f>I1533*O1533</f>
        <v>0</v>
      </c>
      <c r="N1533" s="9">
        <f>I1533*P1533</f>
        <v>0</v>
      </c>
      <c r="O1533" s="21"/>
      <c r="P1533" s="21"/>
      <c r="Q1533" s="21"/>
      <c r="S1533" s="25"/>
    </row>
    <row r="1534" spans="1:19" ht="16.5" customHeight="1" x14ac:dyDescent="0.25">
      <c r="A1534" s="9"/>
      <c r="B1534" s="39" t="s">
        <v>42</v>
      </c>
      <c r="C1534" s="40"/>
      <c r="D1534" s="40"/>
      <c r="E1534" s="40"/>
      <c r="F1534" s="40"/>
      <c r="G1534" s="41"/>
      <c r="H1534" s="23"/>
      <c r="I1534" s="24">
        <f>SUM(I1531:I1533)</f>
        <v>7</v>
      </c>
      <c r="J1534" s="9"/>
      <c r="K1534" s="9"/>
      <c r="L1534" s="9"/>
      <c r="M1534" s="9">
        <f>I1534*O1534</f>
        <v>38.29</v>
      </c>
      <c r="N1534" s="9">
        <f>I1534*P1534</f>
        <v>10.99</v>
      </c>
      <c r="O1534" s="24">
        <f>ROUND(SUM(M1531:M1533)/I1534,2)</f>
        <v>5.47</v>
      </c>
      <c r="P1534" s="24">
        <f>ROUND(SUM(N1531:N1533)/I1534,2)</f>
        <v>1.57</v>
      </c>
      <c r="Q1534" s="9"/>
      <c r="S1534" s="25"/>
    </row>
    <row r="1535" spans="1:19" ht="20.25" customHeight="1" x14ac:dyDescent="0.25">
      <c r="A1535" s="27" t="s">
        <v>70</v>
      </c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</row>
    <row r="1536" spans="1:19" ht="16.5" customHeight="1" x14ac:dyDescent="0.25">
      <c r="A1536" s="9"/>
      <c r="B1536" s="51" t="s">
        <v>73</v>
      </c>
      <c r="C1536" s="52"/>
      <c r="D1536" s="52"/>
      <c r="E1536" s="52"/>
      <c r="F1536" s="52"/>
      <c r="G1536" s="53"/>
      <c r="H1536" s="20"/>
      <c r="I1536" s="9">
        <v>1</v>
      </c>
      <c r="J1536" s="9"/>
      <c r="K1536" s="9"/>
      <c r="L1536" s="9"/>
      <c r="M1536" s="9">
        <f t="shared" ref="M1536:M1543" si="200">I1536*O1536</f>
        <v>7.3</v>
      </c>
      <c r="N1536" s="9">
        <f t="shared" ref="N1536:N1543" si="201">I1536*P1536</f>
        <v>3</v>
      </c>
      <c r="O1536" s="9">
        <v>7.3</v>
      </c>
      <c r="P1536" s="9">
        <v>3</v>
      </c>
      <c r="Q1536" s="9" t="s">
        <v>6</v>
      </c>
      <c r="R1536" s="1">
        <v>0</v>
      </c>
      <c r="S1536" s="26"/>
    </row>
    <row r="1537" spans="1:19" ht="16.5" customHeight="1" x14ac:dyDescent="0.25">
      <c r="A1537" s="9"/>
      <c r="B1537" s="51" t="s">
        <v>74</v>
      </c>
      <c r="C1537" s="52"/>
      <c r="D1537" s="52"/>
      <c r="E1537" s="52"/>
      <c r="F1537" s="52"/>
      <c r="G1537" s="53"/>
      <c r="H1537" s="20"/>
      <c r="I1537" s="9">
        <v>2</v>
      </c>
      <c r="J1537" s="9"/>
      <c r="K1537" s="9"/>
      <c r="L1537" s="9"/>
      <c r="M1537" s="9">
        <f t="shared" si="200"/>
        <v>11.6</v>
      </c>
      <c r="N1537" s="9">
        <f t="shared" si="201"/>
        <v>4</v>
      </c>
      <c r="O1537" s="9">
        <v>5.8</v>
      </c>
      <c r="P1537" s="9">
        <v>2</v>
      </c>
      <c r="Q1537" s="9" t="s">
        <v>3</v>
      </c>
      <c r="R1537" s="1">
        <v>0</v>
      </c>
      <c r="S1537" s="26"/>
    </row>
    <row r="1538" spans="1:19" ht="16.5" customHeight="1" x14ac:dyDescent="0.25">
      <c r="A1538" s="9"/>
      <c r="B1538" s="51" t="s">
        <v>71</v>
      </c>
      <c r="C1538" s="52"/>
      <c r="D1538" s="52"/>
      <c r="E1538" s="52"/>
      <c r="F1538" s="52"/>
      <c r="G1538" s="53"/>
      <c r="H1538" s="20"/>
      <c r="I1538" s="9">
        <v>4</v>
      </c>
      <c r="J1538" s="9"/>
      <c r="K1538" s="9"/>
      <c r="L1538" s="9"/>
      <c r="M1538" s="9">
        <f t="shared" si="200"/>
        <v>4</v>
      </c>
      <c r="N1538" s="9">
        <f t="shared" si="201"/>
        <v>0</v>
      </c>
      <c r="O1538" s="9">
        <v>1</v>
      </c>
      <c r="P1538" s="9">
        <v>0</v>
      </c>
      <c r="Q1538" s="9" t="s">
        <v>7</v>
      </c>
      <c r="R1538" s="1">
        <v>0</v>
      </c>
      <c r="S1538" s="26"/>
    </row>
    <row r="1539" spans="1:19" ht="16.5" customHeight="1" x14ac:dyDescent="0.25">
      <c r="A1539" s="9"/>
      <c r="B1539" s="51" t="s">
        <v>72</v>
      </c>
      <c r="C1539" s="52"/>
      <c r="D1539" s="52"/>
      <c r="E1539" s="52"/>
      <c r="F1539" s="52"/>
      <c r="G1539" s="53"/>
      <c r="H1539" s="20"/>
      <c r="I1539" s="9">
        <v>4</v>
      </c>
      <c r="J1539" s="9"/>
      <c r="K1539" s="9"/>
      <c r="L1539" s="9"/>
      <c r="M1539" s="9">
        <f t="shared" si="200"/>
        <v>25.6</v>
      </c>
      <c r="N1539" s="9">
        <f t="shared" si="201"/>
        <v>8</v>
      </c>
      <c r="O1539" s="9">
        <v>6.4</v>
      </c>
      <c r="P1539" s="9">
        <v>2</v>
      </c>
      <c r="Q1539" s="9" t="s">
        <v>3</v>
      </c>
      <c r="R1539" s="1">
        <v>0</v>
      </c>
      <c r="S1539" s="26"/>
    </row>
    <row r="1540" spans="1:19" ht="16.5" customHeight="1" x14ac:dyDescent="0.25">
      <c r="A1540" s="9"/>
      <c r="B1540" s="51" t="s">
        <v>75</v>
      </c>
      <c r="C1540" s="52"/>
      <c r="D1540" s="52"/>
      <c r="E1540" s="52"/>
      <c r="F1540" s="52"/>
      <c r="G1540" s="53"/>
      <c r="H1540" s="20"/>
      <c r="I1540" s="9">
        <v>1</v>
      </c>
      <c r="J1540" s="9"/>
      <c r="K1540" s="9"/>
      <c r="L1540" s="9"/>
      <c r="M1540" s="9">
        <f t="shared" si="200"/>
        <v>6.3</v>
      </c>
      <c r="N1540" s="9">
        <f t="shared" si="201"/>
        <v>2</v>
      </c>
      <c r="O1540" s="9">
        <v>6.3</v>
      </c>
      <c r="P1540" s="9">
        <v>2</v>
      </c>
      <c r="Q1540" s="9" t="s">
        <v>3</v>
      </c>
      <c r="R1540" s="1">
        <v>0</v>
      </c>
      <c r="S1540" s="26"/>
    </row>
    <row r="1541" spans="1:19" ht="16.5" customHeight="1" x14ac:dyDescent="0.25">
      <c r="A1541" s="9"/>
      <c r="B1541" s="51" t="s">
        <v>77</v>
      </c>
      <c r="C1541" s="52"/>
      <c r="D1541" s="52"/>
      <c r="E1541" s="52"/>
      <c r="F1541" s="52"/>
      <c r="G1541" s="53"/>
      <c r="H1541" s="20"/>
      <c r="I1541" s="9">
        <v>3</v>
      </c>
      <c r="J1541" s="9"/>
      <c r="K1541" s="9"/>
      <c r="L1541" s="9"/>
      <c r="M1541" s="9">
        <f t="shared" si="200"/>
        <v>16.5</v>
      </c>
      <c r="N1541" s="9">
        <f t="shared" si="201"/>
        <v>6</v>
      </c>
      <c r="O1541" s="9">
        <v>5.5</v>
      </c>
      <c r="P1541" s="9">
        <v>2</v>
      </c>
      <c r="Q1541" s="9" t="s">
        <v>3</v>
      </c>
      <c r="R1541" s="1">
        <v>0</v>
      </c>
      <c r="S1541" s="26"/>
    </row>
    <row r="1542" spans="1:19" ht="16.5" customHeight="1" x14ac:dyDescent="0.25">
      <c r="A1542" s="9"/>
      <c r="B1542" s="51" t="s">
        <v>76</v>
      </c>
      <c r="C1542" s="52"/>
      <c r="D1542" s="52"/>
      <c r="E1542" s="52"/>
      <c r="F1542" s="52"/>
      <c r="G1542" s="53"/>
      <c r="H1542" s="20"/>
      <c r="I1542" s="9">
        <v>4</v>
      </c>
      <c r="J1542" s="9"/>
      <c r="K1542" s="9"/>
      <c r="L1542" s="9"/>
      <c r="M1542" s="9">
        <f t="shared" si="200"/>
        <v>25.2</v>
      </c>
      <c r="N1542" s="9">
        <f t="shared" si="201"/>
        <v>8</v>
      </c>
      <c r="O1542" s="9">
        <v>6.3</v>
      </c>
      <c r="P1542" s="9">
        <v>2</v>
      </c>
      <c r="Q1542" s="9" t="s">
        <v>3</v>
      </c>
      <c r="R1542" s="1">
        <v>0</v>
      </c>
      <c r="S1542" s="26"/>
    </row>
    <row r="1543" spans="1:19" ht="16.5" hidden="1" customHeight="1" x14ac:dyDescent="0.25">
      <c r="A1543" s="21"/>
      <c r="H1543" s="21"/>
      <c r="I1543" s="21"/>
      <c r="J1543" s="21"/>
      <c r="K1543" s="21"/>
      <c r="L1543" s="21"/>
      <c r="M1543" s="9">
        <f t="shared" si="200"/>
        <v>0</v>
      </c>
      <c r="N1543" s="9">
        <f t="shared" si="201"/>
        <v>0</v>
      </c>
      <c r="O1543" s="21"/>
      <c r="P1543" s="21"/>
      <c r="Q1543" s="21"/>
      <c r="S1543" s="25"/>
    </row>
    <row r="1544" spans="1:19" ht="15" customHeight="1" x14ac:dyDescent="0.25">
      <c r="A1544" s="36" t="s">
        <v>0</v>
      </c>
      <c r="B1544" s="29" t="s">
        <v>1</v>
      </c>
      <c r="C1544" s="30"/>
      <c r="D1544" s="30"/>
      <c r="E1544" s="30"/>
      <c r="F1544" s="30"/>
      <c r="G1544" s="31"/>
      <c r="H1544" s="36" t="s">
        <v>32</v>
      </c>
      <c r="I1544" s="36" t="s">
        <v>39</v>
      </c>
      <c r="J1544" s="55" t="s">
        <v>2</v>
      </c>
      <c r="K1544" s="56"/>
      <c r="L1544" s="56"/>
      <c r="M1544" s="56"/>
      <c r="N1544" s="56"/>
      <c r="O1544" s="56"/>
      <c r="P1544" s="56"/>
      <c r="Q1544" s="57"/>
      <c r="S1544" s="36" t="s">
        <v>38</v>
      </c>
    </row>
    <row r="1545" spans="1:19" ht="24" customHeight="1" x14ac:dyDescent="0.25">
      <c r="A1545" s="37"/>
      <c r="B1545" s="32"/>
      <c r="C1545" s="33"/>
      <c r="D1545" s="33"/>
      <c r="E1545" s="33"/>
      <c r="F1545" s="33"/>
      <c r="G1545" s="34"/>
      <c r="H1545" s="37"/>
      <c r="I1545" s="37"/>
      <c r="J1545" s="7" t="s">
        <v>28</v>
      </c>
      <c r="K1545" s="7" t="s">
        <v>29</v>
      </c>
      <c r="L1545" s="7" t="s">
        <v>30</v>
      </c>
      <c r="M1545" s="7"/>
      <c r="N1545" s="7"/>
      <c r="O1545" s="6" t="s">
        <v>35</v>
      </c>
      <c r="P1545" s="6" t="s">
        <v>36</v>
      </c>
      <c r="Q1545" s="6" t="s">
        <v>37</v>
      </c>
      <c r="S1545" s="37"/>
    </row>
    <row r="1546" spans="1:19" ht="16.5" customHeight="1" x14ac:dyDescent="0.25">
      <c r="A1546" s="9"/>
      <c r="B1546" s="39" t="s">
        <v>42</v>
      </c>
      <c r="C1546" s="40"/>
      <c r="D1546" s="40"/>
      <c r="E1546" s="40"/>
      <c r="F1546" s="40"/>
      <c r="G1546" s="41"/>
      <c r="H1546" s="23"/>
      <c r="I1546" s="24">
        <f>SUM(I1536:I1543)</f>
        <v>19</v>
      </c>
      <c r="J1546" s="9"/>
      <c r="K1546" s="9"/>
      <c r="L1546" s="9"/>
      <c r="M1546" s="9">
        <f>I1546*O1546</f>
        <v>96.52</v>
      </c>
      <c r="N1546" s="9">
        <f>I1546*P1546</f>
        <v>30.97</v>
      </c>
      <c r="O1546" s="24">
        <f>ROUND(SUM(M1536:M1543)/I1546,2)</f>
        <v>5.08</v>
      </c>
      <c r="P1546" s="24">
        <f>ROUND(SUM(N1536:N1543)/I1546,2)</f>
        <v>1.63</v>
      </c>
      <c r="Q1546" s="9"/>
      <c r="S1546" s="25"/>
    </row>
    <row r="1547" spans="1:19" ht="20.25" customHeight="1" x14ac:dyDescent="0.25">
      <c r="A1547" s="27" t="s">
        <v>157</v>
      </c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</row>
    <row r="1548" spans="1:19" ht="16.5" customHeight="1" x14ac:dyDescent="0.25">
      <c r="A1548" s="9"/>
      <c r="B1548" s="51" t="s">
        <v>71</v>
      </c>
      <c r="C1548" s="52"/>
      <c r="D1548" s="52"/>
      <c r="E1548" s="52"/>
      <c r="F1548" s="52"/>
      <c r="G1548" s="53"/>
      <c r="H1548" s="20"/>
      <c r="I1548" s="9">
        <v>4</v>
      </c>
      <c r="J1548" s="9"/>
      <c r="K1548" s="9"/>
      <c r="L1548" s="9"/>
      <c r="M1548" s="9">
        <f>I1548*O1548</f>
        <v>20.8</v>
      </c>
      <c r="N1548" s="9">
        <f>I1548*P1548</f>
        <v>6</v>
      </c>
      <c r="O1548" s="9">
        <v>5.2</v>
      </c>
      <c r="P1548" s="9">
        <v>1.5</v>
      </c>
      <c r="Q1548" s="9" t="s">
        <v>4</v>
      </c>
      <c r="R1548" s="1">
        <v>6</v>
      </c>
      <c r="S1548" s="26" t="s">
        <v>132</v>
      </c>
    </row>
    <row r="1549" spans="1:19" ht="16.5" hidden="1" customHeight="1" x14ac:dyDescent="0.25">
      <c r="A1549" s="21"/>
      <c r="H1549" s="21"/>
      <c r="I1549" s="21"/>
      <c r="J1549" s="21"/>
      <c r="K1549" s="21"/>
      <c r="L1549" s="21"/>
      <c r="M1549" s="9">
        <f>I1549*O1549</f>
        <v>0</v>
      </c>
      <c r="N1549" s="9">
        <f>I1549*P1549</f>
        <v>0</v>
      </c>
      <c r="O1549" s="21"/>
      <c r="P1549" s="21"/>
      <c r="Q1549" s="21"/>
      <c r="S1549" s="25"/>
    </row>
    <row r="1550" spans="1:19" ht="16.5" customHeight="1" x14ac:dyDescent="0.25">
      <c r="A1550" s="9"/>
      <c r="B1550" s="39" t="s">
        <v>42</v>
      </c>
      <c r="C1550" s="40"/>
      <c r="D1550" s="40"/>
      <c r="E1550" s="40"/>
      <c r="F1550" s="40"/>
      <c r="G1550" s="41"/>
      <c r="H1550" s="23"/>
      <c r="I1550" s="24">
        <f>SUM(I1548:I1549)</f>
        <v>4</v>
      </c>
      <c r="J1550" s="9"/>
      <c r="K1550" s="9"/>
      <c r="L1550" s="9"/>
      <c r="M1550" s="9">
        <f>I1550*O1550</f>
        <v>20.8</v>
      </c>
      <c r="N1550" s="9">
        <f>I1550*P1550</f>
        <v>6</v>
      </c>
      <c r="O1550" s="24">
        <f>ROUND(SUM(M1548:M1549)/I1550,2)</f>
        <v>5.2</v>
      </c>
      <c r="P1550" s="24">
        <f>ROUND(SUM(N1548:N1549)/I1550,2)</f>
        <v>1.5</v>
      </c>
      <c r="Q1550" s="9"/>
      <c r="S1550" s="25"/>
    </row>
    <row r="1551" spans="1:19" ht="20.25" customHeight="1" x14ac:dyDescent="0.25">
      <c r="A1551" s="27" t="s">
        <v>78</v>
      </c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</row>
    <row r="1552" spans="1:19" ht="16.5" customHeight="1" x14ac:dyDescent="0.25">
      <c r="A1552" s="9"/>
      <c r="B1552" s="51" t="s">
        <v>80</v>
      </c>
      <c r="C1552" s="52"/>
      <c r="D1552" s="52"/>
      <c r="E1552" s="52"/>
      <c r="F1552" s="52"/>
      <c r="G1552" s="53"/>
      <c r="H1552" s="20"/>
      <c r="I1552" s="9">
        <v>3</v>
      </c>
      <c r="J1552" s="9"/>
      <c r="K1552" s="9"/>
      <c r="L1552" s="9"/>
      <c r="M1552" s="9">
        <f t="shared" ref="M1552:M1562" si="202">I1552*O1552</f>
        <v>19.799999999999997</v>
      </c>
      <c r="N1552" s="9">
        <f t="shared" ref="N1552:N1562" si="203">I1552*P1552</f>
        <v>7.5</v>
      </c>
      <c r="O1552" s="9">
        <v>6.6</v>
      </c>
      <c r="P1552" s="9">
        <v>2.5</v>
      </c>
      <c r="Q1552" s="9" t="s">
        <v>5</v>
      </c>
      <c r="R1552" s="1">
        <v>0</v>
      </c>
      <c r="S1552" s="26"/>
    </row>
    <row r="1553" spans="1:19" ht="16.5" customHeight="1" x14ac:dyDescent="0.25">
      <c r="A1553" s="9"/>
      <c r="B1553" s="51" t="s">
        <v>87</v>
      </c>
      <c r="C1553" s="52"/>
      <c r="D1553" s="52"/>
      <c r="E1553" s="52"/>
      <c r="F1553" s="52"/>
      <c r="G1553" s="53"/>
      <c r="H1553" s="20"/>
      <c r="I1553" s="9">
        <v>3</v>
      </c>
      <c r="J1553" s="9"/>
      <c r="K1553" s="9"/>
      <c r="L1553" s="9"/>
      <c r="M1553" s="9">
        <f t="shared" si="202"/>
        <v>16.799999999999997</v>
      </c>
      <c r="N1553" s="9">
        <f t="shared" si="203"/>
        <v>6</v>
      </c>
      <c r="O1553" s="9">
        <v>5.6</v>
      </c>
      <c r="P1553" s="9">
        <v>2</v>
      </c>
      <c r="Q1553" s="9" t="s">
        <v>3</v>
      </c>
      <c r="R1553" s="1">
        <v>0</v>
      </c>
      <c r="S1553" s="26"/>
    </row>
    <row r="1554" spans="1:19" ht="16.5" customHeight="1" x14ac:dyDescent="0.25">
      <c r="A1554" s="9"/>
      <c r="B1554" s="51" t="s">
        <v>82</v>
      </c>
      <c r="C1554" s="52"/>
      <c r="D1554" s="52"/>
      <c r="E1554" s="52"/>
      <c r="F1554" s="52"/>
      <c r="G1554" s="53"/>
      <c r="H1554" s="20"/>
      <c r="I1554" s="9">
        <v>2</v>
      </c>
      <c r="J1554" s="9"/>
      <c r="K1554" s="9"/>
      <c r="L1554" s="9"/>
      <c r="M1554" s="9">
        <f t="shared" si="202"/>
        <v>13.4</v>
      </c>
      <c r="N1554" s="9">
        <f t="shared" si="203"/>
        <v>5</v>
      </c>
      <c r="O1554" s="9">
        <v>6.7</v>
      </c>
      <c r="P1554" s="9">
        <v>2.5</v>
      </c>
      <c r="Q1554" s="9" t="s">
        <v>5</v>
      </c>
      <c r="R1554" s="1">
        <v>0</v>
      </c>
      <c r="S1554" s="26"/>
    </row>
    <row r="1555" spans="1:19" ht="16.5" customHeight="1" x14ac:dyDescent="0.25">
      <c r="A1555" s="9"/>
      <c r="B1555" s="51" t="s">
        <v>79</v>
      </c>
      <c r="C1555" s="52"/>
      <c r="D1555" s="52"/>
      <c r="E1555" s="52"/>
      <c r="F1555" s="52"/>
      <c r="G1555" s="53"/>
      <c r="H1555" s="20"/>
      <c r="I1555" s="9">
        <v>1</v>
      </c>
      <c r="J1555" s="9"/>
      <c r="K1555" s="9"/>
      <c r="L1555" s="9"/>
      <c r="M1555" s="9">
        <f t="shared" si="202"/>
        <v>7</v>
      </c>
      <c r="N1555" s="9">
        <f t="shared" si="203"/>
        <v>3</v>
      </c>
      <c r="O1555" s="9">
        <v>7</v>
      </c>
      <c r="P1555" s="9">
        <v>3</v>
      </c>
      <c r="Q1555" s="9" t="s">
        <v>6</v>
      </c>
      <c r="R1555" s="1">
        <v>0</v>
      </c>
      <c r="S1555" s="26"/>
    </row>
    <row r="1556" spans="1:19" ht="16.5" customHeight="1" x14ac:dyDescent="0.25">
      <c r="A1556" s="9"/>
      <c r="B1556" s="51" t="s">
        <v>84</v>
      </c>
      <c r="C1556" s="52"/>
      <c r="D1556" s="52"/>
      <c r="E1556" s="52"/>
      <c r="F1556" s="52"/>
      <c r="G1556" s="53"/>
      <c r="H1556" s="20"/>
      <c r="I1556" s="9">
        <v>3</v>
      </c>
      <c r="J1556" s="9"/>
      <c r="K1556" s="9"/>
      <c r="L1556" s="9"/>
      <c r="M1556" s="9">
        <f t="shared" si="202"/>
        <v>16.799999999999997</v>
      </c>
      <c r="N1556" s="9">
        <f t="shared" si="203"/>
        <v>6</v>
      </c>
      <c r="O1556" s="9">
        <v>5.6</v>
      </c>
      <c r="P1556" s="9">
        <v>2</v>
      </c>
      <c r="Q1556" s="9" t="s">
        <v>3</v>
      </c>
      <c r="R1556" s="1">
        <v>0</v>
      </c>
      <c r="S1556" s="26"/>
    </row>
    <row r="1557" spans="1:19" ht="16.5" customHeight="1" x14ac:dyDescent="0.25">
      <c r="A1557" s="9"/>
      <c r="B1557" s="51" t="s">
        <v>85</v>
      </c>
      <c r="C1557" s="52"/>
      <c r="D1557" s="52"/>
      <c r="E1557" s="52"/>
      <c r="F1557" s="52"/>
      <c r="G1557" s="53"/>
      <c r="H1557" s="20"/>
      <c r="I1557" s="9">
        <v>2</v>
      </c>
      <c r="J1557" s="9"/>
      <c r="K1557" s="9"/>
      <c r="L1557" s="9"/>
      <c r="M1557" s="9">
        <f t="shared" si="202"/>
        <v>12.4</v>
      </c>
      <c r="N1557" s="9">
        <f t="shared" si="203"/>
        <v>4</v>
      </c>
      <c r="O1557" s="9">
        <v>6.2</v>
      </c>
      <c r="P1557" s="9">
        <v>2</v>
      </c>
      <c r="Q1557" s="9" t="s">
        <v>3</v>
      </c>
      <c r="R1557" s="1">
        <v>0</v>
      </c>
      <c r="S1557" s="26"/>
    </row>
    <row r="1558" spans="1:19" ht="16.5" customHeight="1" x14ac:dyDescent="0.25">
      <c r="A1558" s="9"/>
      <c r="B1558" s="51" t="s">
        <v>86</v>
      </c>
      <c r="C1558" s="52"/>
      <c r="D1558" s="52"/>
      <c r="E1558" s="52"/>
      <c r="F1558" s="52"/>
      <c r="G1558" s="53"/>
      <c r="H1558" s="20"/>
      <c r="I1558" s="9">
        <v>3</v>
      </c>
      <c r="J1558" s="9"/>
      <c r="K1558" s="9"/>
      <c r="L1558" s="9"/>
      <c r="M1558" s="9">
        <f t="shared" si="202"/>
        <v>23.1</v>
      </c>
      <c r="N1558" s="9">
        <f t="shared" si="203"/>
        <v>9</v>
      </c>
      <c r="O1558" s="9">
        <v>7.7</v>
      </c>
      <c r="P1558" s="9">
        <v>3</v>
      </c>
      <c r="Q1558" s="9" t="s">
        <v>6</v>
      </c>
      <c r="R1558" s="1">
        <v>0</v>
      </c>
      <c r="S1558" s="26"/>
    </row>
    <row r="1559" spans="1:19" ht="16.5" customHeight="1" x14ac:dyDescent="0.25">
      <c r="A1559" s="9"/>
      <c r="B1559" s="51" t="s">
        <v>83</v>
      </c>
      <c r="C1559" s="52"/>
      <c r="D1559" s="52"/>
      <c r="E1559" s="52"/>
      <c r="F1559" s="52"/>
      <c r="G1559" s="53"/>
      <c r="H1559" s="20"/>
      <c r="I1559" s="9">
        <v>2</v>
      </c>
      <c r="J1559" s="9"/>
      <c r="K1559" s="9"/>
      <c r="L1559" s="9"/>
      <c r="M1559" s="9">
        <f t="shared" si="202"/>
        <v>15.2</v>
      </c>
      <c r="N1559" s="9">
        <f t="shared" si="203"/>
        <v>6</v>
      </c>
      <c r="O1559" s="9">
        <v>7.6</v>
      </c>
      <c r="P1559" s="9">
        <v>3</v>
      </c>
      <c r="Q1559" s="9" t="s">
        <v>6</v>
      </c>
      <c r="R1559" s="1">
        <v>0</v>
      </c>
      <c r="S1559" s="26"/>
    </row>
    <row r="1560" spans="1:19" ht="16.5" customHeight="1" x14ac:dyDescent="0.25">
      <c r="A1560" s="9"/>
      <c r="B1560" s="51" t="s">
        <v>81</v>
      </c>
      <c r="C1560" s="52"/>
      <c r="D1560" s="52"/>
      <c r="E1560" s="52"/>
      <c r="F1560" s="52"/>
      <c r="G1560" s="53"/>
      <c r="H1560" s="20"/>
      <c r="I1560" s="9">
        <v>3</v>
      </c>
      <c r="J1560" s="9"/>
      <c r="K1560" s="9"/>
      <c r="L1560" s="9"/>
      <c r="M1560" s="9">
        <f t="shared" si="202"/>
        <v>17.100000000000001</v>
      </c>
      <c r="N1560" s="9">
        <f t="shared" si="203"/>
        <v>6</v>
      </c>
      <c r="O1560" s="9">
        <v>5.7</v>
      </c>
      <c r="P1560" s="9">
        <v>2</v>
      </c>
      <c r="Q1560" s="9" t="s">
        <v>3</v>
      </c>
      <c r="R1560" s="1">
        <v>0</v>
      </c>
      <c r="S1560" s="26"/>
    </row>
    <row r="1561" spans="1:19" ht="16.5" hidden="1" customHeight="1" x14ac:dyDescent="0.25">
      <c r="A1561" s="21"/>
      <c r="H1561" s="21"/>
      <c r="I1561" s="21"/>
      <c r="J1561" s="21"/>
      <c r="K1561" s="21"/>
      <c r="L1561" s="21"/>
      <c r="M1561" s="9">
        <f t="shared" si="202"/>
        <v>0</v>
      </c>
      <c r="N1561" s="9">
        <f t="shared" si="203"/>
        <v>0</v>
      </c>
      <c r="O1561" s="21"/>
      <c r="P1561" s="21"/>
      <c r="Q1561" s="21"/>
      <c r="S1561" s="25"/>
    </row>
    <row r="1562" spans="1:19" ht="16.5" customHeight="1" x14ac:dyDescent="0.25">
      <c r="A1562" s="9"/>
      <c r="B1562" s="39" t="s">
        <v>42</v>
      </c>
      <c r="C1562" s="40"/>
      <c r="D1562" s="40"/>
      <c r="E1562" s="40"/>
      <c r="F1562" s="40"/>
      <c r="G1562" s="41"/>
      <c r="H1562" s="23"/>
      <c r="I1562" s="24">
        <f>SUM(I1552:I1561)</f>
        <v>22</v>
      </c>
      <c r="J1562" s="9"/>
      <c r="K1562" s="9"/>
      <c r="L1562" s="9"/>
      <c r="M1562" s="9">
        <f t="shared" si="202"/>
        <v>141.68</v>
      </c>
      <c r="N1562" s="9">
        <f t="shared" si="203"/>
        <v>52.580000000000005</v>
      </c>
      <c r="O1562" s="24">
        <f>ROUND(SUM(M1552:M1561)/I1562,2)</f>
        <v>6.44</v>
      </c>
      <c r="P1562" s="24">
        <f>ROUND(SUM(N1552:N1561)/I1562,2)</f>
        <v>2.39</v>
      </c>
      <c r="Q1562" s="9"/>
      <c r="S1562" s="25"/>
    </row>
    <row r="1563" spans="1:19" ht="20.25" customHeight="1" x14ac:dyDescent="0.25">
      <c r="A1563" s="27" t="s">
        <v>88</v>
      </c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</row>
    <row r="1564" spans="1:19" ht="16.5" customHeight="1" x14ac:dyDescent="0.25">
      <c r="A1564" s="9"/>
      <c r="B1564" s="51" t="s">
        <v>98</v>
      </c>
      <c r="C1564" s="52"/>
      <c r="D1564" s="52"/>
      <c r="E1564" s="52"/>
      <c r="F1564" s="52"/>
      <c r="G1564" s="53"/>
      <c r="H1564" s="20"/>
      <c r="I1564" s="9">
        <v>3</v>
      </c>
      <c r="J1564" s="9"/>
      <c r="K1564" s="9"/>
      <c r="L1564" s="9"/>
      <c r="M1564" s="9">
        <f t="shared" ref="M1564:M1575" si="204">I1564*O1564</f>
        <v>20.100000000000001</v>
      </c>
      <c r="N1564" s="9">
        <f t="shared" ref="N1564:N1575" si="205">I1564*P1564</f>
        <v>7.5</v>
      </c>
      <c r="O1564" s="9">
        <v>6.7</v>
      </c>
      <c r="P1564" s="9">
        <v>2.5</v>
      </c>
      <c r="Q1564" s="9" t="s">
        <v>5</v>
      </c>
      <c r="R1564" s="1">
        <v>0</v>
      </c>
      <c r="S1564" s="26"/>
    </row>
    <row r="1565" spans="1:19" ht="16.5" customHeight="1" x14ac:dyDescent="0.25">
      <c r="A1565" s="9"/>
      <c r="B1565" s="51" t="s">
        <v>90</v>
      </c>
      <c r="C1565" s="52"/>
      <c r="D1565" s="52"/>
      <c r="E1565" s="52"/>
      <c r="F1565" s="52"/>
      <c r="G1565" s="53"/>
      <c r="H1565" s="20"/>
      <c r="I1565" s="9">
        <v>3</v>
      </c>
      <c r="J1565" s="9"/>
      <c r="K1565" s="9"/>
      <c r="L1565" s="9"/>
      <c r="M1565" s="9">
        <f t="shared" si="204"/>
        <v>16.5</v>
      </c>
      <c r="N1565" s="9">
        <f t="shared" si="205"/>
        <v>6</v>
      </c>
      <c r="O1565" s="9">
        <v>5.5</v>
      </c>
      <c r="P1565" s="9">
        <v>2</v>
      </c>
      <c r="Q1565" s="9" t="s">
        <v>3</v>
      </c>
      <c r="R1565" s="1">
        <v>0</v>
      </c>
      <c r="S1565" s="26"/>
    </row>
    <row r="1566" spans="1:19" ht="16.5" customHeight="1" x14ac:dyDescent="0.25">
      <c r="A1566" s="9"/>
      <c r="B1566" s="51" t="s">
        <v>91</v>
      </c>
      <c r="C1566" s="52"/>
      <c r="D1566" s="52"/>
      <c r="E1566" s="52"/>
      <c r="F1566" s="52"/>
      <c r="G1566" s="53"/>
      <c r="H1566" s="20"/>
      <c r="I1566" s="9">
        <v>2</v>
      </c>
      <c r="J1566" s="9"/>
      <c r="K1566" s="9"/>
      <c r="L1566" s="9"/>
      <c r="M1566" s="9">
        <f t="shared" si="204"/>
        <v>13.4</v>
      </c>
      <c r="N1566" s="9">
        <f t="shared" si="205"/>
        <v>5</v>
      </c>
      <c r="O1566" s="9">
        <v>6.7</v>
      </c>
      <c r="P1566" s="9">
        <v>2.5</v>
      </c>
      <c r="Q1566" s="9" t="s">
        <v>5</v>
      </c>
      <c r="R1566" s="1">
        <v>0</v>
      </c>
      <c r="S1566" s="26"/>
    </row>
    <row r="1567" spans="1:19" ht="16.5" customHeight="1" x14ac:dyDescent="0.25">
      <c r="A1567" s="9"/>
      <c r="B1567" s="51" t="s">
        <v>92</v>
      </c>
      <c r="C1567" s="52"/>
      <c r="D1567" s="52"/>
      <c r="E1567" s="52"/>
      <c r="F1567" s="52"/>
      <c r="G1567" s="53"/>
      <c r="H1567" s="20"/>
      <c r="I1567" s="9">
        <v>3</v>
      </c>
      <c r="J1567" s="9"/>
      <c r="K1567" s="9"/>
      <c r="L1567" s="9"/>
      <c r="M1567" s="9">
        <f t="shared" si="204"/>
        <v>15.299999999999999</v>
      </c>
      <c r="N1567" s="9">
        <f t="shared" si="205"/>
        <v>4.5</v>
      </c>
      <c r="O1567" s="9">
        <v>5.0999999999999996</v>
      </c>
      <c r="P1567" s="9">
        <v>1.5</v>
      </c>
      <c r="Q1567" s="9" t="s">
        <v>4</v>
      </c>
      <c r="R1567" s="1">
        <v>0</v>
      </c>
      <c r="S1567" s="26"/>
    </row>
    <row r="1568" spans="1:19" ht="16.5" customHeight="1" x14ac:dyDescent="0.25">
      <c r="A1568" s="9"/>
      <c r="B1568" s="51" t="s">
        <v>93</v>
      </c>
      <c r="C1568" s="52"/>
      <c r="D1568" s="52"/>
      <c r="E1568" s="52"/>
      <c r="F1568" s="52"/>
      <c r="G1568" s="53"/>
      <c r="H1568" s="20"/>
      <c r="I1568" s="9">
        <v>1</v>
      </c>
      <c r="J1568" s="9"/>
      <c r="K1568" s="9"/>
      <c r="L1568" s="9"/>
      <c r="M1568" s="9">
        <f t="shared" si="204"/>
        <v>5.9</v>
      </c>
      <c r="N1568" s="9">
        <f t="shared" si="205"/>
        <v>2</v>
      </c>
      <c r="O1568" s="9">
        <v>5.9</v>
      </c>
      <c r="P1568" s="9">
        <v>2</v>
      </c>
      <c r="Q1568" s="9" t="s">
        <v>3</v>
      </c>
      <c r="R1568" s="1">
        <v>0</v>
      </c>
      <c r="S1568" s="26"/>
    </row>
    <row r="1569" spans="1:19" ht="16.5" customHeight="1" x14ac:dyDescent="0.25">
      <c r="A1569" s="9"/>
      <c r="B1569" s="51" t="s">
        <v>94</v>
      </c>
      <c r="C1569" s="52"/>
      <c r="D1569" s="52"/>
      <c r="E1569" s="52"/>
      <c r="F1569" s="52"/>
      <c r="G1569" s="53"/>
      <c r="H1569" s="20"/>
      <c r="I1569" s="9">
        <v>1</v>
      </c>
      <c r="J1569" s="9"/>
      <c r="K1569" s="9"/>
      <c r="L1569" s="9"/>
      <c r="M1569" s="9">
        <f t="shared" si="204"/>
        <v>6.8</v>
      </c>
      <c r="N1569" s="9">
        <f t="shared" si="205"/>
        <v>2.5</v>
      </c>
      <c r="O1569" s="9">
        <v>6.8</v>
      </c>
      <c r="P1569" s="9">
        <v>2.5</v>
      </c>
      <c r="Q1569" s="9" t="s">
        <v>5</v>
      </c>
      <c r="R1569" s="1">
        <v>0</v>
      </c>
      <c r="S1569" s="26"/>
    </row>
    <row r="1570" spans="1:19" ht="16.5" customHeight="1" x14ac:dyDescent="0.25">
      <c r="A1570" s="9"/>
      <c r="B1570" s="51" t="s">
        <v>97</v>
      </c>
      <c r="C1570" s="52"/>
      <c r="D1570" s="52"/>
      <c r="E1570" s="52"/>
      <c r="F1570" s="52"/>
      <c r="G1570" s="53"/>
      <c r="H1570" s="20"/>
      <c r="I1570" s="9">
        <v>1</v>
      </c>
      <c r="J1570" s="9"/>
      <c r="K1570" s="9"/>
      <c r="L1570" s="9"/>
      <c r="M1570" s="9">
        <f t="shared" si="204"/>
        <v>7</v>
      </c>
      <c r="N1570" s="9">
        <f t="shared" si="205"/>
        <v>3</v>
      </c>
      <c r="O1570" s="9">
        <v>7</v>
      </c>
      <c r="P1570" s="9">
        <v>3</v>
      </c>
      <c r="Q1570" s="9" t="s">
        <v>6</v>
      </c>
      <c r="R1570" s="1">
        <v>0</v>
      </c>
      <c r="S1570" s="26"/>
    </row>
    <row r="1571" spans="1:19" ht="16.5" customHeight="1" x14ac:dyDescent="0.25">
      <c r="A1571" s="9"/>
      <c r="B1571" s="51" t="s">
        <v>96</v>
      </c>
      <c r="C1571" s="52"/>
      <c r="D1571" s="52"/>
      <c r="E1571" s="52"/>
      <c r="F1571" s="52"/>
      <c r="G1571" s="53"/>
      <c r="H1571" s="20"/>
      <c r="I1571" s="9">
        <v>3</v>
      </c>
      <c r="J1571" s="9"/>
      <c r="K1571" s="9"/>
      <c r="L1571" s="9"/>
      <c r="M1571" s="9">
        <f t="shared" si="204"/>
        <v>22.5</v>
      </c>
      <c r="N1571" s="9">
        <f t="shared" si="205"/>
        <v>9</v>
      </c>
      <c r="O1571" s="9">
        <v>7.5</v>
      </c>
      <c r="P1571" s="9">
        <v>3</v>
      </c>
      <c r="Q1571" s="9" t="s">
        <v>6</v>
      </c>
      <c r="R1571" s="1">
        <v>0</v>
      </c>
      <c r="S1571" s="26"/>
    </row>
    <row r="1572" spans="1:19" ht="16.5" customHeight="1" x14ac:dyDescent="0.25">
      <c r="A1572" s="9"/>
      <c r="B1572" s="51" t="s">
        <v>95</v>
      </c>
      <c r="C1572" s="52"/>
      <c r="D1572" s="52"/>
      <c r="E1572" s="52"/>
      <c r="F1572" s="52"/>
      <c r="G1572" s="53"/>
      <c r="H1572" s="20"/>
      <c r="I1572" s="9">
        <v>3</v>
      </c>
      <c r="J1572" s="9"/>
      <c r="K1572" s="9"/>
      <c r="L1572" s="9"/>
      <c r="M1572" s="9">
        <f t="shared" si="204"/>
        <v>19.5</v>
      </c>
      <c r="N1572" s="9">
        <f t="shared" si="205"/>
        <v>7.5</v>
      </c>
      <c r="O1572" s="9">
        <v>6.5</v>
      </c>
      <c r="P1572" s="9">
        <v>2.5</v>
      </c>
      <c r="Q1572" s="9" t="s">
        <v>5</v>
      </c>
      <c r="R1572" s="1">
        <v>0</v>
      </c>
      <c r="S1572" s="26"/>
    </row>
    <row r="1573" spans="1:19" ht="16.5" customHeight="1" x14ac:dyDescent="0.25">
      <c r="A1573" s="9"/>
      <c r="B1573" s="51" t="s">
        <v>89</v>
      </c>
      <c r="C1573" s="52"/>
      <c r="D1573" s="52"/>
      <c r="E1573" s="52"/>
      <c r="F1573" s="52"/>
      <c r="G1573" s="53"/>
      <c r="H1573" s="20"/>
      <c r="I1573" s="9">
        <v>2</v>
      </c>
      <c r="J1573" s="9"/>
      <c r="K1573" s="9"/>
      <c r="L1573" s="9"/>
      <c r="M1573" s="9">
        <f t="shared" si="204"/>
        <v>14</v>
      </c>
      <c r="N1573" s="9">
        <f t="shared" si="205"/>
        <v>6</v>
      </c>
      <c r="O1573" s="9">
        <v>7</v>
      </c>
      <c r="P1573" s="9">
        <v>3</v>
      </c>
      <c r="Q1573" s="9" t="s">
        <v>6</v>
      </c>
      <c r="R1573" s="1">
        <v>0</v>
      </c>
      <c r="S1573" s="26"/>
    </row>
    <row r="1574" spans="1:19" ht="16.5" hidden="1" customHeight="1" x14ac:dyDescent="0.25">
      <c r="A1574" s="21"/>
      <c r="H1574" s="21"/>
      <c r="I1574" s="21"/>
      <c r="J1574" s="21"/>
      <c r="K1574" s="21"/>
      <c r="L1574" s="21"/>
      <c r="M1574" s="9">
        <f t="shared" si="204"/>
        <v>0</v>
      </c>
      <c r="N1574" s="9">
        <f t="shared" si="205"/>
        <v>0</v>
      </c>
      <c r="O1574" s="21"/>
      <c r="P1574" s="21"/>
      <c r="Q1574" s="21"/>
      <c r="S1574" s="25"/>
    </row>
    <row r="1575" spans="1:19" ht="16.5" customHeight="1" x14ac:dyDescent="0.25">
      <c r="A1575" s="9"/>
      <c r="B1575" s="39" t="s">
        <v>42</v>
      </c>
      <c r="C1575" s="40"/>
      <c r="D1575" s="40"/>
      <c r="E1575" s="40"/>
      <c r="F1575" s="40"/>
      <c r="G1575" s="41"/>
      <c r="H1575" s="23"/>
      <c r="I1575" s="24">
        <f>SUM(I1564:I1574)</f>
        <v>22</v>
      </c>
      <c r="J1575" s="9"/>
      <c r="K1575" s="9"/>
      <c r="L1575" s="9"/>
      <c r="M1575" s="9">
        <f t="shared" si="204"/>
        <v>141.02000000000001</v>
      </c>
      <c r="N1575" s="9">
        <f t="shared" si="205"/>
        <v>53.02</v>
      </c>
      <c r="O1575" s="24">
        <f>ROUND(SUM(M1564:M1574)/I1575,2)</f>
        <v>6.41</v>
      </c>
      <c r="P1575" s="24">
        <f>ROUND(SUM(N1564:N1574)/I1575,2)</f>
        <v>2.41</v>
      </c>
      <c r="Q1575" s="9"/>
      <c r="S1575" s="25"/>
    </row>
    <row r="1576" spans="1:19" ht="20.25" customHeight="1" x14ac:dyDescent="0.25">
      <c r="A1576" s="27" t="s">
        <v>99</v>
      </c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</row>
    <row r="1577" spans="1:19" ht="16.5" customHeight="1" x14ac:dyDescent="0.25">
      <c r="A1577" s="9"/>
      <c r="B1577" s="51" t="s">
        <v>100</v>
      </c>
      <c r="C1577" s="52"/>
      <c r="D1577" s="52"/>
      <c r="E1577" s="52"/>
      <c r="F1577" s="52"/>
      <c r="G1577" s="53"/>
      <c r="H1577" s="20"/>
      <c r="I1577" s="9">
        <v>2</v>
      </c>
      <c r="J1577" s="9"/>
      <c r="K1577" s="9"/>
      <c r="L1577" s="9"/>
      <c r="M1577" s="9">
        <f t="shared" ref="M1577:M1590" si="206">I1577*O1577</f>
        <v>15.4</v>
      </c>
      <c r="N1577" s="9">
        <f t="shared" ref="N1577:N1590" si="207">I1577*P1577</f>
        <v>6</v>
      </c>
      <c r="O1577" s="9">
        <v>7.7</v>
      </c>
      <c r="P1577" s="9">
        <v>3</v>
      </c>
      <c r="Q1577" s="9" t="s">
        <v>6</v>
      </c>
      <c r="R1577" s="1">
        <v>0</v>
      </c>
      <c r="S1577" s="26"/>
    </row>
    <row r="1578" spans="1:19" ht="16.5" customHeight="1" x14ac:dyDescent="0.25">
      <c r="A1578" s="9"/>
      <c r="B1578" s="51" t="s">
        <v>101</v>
      </c>
      <c r="C1578" s="52"/>
      <c r="D1578" s="52"/>
      <c r="E1578" s="52"/>
      <c r="F1578" s="52"/>
      <c r="G1578" s="53"/>
      <c r="H1578" s="20"/>
      <c r="I1578" s="9">
        <v>2</v>
      </c>
      <c r="J1578" s="9"/>
      <c r="K1578" s="9"/>
      <c r="L1578" s="9"/>
      <c r="M1578" s="9">
        <f t="shared" si="206"/>
        <v>13.4</v>
      </c>
      <c r="N1578" s="9">
        <f t="shared" si="207"/>
        <v>5</v>
      </c>
      <c r="O1578" s="9">
        <v>6.7</v>
      </c>
      <c r="P1578" s="9">
        <v>2.5</v>
      </c>
      <c r="Q1578" s="9" t="s">
        <v>5</v>
      </c>
      <c r="R1578" s="1">
        <v>0</v>
      </c>
      <c r="S1578" s="26"/>
    </row>
    <row r="1579" spans="1:19" ht="16.5" customHeight="1" x14ac:dyDescent="0.25">
      <c r="A1579" s="9"/>
      <c r="B1579" s="51" t="s">
        <v>102</v>
      </c>
      <c r="C1579" s="52"/>
      <c r="D1579" s="52"/>
      <c r="E1579" s="52"/>
      <c r="F1579" s="52"/>
      <c r="G1579" s="53"/>
      <c r="H1579" s="20"/>
      <c r="I1579" s="9">
        <v>1</v>
      </c>
      <c r="J1579" s="9"/>
      <c r="K1579" s="9"/>
      <c r="L1579" s="9"/>
      <c r="M1579" s="9">
        <f t="shared" si="206"/>
        <v>7.5</v>
      </c>
      <c r="N1579" s="9">
        <f t="shared" si="207"/>
        <v>3</v>
      </c>
      <c r="O1579" s="9">
        <v>7.5</v>
      </c>
      <c r="P1579" s="9">
        <v>3</v>
      </c>
      <c r="Q1579" s="9" t="s">
        <v>6</v>
      </c>
      <c r="R1579" s="1">
        <v>0</v>
      </c>
      <c r="S1579" s="26"/>
    </row>
    <row r="1580" spans="1:19" ht="16.5" customHeight="1" x14ac:dyDescent="0.25">
      <c r="A1580" s="9"/>
      <c r="B1580" s="51" t="s">
        <v>103</v>
      </c>
      <c r="C1580" s="52"/>
      <c r="D1580" s="52"/>
      <c r="E1580" s="52"/>
      <c r="F1580" s="52"/>
      <c r="G1580" s="53"/>
      <c r="H1580" s="20"/>
      <c r="I1580" s="9">
        <v>2</v>
      </c>
      <c r="J1580" s="9"/>
      <c r="K1580" s="9"/>
      <c r="L1580" s="9"/>
      <c r="M1580" s="9">
        <f t="shared" si="206"/>
        <v>12.4</v>
      </c>
      <c r="N1580" s="9">
        <f t="shared" si="207"/>
        <v>4</v>
      </c>
      <c r="O1580" s="9">
        <v>6.2</v>
      </c>
      <c r="P1580" s="9">
        <v>2</v>
      </c>
      <c r="Q1580" s="9" t="s">
        <v>3</v>
      </c>
      <c r="R1580" s="1">
        <v>0</v>
      </c>
      <c r="S1580" s="26"/>
    </row>
    <row r="1581" spans="1:19" ht="16.5" customHeight="1" x14ac:dyDescent="0.25">
      <c r="A1581" s="9"/>
      <c r="B1581" s="51" t="s">
        <v>104</v>
      </c>
      <c r="C1581" s="52"/>
      <c r="D1581" s="52"/>
      <c r="E1581" s="52"/>
      <c r="F1581" s="52"/>
      <c r="G1581" s="53"/>
      <c r="H1581" s="20"/>
      <c r="I1581" s="9">
        <v>3</v>
      </c>
      <c r="J1581" s="9"/>
      <c r="K1581" s="9"/>
      <c r="L1581" s="9"/>
      <c r="M1581" s="9">
        <f t="shared" si="206"/>
        <v>16.200000000000003</v>
      </c>
      <c r="N1581" s="9">
        <f t="shared" si="207"/>
        <v>4.5</v>
      </c>
      <c r="O1581" s="9">
        <v>5.4</v>
      </c>
      <c r="P1581" s="9">
        <v>1.5</v>
      </c>
      <c r="Q1581" s="9" t="s">
        <v>4</v>
      </c>
      <c r="R1581" s="1">
        <v>0</v>
      </c>
      <c r="S1581" s="26"/>
    </row>
    <row r="1582" spans="1:19" ht="16.5" customHeight="1" x14ac:dyDescent="0.25">
      <c r="A1582" s="9"/>
      <c r="B1582" s="51" t="s">
        <v>105</v>
      </c>
      <c r="C1582" s="52"/>
      <c r="D1582" s="52"/>
      <c r="E1582" s="52"/>
      <c r="F1582" s="52"/>
      <c r="G1582" s="53"/>
      <c r="H1582" s="20"/>
      <c r="I1582" s="9">
        <v>3</v>
      </c>
      <c r="J1582" s="9"/>
      <c r="K1582" s="9"/>
      <c r="L1582" s="9"/>
      <c r="M1582" s="9">
        <f t="shared" si="206"/>
        <v>23.700000000000003</v>
      </c>
      <c r="N1582" s="9">
        <f t="shared" si="207"/>
        <v>9</v>
      </c>
      <c r="O1582" s="9">
        <v>7.9</v>
      </c>
      <c r="P1582" s="9">
        <v>3</v>
      </c>
      <c r="Q1582" s="9" t="s">
        <v>6</v>
      </c>
      <c r="R1582" s="1">
        <v>0</v>
      </c>
      <c r="S1582" s="26"/>
    </row>
    <row r="1583" spans="1:19" ht="16.5" customHeight="1" x14ac:dyDescent="0.25">
      <c r="A1583" s="9"/>
      <c r="B1583" s="51" t="s">
        <v>106</v>
      </c>
      <c r="C1583" s="52"/>
      <c r="D1583" s="52"/>
      <c r="E1583" s="52"/>
      <c r="F1583" s="52"/>
      <c r="G1583" s="53"/>
      <c r="H1583" s="20"/>
      <c r="I1583" s="9">
        <v>2</v>
      </c>
      <c r="J1583" s="9"/>
      <c r="K1583" s="9"/>
      <c r="L1583" s="9"/>
      <c r="M1583" s="9">
        <f t="shared" si="206"/>
        <v>13.6</v>
      </c>
      <c r="N1583" s="9">
        <f t="shared" si="207"/>
        <v>5</v>
      </c>
      <c r="O1583" s="9">
        <v>6.8</v>
      </c>
      <c r="P1583" s="9">
        <v>2.5</v>
      </c>
      <c r="Q1583" s="9" t="s">
        <v>5</v>
      </c>
      <c r="R1583" s="1">
        <v>0</v>
      </c>
      <c r="S1583" s="26"/>
    </row>
    <row r="1584" spans="1:19" ht="16.5" customHeight="1" x14ac:dyDescent="0.25">
      <c r="A1584" s="9"/>
      <c r="B1584" s="51" t="s">
        <v>107</v>
      </c>
      <c r="C1584" s="52"/>
      <c r="D1584" s="52"/>
      <c r="E1584" s="52"/>
      <c r="F1584" s="52"/>
      <c r="G1584" s="53"/>
      <c r="H1584" s="20"/>
      <c r="I1584" s="9">
        <v>3</v>
      </c>
      <c r="J1584" s="9"/>
      <c r="K1584" s="9"/>
      <c r="L1584" s="9"/>
      <c r="M1584" s="9">
        <f t="shared" si="206"/>
        <v>20.100000000000001</v>
      </c>
      <c r="N1584" s="9">
        <f t="shared" si="207"/>
        <v>7.5</v>
      </c>
      <c r="O1584" s="9">
        <v>6.7</v>
      </c>
      <c r="P1584" s="9">
        <v>2.5</v>
      </c>
      <c r="Q1584" s="9" t="s">
        <v>5</v>
      </c>
      <c r="R1584" s="1">
        <v>0</v>
      </c>
      <c r="S1584" s="26"/>
    </row>
    <row r="1585" spans="1:19" ht="16.5" customHeight="1" x14ac:dyDescent="0.25">
      <c r="A1585" s="9"/>
      <c r="B1585" s="51" t="s">
        <v>108</v>
      </c>
      <c r="C1585" s="52"/>
      <c r="D1585" s="52"/>
      <c r="E1585" s="52"/>
      <c r="F1585" s="52"/>
      <c r="G1585" s="53"/>
      <c r="H1585" s="20"/>
      <c r="I1585" s="9">
        <v>1</v>
      </c>
      <c r="J1585" s="9"/>
      <c r="K1585" s="9"/>
      <c r="L1585" s="9"/>
      <c r="M1585" s="9">
        <f t="shared" si="206"/>
        <v>8</v>
      </c>
      <c r="N1585" s="9">
        <f t="shared" si="207"/>
        <v>3.5</v>
      </c>
      <c r="O1585" s="9">
        <v>8</v>
      </c>
      <c r="P1585" s="9">
        <v>3.5</v>
      </c>
      <c r="Q1585" s="9" t="s">
        <v>9</v>
      </c>
      <c r="R1585" s="1">
        <v>0</v>
      </c>
      <c r="S1585" s="26"/>
    </row>
    <row r="1586" spans="1:19" ht="16.5" customHeight="1" x14ac:dyDescent="0.25">
      <c r="A1586" s="9"/>
      <c r="B1586" s="51" t="s">
        <v>111</v>
      </c>
      <c r="C1586" s="52"/>
      <c r="D1586" s="52"/>
      <c r="E1586" s="52"/>
      <c r="F1586" s="52"/>
      <c r="G1586" s="53"/>
      <c r="H1586" s="20"/>
      <c r="I1586" s="9">
        <v>3</v>
      </c>
      <c r="J1586" s="9"/>
      <c r="K1586" s="9"/>
      <c r="L1586" s="9"/>
      <c r="M1586" s="9">
        <f t="shared" si="206"/>
        <v>25.200000000000003</v>
      </c>
      <c r="N1586" s="9">
        <f t="shared" si="207"/>
        <v>10.5</v>
      </c>
      <c r="O1586" s="9">
        <v>8.4</v>
      </c>
      <c r="P1586" s="9">
        <v>3.5</v>
      </c>
      <c r="Q1586" s="9" t="s">
        <v>9</v>
      </c>
      <c r="R1586" s="1">
        <v>0</v>
      </c>
      <c r="S1586" s="26"/>
    </row>
    <row r="1587" spans="1:19" ht="16.5" customHeight="1" x14ac:dyDescent="0.25">
      <c r="A1587" s="9"/>
      <c r="B1587" s="51" t="s">
        <v>110</v>
      </c>
      <c r="C1587" s="52"/>
      <c r="D1587" s="52"/>
      <c r="E1587" s="52"/>
      <c r="F1587" s="52"/>
      <c r="G1587" s="53"/>
      <c r="H1587" s="20"/>
      <c r="I1587" s="9">
        <v>1</v>
      </c>
      <c r="J1587" s="9"/>
      <c r="K1587" s="9"/>
      <c r="L1587" s="9"/>
      <c r="M1587" s="9">
        <f t="shared" si="206"/>
        <v>8</v>
      </c>
      <c r="N1587" s="9">
        <f t="shared" si="207"/>
        <v>3.5</v>
      </c>
      <c r="O1587" s="9">
        <v>8</v>
      </c>
      <c r="P1587" s="9">
        <v>3.5</v>
      </c>
      <c r="Q1587" s="9" t="s">
        <v>9</v>
      </c>
      <c r="R1587" s="1">
        <v>0</v>
      </c>
      <c r="S1587" s="26"/>
    </row>
    <row r="1588" spans="1:19" ht="16.5" customHeight="1" x14ac:dyDescent="0.25">
      <c r="A1588" s="9"/>
      <c r="B1588" s="51" t="s">
        <v>109</v>
      </c>
      <c r="C1588" s="52"/>
      <c r="D1588" s="52"/>
      <c r="E1588" s="52"/>
      <c r="F1588" s="52"/>
      <c r="G1588" s="53"/>
      <c r="H1588" s="20"/>
      <c r="I1588" s="9">
        <v>2</v>
      </c>
      <c r="J1588" s="9"/>
      <c r="K1588" s="9"/>
      <c r="L1588" s="9"/>
      <c r="M1588" s="9">
        <f t="shared" si="206"/>
        <v>10.4</v>
      </c>
      <c r="N1588" s="9">
        <f t="shared" si="207"/>
        <v>3</v>
      </c>
      <c r="O1588" s="9">
        <v>5.2</v>
      </c>
      <c r="P1588" s="9">
        <v>1.5</v>
      </c>
      <c r="Q1588" s="9" t="s">
        <v>4</v>
      </c>
      <c r="R1588" s="1">
        <v>0</v>
      </c>
      <c r="S1588" s="26"/>
    </row>
    <row r="1589" spans="1:19" ht="16.5" hidden="1" customHeight="1" x14ac:dyDescent="0.25">
      <c r="A1589" s="21"/>
      <c r="H1589" s="21"/>
      <c r="I1589" s="21"/>
      <c r="J1589" s="21"/>
      <c r="K1589" s="21"/>
      <c r="L1589" s="21"/>
      <c r="M1589" s="9">
        <f t="shared" si="206"/>
        <v>0</v>
      </c>
      <c r="N1589" s="9">
        <f t="shared" si="207"/>
        <v>0</v>
      </c>
      <c r="O1589" s="21"/>
      <c r="P1589" s="21"/>
      <c r="Q1589" s="21"/>
      <c r="S1589" s="25"/>
    </row>
    <row r="1590" spans="1:19" ht="16.5" customHeight="1" x14ac:dyDescent="0.25">
      <c r="A1590" s="9"/>
      <c r="B1590" s="39" t="s">
        <v>42</v>
      </c>
      <c r="C1590" s="40"/>
      <c r="D1590" s="40"/>
      <c r="E1590" s="40"/>
      <c r="F1590" s="40"/>
      <c r="G1590" s="41"/>
      <c r="H1590" s="23"/>
      <c r="I1590" s="24">
        <f>SUM(I1577:I1589)</f>
        <v>25</v>
      </c>
      <c r="J1590" s="9"/>
      <c r="K1590" s="9"/>
      <c r="L1590" s="9"/>
      <c r="M1590" s="9">
        <f t="shared" si="206"/>
        <v>174</v>
      </c>
      <c r="N1590" s="9">
        <f t="shared" si="207"/>
        <v>64.5</v>
      </c>
      <c r="O1590" s="24">
        <f>ROUND(SUM(M1577:M1589)/I1590,2)</f>
        <v>6.96</v>
      </c>
      <c r="P1590" s="24">
        <f>ROUND(SUM(N1577:N1589)/I1590,2)</f>
        <v>2.58</v>
      </c>
      <c r="Q1590" s="9"/>
      <c r="S1590" s="25"/>
    </row>
    <row r="1591" spans="1:19" ht="20.25" customHeight="1" x14ac:dyDescent="0.25">
      <c r="A1591" s="27" t="s">
        <v>112</v>
      </c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</row>
    <row r="1592" spans="1:19" ht="16.5" customHeight="1" x14ac:dyDescent="0.25">
      <c r="A1592" s="9"/>
      <c r="B1592" s="51" t="s">
        <v>113</v>
      </c>
      <c r="C1592" s="52"/>
      <c r="D1592" s="52"/>
      <c r="E1592" s="52"/>
      <c r="F1592" s="52"/>
      <c r="G1592" s="53"/>
      <c r="H1592" s="20"/>
      <c r="I1592" s="9">
        <v>2</v>
      </c>
      <c r="J1592" s="9"/>
      <c r="K1592" s="9"/>
      <c r="L1592" s="9"/>
      <c r="M1592" s="9">
        <f t="shared" ref="M1592:M1600" si="208">I1592*O1592</f>
        <v>0</v>
      </c>
      <c r="N1592" s="9">
        <f t="shared" ref="N1592:N1600" si="209">I1592*P1592</f>
        <v>0</v>
      </c>
      <c r="O1592" s="9"/>
      <c r="P1592" s="9"/>
      <c r="Q1592" s="9"/>
      <c r="R1592" s="1">
        <v>0</v>
      </c>
      <c r="S1592" s="26"/>
    </row>
    <row r="1593" spans="1:19" ht="16.5" customHeight="1" x14ac:dyDescent="0.25">
      <c r="A1593" s="9"/>
      <c r="B1593" s="51" t="s">
        <v>114</v>
      </c>
      <c r="C1593" s="52"/>
      <c r="D1593" s="52"/>
      <c r="E1593" s="52"/>
      <c r="F1593" s="52"/>
      <c r="G1593" s="53"/>
      <c r="H1593" s="20"/>
      <c r="I1593" s="9">
        <v>3</v>
      </c>
      <c r="J1593" s="9"/>
      <c r="K1593" s="9"/>
      <c r="L1593" s="9"/>
      <c r="M1593" s="9">
        <f t="shared" si="208"/>
        <v>21.9</v>
      </c>
      <c r="N1593" s="9">
        <f t="shared" si="209"/>
        <v>9</v>
      </c>
      <c r="O1593" s="9">
        <v>7.3</v>
      </c>
      <c r="P1593" s="9">
        <v>3</v>
      </c>
      <c r="Q1593" s="9" t="s">
        <v>6</v>
      </c>
      <c r="R1593" s="1">
        <v>0</v>
      </c>
      <c r="S1593" s="26"/>
    </row>
    <row r="1594" spans="1:19" ht="16.5" customHeight="1" x14ac:dyDescent="0.25">
      <c r="A1594" s="9"/>
      <c r="B1594" s="51" t="s">
        <v>115</v>
      </c>
      <c r="C1594" s="52"/>
      <c r="D1594" s="52"/>
      <c r="E1594" s="52"/>
      <c r="F1594" s="52"/>
      <c r="G1594" s="53"/>
      <c r="H1594" s="20"/>
      <c r="I1594" s="9">
        <v>1</v>
      </c>
      <c r="J1594" s="9"/>
      <c r="K1594" s="9"/>
      <c r="L1594" s="9"/>
      <c r="M1594" s="9">
        <f t="shared" si="208"/>
        <v>6.8</v>
      </c>
      <c r="N1594" s="9">
        <f t="shared" si="209"/>
        <v>2.5</v>
      </c>
      <c r="O1594" s="9">
        <v>6.8</v>
      </c>
      <c r="P1594" s="9">
        <v>2.5</v>
      </c>
      <c r="Q1594" s="9" t="s">
        <v>5</v>
      </c>
      <c r="R1594" s="1">
        <v>0</v>
      </c>
      <c r="S1594" s="26"/>
    </row>
    <row r="1595" spans="1:19" ht="16.5" customHeight="1" x14ac:dyDescent="0.25">
      <c r="A1595" s="9"/>
      <c r="B1595" s="51" t="s">
        <v>118</v>
      </c>
      <c r="C1595" s="52"/>
      <c r="D1595" s="52"/>
      <c r="E1595" s="52"/>
      <c r="F1595" s="52"/>
      <c r="G1595" s="53"/>
      <c r="H1595" s="20"/>
      <c r="I1595" s="9">
        <v>3</v>
      </c>
      <c r="J1595" s="9"/>
      <c r="K1595" s="9"/>
      <c r="L1595" s="9"/>
      <c r="M1595" s="9">
        <f t="shared" si="208"/>
        <v>21</v>
      </c>
      <c r="N1595" s="9">
        <f t="shared" si="209"/>
        <v>9</v>
      </c>
      <c r="O1595" s="9">
        <v>7</v>
      </c>
      <c r="P1595" s="9">
        <v>3</v>
      </c>
      <c r="Q1595" s="9" t="s">
        <v>6</v>
      </c>
      <c r="R1595" s="1">
        <v>0</v>
      </c>
      <c r="S1595" s="26"/>
    </row>
    <row r="1596" spans="1:19" ht="16.5" customHeight="1" x14ac:dyDescent="0.25">
      <c r="A1596" s="9"/>
      <c r="B1596" s="51" t="s">
        <v>117</v>
      </c>
      <c r="C1596" s="52"/>
      <c r="D1596" s="52"/>
      <c r="E1596" s="52"/>
      <c r="F1596" s="52"/>
      <c r="G1596" s="53"/>
      <c r="H1596" s="20"/>
      <c r="I1596" s="9">
        <v>3</v>
      </c>
      <c r="J1596" s="9"/>
      <c r="K1596" s="9"/>
      <c r="L1596" s="9"/>
      <c r="M1596" s="9">
        <f t="shared" si="208"/>
        <v>16.799999999999997</v>
      </c>
      <c r="N1596" s="9">
        <f t="shared" si="209"/>
        <v>6</v>
      </c>
      <c r="O1596" s="9">
        <v>5.6</v>
      </c>
      <c r="P1596" s="9">
        <v>2</v>
      </c>
      <c r="Q1596" s="9" t="s">
        <v>3</v>
      </c>
      <c r="R1596" s="1">
        <v>0</v>
      </c>
      <c r="S1596" s="26"/>
    </row>
    <row r="1597" spans="1:19" ht="31.2" customHeight="1" x14ac:dyDescent="0.25">
      <c r="A1597" s="9"/>
      <c r="B1597" s="51" t="s">
        <v>119</v>
      </c>
      <c r="C1597" s="52"/>
      <c r="D1597" s="52"/>
      <c r="E1597" s="52"/>
      <c r="F1597" s="52"/>
      <c r="G1597" s="53"/>
      <c r="H1597" s="20"/>
      <c r="I1597" s="9">
        <v>2</v>
      </c>
      <c r="J1597" s="9"/>
      <c r="K1597" s="9"/>
      <c r="L1597" s="9"/>
      <c r="M1597" s="9">
        <f t="shared" si="208"/>
        <v>0</v>
      </c>
      <c r="N1597" s="9">
        <f t="shared" si="209"/>
        <v>0</v>
      </c>
      <c r="O1597" s="9"/>
      <c r="P1597" s="9"/>
      <c r="Q1597" s="9"/>
      <c r="R1597" s="1">
        <v>0</v>
      </c>
      <c r="S1597" s="26"/>
    </row>
    <row r="1598" spans="1:19" ht="16.5" customHeight="1" x14ac:dyDescent="0.25">
      <c r="A1598" s="9"/>
      <c r="B1598" s="51" t="s">
        <v>116</v>
      </c>
      <c r="C1598" s="52"/>
      <c r="D1598" s="52"/>
      <c r="E1598" s="52"/>
      <c r="F1598" s="52"/>
      <c r="G1598" s="53"/>
      <c r="H1598" s="20"/>
      <c r="I1598" s="9">
        <v>3</v>
      </c>
      <c r="J1598" s="9"/>
      <c r="K1598" s="9"/>
      <c r="L1598" s="9"/>
      <c r="M1598" s="9">
        <f t="shared" si="208"/>
        <v>21.299999999999997</v>
      </c>
      <c r="N1598" s="9">
        <f t="shared" si="209"/>
        <v>9</v>
      </c>
      <c r="O1598" s="9">
        <v>7.1</v>
      </c>
      <c r="P1598" s="9">
        <v>3</v>
      </c>
      <c r="Q1598" s="9" t="s">
        <v>6</v>
      </c>
      <c r="R1598" s="1">
        <v>0</v>
      </c>
      <c r="S1598" s="26"/>
    </row>
    <row r="1599" spans="1:19" ht="16.5" hidden="1" customHeight="1" x14ac:dyDescent="0.25">
      <c r="A1599" s="21"/>
      <c r="H1599" s="21"/>
      <c r="I1599" s="21"/>
      <c r="J1599" s="21"/>
      <c r="K1599" s="21"/>
      <c r="L1599" s="21"/>
      <c r="M1599" s="9">
        <f t="shared" si="208"/>
        <v>0</v>
      </c>
      <c r="N1599" s="9">
        <f t="shared" si="209"/>
        <v>0</v>
      </c>
      <c r="O1599" s="21"/>
      <c r="P1599" s="21"/>
      <c r="Q1599" s="21"/>
      <c r="S1599" s="25"/>
    </row>
    <row r="1600" spans="1:19" ht="16.5" customHeight="1" x14ac:dyDescent="0.25">
      <c r="A1600" s="9"/>
      <c r="B1600" s="39" t="s">
        <v>42</v>
      </c>
      <c r="C1600" s="40"/>
      <c r="D1600" s="40"/>
      <c r="E1600" s="40"/>
      <c r="F1600" s="40"/>
      <c r="G1600" s="41"/>
      <c r="H1600" s="23"/>
      <c r="I1600" s="24">
        <f>SUM(I1592:I1599)</f>
        <v>17</v>
      </c>
      <c r="J1600" s="9"/>
      <c r="K1600" s="9"/>
      <c r="L1600" s="9"/>
      <c r="M1600" s="9">
        <f t="shared" si="208"/>
        <v>87.72</v>
      </c>
      <c r="N1600" s="9">
        <f t="shared" si="209"/>
        <v>35.53</v>
      </c>
      <c r="O1600" s="24">
        <f>ROUND(SUM(M1592:M1599)/I1600,2)</f>
        <v>5.16</v>
      </c>
      <c r="P1600" s="24">
        <f>ROUND(SUM(N1592:N1599)/I1600,2)</f>
        <v>2.09</v>
      </c>
      <c r="Q1600" s="9"/>
      <c r="S1600" s="25"/>
    </row>
    <row r="1601" spans="1:19" ht="16.5" customHeight="1" x14ac:dyDescent="0.25">
      <c r="A1601" s="21"/>
      <c r="B1601" s="22"/>
      <c r="C1601" s="22"/>
      <c r="D1601" s="22"/>
      <c r="E1601" s="22"/>
      <c r="F1601" s="22"/>
      <c r="G1601" s="22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</row>
    <row r="1603" spans="1:19" ht="18" x14ac:dyDescent="0.25">
      <c r="A1603" s="35" t="s">
        <v>191</v>
      </c>
      <c r="B1603" s="35"/>
      <c r="C1603" s="35"/>
      <c r="D1603" s="35"/>
      <c r="E1603" s="35"/>
      <c r="F1603" s="35"/>
      <c r="G1603" s="35"/>
      <c r="H1603" s="35"/>
      <c r="I1603" s="35"/>
      <c r="J1603" s="35"/>
      <c r="K1603" s="35"/>
      <c r="L1603" s="35"/>
      <c r="M1603" s="35"/>
      <c r="N1603" s="35"/>
      <c r="O1603" s="35"/>
      <c r="P1603" s="35"/>
      <c r="Q1603" s="35"/>
      <c r="R1603" s="35"/>
      <c r="S1603" s="35"/>
    </row>
    <row r="1604" spans="1:19" ht="18" x14ac:dyDescent="0.25">
      <c r="A1604" s="35" t="s">
        <v>198</v>
      </c>
      <c r="B1604" s="35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</row>
    <row r="1605" spans="1:19" ht="18" x14ac:dyDescent="0.25">
      <c r="A1605" s="35" t="s">
        <v>199</v>
      </c>
      <c r="B1605" s="35"/>
      <c r="C1605" s="35"/>
      <c r="D1605" s="35"/>
      <c r="E1605" s="35"/>
      <c r="F1605" s="35"/>
      <c r="G1605" s="35"/>
      <c r="H1605" s="35"/>
      <c r="I1605" s="35"/>
      <c r="J1605" s="35"/>
      <c r="K1605" s="35"/>
      <c r="L1605" s="35"/>
      <c r="M1605" s="35"/>
      <c r="N1605" s="35"/>
      <c r="O1605" s="35"/>
      <c r="P1605" s="35"/>
      <c r="Q1605" s="35"/>
      <c r="R1605" s="35"/>
      <c r="S1605" s="35"/>
    </row>
    <row r="1606" spans="1:19" ht="18" x14ac:dyDescent="0.25">
      <c r="A1606" s="45" t="s">
        <v>194</v>
      </c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</row>
    <row r="1607" spans="1:19" ht="19.5" customHeight="1" x14ac:dyDescent="0.25">
      <c r="A1607" s="17"/>
      <c r="B1607" s="17"/>
      <c r="C1607" s="8"/>
      <c r="D1607" s="18"/>
      <c r="E1607" s="10"/>
      <c r="F1607" s="11"/>
      <c r="G1607" s="46" t="s">
        <v>49</v>
      </c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</row>
    <row r="1608" spans="1:19" ht="31.5" customHeight="1" x14ac:dyDescent="0.3">
      <c r="A1608" s="8"/>
      <c r="B1608" s="8"/>
      <c r="C1608" s="8"/>
      <c r="D1608" s="8"/>
      <c r="E1608" s="8"/>
      <c r="F1608" s="8"/>
      <c r="G1608" s="8"/>
      <c r="H1608" s="12"/>
      <c r="I1608" s="42" t="s">
        <v>40</v>
      </c>
      <c r="J1608" s="43"/>
      <c r="K1608" s="43"/>
      <c r="L1608" s="43"/>
      <c r="M1608" s="43"/>
      <c r="N1608" s="43"/>
      <c r="O1608" s="43"/>
      <c r="P1608" s="43"/>
      <c r="Q1608" s="43"/>
      <c r="R1608" s="43"/>
      <c r="S1608" s="43"/>
    </row>
    <row r="1609" spans="1:19" ht="16.8" x14ac:dyDescent="0.3">
      <c r="A1609" s="8"/>
      <c r="B1609" s="8"/>
      <c r="C1609" s="8"/>
      <c r="D1609" s="8"/>
      <c r="E1609" s="8"/>
      <c r="F1609" s="8"/>
      <c r="G1609" s="8"/>
      <c r="H1609" s="12"/>
      <c r="I1609" s="12"/>
      <c r="J1609" s="12"/>
      <c r="K1609" s="12"/>
      <c r="L1609" s="8"/>
      <c r="M1609" s="8"/>
      <c r="N1609" s="8"/>
      <c r="O1609" s="8"/>
      <c r="P1609" s="8"/>
      <c r="Q1609" s="8"/>
    </row>
    <row r="1610" spans="1:19" ht="33" customHeight="1" x14ac:dyDescent="0.3">
      <c r="A1610" s="8"/>
      <c r="B1610" s="8"/>
      <c r="C1610" s="8"/>
      <c r="D1610" s="8"/>
      <c r="E1610" s="8"/>
      <c r="F1610" s="8"/>
      <c r="G1610" s="8"/>
      <c r="H1610" s="12"/>
      <c r="I1610" s="12"/>
      <c r="J1610" s="12"/>
      <c r="K1610" s="12"/>
      <c r="L1610" s="8"/>
      <c r="M1610" s="8"/>
      <c r="N1610" s="8"/>
      <c r="O1610" s="8"/>
      <c r="P1610" s="8"/>
      <c r="Q1610" s="8"/>
    </row>
    <row r="1611" spans="1:19" ht="11.25" customHeight="1" x14ac:dyDescent="0.3">
      <c r="A1611" s="8"/>
      <c r="B1611" s="8"/>
      <c r="C1611" s="8"/>
      <c r="D1611" s="8"/>
      <c r="E1611" s="8"/>
      <c r="F1611" s="8"/>
      <c r="G1611" s="8"/>
      <c r="H1611" s="12"/>
      <c r="I1611" s="12"/>
      <c r="J1611" s="12"/>
      <c r="K1611" s="12"/>
      <c r="L1611" s="8"/>
      <c r="M1611" s="8"/>
      <c r="N1611" s="8"/>
      <c r="O1611" s="8"/>
      <c r="P1611" s="8"/>
      <c r="Q1611" s="8"/>
    </row>
    <row r="1612" spans="1:19" ht="17.399999999999999" x14ac:dyDescent="0.3">
      <c r="A1612" s="8"/>
      <c r="B1612" s="8"/>
      <c r="C1612" s="8"/>
      <c r="D1612" s="8"/>
      <c r="E1612" s="8"/>
      <c r="F1612" s="8"/>
      <c r="G1612" s="47" t="s">
        <v>41</v>
      </c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</row>
    <row r="1613" spans="1:19" ht="54" customHeight="1" x14ac:dyDescent="0.25">
      <c r="A1613" s="48" t="s">
        <v>33</v>
      </c>
      <c r="B1613" s="48"/>
      <c r="C1613" s="48"/>
      <c r="D1613" s="48"/>
      <c r="E1613" s="48"/>
      <c r="F1613" s="42" t="s">
        <v>24</v>
      </c>
      <c r="G1613" s="42"/>
      <c r="H1613" s="42"/>
      <c r="I1613" s="42"/>
      <c r="J1613" s="42"/>
      <c r="K1613" s="42"/>
      <c r="L1613" s="42"/>
      <c r="M1613" s="42"/>
      <c r="N1613" s="42"/>
      <c r="O1613" s="42"/>
      <c r="P1613" s="42"/>
      <c r="Q1613" s="42"/>
      <c r="R1613" s="42"/>
      <c r="S1613" s="42"/>
    </row>
    <row r="1614" spans="1:19" ht="17.399999999999999" x14ac:dyDescent="0.25">
      <c r="A1614" s="49" t="s">
        <v>34</v>
      </c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  <c r="O1614" s="49"/>
      <c r="P1614" s="49"/>
      <c r="Q1614" s="49"/>
    </row>
    <row r="1615" spans="1:19" ht="4.5" customHeight="1" x14ac:dyDescent="0.25">
      <c r="A1615" s="50"/>
      <c r="B1615" s="50"/>
      <c r="C1615" s="50"/>
      <c r="D1615" s="50"/>
      <c r="E1615" s="50"/>
      <c r="F1615" s="50"/>
      <c r="G1615" s="50"/>
      <c r="H1615" s="50"/>
      <c r="I1615" s="50"/>
      <c r="J1615" s="50"/>
      <c r="K1615" s="50"/>
      <c r="L1615" s="50"/>
      <c r="M1615" s="50"/>
      <c r="N1615" s="50"/>
      <c r="O1615" s="50"/>
      <c r="P1615" s="50"/>
      <c r="Q1615" s="50"/>
    </row>
    <row r="1616" spans="1:19" ht="5.25" customHeight="1" x14ac:dyDescent="0.25">
      <c r="A1616" s="50"/>
      <c r="B1616" s="50"/>
      <c r="C1616" s="50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</row>
    <row r="1617" spans="1:20" ht="16.5" customHeight="1" x14ac:dyDescent="0.25">
      <c r="A1617" s="54" t="s">
        <v>201</v>
      </c>
      <c r="B1617" s="54"/>
      <c r="C1617" s="54"/>
      <c r="D1617" s="54"/>
      <c r="E1617" s="54"/>
      <c r="F1617" s="54"/>
      <c r="G1617" s="58" t="s">
        <v>202</v>
      </c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</row>
    <row r="1618" spans="1:20" ht="16.5" customHeight="1" x14ac:dyDescent="0.25">
      <c r="A1618" s="54" t="s">
        <v>203</v>
      </c>
      <c r="B1618" s="54"/>
      <c r="C1618" s="54"/>
      <c r="D1618" s="54"/>
      <c r="E1618" s="54"/>
      <c r="F1618" s="54"/>
      <c r="G1618" s="8" t="s">
        <v>46</v>
      </c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T1618" s="2"/>
    </row>
    <row r="1619" spans="1:20" ht="16.5" customHeight="1" x14ac:dyDescent="0.25">
      <c r="A1619" s="54" t="s">
        <v>47</v>
      </c>
      <c r="B1619" s="54"/>
      <c r="C1619" s="54"/>
      <c r="D1619" s="54"/>
      <c r="E1619" s="54"/>
      <c r="F1619" s="54"/>
      <c r="G1619" s="58" t="s">
        <v>48</v>
      </c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</row>
    <row r="1620" spans="1:20" ht="5.25" customHeight="1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19"/>
      <c r="K1620" s="19"/>
      <c r="L1620" s="19"/>
      <c r="M1620" s="19"/>
      <c r="N1620" s="19"/>
      <c r="O1620" s="19"/>
      <c r="P1620" s="19"/>
      <c r="Q1620" s="19"/>
    </row>
    <row r="1621" spans="1:20" ht="15" customHeight="1" x14ac:dyDescent="0.25">
      <c r="A1621" s="36" t="s">
        <v>0</v>
      </c>
      <c r="B1621" s="29" t="s">
        <v>1</v>
      </c>
      <c r="C1621" s="30"/>
      <c r="D1621" s="30"/>
      <c r="E1621" s="30"/>
      <c r="F1621" s="30"/>
      <c r="G1621" s="31"/>
      <c r="H1621" s="36" t="s">
        <v>32</v>
      </c>
      <c r="I1621" s="36" t="s">
        <v>39</v>
      </c>
      <c r="J1621" s="55" t="s">
        <v>2</v>
      </c>
      <c r="K1621" s="56"/>
      <c r="L1621" s="56"/>
      <c r="M1621" s="56"/>
      <c r="N1621" s="56"/>
      <c r="O1621" s="56"/>
      <c r="P1621" s="56"/>
      <c r="Q1621" s="57"/>
      <c r="S1621" s="36" t="s">
        <v>38</v>
      </c>
    </row>
    <row r="1622" spans="1:20" ht="24" customHeight="1" x14ac:dyDescent="0.25">
      <c r="A1622" s="37"/>
      <c r="B1622" s="32"/>
      <c r="C1622" s="33"/>
      <c r="D1622" s="33"/>
      <c r="E1622" s="33"/>
      <c r="F1622" s="33"/>
      <c r="G1622" s="34"/>
      <c r="H1622" s="37"/>
      <c r="I1622" s="37"/>
      <c r="J1622" s="7" t="s">
        <v>28</v>
      </c>
      <c r="K1622" s="7" t="s">
        <v>29</v>
      </c>
      <c r="L1622" s="7" t="s">
        <v>30</v>
      </c>
      <c r="M1622" s="7"/>
      <c r="N1622" s="7"/>
      <c r="O1622" s="6" t="s">
        <v>35</v>
      </c>
      <c r="P1622" s="6" t="s">
        <v>36</v>
      </c>
      <c r="Q1622" s="6" t="s">
        <v>37</v>
      </c>
      <c r="S1622" s="37"/>
    </row>
    <row r="1623" spans="1:20" ht="20.25" customHeight="1" x14ac:dyDescent="0.25">
      <c r="A1623" s="27" t="s">
        <v>54</v>
      </c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</row>
    <row r="1624" spans="1:20" ht="16.5" customHeight="1" x14ac:dyDescent="0.25">
      <c r="A1624" s="9"/>
      <c r="B1624" s="51" t="s">
        <v>61</v>
      </c>
      <c r="C1624" s="52"/>
      <c r="D1624" s="52"/>
      <c r="E1624" s="52"/>
      <c r="F1624" s="52"/>
      <c r="G1624" s="53"/>
      <c r="H1624" s="20"/>
      <c r="I1624" s="9">
        <v>1</v>
      </c>
      <c r="J1624" s="9"/>
      <c r="K1624" s="9"/>
      <c r="L1624" s="9"/>
      <c r="M1624" s="9">
        <f t="shared" ref="M1624:M1632" si="210">I1624*O1624</f>
        <v>8.1999999999999993</v>
      </c>
      <c r="N1624" s="9">
        <f t="shared" ref="N1624:N1632" si="211">I1624*P1624</f>
        <v>3.5</v>
      </c>
      <c r="O1624" s="9">
        <v>8.1999999999999993</v>
      </c>
      <c r="P1624" s="9">
        <v>3.5</v>
      </c>
      <c r="Q1624" s="9" t="s">
        <v>9</v>
      </c>
      <c r="R1624" s="1">
        <v>0</v>
      </c>
      <c r="S1624" s="26"/>
    </row>
    <row r="1625" spans="1:20" ht="16.5" customHeight="1" x14ac:dyDescent="0.25">
      <c r="A1625" s="9"/>
      <c r="B1625" s="51" t="s">
        <v>56</v>
      </c>
      <c r="C1625" s="52"/>
      <c r="D1625" s="52"/>
      <c r="E1625" s="52"/>
      <c r="F1625" s="52"/>
      <c r="G1625" s="53"/>
      <c r="H1625" s="20"/>
      <c r="I1625" s="9">
        <v>3</v>
      </c>
      <c r="J1625" s="9"/>
      <c r="K1625" s="9"/>
      <c r="L1625" s="9"/>
      <c r="M1625" s="9">
        <f t="shared" si="210"/>
        <v>13.200000000000001</v>
      </c>
      <c r="N1625" s="9">
        <f t="shared" si="211"/>
        <v>3</v>
      </c>
      <c r="O1625" s="9">
        <v>4.4000000000000004</v>
      </c>
      <c r="P1625" s="9">
        <v>1</v>
      </c>
      <c r="Q1625" s="9" t="s">
        <v>8</v>
      </c>
      <c r="R1625" s="1">
        <v>0</v>
      </c>
      <c r="S1625" s="26"/>
    </row>
    <row r="1626" spans="1:20" ht="31.2" customHeight="1" x14ac:dyDescent="0.25">
      <c r="A1626" s="9"/>
      <c r="B1626" s="51" t="s">
        <v>57</v>
      </c>
      <c r="C1626" s="52"/>
      <c r="D1626" s="52"/>
      <c r="E1626" s="52"/>
      <c r="F1626" s="52"/>
      <c r="G1626" s="53"/>
      <c r="H1626" s="20"/>
      <c r="I1626" s="9">
        <v>3</v>
      </c>
      <c r="J1626" s="9"/>
      <c r="K1626" s="9"/>
      <c r="L1626" s="9"/>
      <c r="M1626" s="9">
        <f t="shared" si="210"/>
        <v>23.700000000000003</v>
      </c>
      <c r="N1626" s="9">
        <f t="shared" si="211"/>
        <v>9</v>
      </c>
      <c r="O1626" s="9">
        <v>7.9</v>
      </c>
      <c r="P1626" s="9">
        <v>3</v>
      </c>
      <c r="Q1626" s="9" t="s">
        <v>6</v>
      </c>
      <c r="R1626" s="1">
        <v>0</v>
      </c>
      <c r="S1626" s="26"/>
    </row>
    <row r="1627" spans="1:20" ht="16.5" customHeight="1" x14ac:dyDescent="0.25">
      <c r="A1627" s="9"/>
      <c r="B1627" s="51" t="s">
        <v>58</v>
      </c>
      <c r="C1627" s="52"/>
      <c r="D1627" s="52"/>
      <c r="E1627" s="52"/>
      <c r="F1627" s="52"/>
      <c r="G1627" s="53"/>
      <c r="H1627" s="20"/>
      <c r="I1627" s="9">
        <v>1</v>
      </c>
      <c r="J1627" s="9"/>
      <c r="K1627" s="9"/>
      <c r="L1627" s="9"/>
      <c r="M1627" s="9">
        <f t="shared" si="210"/>
        <v>7.3</v>
      </c>
      <c r="N1627" s="9">
        <f t="shared" si="211"/>
        <v>3</v>
      </c>
      <c r="O1627" s="9">
        <v>7.3</v>
      </c>
      <c r="P1627" s="9">
        <v>3</v>
      </c>
      <c r="Q1627" s="9" t="s">
        <v>6</v>
      </c>
      <c r="R1627" s="1">
        <v>0</v>
      </c>
      <c r="S1627" s="26"/>
    </row>
    <row r="1628" spans="1:20" ht="16.5" customHeight="1" x14ac:dyDescent="0.25">
      <c r="A1628" s="9"/>
      <c r="B1628" s="51" t="s">
        <v>59</v>
      </c>
      <c r="C1628" s="52"/>
      <c r="D1628" s="52"/>
      <c r="E1628" s="52"/>
      <c r="F1628" s="52"/>
      <c r="G1628" s="53"/>
      <c r="H1628" s="20"/>
      <c r="I1628" s="9">
        <v>1</v>
      </c>
      <c r="J1628" s="9"/>
      <c r="K1628" s="9"/>
      <c r="L1628" s="9"/>
      <c r="M1628" s="9">
        <f t="shared" si="210"/>
        <v>6.8</v>
      </c>
      <c r="N1628" s="9">
        <f t="shared" si="211"/>
        <v>2.5</v>
      </c>
      <c r="O1628" s="9">
        <v>6.8</v>
      </c>
      <c r="P1628" s="9">
        <v>2.5</v>
      </c>
      <c r="Q1628" s="9" t="s">
        <v>5</v>
      </c>
      <c r="R1628" s="1">
        <v>0</v>
      </c>
      <c r="S1628" s="26"/>
    </row>
    <row r="1629" spans="1:20" ht="16.5" customHeight="1" x14ac:dyDescent="0.25">
      <c r="A1629" s="9"/>
      <c r="B1629" s="51" t="s">
        <v>60</v>
      </c>
      <c r="C1629" s="52"/>
      <c r="D1629" s="52"/>
      <c r="E1629" s="52"/>
      <c r="F1629" s="52"/>
      <c r="G1629" s="53"/>
      <c r="H1629" s="20"/>
      <c r="I1629" s="9">
        <v>3</v>
      </c>
      <c r="J1629" s="9"/>
      <c r="K1629" s="9"/>
      <c r="L1629" s="9"/>
      <c r="M1629" s="9">
        <f t="shared" si="210"/>
        <v>22.799999999999997</v>
      </c>
      <c r="N1629" s="9">
        <f t="shared" si="211"/>
        <v>9</v>
      </c>
      <c r="O1629" s="9">
        <v>7.6</v>
      </c>
      <c r="P1629" s="9">
        <v>3</v>
      </c>
      <c r="Q1629" s="9" t="s">
        <v>6</v>
      </c>
      <c r="R1629" s="1">
        <v>0</v>
      </c>
      <c r="S1629" s="26"/>
    </row>
    <row r="1630" spans="1:20" ht="16.5" customHeight="1" x14ac:dyDescent="0.25">
      <c r="A1630" s="9"/>
      <c r="B1630" s="51" t="s">
        <v>55</v>
      </c>
      <c r="C1630" s="52"/>
      <c r="D1630" s="52"/>
      <c r="E1630" s="52"/>
      <c r="F1630" s="52"/>
      <c r="G1630" s="53"/>
      <c r="H1630" s="20"/>
      <c r="I1630" s="9">
        <v>2</v>
      </c>
      <c r="J1630" s="9"/>
      <c r="K1630" s="9"/>
      <c r="L1630" s="9"/>
      <c r="M1630" s="9">
        <f t="shared" si="210"/>
        <v>13.6</v>
      </c>
      <c r="N1630" s="9">
        <f t="shared" si="211"/>
        <v>5</v>
      </c>
      <c r="O1630" s="9">
        <v>6.8</v>
      </c>
      <c r="P1630" s="9">
        <v>2.5</v>
      </c>
      <c r="Q1630" s="9" t="s">
        <v>5</v>
      </c>
      <c r="R1630" s="1">
        <v>0</v>
      </c>
      <c r="S1630" s="26"/>
    </row>
    <row r="1631" spans="1:20" ht="16.5" hidden="1" customHeight="1" x14ac:dyDescent="0.25">
      <c r="A1631" s="21"/>
      <c r="H1631" s="21"/>
      <c r="I1631" s="21"/>
      <c r="J1631" s="21"/>
      <c r="K1631" s="21"/>
      <c r="L1631" s="21"/>
      <c r="M1631" s="9">
        <f t="shared" si="210"/>
        <v>0</v>
      </c>
      <c r="N1631" s="9">
        <f t="shared" si="211"/>
        <v>0</v>
      </c>
      <c r="O1631" s="21"/>
      <c r="P1631" s="21"/>
      <c r="Q1631" s="21"/>
      <c r="S1631" s="25"/>
    </row>
    <row r="1632" spans="1:20" ht="16.5" customHeight="1" x14ac:dyDescent="0.25">
      <c r="A1632" s="9"/>
      <c r="B1632" s="39" t="s">
        <v>42</v>
      </c>
      <c r="C1632" s="40"/>
      <c r="D1632" s="40"/>
      <c r="E1632" s="40"/>
      <c r="F1632" s="40"/>
      <c r="G1632" s="41"/>
      <c r="H1632" s="23"/>
      <c r="I1632" s="24">
        <f>SUM(I1624:I1631)</f>
        <v>14</v>
      </c>
      <c r="J1632" s="9"/>
      <c r="K1632" s="9"/>
      <c r="L1632" s="9"/>
      <c r="M1632" s="9">
        <f t="shared" si="210"/>
        <v>95.62</v>
      </c>
      <c r="N1632" s="9">
        <f t="shared" si="211"/>
        <v>35</v>
      </c>
      <c r="O1632" s="24">
        <f>ROUND(SUM(M1624:M1631)/I1632,2)</f>
        <v>6.83</v>
      </c>
      <c r="P1632" s="24">
        <f>ROUND(SUM(N1624:N1631)/I1632,2)</f>
        <v>2.5</v>
      </c>
      <c r="Q1632" s="9"/>
      <c r="S1632" s="25"/>
    </row>
    <row r="1633" spans="1:19" ht="20.25" customHeight="1" x14ac:dyDescent="0.25">
      <c r="A1633" s="27" t="s">
        <v>62</v>
      </c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</row>
    <row r="1634" spans="1:19" ht="16.5" customHeight="1" x14ac:dyDescent="0.25">
      <c r="A1634" s="9"/>
      <c r="B1634" s="51" t="s">
        <v>63</v>
      </c>
      <c r="C1634" s="52"/>
      <c r="D1634" s="52"/>
      <c r="E1634" s="52"/>
      <c r="F1634" s="52"/>
      <c r="G1634" s="53"/>
      <c r="H1634" s="20"/>
      <c r="I1634" s="9">
        <v>4</v>
      </c>
      <c r="J1634" s="9"/>
      <c r="K1634" s="9"/>
      <c r="L1634" s="9"/>
      <c r="M1634" s="9">
        <f t="shared" ref="M1634:M1642" si="212">I1634*O1634</f>
        <v>22</v>
      </c>
      <c r="N1634" s="9">
        <f t="shared" ref="N1634:N1642" si="213">I1634*P1634</f>
        <v>8</v>
      </c>
      <c r="O1634" s="9">
        <v>5.5</v>
      </c>
      <c r="P1634" s="9">
        <v>2</v>
      </c>
      <c r="Q1634" s="9" t="s">
        <v>3</v>
      </c>
      <c r="R1634" s="1">
        <v>0</v>
      </c>
      <c r="S1634" s="26"/>
    </row>
    <row r="1635" spans="1:19" ht="16.5" customHeight="1" x14ac:dyDescent="0.25">
      <c r="A1635" s="9"/>
      <c r="B1635" s="51" t="s">
        <v>64</v>
      </c>
      <c r="C1635" s="52"/>
      <c r="D1635" s="52"/>
      <c r="E1635" s="52"/>
      <c r="F1635" s="52"/>
      <c r="G1635" s="53"/>
      <c r="H1635" s="20"/>
      <c r="I1635" s="9">
        <v>4</v>
      </c>
      <c r="J1635" s="9"/>
      <c r="K1635" s="9"/>
      <c r="L1635" s="9"/>
      <c r="M1635" s="9">
        <f t="shared" si="212"/>
        <v>17.600000000000001</v>
      </c>
      <c r="N1635" s="9">
        <f t="shared" si="213"/>
        <v>4</v>
      </c>
      <c r="O1635" s="9">
        <v>4.4000000000000004</v>
      </c>
      <c r="P1635" s="9">
        <v>1</v>
      </c>
      <c r="Q1635" s="9" t="s">
        <v>8</v>
      </c>
      <c r="R1635" s="1">
        <v>0</v>
      </c>
      <c r="S1635" s="26"/>
    </row>
    <row r="1636" spans="1:19" ht="16.5" customHeight="1" x14ac:dyDescent="0.25">
      <c r="A1636" s="9"/>
      <c r="B1636" s="51" t="s">
        <v>65</v>
      </c>
      <c r="C1636" s="52"/>
      <c r="D1636" s="52"/>
      <c r="E1636" s="52"/>
      <c r="F1636" s="52"/>
      <c r="G1636" s="53"/>
      <c r="H1636" s="20"/>
      <c r="I1636" s="9">
        <v>4</v>
      </c>
      <c r="J1636" s="9"/>
      <c r="K1636" s="9"/>
      <c r="L1636" s="9"/>
      <c r="M1636" s="9">
        <f t="shared" si="212"/>
        <v>26.8</v>
      </c>
      <c r="N1636" s="9">
        <f t="shared" si="213"/>
        <v>10</v>
      </c>
      <c r="O1636" s="9">
        <v>6.7</v>
      </c>
      <c r="P1636" s="9">
        <v>2.5</v>
      </c>
      <c r="Q1636" s="9" t="s">
        <v>5</v>
      </c>
      <c r="R1636" s="1">
        <v>0</v>
      </c>
      <c r="S1636" s="26"/>
    </row>
    <row r="1637" spans="1:19" ht="16.5" customHeight="1" x14ac:dyDescent="0.25">
      <c r="A1637" s="9"/>
      <c r="B1637" s="51" t="s">
        <v>66</v>
      </c>
      <c r="C1637" s="52"/>
      <c r="D1637" s="52"/>
      <c r="E1637" s="52"/>
      <c r="F1637" s="52"/>
      <c r="G1637" s="53"/>
      <c r="H1637" s="20"/>
      <c r="I1637" s="9">
        <v>1</v>
      </c>
      <c r="J1637" s="9"/>
      <c r="K1637" s="9"/>
      <c r="L1637" s="9"/>
      <c r="M1637" s="9">
        <f t="shared" si="212"/>
        <v>7.4</v>
      </c>
      <c r="N1637" s="9">
        <f t="shared" si="213"/>
        <v>3</v>
      </c>
      <c r="O1637" s="9">
        <v>7.4</v>
      </c>
      <c r="P1637" s="9">
        <v>3</v>
      </c>
      <c r="Q1637" s="9" t="s">
        <v>6</v>
      </c>
      <c r="R1637" s="1">
        <v>0</v>
      </c>
      <c r="S1637" s="26"/>
    </row>
    <row r="1638" spans="1:19" ht="16.5" customHeight="1" x14ac:dyDescent="0.25">
      <c r="A1638" s="9"/>
      <c r="B1638" s="51" t="s">
        <v>67</v>
      </c>
      <c r="C1638" s="52"/>
      <c r="D1638" s="52"/>
      <c r="E1638" s="52"/>
      <c r="F1638" s="52"/>
      <c r="G1638" s="53"/>
      <c r="H1638" s="20"/>
      <c r="I1638" s="9">
        <v>1</v>
      </c>
      <c r="J1638" s="9"/>
      <c r="K1638" s="9"/>
      <c r="L1638" s="9"/>
      <c r="M1638" s="9">
        <f t="shared" si="212"/>
        <v>7.4</v>
      </c>
      <c r="N1638" s="9">
        <f t="shared" si="213"/>
        <v>3</v>
      </c>
      <c r="O1638" s="9">
        <v>7.4</v>
      </c>
      <c r="P1638" s="9">
        <v>3</v>
      </c>
      <c r="Q1638" s="9" t="s">
        <v>6</v>
      </c>
      <c r="R1638" s="1">
        <v>0</v>
      </c>
      <c r="S1638" s="26"/>
    </row>
    <row r="1639" spans="1:19" ht="16.5" customHeight="1" x14ac:dyDescent="0.25">
      <c r="A1639" s="9"/>
      <c r="B1639" s="51" t="s">
        <v>68</v>
      </c>
      <c r="C1639" s="52"/>
      <c r="D1639" s="52"/>
      <c r="E1639" s="52"/>
      <c r="F1639" s="52"/>
      <c r="G1639" s="53"/>
      <c r="H1639" s="20"/>
      <c r="I1639" s="9">
        <v>1</v>
      </c>
      <c r="J1639" s="9"/>
      <c r="K1639" s="9"/>
      <c r="L1639" s="9"/>
      <c r="M1639" s="9">
        <f t="shared" si="212"/>
        <v>7.3</v>
      </c>
      <c r="N1639" s="9">
        <f t="shared" si="213"/>
        <v>3</v>
      </c>
      <c r="O1639" s="9">
        <v>7.3</v>
      </c>
      <c r="P1639" s="9">
        <v>3</v>
      </c>
      <c r="Q1639" s="9" t="s">
        <v>6</v>
      </c>
      <c r="R1639" s="1">
        <v>0</v>
      </c>
      <c r="S1639" s="26"/>
    </row>
    <row r="1640" spans="1:19" ht="16.5" customHeight="1" x14ac:dyDescent="0.25">
      <c r="A1640" s="9"/>
      <c r="B1640" s="51" t="s">
        <v>69</v>
      </c>
      <c r="C1640" s="52"/>
      <c r="D1640" s="52"/>
      <c r="E1640" s="52"/>
      <c r="F1640" s="52"/>
      <c r="G1640" s="53"/>
      <c r="H1640" s="20"/>
      <c r="I1640" s="9">
        <v>1</v>
      </c>
      <c r="J1640" s="9"/>
      <c r="K1640" s="9"/>
      <c r="L1640" s="9"/>
      <c r="M1640" s="9">
        <f t="shared" si="212"/>
        <v>7.3</v>
      </c>
      <c r="N1640" s="9">
        <f t="shared" si="213"/>
        <v>3</v>
      </c>
      <c r="O1640" s="9">
        <v>7.3</v>
      </c>
      <c r="P1640" s="9">
        <v>3</v>
      </c>
      <c r="Q1640" s="9" t="s">
        <v>6</v>
      </c>
      <c r="R1640" s="1">
        <v>0</v>
      </c>
      <c r="S1640" s="26"/>
    </row>
    <row r="1641" spans="1:19" ht="16.5" hidden="1" customHeight="1" x14ac:dyDescent="0.25">
      <c r="A1641" s="21"/>
      <c r="H1641" s="21"/>
      <c r="I1641" s="21"/>
      <c r="J1641" s="21"/>
      <c r="K1641" s="21"/>
      <c r="L1641" s="21"/>
      <c r="M1641" s="9">
        <f t="shared" si="212"/>
        <v>0</v>
      </c>
      <c r="N1641" s="9">
        <f t="shared" si="213"/>
        <v>0</v>
      </c>
      <c r="O1641" s="21"/>
      <c r="P1641" s="21"/>
      <c r="Q1641" s="21"/>
      <c r="S1641" s="25"/>
    </row>
    <row r="1642" spans="1:19" ht="16.5" customHeight="1" x14ac:dyDescent="0.25">
      <c r="A1642" s="9"/>
      <c r="B1642" s="39" t="s">
        <v>42</v>
      </c>
      <c r="C1642" s="40"/>
      <c r="D1642" s="40"/>
      <c r="E1642" s="40"/>
      <c r="F1642" s="40"/>
      <c r="G1642" s="41"/>
      <c r="H1642" s="23"/>
      <c r="I1642" s="24">
        <f>SUM(I1634:I1641)</f>
        <v>16</v>
      </c>
      <c r="J1642" s="9"/>
      <c r="K1642" s="9"/>
      <c r="L1642" s="9"/>
      <c r="M1642" s="9">
        <f t="shared" si="212"/>
        <v>95.84</v>
      </c>
      <c r="N1642" s="9">
        <f t="shared" si="213"/>
        <v>34.08</v>
      </c>
      <c r="O1642" s="24">
        <f>ROUND(SUM(M1634:M1641)/I1642,2)</f>
        <v>5.99</v>
      </c>
      <c r="P1642" s="24">
        <f>ROUND(SUM(N1634:N1641)/I1642,2)</f>
        <v>2.13</v>
      </c>
      <c r="Q1642" s="9"/>
      <c r="S1642" s="25"/>
    </row>
    <row r="1643" spans="1:19" ht="20.25" customHeight="1" x14ac:dyDescent="0.25">
      <c r="A1643" s="27" t="s">
        <v>70</v>
      </c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</row>
    <row r="1644" spans="1:19" ht="16.5" customHeight="1" x14ac:dyDescent="0.25">
      <c r="A1644" s="9"/>
      <c r="B1644" s="51" t="s">
        <v>71</v>
      </c>
      <c r="C1644" s="52"/>
      <c r="D1644" s="52"/>
      <c r="E1644" s="52"/>
      <c r="F1644" s="52"/>
      <c r="G1644" s="53"/>
      <c r="H1644" s="20"/>
      <c r="I1644" s="9">
        <v>4</v>
      </c>
      <c r="J1644" s="9"/>
      <c r="K1644" s="9"/>
      <c r="L1644" s="9"/>
      <c r="M1644" s="9">
        <f t="shared" ref="M1644:M1652" si="214">I1644*O1644</f>
        <v>19.2</v>
      </c>
      <c r="N1644" s="9">
        <f t="shared" ref="N1644:N1652" si="215">I1644*P1644</f>
        <v>4</v>
      </c>
      <c r="O1644" s="9">
        <v>4.8</v>
      </c>
      <c r="P1644" s="9">
        <v>1</v>
      </c>
      <c r="Q1644" s="9" t="s">
        <v>8</v>
      </c>
      <c r="R1644" s="1">
        <v>0</v>
      </c>
      <c r="S1644" s="26"/>
    </row>
    <row r="1645" spans="1:19" ht="16.5" customHeight="1" x14ac:dyDescent="0.25">
      <c r="A1645" s="9"/>
      <c r="B1645" s="51" t="s">
        <v>72</v>
      </c>
      <c r="C1645" s="52"/>
      <c r="D1645" s="52"/>
      <c r="E1645" s="52"/>
      <c r="F1645" s="52"/>
      <c r="G1645" s="53"/>
      <c r="H1645" s="20"/>
      <c r="I1645" s="9">
        <v>4</v>
      </c>
      <c r="J1645" s="9"/>
      <c r="K1645" s="9"/>
      <c r="L1645" s="9"/>
      <c r="M1645" s="9">
        <f t="shared" si="214"/>
        <v>21.6</v>
      </c>
      <c r="N1645" s="9">
        <f t="shared" si="215"/>
        <v>6</v>
      </c>
      <c r="O1645" s="9">
        <v>5.4</v>
      </c>
      <c r="P1645" s="9">
        <v>1.5</v>
      </c>
      <c r="Q1645" s="9" t="s">
        <v>4</v>
      </c>
      <c r="R1645" s="1">
        <v>0</v>
      </c>
      <c r="S1645" s="26"/>
    </row>
    <row r="1646" spans="1:19" ht="16.5" customHeight="1" x14ac:dyDescent="0.25">
      <c r="A1646" s="9"/>
      <c r="B1646" s="51" t="s">
        <v>73</v>
      </c>
      <c r="C1646" s="52"/>
      <c r="D1646" s="52"/>
      <c r="E1646" s="52"/>
      <c r="F1646" s="52"/>
      <c r="G1646" s="53"/>
      <c r="H1646" s="20"/>
      <c r="I1646" s="9">
        <v>1</v>
      </c>
      <c r="J1646" s="9"/>
      <c r="K1646" s="9"/>
      <c r="L1646" s="9"/>
      <c r="M1646" s="9">
        <f t="shared" si="214"/>
        <v>6.7</v>
      </c>
      <c r="N1646" s="9">
        <f t="shared" si="215"/>
        <v>2.5</v>
      </c>
      <c r="O1646" s="9">
        <v>6.7</v>
      </c>
      <c r="P1646" s="9">
        <v>2.5</v>
      </c>
      <c r="Q1646" s="9" t="s">
        <v>5</v>
      </c>
      <c r="R1646" s="1">
        <v>0</v>
      </c>
      <c r="S1646" s="26"/>
    </row>
    <row r="1647" spans="1:19" ht="16.5" customHeight="1" x14ac:dyDescent="0.25">
      <c r="A1647" s="9"/>
      <c r="B1647" s="51" t="s">
        <v>74</v>
      </c>
      <c r="C1647" s="52"/>
      <c r="D1647" s="52"/>
      <c r="E1647" s="52"/>
      <c r="F1647" s="52"/>
      <c r="G1647" s="53"/>
      <c r="H1647" s="20"/>
      <c r="I1647" s="9">
        <v>2</v>
      </c>
      <c r="J1647" s="9"/>
      <c r="K1647" s="9"/>
      <c r="L1647" s="9"/>
      <c r="M1647" s="9">
        <f t="shared" si="214"/>
        <v>13.6</v>
      </c>
      <c r="N1647" s="9">
        <f t="shared" si="215"/>
        <v>5</v>
      </c>
      <c r="O1647" s="9">
        <v>6.8</v>
      </c>
      <c r="P1647" s="9">
        <v>2.5</v>
      </c>
      <c r="Q1647" s="9" t="s">
        <v>5</v>
      </c>
      <c r="R1647" s="1">
        <v>0</v>
      </c>
      <c r="S1647" s="26"/>
    </row>
    <row r="1648" spans="1:19" ht="16.5" customHeight="1" x14ac:dyDescent="0.25">
      <c r="A1648" s="9"/>
      <c r="B1648" s="51" t="s">
        <v>75</v>
      </c>
      <c r="C1648" s="52"/>
      <c r="D1648" s="52"/>
      <c r="E1648" s="52"/>
      <c r="F1648" s="52"/>
      <c r="G1648" s="53"/>
      <c r="H1648" s="20"/>
      <c r="I1648" s="9">
        <v>1</v>
      </c>
      <c r="J1648" s="9"/>
      <c r="K1648" s="9"/>
      <c r="L1648" s="9"/>
      <c r="M1648" s="9">
        <f t="shared" si="214"/>
        <v>5.4</v>
      </c>
      <c r="N1648" s="9">
        <f t="shared" si="215"/>
        <v>1.5</v>
      </c>
      <c r="O1648" s="9">
        <v>5.4</v>
      </c>
      <c r="P1648" s="9">
        <v>1.5</v>
      </c>
      <c r="Q1648" s="9" t="s">
        <v>4</v>
      </c>
      <c r="R1648" s="1">
        <v>0</v>
      </c>
      <c r="S1648" s="26"/>
    </row>
    <row r="1649" spans="1:19" ht="16.5" customHeight="1" x14ac:dyDescent="0.25">
      <c r="A1649" s="9"/>
      <c r="B1649" s="51" t="s">
        <v>76</v>
      </c>
      <c r="C1649" s="52"/>
      <c r="D1649" s="52"/>
      <c r="E1649" s="52"/>
      <c r="F1649" s="52"/>
      <c r="G1649" s="53"/>
      <c r="H1649" s="20"/>
      <c r="I1649" s="9">
        <v>4</v>
      </c>
      <c r="J1649" s="9"/>
      <c r="K1649" s="9"/>
      <c r="L1649" s="9"/>
      <c r="M1649" s="9">
        <f t="shared" si="214"/>
        <v>23.2</v>
      </c>
      <c r="N1649" s="9">
        <f t="shared" si="215"/>
        <v>8</v>
      </c>
      <c r="O1649" s="9">
        <v>5.8</v>
      </c>
      <c r="P1649" s="9">
        <v>2</v>
      </c>
      <c r="Q1649" s="9" t="s">
        <v>3</v>
      </c>
      <c r="R1649" s="1">
        <v>0</v>
      </c>
      <c r="S1649" s="26"/>
    </row>
    <row r="1650" spans="1:19" ht="16.5" customHeight="1" x14ac:dyDescent="0.25">
      <c r="A1650" s="9"/>
      <c r="B1650" s="51" t="s">
        <v>77</v>
      </c>
      <c r="C1650" s="52"/>
      <c r="D1650" s="52"/>
      <c r="E1650" s="52"/>
      <c r="F1650" s="52"/>
      <c r="G1650" s="53"/>
      <c r="H1650" s="20"/>
      <c r="I1650" s="9">
        <v>3</v>
      </c>
      <c r="J1650" s="9"/>
      <c r="K1650" s="9"/>
      <c r="L1650" s="9"/>
      <c r="M1650" s="9">
        <f t="shared" si="214"/>
        <v>14.700000000000001</v>
      </c>
      <c r="N1650" s="9">
        <f t="shared" si="215"/>
        <v>3</v>
      </c>
      <c r="O1650" s="9">
        <v>4.9000000000000004</v>
      </c>
      <c r="P1650" s="9">
        <v>1</v>
      </c>
      <c r="Q1650" s="9" t="s">
        <v>8</v>
      </c>
      <c r="R1650" s="1">
        <v>0</v>
      </c>
      <c r="S1650" s="26"/>
    </row>
    <row r="1651" spans="1:19" ht="16.5" hidden="1" customHeight="1" x14ac:dyDescent="0.25">
      <c r="A1651" s="21"/>
      <c r="H1651" s="21"/>
      <c r="I1651" s="21"/>
      <c r="J1651" s="21"/>
      <c r="K1651" s="21"/>
      <c r="L1651" s="21"/>
      <c r="M1651" s="9">
        <f t="shared" si="214"/>
        <v>0</v>
      </c>
      <c r="N1651" s="9">
        <f t="shared" si="215"/>
        <v>0</v>
      </c>
      <c r="O1651" s="21"/>
      <c r="P1651" s="21"/>
      <c r="Q1651" s="21"/>
      <c r="S1651" s="25"/>
    </row>
    <row r="1652" spans="1:19" ht="16.5" customHeight="1" x14ac:dyDescent="0.25">
      <c r="A1652" s="9"/>
      <c r="B1652" s="39" t="s">
        <v>42</v>
      </c>
      <c r="C1652" s="40"/>
      <c r="D1652" s="40"/>
      <c r="E1652" s="40"/>
      <c r="F1652" s="40"/>
      <c r="G1652" s="41"/>
      <c r="H1652" s="23"/>
      <c r="I1652" s="24">
        <f>SUM(I1644:I1651)</f>
        <v>19</v>
      </c>
      <c r="J1652" s="9"/>
      <c r="K1652" s="9"/>
      <c r="L1652" s="9"/>
      <c r="M1652" s="9">
        <f t="shared" si="214"/>
        <v>104.31</v>
      </c>
      <c r="N1652" s="9">
        <f t="shared" si="215"/>
        <v>30.020000000000003</v>
      </c>
      <c r="O1652" s="24">
        <f>ROUND(SUM(M1644:M1651)/I1652,2)</f>
        <v>5.49</v>
      </c>
      <c r="P1652" s="24">
        <f>ROUND(SUM(N1644:N1651)/I1652,2)</f>
        <v>1.58</v>
      </c>
      <c r="Q1652" s="9"/>
      <c r="S1652" s="25"/>
    </row>
    <row r="1653" spans="1:19" ht="20.25" customHeight="1" x14ac:dyDescent="0.25">
      <c r="A1653" s="27" t="s">
        <v>78</v>
      </c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</row>
    <row r="1654" spans="1:19" ht="16.5" customHeight="1" x14ac:dyDescent="0.25">
      <c r="A1654" s="9"/>
      <c r="B1654" s="51" t="s">
        <v>79</v>
      </c>
      <c r="C1654" s="52"/>
      <c r="D1654" s="52"/>
      <c r="E1654" s="52"/>
      <c r="F1654" s="52"/>
      <c r="G1654" s="53"/>
      <c r="H1654" s="20"/>
      <c r="I1654" s="9">
        <v>1</v>
      </c>
      <c r="J1654" s="9"/>
      <c r="K1654" s="9"/>
      <c r="L1654" s="9"/>
      <c r="M1654" s="9">
        <f t="shared" ref="M1654:M1660" si="216">I1654*O1654</f>
        <v>7.5</v>
      </c>
      <c r="N1654" s="9">
        <f t="shared" ref="N1654:N1660" si="217">I1654*P1654</f>
        <v>3</v>
      </c>
      <c r="O1654" s="9">
        <v>7.5</v>
      </c>
      <c r="P1654" s="9">
        <v>3</v>
      </c>
      <c r="Q1654" s="9" t="s">
        <v>6</v>
      </c>
      <c r="R1654" s="1">
        <v>0</v>
      </c>
      <c r="S1654" s="26"/>
    </row>
    <row r="1655" spans="1:19" ht="16.5" customHeight="1" x14ac:dyDescent="0.25">
      <c r="A1655" s="9"/>
      <c r="B1655" s="51" t="s">
        <v>80</v>
      </c>
      <c r="C1655" s="52"/>
      <c r="D1655" s="52"/>
      <c r="E1655" s="52"/>
      <c r="F1655" s="52"/>
      <c r="G1655" s="53"/>
      <c r="H1655" s="20"/>
      <c r="I1655" s="9">
        <v>3</v>
      </c>
      <c r="J1655" s="9"/>
      <c r="K1655" s="9"/>
      <c r="L1655" s="9"/>
      <c r="M1655" s="9">
        <f t="shared" si="216"/>
        <v>23.4</v>
      </c>
      <c r="N1655" s="9">
        <f t="shared" si="217"/>
        <v>9</v>
      </c>
      <c r="O1655" s="9">
        <v>7.8</v>
      </c>
      <c r="P1655" s="9">
        <v>3</v>
      </c>
      <c r="Q1655" s="9" t="s">
        <v>6</v>
      </c>
      <c r="R1655" s="1">
        <v>0</v>
      </c>
      <c r="S1655" s="26"/>
    </row>
    <row r="1656" spans="1:19" ht="16.5" customHeight="1" x14ac:dyDescent="0.25">
      <c r="A1656" s="9"/>
      <c r="B1656" s="51" t="s">
        <v>87</v>
      </c>
      <c r="C1656" s="52"/>
      <c r="D1656" s="52"/>
      <c r="E1656" s="52"/>
      <c r="F1656" s="52"/>
      <c r="G1656" s="53"/>
      <c r="H1656" s="20"/>
      <c r="I1656" s="9">
        <v>3</v>
      </c>
      <c r="J1656" s="9"/>
      <c r="K1656" s="9"/>
      <c r="L1656" s="9"/>
      <c r="M1656" s="9">
        <f t="shared" si="216"/>
        <v>18.899999999999999</v>
      </c>
      <c r="N1656" s="9">
        <f t="shared" si="217"/>
        <v>6</v>
      </c>
      <c r="O1656" s="9">
        <v>6.3</v>
      </c>
      <c r="P1656" s="9">
        <v>2</v>
      </c>
      <c r="Q1656" s="9" t="s">
        <v>3</v>
      </c>
      <c r="R1656" s="1">
        <v>0</v>
      </c>
      <c r="S1656" s="26"/>
    </row>
    <row r="1657" spans="1:19" ht="16.5" customHeight="1" x14ac:dyDescent="0.25">
      <c r="A1657" s="9"/>
      <c r="B1657" s="51" t="s">
        <v>82</v>
      </c>
      <c r="C1657" s="52"/>
      <c r="D1657" s="52"/>
      <c r="E1657" s="52"/>
      <c r="F1657" s="52"/>
      <c r="G1657" s="53"/>
      <c r="H1657" s="20"/>
      <c r="I1657" s="9">
        <v>2</v>
      </c>
      <c r="J1657" s="9"/>
      <c r="K1657" s="9"/>
      <c r="L1657" s="9"/>
      <c r="M1657" s="9">
        <f t="shared" si="216"/>
        <v>14.6</v>
      </c>
      <c r="N1657" s="9">
        <f t="shared" si="217"/>
        <v>6</v>
      </c>
      <c r="O1657" s="9">
        <v>7.3</v>
      </c>
      <c r="P1657" s="9">
        <v>3</v>
      </c>
      <c r="Q1657" s="9" t="s">
        <v>6</v>
      </c>
      <c r="R1657" s="1">
        <v>0</v>
      </c>
      <c r="S1657" s="26"/>
    </row>
    <row r="1658" spans="1:19" ht="16.5" customHeight="1" x14ac:dyDescent="0.25">
      <c r="A1658" s="9"/>
      <c r="B1658" s="51" t="s">
        <v>83</v>
      </c>
      <c r="C1658" s="52"/>
      <c r="D1658" s="52"/>
      <c r="E1658" s="52"/>
      <c r="F1658" s="52"/>
      <c r="G1658" s="53"/>
      <c r="H1658" s="20"/>
      <c r="I1658" s="9">
        <v>2</v>
      </c>
      <c r="J1658" s="9"/>
      <c r="K1658" s="9"/>
      <c r="L1658" s="9"/>
      <c r="M1658" s="9">
        <f t="shared" si="216"/>
        <v>15</v>
      </c>
      <c r="N1658" s="9">
        <f t="shared" si="217"/>
        <v>6</v>
      </c>
      <c r="O1658" s="9">
        <v>7.5</v>
      </c>
      <c r="P1658" s="9">
        <v>3</v>
      </c>
      <c r="Q1658" s="9" t="s">
        <v>6</v>
      </c>
      <c r="R1658" s="1">
        <v>0</v>
      </c>
      <c r="S1658" s="26"/>
    </row>
    <row r="1659" spans="1:19" ht="16.5" customHeight="1" x14ac:dyDescent="0.25">
      <c r="A1659" s="9"/>
      <c r="B1659" s="51" t="s">
        <v>84</v>
      </c>
      <c r="C1659" s="52"/>
      <c r="D1659" s="52"/>
      <c r="E1659" s="52"/>
      <c r="F1659" s="52"/>
      <c r="G1659" s="53"/>
      <c r="H1659" s="20"/>
      <c r="I1659" s="9">
        <v>3</v>
      </c>
      <c r="J1659" s="9"/>
      <c r="K1659" s="9"/>
      <c r="L1659" s="9"/>
      <c r="M1659" s="9">
        <f t="shared" si="216"/>
        <v>20.100000000000001</v>
      </c>
      <c r="N1659" s="9">
        <f t="shared" si="217"/>
        <v>7.5</v>
      </c>
      <c r="O1659" s="9">
        <v>6.7</v>
      </c>
      <c r="P1659" s="9">
        <v>2.5</v>
      </c>
      <c r="Q1659" s="9" t="s">
        <v>5</v>
      </c>
      <c r="R1659" s="1">
        <v>0</v>
      </c>
      <c r="S1659" s="26"/>
    </row>
    <row r="1660" spans="1:19" ht="16.5" customHeight="1" x14ac:dyDescent="0.25">
      <c r="A1660" s="9"/>
      <c r="B1660" s="51" t="s">
        <v>85</v>
      </c>
      <c r="C1660" s="52"/>
      <c r="D1660" s="52"/>
      <c r="E1660" s="52"/>
      <c r="F1660" s="52"/>
      <c r="G1660" s="53"/>
      <c r="H1660" s="20"/>
      <c r="I1660" s="9">
        <v>2</v>
      </c>
      <c r="J1660" s="9"/>
      <c r="K1660" s="9"/>
      <c r="L1660" s="9"/>
      <c r="M1660" s="9">
        <f t="shared" si="216"/>
        <v>14.2</v>
      </c>
      <c r="N1660" s="9">
        <f t="shared" si="217"/>
        <v>6</v>
      </c>
      <c r="O1660" s="9">
        <v>7.1</v>
      </c>
      <c r="P1660" s="9">
        <v>3</v>
      </c>
      <c r="Q1660" s="9" t="s">
        <v>6</v>
      </c>
      <c r="R1660" s="1">
        <v>0</v>
      </c>
      <c r="S1660" s="26"/>
    </row>
    <row r="1661" spans="1:19" ht="15" customHeight="1" x14ac:dyDescent="0.25">
      <c r="A1661" s="36" t="s">
        <v>0</v>
      </c>
      <c r="B1661" s="29" t="s">
        <v>1</v>
      </c>
      <c r="C1661" s="30"/>
      <c r="D1661" s="30"/>
      <c r="E1661" s="30"/>
      <c r="F1661" s="30"/>
      <c r="G1661" s="31"/>
      <c r="H1661" s="36" t="s">
        <v>32</v>
      </c>
      <c r="I1661" s="36" t="s">
        <v>39</v>
      </c>
      <c r="J1661" s="55" t="s">
        <v>2</v>
      </c>
      <c r="K1661" s="56"/>
      <c r="L1661" s="56"/>
      <c r="M1661" s="56"/>
      <c r="N1661" s="56"/>
      <c r="O1661" s="56"/>
      <c r="P1661" s="56"/>
      <c r="Q1661" s="57"/>
      <c r="S1661" s="36" t="s">
        <v>38</v>
      </c>
    </row>
    <row r="1662" spans="1:19" ht="24" customHeight="1" x14ac:dyDescent="0.25">
      <c r="A1662" s="37"/>
      <c r="B1662" s="32"/>
      <c r="C1662" s="33"/>
      <c r="D1662" s="33"/>
      <c r="E1662" s="33"/>
      <c r="F1662" s="33"/>
      <c r="G1662" s="34"/>
      <c r="H1662" s="37"/>
      <c r="I1662" s="37"/>
      <c r="J1662" s="7" t="s">
        <v>28</v>
      </c>
      <c r="K1662" s="7" t="s">
        <v>29</v>
      </c>
      <c r="L1662" s="7" t="s">
        <v>30</v>
      </c>
      <c r="M1662" s="7"/>
      <c r="N1662" s="7"/>
      <c r="O1662" s="6" t="s">
        <v>35</v>
      </c>
      <c r="P1662" s="6" t="s">
        <v>36</v>
      </c>
      <c r="Q1662" s="6" t="s">
        <v>37</v>
      </c>
      <c r="S1662" s="37"/>
    </row>
    <row r="1663" spans="1:19" ht="16.5" customHeight="1" x14ac:dyDescent="0.25">
      <c r="A1663" s="9"/>
      <c r="B1663" s="51" t="s">
        <v>86</v>
      </c>
      <c r="C1663" s="52"/>
      <c r="D1663" s="52"/>
      <c r="E1663" s="52"/>
      <c r="F1663" s="52"/>
      <c r="G1663" s="53"/>
      <c r="H1663" s="20"/>
      <c r="I1663" s="9">
        <v>3</v>
      </c>
      <c r="J1663" s="9"/>
      <c r="K1663" s="9"/>
      <c r="L1663" s="9"/>
      <c r="M1663" s="9">
        <f>I1663*O1663</f>
        <v>19.5</v>
      </c>
      <c r="N1663" s="9">
        <f>I1663*P1663</f>
        <v>7.5</v>
      </c>
      <c r="O1663" s="9">
        <v>6.5</v>
      </c>
      <c r="P1663" s="9">
        <v>2.5</v>
      </c>
      <c r="Q1663" s="9" t="s">
        <v>5</v>
      </c>
      <c r="R1663" s="1">
        <v>0</v>
      </c>
      <c r="S1663" s="26"/>
    </row>
    <row r="1664" spans="1:19" ht="16.5" customHeight="1" x14ac:dyDescent="0.25">
      <c r="A1664" s="9"/>
      <c r="B1664" s="51" t="s">
        <v>81</v>
      </c>
      <c r="C1664" s="52"/>
      <c r="D1664" s="52"/>
      <c r="E1664" s="52"/>
      <c r="F1664" s="52"/>
      <c r="G1664" s="53"/>
      <c r="H1664" s="20"/>
      <c r="I1664" s="9">
        <v>3</v>
      </c>
      <c r="J1664" s="9"/>
      <c r="K1664" s="9"/>
      <c r="L1664" s="9"/>
      <c r="M1664" s="9">
        <f>I1664*O1664</f>
        <v>21.9</v>
      </c>
      <c r="N1664" s="9">
        <f>I1664*P1664</f>
        <v>9</v>
      </c>
      <c r="O1664" s="9">
        <v>7.3</v>
      </c>
      <c r="P1664" s="9">
        <v>3</v>
      </c>
      <c r="Q1664" s="9" t="s">
        <v>6</v>
      </c>
      <c r="R1664" s="1">
        <v>0</v>
      </c>
      <c r="S1664" s="26"/>
    </row>
    <row r="1665" spans="1:19" ht="16.5" hidden="1" customHeight="1" x14ac:dyDescent="0.25">
      <c r="A1665" s="21"/>
      <c r="H1665" s="21"/>
      <c r="I1665" s="21"/>
      <c r="J1665" s="21"/>
      <c r="K1665" s="21"/>
      <c r="L1665" s="21"/>
      <c r="M1665" s="9">
        <f>I1665*O1665</f>
        <v>0</v>
      </c>
      <c r="N1665" s="9">
        <f>I1665*P1665</f>
        <v>0</v>
      </c>
      <c r="O1665" s="21"/>
      <c r="P1665" s="21"/>
      <c r="Q1665" s="21"/>
      <c r="S1665" s="25"/>
    </row>
    <row r="1666" spans="1:19" ht="16.5" customHeight="1" x14ac:dyDescent="0.25">
      <c r="A1666" s="9"/>
      <c r="B1666" s="39" t="s">
        <v>42</v>
      </c>
      <c r="C1666" s="40"/>
      <c r="D1666" s="40"/>
      <c r="E1666" s="40"/>
      <c r="F1666" s="40"/>
      <c r="G1666" s="41"/>
      <c r="H1666" s="23"/>
      <c r="I1666" s="24">
        <f>SUM(I1654:I1665)</f>
        <v>22</v>
      </c>
      <c r="J1666" s="9"/>
      <c r="K1666" s="9"/>
      <c r="L1666" s="9"/>
      <c r="M1666" s="9">
        <f>I1666*O1666</f>
        <v>155.1</v>
      </c>
      <c r="N1666" s="9">
        <f>I1666*P1666</f>
        <v>60.06</v>
      </c>
      <c r="O1666" s="24">
        <f>ROUND(SUM(M1654:M1665)/I1666,2)</f>
        <v>7.05</v>
      </c>
      <c r="P1666" s="24">
        <f>ROUND(SUM(N1654:N1665)/I1666,2)</f>
        <v>2.73</v>
      </c>
      <c r="Q1666" s="9"/>
      <c r="S1666" s="25"/>
    </row>
    <row r="1667" spans="1:19" ht="20.25" customHeight="1" x14ac:dyDescent="0.25">
      <c r="A1667" s="27" t="s">
        <v>88</v>
      </c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</row>
    <row r="1668" spans="1:19" ht="16.5" customHeight="1" x14ac:dyDescent="0.25">
      <c r="A1668" s="9"/>
      <c r="B1668" s="51" t="s">
        <v>98</v>
      </c>
      <c r="C1668" s="52"/>
      <c r="D1668" s="52"/>
      <c r="E1668" s="52"/>
      <c r="F1668" s="52"/>
      <c r="G1668" s="53"/>
      <c r="H1668" s="20"/>
      <c r="I1668" s="9">
        <v>3</v>
      </c>
      <c r="J1668" s="9"/>
      <c r="K1668" s="9"/>
      <c r="L1668" s="9"/>
      <c r="M1668" s="9">
        <f t="shared" ref="M1668:M1679" si="218">I1668*O1668</f>
        <v>19.5</v>
      </c>
      <c r="N1668" s="9">
        <f t="shared" ref="N1668:N1679" si="219">I1668*P1668</f>
        <v>7.5</v>
      </c>
      <c r="O1668" s="9">
        <v>6.5</v>
      </c>
      <c r="P1668" s="9">
        <v>2.5</v>
      </c>
      <c r="Q1668" s="9" t="s">
        <v>5</v>
      </c>
      <c r="R1668" s="1">
        <v>0</v>
      </c>
      <c r="S1668" s="26"/>
    </row>
    <row r="1669" spans="1:19" ht="16.5" customHeight="1" x14ac:dyDescent="0.25">
      <c r="A1669" s="9"/>
      <c r="B1669" s="51" t="s">
        <v>90</v>
      </c>
      <c r="C1669" s="52"/>
      <c r="D1669" s="52"/>
      <c r="E1669" s="52"/>
      <c r="F1669" s="52"/>
      <c r="G1669" s="53"/>
      <c r="H1669" s="20"/>
      <c r="I1669" s="9">
        <v>3</v>
      </c>
      <c r="J1669" s="9"/>
      <c r="K1669" s="9"/>
      <c r="L1669" s="9"/>
      <c r="M1669" s="9">
        <f t="shared" si="218"/>
        <v>20.100000000000001</v>
      </c>
      <c r="N1669" s="9">
        <f t="shared" si="219"/>
        <v>7.5</v>
      </c>
      <c r="O1669" s="9">
        <v>6.7</v>
      </c>
      <c r="P1669" s="9">
        <v>2.5</v>
      </c>
      <c r="Q1669" s="9" t="s">
        <v>5</v>
      </c>
      <c r="R1669" s="1">
        <v>0</v>
      </c>
      <c r="S1669" s="26"/>
    </row>
    <row r="1670" spans="1:19" ht="16.5" customHeight="1" x14ac:dyDescent="0.25">
      <c r="A1670" s="9"/>
      <c r="B1670" s="51" t="s">
        <v>91</v>
      </c>
      <c r="C1670" s="52"/>
      <c r="D1670" s="52"/>
      <c r="E1670" s="52"/>
      <c r="F1670" s="52"/>
      <c r="G1670" s="53"/>
      <c r="H1670" s="20"/>
      <c r="I1670" s="9">
        <v>2</v>
      </c>
      <c r="J1670" s="9"/>
      <c r="K1670" s="9"/>
      <c r="L1670" s="9"/>
      <c r="M1670" s="9">
        <f t="shared" si="218"/>
        <v>13.4</v>
      </c>
      <c r="N1670" s="9">
        <f t="shared" si="219"/>
        <v>5</v>
      </c>
      <c r="O1670" s="9">
        <v>6.7</v>
      </c>
      <c r="P1670" s="9">
        <v>2.5</v>
      </c>
      <c r="Q1670" s="9" t="s">
        <v>5</v>
      </c>
      <c r="R1670" s="1">
        <v>0</v>
      </c>
      <c r="S1670" s="26"/>
    </row>
    <row r="1671" spans="1:19" ht="16.5" customHeight="1" x14ac:dyDescent="0.25">
      <c r="A1671" s="9"/>
      <c r="B1671" s="51" t="s">
        <v>92</v>
      </c>
      <c r="C1671" s="52"/>
      <c r="D1671" s="52"/>
      <c r="E1671" s="52"/>
      <c r="F1671" s="52"/>
      <c r="G1671" s="53"/>
      <c r="H1671" s="20"/>
      <c r="I1671" s="9">
        <v>3</v>
      </c>
      <c r="J1671" s="9"/>
      <c r="K1671" s="9"/>
      <c r="L1671" s="9"/>
      <c r="M1671" s="9">
        <f t="shared" si="218"/>
        <v>15.600000000000001</v>
      </c>
      <c r="N1671" s="9">
        <f t="shared" si="219"/>
        <v>4.5</v>
      </c>
      <c r="O1671" s="9">
        <v>5.2</v>
      </c>
      <c r="P1671" s="9">
        <v>1.5</v>
      </c>
      <c r="Q1671" s="9" t="s">
        <v>4</v>
      </c>
      <c r="R1671" s="1">
        <v>0</v>
      </c>
      <c r="S1671" s="26"/>
    </row>
    <row r="1672" spans="1:19" ht="16.5" customHeight="1" x14ac:dyDescent="0.25">
      <c r="A1672" s="9"/>
      <c r="B1672" s="51" t="s">
        <v>93</v>
      </c>
      <c r="C1672" s="52"/>
      <c r="D1672" s="52"/>
      <c r="E1672" s="52"/>
      <c r="F1672" s="52"/>
      <c r="G1672" s="53"/>
      <c r="H1672" s="20"/>
      <c r="I1672" s="9">
        <v>1</v>
      </c>
      <c r="J1672" s="9"/>
      <c r="K1672" s="9"/>
      <c r="L1672" s="9"/>
      <c r="M1672" s="9">
        <f t="shared" si="218"/>
        <v>8.1999999999999993</v>
      </c>
      <c r="N1672" s="9">
        <f t="shared" si="219"/>
        <v>3.5</v>
      </c>
      <c r="O1672" s="9">
        <v>8.1999999999999993</v>
      </c>
      <c r="P1672" s="9">
        <v>3.5</v>
      </c>
      <c r="Q1672" s="9" t="s">
        <v>9</v>
      </c>
      <c r="R1672" s="1">
        <v>0</v>
      </c>
      <c r="S1672" s="26"/>
    </row>
    <row r="1673" spans="1:19" ht="16.5" customHeight="1" x14ac:dyDescent="0.25">
      <c r="A1673" s="9"/>
      <c r="B1673" s="51" t="s">
        <v>94</v>
      </c>
      <c r="C1673" s="52"/>
      <c r="D1673" s="52"/>
      <c r="E1673" s="52"/>
      <c r="F1673" s="52"/>
      <c r="G1673" s="53"/>
      <c r="H1673" s="20"/>
      <c r="I1673" s="9">
        <v>1</v>
      </c>
      <c r="J1673" s="9"/>
      <c r="K1673" s="9"/>
      <c r="L1673" s="9"/>
      <c r="M1673" s="9">
        <f t="shared" si="218"/>
        <v>6.8</v>
      </c>
      <c r="N1673" s="9">
        <f t="shared" si="219"/>
        <v>2.5</v>
      </c>
      <c r="O1673" s="9">
        <v>6.8</v>
      </c>
      <c r="P1673" s="9">
        <v>2.5</v>
      </c>
      <c r="Q1673" s="9" t="s">
        <v>5</v>
      </c>
      <c r="R1673" s="1">
        <v>0</v>
      </c>
      <c r="S1673" s="26"/>
    </row>
    <row r="1674" spans="1:19" ht="16.5" customHeight="1" x14ac:dyDescent="0.25">
      <c r="A1674" s="9"/>
      <c r="B1674" s="51" t="s">
        <v>97</v>
      </c>
      <c r="C1674" s="52"/>
      <c r="D1674" s="52"/>
      <c r="E1674" s="52"/>
      <c r="F1674" s="52"/>
      <c r="G1674" s="53"/>
      <c r="H1674" s="20"/>
      <c r="I1674" s="9">
        <v>1</v>
      </c>
      <c r="J1674" s="9"/>
      <c r="K1674" s="9"/>
      <c r="L1674" s="9"/>
      <c r="M1674" s="9">
        <f t="shared" si="218"/>
        <v>7.5</v>
      </c>
      <c r="N1674" s="9">
        <f t="shared" si="219"/>
        <v>3</v>
      </c>
      <c r="O1674" s="9">
        <v>7.5</v>
      </c>
      <c r="P1674" s="9">
        <v>3</v>
      </c>
      <c r="Q1674" s="9" t="s">
        <v>6</v>
      </c>
      <c r="R1674" s="1">
        <v>0</v>
      </c>
      <c r="S1674" s="26"/>
    </row>
    <row r="1675" spans="1:19" ht="16.5" customHeight="1" x14ac:dyDescent="0.25">
      <c r="A1675" s="9"/>
      <c r="B1675" s="51" t="s">
        <v>96</v>
      </c>
      <c r="C1675" s="52"/>
      <c r="D1675" s="52"/>
      <c r="E1675" s="52"/>
      <c r="F1675" s="52"/>
      <c r="G1675" s="53"/>
      <c r="H1675" s="20"/>
      <c r="I1675" s="9">
        <v>3</v>
      </c>
      <c r="J1675" s="9"/>
      <c r="K1675" s="9"/>
      <c r="L1675" s="9"/>
      <c r="M1675" s="9">
        <f t="shared" si="218"/>
        <v>18.600000000000001</v>
      </c>
      <c r="N1675" s="9">
        <f t="shared" si="219"/>
        <v>6</v>
      </c>
      <c r="O1675" s="9">
        <v>6.2</v>
      </c>
      <c r="P1675" s="9">
        <v>2</v>
      </c>
      <c r="Q1675" s="9" t="s">
        <v>3</v>
      </c>
      <c r="R1675" s="1">
        <v>0</v>
      </c>
      <c r="S1675" s="26"/>
    </row>
    <row r="1676" spans="1:19" ht="16.5" customHeight="1" x14ac:dyDescent="0.25">
      <c r="A1676" s="9"/>
      <c r="B1676" s="51" t="s">
        <v>95</v>
      </c>
      <c r="C1676" s="52"/>
      <c r="D1676" s="52"/>
      <c r="E1676" s="52"/>
      <c r="F1676" s="52"/>
      <c r="G1676" s="53"/>
      <c r="H1676" s="20"/>
      <c r="I1676" s="9">
        <v>3</v>
      </c>
      <c r="J1676" s="9"/>
      <c r="K1676" s="9"/>
      <c r="L1676" s="9"/>
      <c r="M1676" s="9">
        <f t="shared" si="218"/>
        <v>23.1</v>
      </c>
      <c r="N1676" s="9">
        <f t="shared" si="219"/>
        <v>9</v>
      </c>
      <c r="O1676" s="9">
        <v>7.7</v>
      </c>
      <c r="P1676" s="9">
        <v>3</v>
      </c>
      <c r="Q1676" s="9" t="s">
        <v>6</v>
      </c>
      <c r="R1676" s="1">
        <v>0</v>
      </c>
      <c r="S1676" s="26"/>
    </row>
    <row r="1677" spans="1:19" ht="16.5" customHeight="1" x14ac:dyDescent="0.25">
      <c r="A1677" s="9"/>
      <c r="B1677" s="51" t="s">
        <v>89</v>
      </c>
      <c r="C1677" s="52"/>
      <c r="D1677" s="52"/>
      <c r="E1677" s="52"/>
      <c r="F1677" s="52"/>
      <c r="G1677" s="53"/>
      <c r="H1677" s="20"/>
      <c r="I1677" s="9">
        <v>2</v>
      </c>
      <c r="J1677" s="9"/>
      <c r="K1677" s="9"/>
      <c r="L1677" s="9"/>
      <c r="M1677" s="9">
        <f t="shared" si="218"/>
        <v>15.4</v>
      </c>
      <c r="N1677" s="9">
        <f t="shared" si="219"/>
        <v>6</v>
      </c>
      <c r="O1677" s="9">
        <v>7.7</v>
      </c>
      <c r="P1677" s="9">
        <v>3</v>
      </c>
      <c r="Q1677" s="9" t="s">
        <v>6</v>
      </c>
      <c r="R1677" s="1">
        <v>0</v>
      </c>
      <c r="S1677" s="26"/>
    </row>
    <row r="1678" spans="1:19" ht="16.5" hidden="1" customHeight="1" x14ac:dyDescent="0.25">
      <c r="A1678" s="21"/>
      <c r="H1678" s="21"/>
      <c r="I1678" s="21"/>
      <c r="J1678" s="21"/>
      <c r="K1678" s="21"/>
      <c r="L1678" s="21"/>
      <c r="M1678" s="9">
        <f t="shared" si="218"/>
        <v>0</v>
      </c>
      <c r="N1678" s="9">
        <f t="shared" si="219"/>
        <v>0</v>
      </c>
      <c r="O1678" s="21"/>
      <c r="P1678" s="21"/>
      <c r="Q1678" s="21"/>
      <c r="S1678" s="25"/>
    </row>
    <row r="1679" spans="1:19" ht="16.5" customHeight="1" x14ac:dyDescent="0.25">
      <c r="A1679" s="9"/>
      <c r="B1679" s="39" t="s">
        <v>42</v>
      </c>
      <c r="C1679" s="40"/>
      <c r="D1679" s="40"/>
      <c r="E1679" s="40"/>
      <c r="F1679" s="40"/>
      <c r="G1679" s="41"/>
      <c r="H1679" s="23"/>
      <c r="I1679" s="24">
        <f>SUM(I1668:I1678)</f>
        <v>22</v>
      </c>
      <c r="J1679" s="9"/>
      <c r="K1679" s="9"/>
      <c r="L1679" s="9"/>
      <c r="M1679" s="9">
        <f t="shared" si="218"/>
        <v>148.28</v>
      </c>
      <c r="N1679" s="9">
        <f t="shared" si="219"/>
        <v>54.56</v>
      </c>
      <c r="O1679" s="24">
        <f>ROUND(SUM(M1668:M1678)/I1679,2)</f>
        <v>6.74</v>
      </c>
      <c r="P1679" s="24">
        <f>ROUND(SUM(N1668:N1678)/I1679,2)</f>
        <v>2.48</v>
      </c>
      <c r="Q1679" s="9"/>
      <c r="S1679" s="25"/>
    </row>
    <row r="1680" spans="1:19" ht="20.25" customHeight="1" x14ac:dyDescent="0.25">
      <c r="A1680" s="27" t="s">
        <v>99</v>
      </c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</row>
    <row r="1681" spans="1:19" ht="16.5" customHeight="1" x14ac:dyDescent="0.25">
      <c r="A1681" s="9"/>
      <c r="B1681" s="51" t="s">
        <v>100</v>
      </c>
      <c r="C1681" s="52"/>
      <c r="D1681" s="52"/>
      <c r="E1681" s="52"/>
      <c r="F1681" s="52"/>
      <c r="G1681" s="53"/>
      <c r="H1681" s="20"/>
      <c r="I1681" s="9">
        <v>2</v>
      </c>
      <c r="J1681" s="9"/>
      <c r="K1681" s="9"/>
      <c r="L1681" s="9"/>
      <c r="M1681" s="9">
        <f t="shared" ref="M1681:M1694" si="220">I1681*O1681</f>
        <v>14.2</v>
      </c>
      <c r="N1681" s="9">
        <f t="shared" ref="N1681:N1694" si="221">I1681*P1681</f>
        <v>6</v>
      </c>
      <c r="O1681" s="9">
        <v>7.1</v>
      </c>
      <c r="P1681" s="9">
        <v>3</v>
      </c>
      <c r="Q1681" s="9" t="s">
        <v>6</v>
      </c>
      <c r="R1681" s="1">
        <v>0</v>
      </c>
      <c r="S1681" s="26"/>
    </row>
    <row r="1682" spans="1:19" ht="16.5" customHeight="1" x14ac:dyDescent="0.25">
      <c r="A1682" s="9"/>
      <c r="B1682" s="51" t="s">
        <v>101</v>
      </c>
      <c r="C1682" s="52"/>
      <c r="D1682" s="52"/>
      <c r="E1682" s="52"/>
      <c r="F1682" s="52"/>
      <c r="G1682" s="53"/>
      <c r="H1682" s="20"/>
      <c r="I1682" s="9">
        <v>2</v>
      </c>
      <c r="J1682" s="9"/>
      <c r="K1682" s="9"/>
      <c r="L1682" s="9"/>
      <c r="M1682" s="9">
        <f t="shared" si="220"/>
        <v>13.6</v>
      </c>
      <c r="N1682" s="9">
        <f t="shared" si="221"/>
        <v>5</v>
      </c>
      <c r="O1682" s="9">
        <v>6.8</v>
      </c>
      <c r="P1682" s="9">
        <v>2.5</v>
      </c>
      <c r="Q1682" s="9" t="s">
        <v>5</v>
      </c>
      <c r="R1682" s="1">
        <v>0</v>
      </c>
      <c r="S1682" s="26"/>
    </row>
    <row r="1683" spans="1:19" ht="16.5" customHeight="1" x14ac:dyDescent="0.25">
      <c r="A1683" s="9"/>
      <c r="B1683" s="51" t="s">
        <v>102</v>
      </c>
      <c r="C1683" s="52"/>
      <c r="D1683" s="52"/>
      <c r="E1683" s="52"/>
      <c r="F1683" s="52"/>
      <c r="G1683" s="53"/>
      <c r="H1683" s="20"/>
      <c r="I1683" s="9">
        <v>1</v>
      </c>
      <c r="J1683" s="9"/>
      <c r="K1683" s="9"/>
      <c r="L1683" s="9"/>
      <c r="M1683" s="9">
        <f t="shared" si="220"/>
        <v>6.9</v>
      </c>
      <c r="N1683" s="9">
        <f t="shared" si="221"/>
        <v>2.5</v>
      </c>
      <c r="O1683" s="9">
        <v>6.9</v>
      </c>
      <c r="P1683" s="9">
        <v>2.5</v>
      </c>
      <c r="Q1683" s="9" t="s">
        <v>5</v>
      </c>
      <c r="R1683" s="1">
        <v>0</v>
      </c>
      <c r="S1683" s="26"/>
    </row>
    <row r="1684" spans="1:19" ht="16.5" customHeight="1" x14ac:dyDescent="0.25">
      <c r="A1684" s="9"/>
      <c r="B1684" s="51" t="s">
        <v>103</v>
      </c>
      <c r="C1684" s="52"/>
      <c r="D1684" s="52"/>
      <c r="E1684" s="52"/>
      <c r="F1684" s="52"/>
      <c r="G1684" s="53"/>
      <c r="H1684" s="20"/>
      <c r="I1684" s="9">
        <v>2</v>
      </c>
      <c r="J1684" s="9"/>
      <c r="K1684" s="9"/>
      <c r="L1684" s="9"/>
      <c r="M1684" s="9">
        <f t="shared" si="220"/>
        <v>12.2</v>
      </c>
      <c r="N1684" s="9">
        <f t="shared" si="221"/>
        <v>4</v>
      </c>
      <c r="O1684" s="9">
        <v>6.1</v>
      </c>
      <c r="P1684" s="9">
        <v>2</v>
      </c>
      <c r="Q1684" s="9" t="s">
        <v>3</v>
      </c>
      <c r="R1684" s="1">
        <v>0</v>
      </c>
      <c r="S1684" s="26"/>
    </row>
    <row r="1685" spans="1:19" ht="16.5" customHeight="1" x14ac:dyDescent="0.25">
      <c r="A1685" s="9"/>
      <c r="B1685" s="51" t="s">
        <v>104</v>
      </c>
      <c r="C1685" s="52"/>
      <c r="D1685" s="52"/>
      <c r="E1685" s="52"/>
      <c r="F1685" s="52"/>
      <c r="G1685" s="53"/>
      <c r="H1685" s="20"/>
      <c r="I1685" s="9">
        <v>3</v>
      </c>
      <c r="J1685" s="9"/>
      <c r="K1685" s="9"/>
      <c r="L1685" s="9"/>
      <c r="M1685" s="9">
        <f t="shared" si="220"/>
        <v>21.299999999999997</v>
      </c>
      <c r="N1685" s="9">
        <f t="shared" si="221"/>
        <v>9</v>
      </c>
      <c r="O1685" s="9">
        <v>7.1</v>
      </c>
      <c r="P1685" s="9">
        <v>3</v>
      </c>
      <c r="Q1685" s="9" t="s">
        <v>6</v>
      </c>
      <c r="R1685" s="1">
        <v>0</v>
      </c>
      <c r="S1685" s="26"/>
    </row>
    <row r="1686" spans="1:19" ht="16.5" customHeight="1" x14ac:dyDescent="0.25">
      <c r="A1686" s="9"/>
      <c r="B1686" s="51" t="s">
        <v>105</v>
      </c>
      <c r="C1686" s="52"/>
      <c r="D1686" s="52"/>
      <c r="E1686" s="52"/>
      <c r="F1686" s="52"/>
      <c r="G1686" s="53"/>
      <c r="H1686" s="20"/>
      <c r="I1686" s="9">
        <v>3</v>
      </c>
      <c r="J1686" s="9"/>
      <c r="K1686" s="9"/>
      <c r="L1686" s="9"/>
      <c r="M1686" s="9">
        <f t="shared" si="220"/>
        <v>22.200000000000003</v>
      </c>
      <c r="N1686" s="9">
        <f t="shared" si="221"/>
        <v>9</v>
      </c>
      <c r="O1686" s="9">
        <v>7.4</v>
      </c>
      <c r="P1686" s="9">
        <v>3</v>
      </c>
      <c r="Q1686" s="9" t="s">
        <v>6</v>
      </c>
      <c r="R1686" s="1">
        <v>0</v>
      </c>
      <c r="S1686" s="26"/>
    </row>
    <row r="1687" spans="1:19" ht="16.5" customHeight="1" x14ac:dyDescent="0.25">
      <c r="A1687" s="9"/>
      <c r="B1687" s="51" t="s">
        <v>106</v>
      </c>
      <c r="C1687" s="52"/>
      <c r="D1687" s="52"/>
      <c r="E1687" s="52"/>
      <c r="F1687" s="52"/>
      <c r="G1687" s="53"/>
      <c r="H1687" s="20"/>
      <c r="I1687" s="9">
        <v>2</v>
      </c>
      <c r="J1687" s="9"/>
      <c r="K1687" s="9"/>
      <c r="L1687" s="9"/>
      <c r="M1687" s="9">
        <f t="shared" si="220"/>
        <v>13.4</v>
      </c>
      <c r="N1687" s="9">
        <f t="shared" si="221"/>
        <v>5</v>
      </c>
      <c r="O1687" s="9">
        <v>6.7</v>
      </c>
      <c r="P1687" s="9">
        <v>2.5</v>
      </c>
      <c r="Q1687" s="9" t="s">
        <v>5</v>
      </c>
      <c r="R1687" s="1">
        <v>0</v>
      </c>
      <c r="S1687" s="26"/>
    </row>
    <row r="1688" spans="1:19" ht="16.5" customHeight="1" x14ac:dyDescent="0.25">
      <c r="A1688" s="9"/>
      <c r="B1688" s="51" t="s">
        <v>107</v>
      </c>
      <c r="C1688" s="52"/>
      <c r="D1688" s="52"/>
      <c r="E1688" s="52"/>
      <c r="F1688" s="52"/>
      <c r="G1688" s="53"/>
      <c r="H1688" s="20"/>
      <c r="I1688" s="9">
        <v>3</v>
      </c>
      <c r="J1688" s="9"/>
      <c r="K1688" s="9"/>
      <c r="L1688" s="9"/>
      <c r="M1688" s="9">
        <f t="shared" si="220"/>
        <v>21.299999999999997</v>
      </c>
      <c r="N1688" s="9">
        <f t="shared" si="221"/>
        <v>9</v>
      </c>
      <c r="O1688" s="9">
        <v>7.1</v>
      </c>
      <c r="P1688" s="9">
        <v>3</v>
      </c>
      <c r="Q1688" s="9" t="s">
        <v>6</v>
      </c>
      <c r="R1688" s="1">
        <v>0</v>
      </c>
      <c r="S1688" s="26"/>
    </row>
    <row r="1689" spans="1:19" ht="16.5" customHeight="1" x14ac:dyDescent="0.25">
      <c r="A1689" s="9"/>
      <c r="B1689" s="51" t="s">
        <v>108</v>
      </c>
      <c r="C1689" s="52"/>
      <c r="D1689" s="52"/>
      <c r="E1689" s="52"/>
      <c r="F1689" s="52"/>
      <c r="G1689" s="53"/>
      <c r="H1689" s="20"/>
      <c r="I1689" s="9">
        <v>1</v>
      </c>
      <c r="J1689" s="9"/>
      <c r="K1689" s="9"/>
      <c r="L1689" s="9"/>
      <c r="M1689" s="9">
        <f t="shared" si="220"/>
        <v>8</v>
      </c>
      <c r="N1689" s="9">
        <f t="shared" si="221"/>
        <v>3.5</v>
      </c>
      <c r="O1689" s="9">
        <v>8</v>
      </c>
      <c r="P1689" s="9">
        <v>3.5</v>
      </c>
      <c r="Q1689" s="9" t="s">
        <v>9</v>
      </c>
      <c r="R1689" s="1">
        <v>0</v>
      </c>
      <c r="S1689" s="26"/>
    </row>
    <row r="1690" spans="1:19" ht="16.5" customHeight="1" x14ac:dyDescent="0.25">
      <c r="A1690" s="9"/>
      <c r="B1690" s="51" t="s">
        <v>109</v>
      </c>
      <c r="C1690" s="52"/>
      <c r="D1690" s="52"/>
      <c r="E1690" s="52"/>
      <c r="F1690" s="52"/>
      <c r="G1690" s="53"/>
      <c r="H1690" s="20"/>
      <c r="I1690" s="9">
        <v>2</v>
      </c>
      <c r="J1690" s="9"/>
      <c r="K1690" s="9"/>
      <c r="L1690" s="9"/>
      <c r="M1690" s="9">
        <f t="shared" si="220"/>
        <v>16.600000000000001</v>
      </c>
      <c r="N1690" s="9">
        <f t="shared" si="221"/>
        <v>7</v>
      </c>
      <c r="O1690" s="9">
        <v>8.3000000000000007</v>
      </c>
      <c r="P1690" s="9">
        <v>3.5</v>
      </c>
      <c r="Q1690" s="9" t="s">
        <v>9</v>
      </c>
      <c r="R1690" s="1">
        <v>0</v>
      </c>
      <c r="S1690" s="26"/>
    </row>
    <row r="1691" spans="1:19" ht="16.5" customHeight="1" x14ac:dyDescent="0.25">
      <c r="A1691" s="9"/>
      <c r="B1691" s="51" t="s">
        <v>110</v>
      </c>
      <c r="C1691" s="52"/>
      <c r="D1691" s="52"/>
      <c r="E1691" s="52"/>
      <c r="F1691" s="52"/>
      <c r="G1691" s="53"/>
      <c r="H1691" s="20"/>
      <c r="I1691" s="9">
        <v>1</v>
      </c>
      <c r="J1691" s="9"/>
      <c r="K1691" s="9"/>
      <c r="L1691" s="9"/>
      <c r="M1691" s="9">
        <f t="shared" si="220"/>
        <v>9</v>
      </c>
      <c r="N1691" s="9">
        <f t="shared" si="221"/>
        <v>4</v>
      </c>
      <c r="O1691" s="9">
        <v>9</v>
      </c>
      <c r="P1691" s="9">
        <v>4</v>
      </c>
      <c r="Q1691" s="9" t="s">
        <v>12</v>
      </c>
      <c r="R1691" s="1">
        <v>0</v>
      </c>
      <c r="S1691" s="26"/>
    </row>
    <row r="1692" spans="1:19" ht="16.5" customHeight="1" x14ac:dyDescent="0.25">
      <c r="A1692" s="9"/>
      <c r="B1692" s="51" t="s">
        <v>111</v>
      </c>
      <c r="C1692" s="52"/>
      <c r="D1692" s="52"/>
      <c r="E1692" s="52"/>
      <c r="F1692" s="52"/>
      <c r="G1692" s="53"/>
      <c r="H1692" s="20"/>
      <c r="I1692" s="9">
        <v>3</v>
      </c>
      <c r="J1692" s="9"/>
      <c r="K1692" s="9"/>
      <c r="L1692" s="9"/>
      <c r="M1692" s="9">
        <f t="shared" si="220"/>
        <v>24.900000000000002</v>
      </c>
      <c r="N1692" s="9">
        <f t="shared" si="221"/>
        <v>10.5</v>
      </c>
      <c r="O1692" s="9">
        <v>8.3000000000000007</v>
      </c>
      <c r="P1692" s="9">
        <v>3.5</v>
      </c>
      <c r="Q1692" s="9" t="s">
        <v>9</v>
      </c>
      <c r="R1692" s="1">
        <v>0</v>
      </c>
      <c r="S1692" s="26"/>
    </row>
    <row r="1693" spans="1:19" ht="16.5" hidden="1" customHeight="1" x14ac:dyDescent="0.25">
      <c r="A1693" s="21"/>
      <c r="H1693" s="21"/>
      <c r="I1693" s="21"/>
      <c r="J1693" s="21"/>
      <c r="K1693" s="21"/>
      <c r="L1693" s="21"/>
      <c r="M1693" s="9">
        <f t="shared" si="220"/>
        <v>0</v>
      </c>
      <c r="N1693" s="9">
        <f t="shared" si="221"/>
        <v>0</v>
      </c>
      <c r="O1693" s="21"/>
      <c r="P1693" s="21"/>
      <c r="Q1693" s="21"/>
      <c r="S1693" s="25"/>
    </row>
    <row r="1694" spans="1:19" ht="16.5" customHeight="1" x14ac:dyDescent="0.25">
      <c r="A1694" s="9"/>
      <c r="B1694" s="39" t="s">
        <v>42</v>
      </c>
      <c r="C1694" s="40"/>
      <c r="D1694" s="40"/>
      <c r="E1694" s="40"/>
      <c r="F1694" s="40"/>
      <c r="G1694" s="41"/>
      <c r="H1694" s="23"/>
      <c r="I1694" s="24">
        <f>SUM(I1681:I1693)</f>
        <v>25</v>
      </c>
      <c r="J1694" s="9"/>
      <c r="K1694" s="9"/>
      <c r="L1694" s="9"/>
      <c r="M1694" s="9">
        <f t="shared" si="220"/>
        <v>183.5</v>
      </c>
      <c r="N1694" s="9">
        <f t="shared" si="221"/>
        <v>74.5</v>
      </c>
      <c r="O1694" s="24">
        <f>ROUND(SUM(M1681:M1693)/I1694,2)</f>
        <v>7.34</v>
      </c>
      <c r="P1694" s="24">
        <f>ROUND(SUM(N1681:N1693)/I1694,2)</f>
        <v>2.98</v>
      </c>
      <c r="Q1694" s="9"/>
      <c r="S1694" s="25"/>
    </row>
    <row r="1695" spans="1:19" ht="20.25" customHeight="1" x14ac:dyDescent="0.25">
      <c r="A1695" s="27" t="s">
        <v>112</v>
      </c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</row>
    <row r="1696" spans="1:19" ht="16.5" customHeight="1" x14ac:dyDescent="0.25">
      <c r="A1696" s="9"/>
      <c r="B1696" s="51" t="s">
        <v>113</v>
      </c>
      <c r="C1696" s="52"/>
      <c r="D1696" s="52"/>
      <c r="E1696" s="52"/>
      <c r="F1696" s="52"/>
      <c r="G1696" s="53"/>
      <c r="H1696" s="20"/>
      <c r="I1696" s="9">
        <v>2</v>
      </c>
      <c r="J1696" s="9"/>
      <c r="K1696" s="9"/>
      <c r="L1696" s="9"/>
      <c r="M1696" s="9">
        <f t="shared" ref="M1696:M1704" si="222">I1696*O1696</f>
        <v>0</v>
      </c>
      <c r="N1696" s="9">
        <f t="shared" ref="N1696:N1704" si="223">I1696*P1696</f>
        <v>0</v>
      </c>
      <c r="O1696" s="9"/>
      <c r="P1696" s="9"/>
      <c r="Q1696" s="9"/>
      <c r="R1696" s="1">
        <v>0</v>
      </c>
      <c r="S1696" s="26"/>
    </row>
    <row r="1697" spans="1:19" ht="16.5" customHeight="1" x14ac:dyDescent="0.25">
      <c r="A1697" s="9"/>
      <c r="B1697" s="51" t="s">
        <v>114</v>
      </c>
      <c r="C1697" s="52"/>
      <c r="D1697" s="52"/>
      <c r="E1697" s="52"/>
      <c r="F1697" s="52"/>
      <c r="G1697" s="53"/>
      <c r="H1697" s="20"/>
      <c r="I1697" s="9">
        <v>3</v>
      </c>
      <c r="J1697" s="9"/>
      <c r="K1697" s="9"/>
      <c r="L1697" s="9"/>
      <c r="M1697" s="9">
        <f t="shared" si="222"/>
        <v>22.5</v>
      </c>
      <c r="N1697" s="9">
        <f t="shared" si="223"/>
        <v>9</v>
      </c>
      <c r="O1697" s="9">
        <v>7.5</v>
      </c>
      <c r="P1697" s="9">
        <v>3</v>
      </c>
      <c r="Q1697" s="9" t="s">
        <v>6</v>
      </c>
      <c r="R1697" s="1">
        <v>0</v>
      </c>
      <c r="S1697" s="26"/>
    </row>
    <row r="1698" spans="1:19" ht="16.5" customHeight="1" x14ac:dyDescent="0.25">
      <c r="A1698" s="9"/>
      <c r="B1698" s="51" t="s">
        <v>115</v>
      </c>
      <c r="C1698" s="52"/>
      <c r="D1698" s="52"/>
      <c r="E1698" s="52"/>
      <c r="F1698" s="52"/>
      <c r="G1698" s="53"/>
      <c r="H1698" s="20"/>
      <c r="I1698" s="9">
        <v>1</v>
      </c>
      <c r="J1698" s="9"/>
      <c r="K1698" s="9"/>
      <c r="L1698" s="9"/>
      <c r="M1698" s="9">
        <f t="shared" si="222"/>
        <v>6.8</v>
      </c>
      <c r="N1698" s="9">
        <f t="shared" si="223"/>
        <v>2.5</v>
      </c>
      <c r="O1698" s="9">
        <v>6.8</v>
      </c>
      <c r="P1698" s="9">
        <v>2.5</v>
      </c>
      <c r="Q1698" s="9" t="s">
        <v>5</v>
      </c>
      <c r="R1698" s="1">
        <v>0</v>
      </c>
      <c r="S1698" s="26"/>
    </row>
    <row r="1699" spans="1:19" ht="16.5" customHeight="1" x14ac:dyDescent="0.25">
      <c r="A1699" s="9"/>
      <c r="B1699" s="51" t="s">
        <v>118</v>
      </c>
      <c r="C1699" s="52"/>
      <c r="D1699" s="52"/>
      <c r="E1699" s="52"/>
      <c r="F1699" s="52"/>
      <c r="G1699" s="53"/>
      <c r="H1699" s="20"/>
      <c r="I1699" s="9">
        <v>3</v>
      </c>
      <c r="J1699" s="9"/>
      <c r="K1699" s="9"/>
      <c r="L1699" s="9"/>
      <c r="M1699" s="9">
        <f t="shared" si="222"/>
        <v>21.299999999999997</v>
      </c>
      <c r="N1699" s="9">
        <f t="shared" si="223"/>
        <v>9</v>
      </c>
      <c r="O1699" s="9">
        <v>7.1</v>
      </c>
      <c r="P1699" s="9">
        <v>3</v>
      </c>
      <c r="Q1699" s="9" t="s">
        <v>6</v>
      </c>
      <c r="R1699" s="1">
        <v>0</v>
      </c>
      <c r="S1699" s="26"/>
    </row>
    <row r="1700" spans="1:19" ht="16.5" customHeight="1" x14ac:dyDescent="0.25">
      <c r="A1700" s="9"/>
      <c r="B1700" s="51" t="s">
        <v>117</v>
      </c>
      <c r="C1700" s="52"/>
      <c r="D1700" s="52"/>
      <c r="E1700" s="52"/>
      <c r="F1700" s="52"/>
      <c r="G1700" s="53"/>
      <c r="H1700" s="20"/>
      <c r="I1700" s="9">
        <v>3</v>
      </c>
      <c r="J1700" s="9"/>
      <c r="K1700" s="9"/>
      <c r="L1700" s="9"/>
      <c r="M1700" s="9">
        <f t="shared" si="222"/>
        <v>21.299999999999997</v>
      </c>
      <c r="N1700" s="9">
        <f t="shared" si="223"/>
        <v>9</v>
      </c>
      <c r="O1700" s="9">
        <v>7.1</v>
      </c>
      <c r="P1700" s="9">
        <v>3</v>
      </c>
      <c r="Q1700" s="9" t="s">
        <v>6</v>
      </c>
      <c r="R1700" s="1">
        <v>0</v>
      </c>
      <c r="S1700" s="26"/>
    </row>
    <row r="1701" spans="1:19" ht="31.2" customHeight="1" x14ac:dyDescent="0.25">
      <c r="A1701" s="9"/>
      <c r="B1701" s="51" t="s">
        <v>119</v>
      </c>
      <c r="C1701" s="52"/>
      <c r="D1701" s="52"/>
      <c r="E1701" s="52"/>
      <c r="F1701" s="52"/>
      <c r="G1701" s="53"/>
      <c r="H1701" s="20"/>
      <c r="I1701" s="9">
        <v>2</v>
      </c>
      <c r="J1701" s="9"/>
      <c r="K1701" s="9"/>
      <c r="L1701" s="9"/>
      <c r="M1701" s="9">
        <f t="shared" si="222"/>
        <v>0</v>
      </c>
      <c r="N1701" s="9">
        <f t="shared" si="223"/>
        <v>0</v>
      </c>
      <c r="O1701" s="9"/>
      <c r="P1701" s="9"/>
      <c r="Q1701" s="9"/>
      <c r="R1701" s="1">
        <v>0</v>
      </c>
      <c r="S1701" s="26"/>
    </row>
    <row r="1702" spans="1:19" ht="16.5" customHeight="1" x14ac:dyDescent="0.25">
      <c r="A1702" s="9"/>
      <c r="B1702" s="51" t="s">
        <v>116</v>
      </c>
      <c r="C1702" s="52"/>
      <c r="D1702" s="52"/>
      <c r="E1702" s="52"/>
      <c r="F1702" s="52"/>
      <c r="G1702" s="53"/>
      <c r="H1702" s="20"/>
      <c r="I1702" s="9">
        <v>3</v>
      </c>
      <c r="J1702" s="9"/>
      <c r="K1702" s="9"/>
      <c r="L1702" s="9"/>
      <c r="M1702" s="9">
        <f t="shared" si="222"/>
        <v>20.100000000000001</v>
      </c>
      <c r="N1702" s="9">
        <f t="shared" si="223"/>
        <v>7.5</v>
      </c>
      <c r="O1702" s="9">
        <v>6.7</v>
      </c>
      <c r="P1702" s="9">
        <v>2.5</v>
      </c>
      <c r="Q1702" s="9" t="s">
        <v>5</v>
      </c>
      <c r="R1702" s="1">
        <v>0</v>
      </c>
      <c r="S1702" s="26"/>
    </row>
    <row r="1703" spans="1:19" ht="16.5" hidden="1" customHeight="1" x14ac:dyDescent="0.25">
      <c r="A1703" s="21"/>
      <c r="H1703" s="21"/>
      <c r="I1703" s="21"/>
      <c r="J1703" s="21"/>
      <c r="K1703" s="21"/>
      <c r="L1703" s="21"/>
      <c r="M1703" s="9">
        <f t="shared" si="222"/>
        <v>0</v>
      </c>
      <c r="N1703" s="9">
        <f t="shared" si="223"/>
        <v>0</v>
      </c>
      <c r="O1703" s="21"/>
      <c r="P1703" s="21"/>
      <c r="Q1703" s="21"/>
      <c r="S1703" s="25"/>
    </row>
    <row r="1704" spans="1:19" ht="16.5" customHeight="1" x14ac:dyDescent="0.25">
      <c r="A1704" s="9"/>
      <c r="B1704" s="39" t="s">
        <v>42</v>
      </c>
      <c r="C1704" s="40"/>
      <c r="D1704" s="40"/>
      <c r="E1704" s="40"/>
      <c r="F1704" s="40"/>
      <c r="G1704" s="41"/>
      <c r="H1704" s="23"/>
      <c r="I1704" s="24">
        <f>SUM(I1696:I1703)</f>
        <v>17</v>
      </c>
      <c r="J1704" s="9"/>
      <c r="K1704" s="9"/>
      <c r="L1704" s="9"/>
      <c r="M1704" s="9">
        <f t="shared" si="222"/>
        <v>91.97</v>
      </c>
      <c r="N1704" s="9">
        <f t="shared" si="223"/>
        <v>37.06</v>
      </c>
      <c r="O1704" s="24">
        <f>ROUND(SUM(M1696:M1703)/I1704,2)</f>
        <v>5.41</v>
      </c>
      <c r="P1704" s="24">
        <f>ROUND(SUM(N1696:N1703)/I1704,2)</f>
        <v>2.1800000000000002</v>
      </c>
      <c r="Q1704" s="9"/>
      <c r="S1704" s="25"/>
    </row>
    <row r="1705" spans="1:19" ht="16.5" customHeight="1" x14ac:dyDescent="0.25">
      <c r="A1705" s="21"/>
      <c r="B1705" s="22"/>
      <c r="C1705" s="22"/>
      <c r="D1705" s="22"/>
      <c r="E1705" s="22"/>
      <c r="F1705" s="22"/>
      <c r="G1705" s="22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</row>
    <row r="1707" spans="1:19" ht="18" x14ac:dyDescent="0.25">
      <c r="A1707" s="35" t="s">
        <v>50</v>
      </c>
      <c r="B1707" s="35"/>
      <c r="C1707" s="35"/>
      <c r="D1707" s="35"/>
      <c r="E1707" s="35"/>
      <c r="F1707" s="35"/>
      <c r="G1707" s="35"/>
      <c r="H1707" s="35"/>
      <c r="I1707" s="35"/>
      <c r="J1707" s="35"/>
      <c r="K1707" s="35"/>
      <c r="L1707" s="35"/>
      <c r="M1707" s="35"/>
      <c r="N1707" s="35"/>
      <c r="O1707" s="35"/>
      <c r="P1707" s="35"/>
      <c r="Q1707" s="35"/>
      <c r="R1707" s="35"/>
      <c r="S1707" s="35"/>
    </row>
    <row r="1708" spans="1:19" ht="18" x14ac:dyDescent="0.25">
      <c r="A1708" s="35" t="s">
        <v>204</v>
      </c>
      <c r="B1708" s="35"/>
      <c r="C1708" s="35"/>
      <c r="D1708" s="35"/>
      <c r="E1708" s="35"/>
      <c r="F1708" s="35"/>
      <c r="G1708" s="35"/>
      <c r="H1708" s="35"/>
      <c r="I1708" s="35"/>
      <c r="J1708" s="35"/>
      <c r="K1708" s="35"/>
      <c r="L1708" s="35"/>
      <c r="M1708" s="35"/>
      <c r="N1708" s="35"/>
      <c r="O1708" s="35"/>
      <c r="P1708" s="35"/>
      <c r="Q1708" s="35"/>
      <c r="R1708" s="35"/>
      <c r="S1708" s="35"/>
    </row>
    <row r="1709" spans="1:19" ht="18" x14ac:dyDescent="0.25">
      <c r="A1709" s="35" t="s">
        <v>205</v>
      </c>
      <c r="B1709" s="35"/>
      <c r="C1709" s="35"/>
      <c r="D1709" s="35"/>
      <c r="E1709" s="35"/>
      <c r="F1709" s="35"/>
      <c r="G1709" s="35"/>
      <c r="H1709" s="35"/>
      <c r="I1709" s="35"/>
      <c r="J1709" s="35"/>
      <c r="K1709" s="35"/>
      <c r="L1709" s="35"/>
      <c r="M1709" s="35"/>
      <c r="N1709" s="35"/>
      <c r="O1709" s="35"/>
      <c r="P1709" s="35"/>
      <c r="Q1709" s="35"/>
      <c r="R1709" s="35"/>
      <c r="S1709" s="35"/>
    </row>
    <row r="1710" spans="1:19" ht="18" x14ac:dyDescent="0.25">
      <c r="A1710" s="45" t="s">
        <v>194</v>
      </c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</row>
    <row r="1711" spans="1:19" ht="19.5" customHeight="1" x14ac:dyDescent="0.25">
      <c r="A1711" s="17"/>
      <c r="B1711" s="17"/>
      <c r="C1711" s="8"/>
      <c r="D1711" s="18"/>
      <c r="E1711" s="10"/>
      <c r="F1711" s="11"/>
      <c r="G1711" s="46" t="s">
        <v>49</v>
      </c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</row>
    <row r="1712" spans="1:19" ht="31.5" customHeight="1" x14ac:dyDescent="0.3">
      <c r="A1712" s="8"/>
      <c r="B1712" s="8"/>
      <c r="C1712" s="8"/>
      <c r="D1712" s="8"/>
      <c r="E1712" s="8"/>
      <c r="F1712" s="8"/>
      <c r="G1712" s="8"/>
      <c r="H1712" s="12"/>
      <c r="I1712" s="42" t="s">
        <v>40</v>
      </c>
      <c r="J1712" s="43"/>
      <c r="K1712" s="43"/>
      <c r="L1712" s="43"/>
      <c r="M1712" s="43"/>
      <c r="N1712" s="43"/>
      <c r="O1712" s="43"/>
      <c r="P1712" s="43"/>
      <c r="Q1712" s="43"/>
      <c r="R1712" s="43"/>
      <c r="S1712" s="43"/>
    </row>
    <row r="1713" spans="1:20" ht="16.8" x14ac:dyDescent="0.3">
      <c r="A1713" s="8"/>
      <c r="B1713" s="8"/>
      <c r="C1713" s="8"/>
      <c r="D1713" s="8"/>
      <c r="E1713" s="8"/>
      <c r="F1713" s="8"/>
      <c r="G1713" s="8"/>
      <c r="H1713" s="12"/>
      <c r="I1713" s="12"/>
      <c r="J1713" s="12"/>
      <c r="K1713" s="12"/>
      <c r="L1713" s="8"/>
      <c r="M1713" s="8"/>
      <c r="N1713" s="8"/>
      <c r="O1713" s="8"/>
      <c r="P1713" s="8"/>
      <c r="Q1713" s="8"/>
    </row>
    <row r="1714" spans="1:20" ht="33" customHeight="1" x14ac:dyDescent="0.3">
      <c r="A1714" s="8"/>
      <c r="B1714" s="8"/>
      <c r="C1714" s="8"/>
      <c r="D1714" s="8"/>
      <c r="E1714" s="8"/>
      <c r="F1714" s="8"/>
      <c r="G1714" s="8"/>
      <c r="H1714" s="12"/>
      <c r="I1714" s="12"/>
      <c r="J1714" s="12"/>
      <c r="K1714" s="12"/>
      <c r="L1714" s="8"/>
      <c r="M1714" s="8"/>
      <c r="N1714" s="8"/>
      <c r="O1714" s="8"/>
      <c r="P1714" s="8"/>
      <c r="Q1714" s="8"/>
    </row>
    <row r="1715" spans="1:20" ht="11.25" customHeight="1" x14ac:dyDescent="0.3">
      <c r="A1715" s="8"/>
      <c r="B1715" s="8"/>
      <c r="C1715" s="8"/>
      <c r="D1715" s="8"/>
      <c r="E1715" s="8"/>
      <c r="F1715" s="8"/>
      <c r="G1715" s="8"/>
      <c r="H1715" s="12"/>
      <c r="I1715" s="12"/>
      <c r="J1715" s="12"/>
      <c r="K1715" s="12"/>
      <c r="L1715" s="8"/>
      <c r="M1715" s="8"/>
      <c r="N1715" s="8"/>
      <c r="O1715" s="8"/>
      <c r="P1715" s="8"/>
      <c r="Q1715" s="8"/>
    </row>
    <row r="1716" spans="1:20" ht="17.399999999999999" x14ac:dyDescent="0.3">
      <c r="A1716" s="8"/>
      <c r="B1716" s="8"/>
      <c r="C1716" s="8"/>
      <c r="D1716" s="8"/>
      <c r="E1716" s="8"/>
      <c r="F1716" s="8"/>
      <c r="G1716" s="47" t="s">
        <v>41</v>
      </c>
      <c r="H1716" s="47"/>
      <c r="I1716" s="47"/>
      <c r="J1716" s="47"/>
      <c r="K1716" s="47"/>
      <c r="L1716" s="47"/>
      <c r="M1716" s="47"/>
      <c r="N1716" s="47"/>
      <c r="O1716" s="47"/>
      <c r="P1716" s="47"/>
      <c r="Q1716" s="47"/>
      <c r="R1716" s="47"/>
      <c r="S1716" s="47"/>
    </row>
    <row r="1717" spans="1:20" ht="54" customHeight="1" x14ac:dyDescent="0.25">
      <c r="A1717" s="48" t="s">
        <v>33</v>
      </c>
      <c r="B1717" s="48"/>
      <c r="C1717" s="48"/>
      <c r="D1717" s="48"/>
      <c r="E1717" s="48"/>
      <c r="F1717" s="42" t="s">
        <v>24</v>
      </c>
      <c r="G1717" s="42"/>
      <c r="H1717" s="42"/>
      <c r="I1717" s="42"/>
      <c r="J1717" s="42"/>
      <c r="K1717" s="42"/>
      <c r="L1717" s="42"/>
      <c r="M1717" s="42"/>
      <c r="N1717" s="42"/>
      <c r="O1717" s="42"/>
      <c r="P1717" s="42"/>
      <c r="Q1717" s="42"/>
      <c r="R1717" s="42"/>
      <c r="S1717" s="42"/>
    </row>
    <row r="1718" spans="1:20" ht="17.399999999999999" x14ac:dyDescent="0.25">
      <c r="A1718" s="49" t="s">
        <v>34</v>
      </c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  <c r="O1718" s="49"/>
      <c r="P1718" s="49"/>
      <c r="Q1718" s="49"/>
    </row>
    <row r="1719" spans="1:20" ht="4.5" customHeight="1" x14ac:dyDescent="0.25">
      <c r="A1719" s="50"/>
      <c r="B1719" s="50"/>
      <c r="C1719" s="50"/>
      <c r="D1719" s="50"/>
      <c r="E1719" s="50"/>
      <c r="F1719" s="50"/>
      <c r="G1719" s="50"/>
      <c r="H1719" s="50"/>
      <c r="I1719" s="50"/>
      <c r="J1719" s="50"/>
      <c r="K1719" s="50"/>
      <c r="L1719" s="50"/>
      <c r="M1719" s="50"/>
      <c r="N1719" s="50"/>
      <c r="O1719" s="50"/>
      <c r="P1719" s="50"/>
      <c r="Q1719" s="50"/>
    </row>
    <row r="1720" spans="1:20" ht="5.25" customHeight="1" x14ac:dyDescent="0.25">
      <c r="A1720" s="50"/>
      <c r="B1720" s="50"/>
      <c r="C1720" s="50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</row>
    <row r="1721" spans="1:20" ht="16.5" customHeight="1" x14ac:dyDescent="0.25">
      <c r="A1721" s="54" t="s">
        <v>206</v>
      </c>
      <c r="B1721" s="54"/>
      <c r="C1721" s="54"/>
      <c r="D1721" s="54"/>
      <c r="E1721" s="54"/>
      <c r="F1721" s="54"/>
      <c r="G1721" s="58" t="s">
        <v>207</v>
      </c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</row>
    <row r="1722" spans="1:20" ht="16.5" customHeight="1" x14ac:dyDescent="0.25">
      <c r="A1722" s="54" t="s">
        <v>208</v>
      </c>
      <c r="B1722" s="54"/>
      <c r="C1722" s="54"/>
      <c r="D1722" s="54"/>
      <c r="E1722" s="54"/>
      <c r="F1722" s="54"/>
      <c r="G1722" s="8" t="s">
        <v>46</v>
      </c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T1722" s="2"/>
    </row>
    <row r="1723" spans="1:20" ht="16.5" customHeight="1" x14ac:dyDescent="0.25">
      <c r="A1723" s="54" t="s">
        <v>47</v>
      </c>
      <c r="B1723" s="54"/>
      <c r="C1723" s="54"/>
      <c r="D1723" s="54"/>
      <c r="E1723" s="54"/>
      <c r="F1723" s="54"/>
      <c r="G1723" s="58" t="s">
        <v>48</v>
      </c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</row>
    <row r="1724" spans="1:20" ht="5.25" customHeight="1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19"/>
      <c r="K1724" s="19"/>
      <c r="L1724" s="19"/>
      <c r="M1724" s="19"/>
      <c r="N1724" s="19"/>
      <c r="O1724" s="19"/>
      <c r="P1724" s="19"/>
      <c r="Q1724" s="19"/>
    </row>
    <row r="1725" spans="1:20" ht="15" customHeight="1" x14ac:dyDescent="0.25">
      <c r="A1725" s="36" t="s">
        <v>0</v>
      </c>
      <c r="B1725" s="29" t="s">
        <v>1</v>
      </c>
      <c r="C1725" s="30"/>
      <c r="D1725" s="30"/>
      <c r="E1725" s="30"/>
      <c r="F1725" s="30"/>
      <c r="G1725" s="31"/>
      <c r="H1725" s="36" t="s">
        <v>32</v>
      </c>
      <c r="I1725" s="36" t="s">
        <v>39</v>
      </c>
      <c r="J1725" s="55" t="s">
        <v>2</v>
      </c>
      <c r="K1725" s="56"/>
      <c r="L1725" s="56"/>
      <c r="M1725" s="56"/>
      <c r="N1725" s="56"/>
      <c r="O1725" s="56"/>
      <c r="P1725" s="56"/>
      <c r="Q1725" s="57"/>
      <c r="S1725" s="36" t="s">
        <v>38</v>
      </c>
    </row>
    <row r="1726" spans="1:20" ht="24" customHeight="1" x14ac:dyDescent="0.25">
      <c r="A1726" s="37"/>
      <c r="B1726" s="32"/>
      <c r="C1726" s="33"/>
      <c r="D1726" s="33"/>
      <c r="E1726" s="33"/>
      <c r="F1726" s="33"/>
      <c r="G1726" s="34"/>
      <c r="H1726" s="37"/>
      <c r="I1726" s="37"/>
      <c r="J1726" s="7" t="s">
        <v>28</v>
      </c>
      <c r="K1726" s="7" t="s">
        <v>29</v>
      </c>
      <c r="L1726" s="7" t="s">
        <v>30</v>
      </c>
      <c r="M1726" s="7"/>
      <c r="N1726" s="7"/>
      <c r="O1726" s="6" t="s">
        <v>35</v>
      </c>
      <c r="P1726" s="6" t="s">
        <v>36</v>
      </c>
      <c r="Q1726" s="6" t="s">
        <v>37</v>
      </c>
      <c r="S1726" s="37"/>
    </row>
    <row r="1727" spans="1:20" ht="20.25" customHeight="1" x14ac:dyDescent="0.25">
      <c r="A1727" s="27" t="s">
        <v>54</v>
      </c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</row>
    <row r="1728" spans="1:20" ht="16.5" customHeight="1" x14ac:dyDescent="0.25">
      <c r="A1728" s="9"/>
      <c r="B1728" s="51" t="s">
        <v>55</v>
      </c>
      <c r="C1728" s="52"/>
      <c r="D1728" s="52"/>
      <c r="E1728" s="52"/>
      <c r="F1728" s="52"/>
      <c r="G1728" s="53"/>
      <c r="H1728" s="20"/>
      <c r="I1728" s="9">
        <v>2</v>
      </c>
      <c r="J1728" s="9"/>
      <c r="K1728" s="9"/>
      <c r="L1728" s="9"/>
      <c r="M1728" s="9">
        <f t="shared" ref="M1728:M1736" si="224">I1728*O1728</f>
        <v>14.2</v>
      </c>
      <c r="N1728" s="9">
        <f t="shared" ref="N1728:N1736" si="225">I1728*P1728</f>
        <v>6</v>
      </c>
      <c r="O1728" s="9">
        <v>7.1</v>
      </c>
      <c r="P1728" s="9">
        <v>3</v>
      </c>
      <c r="Q1728" s="9" t="s">
        <v>6</v>
      </c>
      <c r="R1728" s="1">
        <v>0</v>
      </c>
      <c r="S1728" s="26"/>
    </row>
    <row r="1729" spans="1:19" ht="16.5" customHeight="1" x14ac:dyDescent="0.25">
      <c r="A1729" s="9"/>
      <c r="B1729" s="51" t="s">
        <v>56</v>
      </c>
      <c r="C1729" s="52"/>
      <c r="D1729" s="52"/>
      <c r="E1729" s="52"/>
      <c r="F1729" s="52"/>
      <c r="G1729" s="53"/>
      <c r="H1729" s="20"/>
      <c r="I1729" s="9">
        <v>3</v>
      </c>
      <c r="J1729" s="9"/>
      <c r="K1729" s="9"/>
      <c r="L1729" s="9"/>
      <c r="M1729" s="9">
        <f t="shared" si="224"/>
        <v>20.399999999999999</v>
      </c>
      <c r="N1729" s="9">
        <f t="shared" si="225"/>
        <v>7.5</v>
      </c>
      <c r="O1729" s="9">
        <v>6.8</v>
      </c>
      <c r="P1729" s="9">
        <v>2.5</v>
      </c>
      <c r="Q1729" s="9" t="s">
        <v>5</v>
      </c>
      <c r="R1729" s="1">
        <v>0</v>
      </c>
      <c r="S1729" s="26"/>
    </row>
    <row r="1730" spans="1:19" ht="31.2" customHeight="1" x14ac:dyDescent="0.25">
      <c r="A1730" s="9"/>
      <c r="B1730" s="51" t="s">
        <v>57</v>
      </c>
      <c r="C1730" s="52"/>
      <c r="D1730" s="52"/>
      <c r="E1730" s="52"/>
      <c r="F1730" s="52"/>
      <c r="G1730" s="53"/>
      <c r="H1730" s="20"/>
      <c r="I1730" s="9">
        <v>3</v>
      </c>
      <c r="J1730" s="9"/>
      <c r="K1730" s="9"/>
      <c r="L1730" s="9"/>
      <c r="M1730" s="9">
        <f t="shared" si="224"/>
        <v>22.200000000000003</v>
      </c>
      <c r="N1730" s="9">
        <f t="shared" si="225"/>
        <v>9</v>
      </c>
      <c r="O1730" s="9">
        <v>7.4</v>
      </c>
      <c r="P1730" s="9">
        <v>3</v>
      </c>
      <c r="Q1730" s="9" t="s">
        <v>6</v>
      </c>
      <c r="R1730" s="1">
        <v>0</v>
      </c>
      <c r="S1730" s="26"/>
    </row>
    <row r="1731" spans="1:19" ht="16.5" customHeight="1" x14ac:dyDescent="0.25">
      <c r="A1731" s="9"/>
      <c r="B1731" s="51" t="s">
        <v>58</v>
      </c>
      <c r="C1731" s="52"/>
      <c r="D1731" s="52"/>
      <c r="E1731" s="52"/>
      <c r="F1731" s="52"/>
      <c r="G1731" s="53"/>
      <c r="H1731" s="20"/>
      <c r="I1731" s="9">
        <v>1</v>
      </c>
      <c r="J1731" s="9"/>
      <c r="K1731" s="9"/>
      <c r="L1731" s="9"/>
      <c r="M1731" s="9">
        <f t="shared" si="224"/>
        <v>7.4</v>
      </c>
      <c r="N1731" s="9">
        <f t="shared" si="225"/>
        <v>3</v>
      </c>
      <c r="O1731" s="9">
        <v>7.4</v>
      </c>
      <c r="P1731" s="9">
        <v>3</v>
      </c>
      <c r="Q1731" s="9" t="s">
        <v>6</v>
      </c>
      <c r="R1731" s="1">
        <v>0</v>
      </c>
      <c r="S1731" s="26"/>
    </row>
    <row r="1732" spans="1:19" ht="16.5" customHeight="1" x14ac:dyDescent="0.25">
      <c r="A1732" s="9"/>
      <c r="B1732" s="51" t="s">
        <v>59</v>
      </c>
      <c r="C1732" s="52"/>
      <c r="D1732" s="52"/>
      <c r="E1732" s="52"/>
      <c r="F1732" s="52"/>
      <c r="G1732" s="53"/>
      <c r="H1732" s="20"/>
      <c r="I1732" s="9">
        <v>1</v>
      </c>
      <c r="J1732" s="9"/>
      <c r="K1732" s="9"/>
      <c r="L1732" s="9"/>
      <c r="M1732" s="9">
        <f t="shared" si="224"/>
        <v>8</v>
      </c>
      <c r="N1732" s="9">
        <f t="shared" si="225"/>
        <v>3.5</v>
      </c>
      <c r="O1732" s="9">
        <v>8</v>
      </c>
      <c r="P1732" s="9">
        <v>3.5</v>
      </c>
      <c r="Q1732" s="9" t="s">
        <v>9</v>
      </c>
      <c r="R1732" s="1">
        <v>0</v>
      </c>
      <c r="S1732" s="26"/>
    </row>
    <row r="1733" spans="1:19" ht="16.5" customHeight="1" x14ac:dyDescent="0.25">
      <c r="A1733" s="9"/>
      <c r="B1733" s="51" t="s">
        <v>60</v>
      </c>
      <c r="C1733" s="52"/>
      <c r="D1733" s="52"/>
      <c r="E1733" s="52"/>
      <c r="F1733" s="52"/>
      <c r="G1733" s="53"/>
      <c r="H1733" s="20"/>
      <c r="I1733" s="9">
        <v>3</v>
      </c>
      <c r="J1733" s="9"/>
      <c r="K1733" s="9"/>
      <c r="L1733" s="9"/>
      <c r="M1733" s="9">
        <f t="shared" si="224"/>
        <v>23.700000000000003</v>
      </c>
      <c r="N1733" s="9">
        <f t="shared" si="225"/>
        <v>9</v>
      </c>
      <c r="O1733" s="9">
        <v>7.9</v>
      </c>
      <c r="P1733" s="9">
        <v>3</v>
      </c>
      <c r="Q1733" s="9" t="s">
        <v>6</v>
      </c>
      <c r="R1733" s="1">
        <v>0</v>
      </c>
      <c r="S1733" s="26"/>
    </row>
    <row r="1734" spans="1:19" ht="16.5" customHeight="1" x14ac:dyDescent="0.25">
      <c r="A1734" s="9"/>
      <c r="B1734" s="51" t="s">
        <v>61</v>
      </c>
      <c r="C1734" s="52"/>
      <c r="D1734" s="52"/>
      <c r="E1734" s="52"/>
      <c r="F1734" s="52"/>
      <c r="G1734" s="53"/>
      <c r="H1734" s="20"/>
      <c r="I1734" s="9">
        <v>1</v>
      </c>
      <c r="J1734" s="9"/>
      <c r="K1734" s="9"/>
      <c r="L1734" s="9"/>
      <c r="M1734" s="9">
        <f t="shared" si="224"/>
        <v>9.1</v>
      </c>
      <c r="N1734" s="9">
        <f t="shared" si="225"/>
        <v>4</v>
      </c>
      <c r="O1734" s="9">
        <v>9.1</v>
      </c>
      <c r="P1734" s="9">
        <v>4</v>
      </c>
      <c r="Q1734" s="9" t="s">
        <v>12</v>
      </c>
      <c r="R1734" s="1">
        <v>0</v>
      </c>
      <c r="S1734" s="26"/>
    </row>
    <row r="1735" spans="1:19" ht="16.5" hidden="1" customHeight="1" x14ac:dyDescent="0.25">
      <c r="A1735" s="21"/>
      <c r="H1735" s="21"/>
      <c r="I1735" s="21"/>
      <c r="J1735" s="21"/>
      <c r="K1735" s="21"/>
      <c r="L1735" s="21"/>
      <c r="M1735" s="9">
        <f t="shared" si="224"/>
        <v>0</v>
      </c>
      <c r="N1735" s="9">
        <f t="shared" si="225"/>
        <v>0</v>
      </c>
      <c r="O1735" s="21"/>
      <c r="P1735" s="21"/>
      <c r="Q1735" s="21"/>
      <c r="S1735" s="25"/>
    </row>
    <row r="1736" spans="1:19" ht="16.5" customHeight="1" x14ac:dyDescent="0.25">
      <c r="A1736" s="9"/>
      <c r="B1736" s="39" t="s">
        <v>42</v>
      </c>
      <c r="C1736" s="40"/>
      <c r="D1736" s="40"/>
      <c r="E1736" s="40"/>
      <c r="F1736" s="40"/>
      <c r="G1736" s="41"/>
      <c r="H1736" s="23"/>
      <c r="I1736" s="24">
        <f>SUM(I1728:I1735)</f>
        <v>14</v>
      </c>
      <c r="J1736" s="9"/>
      <c r="K1736" s="9"/>
      <c r="L1736" s="9"/>
      <c r="M1736" s="9">
        <f t="shared" si="224"/>
        <v>105</v>
      </c>
      <c r="N1736" s="9">
        <f t="shared" si="225"/>
        <v>42</v>
      </c>
      <c r="O1736" s="24">
        <f>ROUND(SUM(M1728:M1735)/I1736,2)</f>
        <v>7.5</v>
      </c>
      <c r="P1736" s="24">
        <f>ROUND(SUM(N1728:N1735)/I1736,2)</f>
        <v>3</v>
      </c>
      <c r="Q1736" s="9"/>
      <c r="S1736" s="25"/>
    </row>
    <row r="1737" spans="1:19" ht="20.25" customHeight="1" x14ac:dyDescent="0.25">
      <c r="A1737" s="27" t="s">
        <v>62</v>
      </c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</row>
    <row r="1738" spans="1:19" ht="16.5" customHeight="1" x14ac:dyDescent="0.25">
      <c r="A1738" s="9"/>
      <c r="B1738" s="51" t="s">
        <v>63</v>
      </c>
      <c r="C1738" s="52"/>
      <c r="D1738" s="52"/>
      <c r="E1738" s="52"/>
      <c r="F1738" s="52"/>
      <c r="G1738" s="53"/>
      <c r="H1738" s="20"/>
      <c r="I1738" s="9">
        <v>4</v>
      </c>
      <c r="J1738" s="9"/>
      <c r="K1738" s="9"/>
      <c r="L1738" s="9"/>
      <c r="M1738" s="9">
        <f t="shared" ref="M1738:M1746" si="226">I1738*O1738</f>
        <v>22.4</v>
      </c>
      <c r="N1738" s="9">
        <f t="shared" ref="N1738:N1746" si="227">I1738*P1738</f>
        <v>8</v>
      </c>
      <c r="O1738" s="9">
        <v>5.6</v>
      </c>
      <c r="P1738" s="9">
        <v>2</v>
      </c>
      <c r="Q1738" s="9" t="s">
        <v>3</v>
      </c>
      <c r="R1738" s="1">
        <v>0</v>
      </c>
      <c r="S1738" s="26"/>
    </row>
    <row r="1739" spans="1:19" ht="16.5" customHeight="1" x14ac:dyDescent="0.25">
      <c r="A1739" s="9"/>
      <c r="B1739" s="51" t="s">
        <v>64</v>
      </c>
      <c r="C1739" s="52"/>
      <c r="D1739" s="52"/>
      <c r="E1739" s="52"/>
      <c r="F1739" s="52"/>
      <c r="G1739" s="53"/>
      <c r="H1739" s="20"/>
      <c r="I1739" s="9">
        <v>4</v>
      </c>
      <c r="J1739" s="9"/>
      <c r="K1739" s="9"/>
      <c r="L1739" s="9"/>
      <c r="M1739" s="9">
        <f t="shared" si="226"/>
        <v>22</v>
      </c>
      <c r="N1739" s="9">
        <f t="shared" si="227"/>
        <v>8</v>
      </c>
      <c r="O1739" s="9">
        <v>5.5</v>
      </c>
      <c r="P1739" s="9">
        <v>2</v>
      </c>
      <c r="Q1739" s="9" t="s">
        <v>3</v>
      </c>
      <c r="R1739" s="1">
        <v>0</v>
      </c>
      <c r="S1739" s="26"/>
    </row>
    <row r="1740" spans="1:19" ht="16.5" customHeight="1" x14ac:dyDescent="0.25">
      <c r="A1740" s="9"/>
      <c r="B1740" s="51" t="s">
        <v>65</v>
      </c>
      <c r="C1740" s="52"/>
      <c r="D1740" s="52"/>
      <c r="E1740" s="52"/>
      <c r="F1740" s="52"/>
      <c r="G1740" s="53"/>
      <c r="H1740" s="20"/>
      <c r="I1740" s="9">
        <v>4</v>
      </c>
      <c r="J1740" s="9"/>
      <c r="K1740" s="9"/>
      <c r="L1740" s="9"/>
      <c r="M1740" s="9">
        <f t="shared" si="226"/>
        <v>28.4</v>
      </c>
      <c r="N1740" s="9">
        <f t="shared" si="227"/>
        <v>12</v>
      </c>
      <c r="O1740" s="9">
        <v>7.1</v>
      </c>
      <c r="P1740" s="9">
        <v>3</v>
      </c>
      <c r="Q1740" s="9" t="s">
        <v>6</v>
      </c>
      <c r="R1740" s="1">
        <v>0</v>
      </c>
      <c r="S1740" s="26"/>
    </row>
    <row r="1741" spans="1:19" ht="16.5" customHeight="1" x14ac:dyDescent="0.25">
      <c r="A1741" s="9"/>
      <c r="B1741" s="51" t="s">
        <v>66</v>
      </c>
      <c r="C1741" s="52"/>
      <c r="D1741" s="52"/>
      <c r="E1741" s="52"/>
      <c r="F1741" s="52"/>
      <c r="G1741" s="53"/>
      <c r="H1741" s="20"/>
      <c r="I1741" s="9">
        <v>1</v>
      </c>
      <c r="J1741" s="9"/>
      <c r="K1741" s="9"/>
      <c r="L1741" s="9"/>
      <c r="M1741" s="9">
        <f t="shared" si="226"/>
        <v>7.7</v>
      </c>
      <c r="N1741" s="9">
        <f t="shared" si="227"/>
        <v>3</v>
      </c>
      <c r="O1741" s="9">
        <v>7.7</v>
      </c>
      <c r="P1741" s="9">
        <v>3</v>
      </c>
      <c r="Q1741" s="9" t="s">
        <v>6</v>
      </c>
      <c r="R1741" s="1">
        <v>0</v>
      </c>
      <c r="S1741" s="26"/>
    </row>
    <row r="1742" spans="1:19" ht="16.5" customHeight="1" x14ac:dyDescent="0.25">
      <c r="A1742" s="9"/>
      <c r="B1742" s="51" t="s">
        <v>67</v>
      </c>
      <c r="C1742" s="52"/>
      <c r="D1742" s="52"/>
      <c r="E1742" s="52"/>
      <c r="F1742" s="52"/>
      <c r="G1742" s="53"/>
      <c r="H1742" s="20"/>
      <c r="I1742" s="9">
        <v>1</v>
      </c>
      <c r="J1742" s="9"/>
      <c r="K1742" s="9"/>
      <c r="L1742" s="9"/>
      <c r="M1742" s="9">
        <f t="shared" si="226"/>
        <v>8</v>
      </c>
      <c r="N1742" s="9">
        <f t="shared" si="227"/>
        <v>3.5</v>
      </c>
      <c r="O1742" s="9">
        <v>8</v>
      </c>
      <c r="P1742" s="9">
        <v>3.5</v>
      </c>
      <c r="Q1742" s="9" t="s">
        <v>9</v>
      </c>
      <c r="R1742" s="1">
        <v>0</v>
      </c>
      <c r="S1742" s="26"/>
    </row>
    <row r="1743" spans="1:19" ht="16.5" customHeight="1" x14ac:dyDescent="0.25">
      <c r="A1743" s="9"/>
      <c r="B1743" s="51" t="s">
        <v>69</v>
      </c>
      <c r="C1743" s="52"/>
      <c r="D1743" s="52"/>
      <c r="E1743" s="52"/>
      <c r="F1743" s="52"/>
      <c r="G1743" s="53"/>
      <c r="H1743" s="20"/>
      <c r="I1743" s="9">
        <v>1</v>
      </c>
      <c r="J1743" s="9"/>
      <c r="K1743" s="9"/>
      <c r="L1743" s="9"/>
      <c r="M1743" s="9">
        <f t="shared" si="226"/>
        <v>7.6</v>
      </c>
      <c r="N1743" s="9">
        <f t="shared" si="227"/>
        <v>3</v>
      </c>
      <c r="O1743" s="9">
        <v>7.6</v>
      </c>
      <c r="P1743" s="9">
        <v>3</v>
      </c>
      <c r="Q1743" s="9" t="s">
        <v>6</v>
      </c>
      <c r="R1743" s="1">
        <v>0</v>
      </c>
      <c r="S1743" s="26"/>
    </row>
    <row r="1744" spans="1:19" ht="16.5" customHeight="1" x14ac:dyDescent="0.25">
      <c r="A1744" s="9"/>
      <c r="B1744" s="51" t="s">
        <v>68</v>
      </c>
      <c r="C1744" s="52"/>
      <c r="D1744" s="52"/>
      <c r="E1744" s="52"/>
      <c r="F1744" s="52"/>
      <c r="G1744" s="53"/>
      <c r="H1744" s="20"/>
      <c r="I1744" s="9">
        <v>1</v>
      </c>
      <c r="J1744" s="9"/>
      <c r="K1744" s="9"/>
      <c r="L1744" s="9"/>
      <c r="M1744" s="9">
        <f t="shared" si="226"/>
        <v>7.6</v>
      </c>
      <c r="N1744" s="9">
        <f t="shared" si="227"/>
        <v>3</v>
      </c>
      <c r="O1744" s="9">
        <v>7.6</v>
      </c>
      <c r="P1744" s="9">
        <v>3</v>
      </c>
      <c r="Q1744" s="9" t="s">
        <v>6</v>
      </c>
      <c r="R1744" s="1">
        <v>0</v>
      </c>
      <c r="S1744" s="26"/>
    </row>
    <row r="1745" spans="1:19" ht="16.5" hidden="1" customHeight="1" x14ac:dyDescent="0.25">
      <c r="A1745" s="21"/>
      <c r="H1745" s="21"/>
      <c r="I1745" s="21"/>
      <c r="J1745" s="21"/>
      <c r="K1745" s="21"/>
      <c r="L1745" s="21"/>
      <c r="M1745" s="9">
        <f t="shared" si="226"/>
        <v>0</v>
      </c>
      <c r="N1745" s="9">
        <f t="shared" si="227"/>
        <v>0</v>
      </c>
      <c r="O1745" s="21"/>
      <c r="P1745" s="21"/>
      <c r="Q1745" s="21"/>
      <c r="S1745" s="25"/>
    </row>
    <row r="1746" spans="1:19" ht="16.5" customHeight="1" x14ac:dyDescent="0.25">
      <c r="A1746" s="9"/>
      <c r="B1746" s="39" t="s">
        <v>42</v>
      </c>
      <c r="C1746" s="40"/>
      <c r="D1746" s="40"/>
      <c r="E1746" s="40"/>
      <c r="F1746" s="40"/>
      <c r="G1746" s="41"/>
      <c r="H1746" s="23"/>
      <c r="I1746" s="24">
        <f>SUM(I1738:I1745)</f>
        <v>16</v>
      </c>
      <c r="J1746" s="9"/>
      <c r="K1746" s="9"/>
      <c r="L1746" s="9"/>
      <c r="M1746" s="9">
        <f t="shared" si="226"/>
        <v>103.68</v>
      </c>
      <c r="N1746" s="9">
        <f t="shared" si="227"/>
        <v>40.479999999999997</v>
      </c>
      <c r="O1746" s="24">
        <f>ROUND(SUM(M1738:M1745)/I1746,2)</f>
        <v>6.48</v>
      </c>
      <c r="P1746" s="24">
        <f>ROUND(SUM(N1738:N1745)/I1746,2)</f>
        <v>2.5299999999999998</v>
      </c>
      <c r="Q1746" s="9"/>
      <c r="S1746" s="25"/>
    </row>
    <row r="1747" spans="1:19" ht="20.25" customHeight="1" x14ac:dyDescent="0.25">
      <c r="A1747" s="27" t="s">
        <v>70</v>
      </c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</row>
    <row r="1748" spans="1:19" ht="16.5" customHeight="1" x14ac:dyDescent="0.25">
      <c r="A1748" s="9"/>
      <c r="B1748" s="51" t="s">
        <v>71</v>
      </c>
      <c r="C1748" s="52"/>
      <c r="D1748" s="52"/>
      <c r="E1748" s="52"/>
      <c r="F1748" s="52"/>
      <c r="G1748" s="53"/>
      <c r="H1748" s="20"/>
      <c r="I1748" s="9">
        <v>4</v>
      </c>
      <c r="J1748" s="9"/>
      <c r="K1748" s="9"/>
      <c r="L1748" s="9"/>
      <c r="M1748" s="9">
        <f t="shared" ref="M1748:M1756" si="228">I1748*O1748</f>
        <v>26.8</v>
      </c>
      <c r="N1748" s="9">
        <f t="shared" ref="N1748:N1756" si="229">I1748*P1748</f>
        <v>10</v>
      </c>
      <c r="O1748" s="9">
        <v>6.7</v>
      </c>
      <c r="P1748" s="9">
        <v>2.5</v>
      </c>
      <c r="Q1748" s="9" t="s">
        <v>5</v>
      </c>
      <c r="R1748" s="1">
        <v>0</v>
      </c>
      <c r="S1748" s="26"/>
    </row>
    <row r="1749" spans="1:19" ht="16.5" customHeight="1" x14ac:dyDescent="0.25">
      <c r="A1749" s="9"/>
      <c r="B1749" s="51" t="s">
        <v>72</v>
      </c>
      <c r="C1749" s="52"/>
      <c r="D1749" s="52"/>
      <c r="E1749" s="52"/>
      <c r="F1749" s="52"/>
      <c r="G1749" s="53"/>
      <c r="H1749" s="20"/>
      <c r="I1749" s="9">
        <v>4</v>
      </c>
      <c r="J1749" s="9"/>
      <c r="K1749" s="9"/>
      <c r="L1749" s="9"/>
      <c r="M1749" s="9">
        <f t="shared" si="228"/>
        <v>30.4</v>
      </c>
      <c r="N1749" s="9">
        <f t="shared" si="229"/>
        <v>12</v>
      </c>
      <c r="O1749" s="9">
        <v>7.6</v>
      </c>
      <c r="P1749" s="9">
        <v>3</v>
      </c>
      <c r="Q1749" s="9" t="s">
        <v>6</v>
      </c>
      <c r="R1749" s="1">
        <v>0</v>
      </c>
      <c r="S1749" s="26"/>
    </row>
    <row r="1750" spans="1:19" ht="16.5" customHeight="1" x14ac:dyDescent="0.25">
      <c r="A1750" s="9"/>
      <c r="B1750" s="51" t="s">
        <v>73</v>
      </c>
      <c r="C1750" s="52"/>
      <c r="D1750" s="52"/>
      <c r="E1750" s="52"/>
      <c r="F1750" s="52"/>
      <c r="G1750" s="53"/>
      <c r="H1750" s="20"/>
      <c r="I1750" s="9">
        <v>1</v>
      </c>
      <c r="J1750" s="9"/>
      <c r="K1750" s="9"/>
      <c r="L1750" s="9"/>
      <c r="M1750" s="9">
        <f t="shared" si="228"/>
        <v>7.8</v>
      </c>
      <c r="N1750" s="9">
        <f t="shared" si="229"/>
        <v>3</v>
      </c>
      <c r="O1750" s="9">
        <v>7.8</v>
      </c>
      <c r="P1750" s="9">
        <v>3</v>
      </c>
      <c r="Q1750" s="9" t="s">
        <v>6</v>
      </c>
      <c r="R1750" s="1">
        <v>0</v>
      </c>
      <c r="S1750" s="26"/>
    </row>
    <row r="1751" spans="1:19" ht="16.5" customHeight="1" x14ac:dyDescent="0.25">
      <c r="A1751" s="9"/>
      <c r="B1751" s="51" t="s">
        <v>74</v>
      </c>
      <c r="C1751" s="52"/>
      <c r="D1751" s="52"/>
      <c r="E1751" s="52"/>
      <c r="F1751" s="52"/>
      <c r="G1751" s="53"/>
      <c r="H1751" s="20"/>
      <c r="I1751" s="9">
        <v>2</v>
      </c>
      <c r="J1751" s="9"/>
      <c r="K1751" s="9"/>
      <c r="L1751" s="9"/>
      <c r="M1751" s="9">
        <f t="shared" si="228"/>
        <v>16.399999999999999</v>
      </c>
      <c r="N1751" s="9">
        <f t="shared" si="229"/>
        <v>7</v>
      </c>
      <c r="O1751" s="9">
        <v>8.1999999999999993</v>
      </c>
      <c r="P1751" s="9">
        <v>3.5</v>
      </c>
      <c r="Q1751" s="9" t="s">
        <v>9</v>
      </c>
      <c r="R1751" s="1">
        <v>0</v>
      </c>
      <c r="S1751" s="26"/>
    </row>
    <row r="1752" spans="1:19" ht="16.5" customHeight="1" x14ac:dyDescent="0.25">
      <c r="A1752" s="9"/>
      <c r="B1752" s="51" t="s">
        <v>75</v>
      </c>
      <c r="C1752" s="52"/>
      <c r="D1752" s="52"/>
      <c r="E1752" s="52"/>
      <c r="F1752" s="52"/>
      <c r="G1752" s="53"/>
      <c r="H1752" s="20"/>
      <c r="I1752" s="9">
        <v>1</v>
      </c>
      <c r="J1752" s="9"/>
      <c r="K1752" s="9"/>
      <c r="L1752" s="9"/>
      <c r="M1752" s="9">
        <f t="shared" si="228"/>
        <v>5.4</v>
      </c>
      <c r="N1752" s="9">
        <f t="shared" si="229"/>
        <v>1.5</v>
      </c>
      <c r="O1752" s="9">
        <v>5.4</v>
      </c>
      <c r="P1752" s="9">
        <v>1.5</v>
      </c>
      <c r="Q1752" s="9" t="s">
        <v>4</v>
      </c>
      <c r="R1752" s="1">
        <v>0</v>
      </c>
      <c r="S1752" s="26"/>
    </row>
    <row r="1753" spans="1:19" ht="16.5" customHeight="1" x14ac:dyDescent="0.25">
      <c r="A1753" s="9"/>
      <c r="B1753" s="51" t="s">
        <v>76</v>
      </c>
      <c r="C1753" s="52"/>
      <c r="D1753" s="52"/>
      <c r="E1753" s="52"/>
      <c r="F1753" s="52"/>
      <c r="G1753" s="53"/>
      <c r="H1753" s="20"/>
      <c r="I1753" s="9">
        <v>4</v>
      </c>
      <c r="J1753" s="9"/>
      <c r="K1753" s="9"/>
      <c r="L1753" s="9"/>
      <c r="M1753" s="9">
        <f t="shared" si="228"/>
        <v>25.6</v>
      </c>
      <c r="N1753" s="9">
        <f t="shared" si="229"/>
        <v>8</v>
      </c>
      <c r="O1753" s="9">
        <v>6.4</v>
      </c>
      <c r="P1753" s="9">
        <v>2</v>
      </c>
      <c r="Q1753" s="9" t="s">
        <v>3</v>
      </c>
      <c r="R1753" s="1">
        <v>0</v>
      </c>
      <c r="S1753" s="26"/>
    </row>
    <row r="1754" spans="1:19" ht="16.5" customHeight="1" x14ac:dyDescent="0.25">
      <c r="A1754" s="9"/>
      <c r="B1754" s="51" t="s">
        <v>77</v>
      </c>
      <c r="C1754" s="52"/>
      <c r="D1754" s="52"/>
      <c r="E1754" s="52"/>
      <c r="F1754" s="52"/>
      <c r="G1754" s="53"/>
      <c r="H1754" s="20"/>
      <c r="I1754" s="9">
        <v>3</v>
      </c>
      <c r="J1754" s="9"/>
      <c r="K1754" s="9"/>
      <c r="L1754" s="9"/>
      <c r="M1754" s="9">
        <f t="shared" si="228"/>
        <v>19.799999999999997</v>
      </c>
      <c r="N1754" s="9">
        <f t="shared" si="229"/>
        <v>7.5</v>
      </c>
      <c r="O1754" s="9">
        <v>6.6</v>
      </c>
      <c r="P1754" s="9">
        <v>2.5</v>
      </c>
      <c r="Q1754" s="9" t="s">
        <v>5</v>
      </c>
      <c r="R1754" s="1">
        <v>0</v>
      </c>
      <c r="S1754" s="26"/>
    </row>
    <row r="1755" spans="1:19" ht="16.5" hidden="1" customHeight="1" x14ac:dyDescent="0.25">
      <c r="A1755" s="21"/>
      <c r="H1755" s="21"/>
      <c r="I1755" s="21"/>
      <c r="J1755" s="21"/>
      <c r="K1755" s="21"/>
      <c r="L1755" s="21"/>
      <c r="M1755" s="9">
        <f t="shared" si="228"/>
        <v>0</v>
      </c>
      <c r="N1755" s="9">
        <f t="shared" si="229"/>
        <v>0</v>
      </c>
      <c r="O1755" s="21"/>
      <c r="P1755" s="21"/>
      <c r="Q1755" s="21"/>
      <c r="S1755" s="25"/>
    </row>
    <row r="1756" spans="1:19" ht="16.5" customHeight="1" x14ac:dyDescent="0.25">
      <c r="A1756" s="9"/>
      <c r="B1756" s="39" t="s">
        <v>42</v>
      </c>
      <c r="C1756" s="40"/>
      <c r="D1756" s="40"/>
      <c r="E1756" s="40"/>
      <c r="F1756" s="40"/>
      <c r="G1756" s="41"/>
      <c r="H1756" s="23"/>
      <c r="I1756" s="24">
        <f>SUM(I1748:I1755)</f>
        <v>19</v>
      </c>
      <c r="J1756" s="9"/>
      <c r="K1756" s="9"/>
      <c r="L1756" s="9"/>
      <c r="M1756" s="9">
        <f t="shared" si="228"/>
        <v>132.24</v>
      </c>
      <c r="N1756" s="9">
        <f t="shared" si="229"/>
        <v>49.02</v>
      </c>
      <c r="O1756" s="24">
        <f>ROUND(SUM(M1748:M1755)/I1756,2)</f>
        <v>6.96</v>
      </c>
      <c r="P1756" s="24">
        <f>ROUND(SUM(N1748:N1755)/I1756,2)</f>
        <v>2.58</v>
      </c>
      <c r="Q1756" s="9"/>
      <c r="S1756" s="25"/>
    </row>
    <row r="1757" spans="1:19" ht="20.25" customHeight="1" x14ac:dyDescent="0.25">
      <c r="A1757" s="27" t="s">
        <v>78</v>
      </c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</row>
    <row r="1758" spans="1:19" ht="16.5" customHeight="1" x14ac:dyDescent="0.25">
      <c r="A1758" s="9"/>
      <c r="B1758" s="51" t="s">
        <v>79</v>
      </c>
      <c r="C1758" s="52"/>
      <c r="D1758" s="52"/>
      <c r="E1758" s="52"/>
      <c r="F1758" s="52"/>
      <c r="G1758" s="53"/>
      <c r="H1758" s="20"/>
      <c r="I1758" s="9">
        <v>1</v>
      </c>
      <c r="J1758" s="9"/>
      <c r="K1758" s="9"/>
      <c r="L1758" s="9"/>
      <c r="M1758" s="9">
        <f t="shared" ref="M1758:M1764" si="230">I1758*O1758</f>
        <v>8</v>
      </c>
      <c r="N1758" s="9">
        <f t="shared" ref="N1758:N1764" si="231">I1758*P1758</f>
        <v>3.5</v>
      </c>
      <c r="O1758" s="9">
        <v>8</v>
      </c>
      <c r="P1758" s="9">
        <v>3.5</v>
      </c>
      <c r="Q1758" s="9" t="s">
        <v>9</v>
      </c>
      <c r="R1758" s="1">
        <v>0</v>
      </c>
      <c r="S1758" s="26"/>
    </row>
    <row r="1759" spans="1:19" ht="16.5" customHeight="1" x14ac:dyDescent="0.25">
      <c r="A1759" s="9"/>
      <c r="B1759" s="51" t="s">
        <v>80</v>
      </c>
      <c r="C1759" s="52"/>
      <c r="D1759" s="52"/>
      <c r="E1759" s="52"/>
      <c r="F1759" s="52"/>
      <c r="G1759" s="53"/>
      <c r="H1759" s="20"/>
      <c r="I1759" s="9">
        <v>3</v>
      </c>
      <c r="J1759" s="9"/>
      <c r="K1759" s="9"/>
      <c r="L1759" s="9"/>
      <c r="M1759" s="9">
        <f t="shared" si="230"/>
        <v>22.5</v>
      </c>
      <c r="N1759" s="9">
        <f t="shared" si="231"/>
        <v>9</v>
      </c>
      <c r="O1759" s="9">
        <v>7.5</v>
      </c>
      <c r="P1759" s="9">
        <v>3</v>
      </c>
      <c r="Q1759" s="9" t="s">
        <v>6</v>
      </c>
      <c r="R1759" s="1">
        <v>0</v>
      </c>
      <c r="S1759" s="26"/>
    </row>
    <row r="1760" spans="1:19" ht="16.5" customHeight="1" x14ac:dyDescent="0.25">
      <c r="A1760" s="9"/>
      <c r="B1760" s="51" t="s">
        <v>87</v>
      </c>
      <c r="C1760" s="52"/>
      <c r="D1760" s="52"/>
      <c r="E1760" s="52"/>
      <c r="F1760" s="52"/>
      <c r="G1760" s="53"/>
      <c r="H1760" s="20"/>
      <c r="I1760" s="9">
        <v>3</v>
      </c>
      <c r="J1760" s="9"/>
      <c r="K1760" s="9"/>
      <c r="L1760" s="9"/>
      <c r="M1760" s="9">
        <f t="shared" si="230"/>
        <v>26.400000000000002</v>
      </c>
      <c r="N1760" s="9">
        <f t="shared" si="231"/>
        <v>11.100000000000001</v>
      </c>
      <c r="O1760" s="9">
        <v>8.8000000000000007</v>
      </c>
      <c r="P1760" s="9">
        <v>3.7</v>
      </c>
      <c r="Q1760" s="9" t="s">
        <v>10</v>
      </c>
      <c r="R1760" s="1">
        <v>0</v>
      </c>
      <c r="S1760" s="26"/>
    </row>
    <row r="1761" spans="1:19" ht="16.5" customHeight="1" x14ac:dyDescent="0.25">
      <c r="A1761" s="9"/>
      <c r="B1761" s="51" t="s">
        <v>82</v>
      </c>
      <c r="C1761" s="52"/>
      <c r="D1761" s="52"/>
      <c r="E1761" s="52"/>
      <c r="F1761" s="52"/>
      <c r="G1761" s="53"/>
      <c r="H1761" s="20"/>
      <c r="I1761" s="9">
        <v>2</v>
      </c>
      <c r="J1761" s="9"/>
      <c r="K1761" s="9"/>
      <c r="L1761" s="9"/>
      <c r="M1761" s="9">
        <f t="shared" si="230"/>
        <v>15.6</v>
      </c>
      <c r="N1761" s="9">
        <f t="shared" si="231"/>
        <v>6</v>
      </c>
      <c r="O1761" s="9">
        <v>7.8</v>
      </c>
      <c r="P1761" s="9">
        <v>3</v>
      </c>
      <c r="Q1761" s="9" t="s">
        <v>6</v>
      </c>
      <c r="R1761" s="1">
        <v>0</v>
      </c>
      <c r="S1761" s="26"/>
    </row>
    <row r="1762" spans="1:19" ht="16.5" customHeight="1" x14ac:dyDescent="0.25">
      <c r="A1762" s="9"/>
      <c r="B1762" s="51" t="s">
        <v>83</v>
      </c>
      <c r="C1762" s="52"/>
      <c r="D1762" s="52"/>
      <c r="E1762" s="52"/>
      <c r="F1762" s="52"/>
      <c r="G1762" s="53"/>
      <c r="H1762" s="20"/>
      <c r="I1762" s="9">
        <v>2</v>
      </c>
      <c r="J1762" s="9"/>
      <c r="K1762" s="9"/>
      <c r="L1762" s="9"/>
      <c r="M1762" s="9">
        <f t="shared" si="230"/>
        <v>13.6</v>
      </c>
      <c r="N1762" s="9">
        <f t="shared" si="231"/>
        <v>5</v>
      </c>
      <c r="O1762" s="9">
        <v>6.8</v>
      </c>
      <c r="P1762" s="9">
        <v>2.5</v>
      </c>
      <c r="Q1762" s="9" t="s">
        <v>5</v>
      </c>
      <c r="R1762" s="1">
        <v>0</v>
      </c>
      <c r="S1762" s="26"/>
    </row>
    <row r="1763" spans="1:19" ht="16.5" customHeight="1" x14ac:dyDescent="0.25">
      <c r="A1763" s="9"/>
      <c r="B1763" s="51" t="s">
        <v>84</v>
      </c>
      <c r="C1763" s="52"/>
      <c r="D1763" s="52"/>
      <c r="E1763" s="52"/>
      <c r="F1763" s="52"/>
      <c r="G1763" s="53"/>
      <c r="H1763" s="20"/>
      <c r="I1763" s="9">
        <v>3</v>
      </c>
      <c r="J1763" s="9"/>
      <c r="K1763" s="9"/>
      <c r="L1763" s="9"/>
      <c r="M1763" s="9">
        <f t="shared" si="230"/>
        <v>23.700000000000003</v>
      </c>
      <c r="N1763" s="9">
        <f t="shared" si="231"/>
        <v>9</v>
      </c>
      <c r="O1763" s="9">
        <v>7.9</v>
      </c>
      <c r="P1763" s="9">
        <v>3</v>
      </c>
      <c r="Q1763" s="9" t="s">
        <v>6</v>
      </c>
      <c r="R1763" s="1">
        <v>0</v>
      </c>
      <c r="S1763" s="26"/>
    </row>
    <row r="1764" spans="1:19" ht="16.5" customHeight="1" x14ac:dyDescent="0.25">
      <c r="A1764" s="9"/>
      <c r="B1764" s="51" t="s">
        <v>85</v>
      </c>
      <c r="C1764" s="52"/>
      <c r="D1764" s="52"/>
      <c r="E1764" s="52"/>
      <c r="F1764" s="52"/>
      <c r="G1764" s="53"/>
      <c r="H1764" s="20"/>
      <c r="I1764" s="9">
        <v>2</v>
      </c>
      <c r="J1764" s="9"/>
      <c r="K1764" s="9"/>
      <c r="L1764" s="9"/>
      <c r="M1764" s="9">
        <f t="shared" si="230"/>
        <v>14.8</v>
      </c>
      <c r="N1764" s="9">
        <f t="shared" si="231"/>
        <v>6</v>
      </c>
      <c r="O1764" s="9">
        <v>7.4</v>
      </c>
      <c r="P1764" s="9">
        <v>3</v>
      </c>
      <c r="Q1764" s="9" t="s">
        <v>6</v>
      </c>
      <c r="R1764" s="1">
        <v>0</v>
      </c>
      <c r="S1764" s="26"/>
    </row>
    <row r="1765" spans="1:19" ht="15" customHeight="1" x14ac:dyDescent="0.25">
      <c r="A1765" s="36" t="s">
        <v>0</v>
      </c>
      <c r="B1765" s="29" t="s">
        <v>1</v>
      </c>
      <c r="C1765" s="30"/>
      <c r="D1765" s="30"/>
      <c r="E1765" s="30"/>
      <c r="F1765" s="30"/>
      <c r="G1765" s="31"/>
      <c r="H1765" s="36" t="s">
        <v>32</v>
      </c>
      <c r="I1765" s="36" t="s">
        <v>39</v>
      </c>
      <c r="J1765" s="55" t="s">
        <v>2</v>
      </c>
      <c r="K1765" s="56"/>
      <c r="L1765" s="56"/>
      <c r="M1765" s="56"/>
      <c r="N1765" s="56"/>
      <c r="O1765" s="56"/>
      <c r="P1765" s="56"/>
      <c r="Q1765" s="57"/>
      <c r="S1765" s="36" t="s">
        <v>38</v>
      </c>
    </row>
    <row r="1766" spans="1:19" ht="24" customHeight="1" x14ac:dyDescent="0.25">
      <c r="A1766" s="37"/>
      <c r="B1766" s="32"/>
      <c r="C1766" s="33"/>
      <c r="D1766" s="33"/>
      <c r="E1766" s="33"/>
      <c r="F1766" s="33"/>
      <c r="G1766" s="34"/>
      <c r="H1766" s="37"/>
      <c r="I1766" s="37"/>
      <c r="J1766" s="7" t="s">
        <v>28</v>
      </c>
      <c r="K1766" s="7" t="s">
        <v>29</v>
      </c>
      <c r="L1766" s="7" t="s">
        <v>30</v>
      </c>
      <c r="M1766" s="7"/>
      <c r="N1766" s="7"/>
      <c r="O1766" s="6" t="s">
        <v>35</v>
      </c>
      <c r="P1766" s="6" t="s">
        <v>36</v>
      </c>
      <c r="Q1766" s="6" t="s">
        <v>37</v>
      </c>
      <c r="S1766" s="37"/>
    </row>
    <row r="1767" spans="1:19" ht="16.5" customHeight="1" x14ac:dyDescent="0.25">
      <c r="A1767" s="9"/>
      <c r="B1767" s="51" t="s">
        <v>86</v>
      </c>
      <c r="C1767" s="52"/>
      <c r="D1767" s="52"/>
      <c r="E1767" s="52"/>
      <c r="F1767" s="52"/>
      <c r="G1767" s="53"/>
      <c r="H1767" s="20"/>
      <c r="I1767" s="9">
        <v>3</v>
      </c>
      <c r="J1767" s="9"/>
      <c r="K1767" s="9"/>
      <c r="L1767" s="9"/>
      <c r="M1767" s="9">
        <f>I1767*O1767</f>
        <v>26.700000000000003</v>
      </c>
      <c r="N1767" s="9">
        <f>I1767*P1767</f>
        <v>11.100000000000001</v>
      </c>
      <c r="O1767" s="9">
        <v>8.9</v>
      </c>
      <c r="P1767" s="9">
        <v>3.7</v>
      </c>
      <c r="Q1767" s="9" t="s">
        <v>10</v>
      </c>
      <c r="R1767" s="1">
        <v>0</v>
      </c>
      <c r="S1767" s="26"/>
    </row>
    <row r="1768" spans="1:19" ht="16.5" customHeight="1" x14ac:dyDescent="0.25">
      <c r="A1768" s="9"/>
      <c r="B1768" s="51" t="s">
        <v>81</v>
      </c>
      <c r="C1768" s="52"/>
      <c r="D1768" s="52"/>
      <c r="E1768" s="52"/>
      <c r="F1768" s="52"/>
      <c r="G1768" s="53"/>
      <c r="H1768" s="20"/>
      <c r="I1768" s="9">
        <v>3</v>
      </c>
      <c r="J1768" s="9"/>
      <c r="K1768" s="9"/>
      <c r="L1768" s="9"/>
      <c r="M1768" s="9">
        <f>I1768*O1768</f>
        <v>21.299999999999997</v>
      </c>
      <c r="N1768" s="9">
        <f>I1768*P1768</f>
        <v>9</v>
      </c>
      <c r="O1768" s="9">
        <v>7.1</v>
      </c>
      <c r="P1768" s="9">
        <v>3</v>
      </c>
      <c r="Q1768" s="9" t="s">
        <v>6</v>
      </c>
      <c r="R1768" s="1">
        <v>0</v>
      </c>
      <c r="S1768" s="26"/>
    </row>
    <row r="1769" spans="1:19" ht="16.5" hidden="1" customHeight="1" x14ac:dyDescent="0.25">
      <c r="A1769" s="21"/>
      <c r="H1769" s="21"/>
      <c r="I1769" s="21"/>
      <c r="J1769" s="21"/>
      <c r="K1769" s="21"/>
      <c r="L1769" s="21"/>
      <c r="M1769" s="9">
        <f>I1769*O1769</f>
        <v>0</v>
      </c>
      <c r="N1769" s="9">
        <f>I1769*P1769</f>
        <v>0</v>
      </c>
      <c r="O1769" s="21"/>
      <c r="P1769" s="21"/>
      <c r="Q1769" s="21"/>
      <c r="S1769" s="25"/>
    </row>
    <row r="1770" spans="1:19" ht="16.5" customHeight="1" x14ac:dyDescent="0.25">
      <c r="A1770" s="9"/>
      <c r="B1770" s="39" t="s">
        <v>42</v>
      </c>
      <c r="C1770" s="40"/>
      <c r="D1770" s="40"/>
      <c r="E1770" s="40"/>
      <c r="F1770" s="40"/>
      <c r="G1770" s="41"/>
      <c r="H1770" s="23"/>
      <c r="I1770" s="24">
        <f>SUM(I1758:I1769)</f>
        <v>22</v>
      </c>
      <c r="J1770" s="9"/>
      <c r="K1770" s="9"/>
      <c r="L1770" s="9"/>
      <c r="M1770" s="9">
        <f>I1770*O1770</f>
        <v>172.7</v>
      </c>
      <c r="N1770" s="9">
        <f>I1770*P1770</f>
        <v>69.739999999999995</v>
      </c>
      <c r="O1770" s="24">
        <f>ROUND(SUM(M1758:M1769)/I1770,2)</f>
        <v>7.85</v>
      </c>
      <c r="P1770" s="24">
        <f>ROUND(SUM(N1758:N1769)/I1770,2)</f>
        <v>3.17</v>
      </c>
      <c r="Q1770" s="9"/>
      <c r="S1770" s="25"/>
    </row>
    <row r="1771" spans="1:19" ht="20.25" customHeight="1" x14ac:dyDescent="0.25">
      <c r="A1771" s="27" t="s">
        <v>88</v>
      </c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</row>
    <row r="1772" spans="1:19" ht="16.5" customHeight="1" x14ac:dyDescent="0.25">
      <c r="A1772" s="9"/>
      <c r="B1772" s="51" t="s">
        <v>89</v>
      </c>
      <c r="C1772" s="52"/>
      <c r="D1772" s="52"/>
      <c r="E1772" s="52"/>
      <c r="F1772" s="52"/>
      <c r="G1772" s="53"/>
      <c r="H1772" s="20"/>
      <c r="I1772" s="9">
        <v>2</v>
      </c>
      <c r="J1772" s="9"/>
      <c r="K1772" s="9"/>
      <c r="L1772" s="9"/>
      <c r="M1772" s="9">
        <f t="shared" ref="M1772:M1783" si="232">I1772*O1772</f>
        <v>14.2</v>
      </c>
      <c r="N1772" s="9">
        <f t="shared" ref="N1772:N1783" si="233">I1772*P1772</f>
        <v>6</v>
      </c>
      <c r="O1772" s="9">
        <v>7.1</v>
      </c>
      <c r="P1772" s="9">
        <v>3</v>
      </c>
      <c r="Q1772" s="9" t="s">
        <v>6</v>
      </c>
      <c r="R1772" s="1">
        <v>0</v>
      </c>
      <c r="S1772" s="26"/>
    </row>
    <row r="1773" spans="1:19" ht="16.5" customHeight="1" x14ac:dyDescent="0.25">
      <c r="A1773" s="9"/>
      <c r="B1773" s="51" t="s">
        <v>90</v>
      </c>
      <c r="C1773" s="52"/>
      <c r="D1773" s="52"/>
      <c r="E1773" s="52"/>
      <c r="F1773" s="52"/>
      <c r="G1773" s="53"/>
      <c r="H1773" s="20"/>
      <c r="I1773" s="9">
        <v>3</v>
      </c>
      <c r="J1773" s="9"/>
      <c r="K1773" s="9"/>
      <c r="L1773" s="9"/>
      <c r="M1773" s="9">
        <f t="shared" si="232"/>
        <v>21.299999999999997</v>
      </c>
      <c r="N1773" s="9">
        <f t="shared" si="233"/>
        <v>9</v>
      </c>
      <c r="O1773" s="9">
        <v>7.1</v>
      </c>
      <c r="P1773" s="9">
        <v>3</v>
      </c>
      <c r="Q1773" s="9" t="s">
        <v>6</v>
      </c>
      <c r="R1773" s="1">
        <v>0</v>
      </c>
      <c r="S1773" s="26"/>
    </row>
    <row r="1774" spans="1:19" ht="16.5" customHeight="1" x14ac:dyDescent="0.25">
      <c r="A1774" s="9"/>
      <c r="B1774" s="51" t="s">
        <v>91</v>
      </c>
      <c r="C1774" s="52"/>
      <c r="D1774" s="52"/>
      <c r="E1774" s="52"/>
      <c r="F1774" s="52"/>
      <c r="G1774" s="53"/>
      <c r="H1774" s="20"/>
      <c r="I1774" s="9">
        <v>2</v>
      </c>
      <c r="J1774" s="9"/>
      <c r="K1774" s="9"/>
      <c r="L1774" s="9"/>
      <c r="M1774" s="9">
        <f t="shared" si="232"/>
        <v>14</v>
      </c>
      <c r="N1774" s="9">
        <f t="shared" si="233"/>
        <v>6</v>
      </c>
      <c r="O1774" s="9">
        <v>7</v>
      </c>
      <c r="P1774" s="9">
        <v>3</v>
      </c>
      <c r="Q1774" s="9" t="s">
        <v>6</v>
      </c>
      <c r="R1774" s="1">
        <v>0</v>
      </c>
      <c r="S1774" s="26"/>
    </row>
    <row r="1775" spans="1:19" ht="16.5" customHeight="1" x14ac:dyDescent="0.25">
      <c r="A1775" s="9"/>
      <c r="B1775" s="51" t="s">
        <v>92</v>
      </c>
      <c r="C1775" s="52"/>
      <c r="D1775" s="52"/>
      <c r="E1775" s="52"/>
      <c r="F1775" s="52"/>
      <c r="G1775" s="53"/>
      <c r="H1775" s="20"/>
      <c r="I1775" s="9">
        <v>3</v>
      </c>
      <c r="J1775" s="9"/>
      <c r="K1775" s="9"/>
      <c r="L1775" s="9"/>
      <c r="M1775" s="9">
        <f t="shared" si="232"/>
        <v>24.599999999999998</v>
      </c>
      <c r="N1775" s="9">
        <f t="shared" si="233"/>
        <v>10.5</v>
      </c>
      <c r="O1775" s="9">
        <v>8.1999999999999993</v>
      </c>
      <c r="P1775" s="9">
        <v>3.5</v>
      </c>
      <c r="Q1775" s="9" t="s">
        <v>9</v>
      </c>
      <c r="R1775" s="1">
        <v>0</v>
      </c>
      <c r="S1775" s="26"/>
    </row>
    <row r="1776" spans="1:19" ht="16.5" customHeight="1" x14ac:dyDescent="0.25">
      <c r="A1776" s="9"/>
      <c r="B1776" s="51" t="s">
        <v>93</v>
      </c>
      <c r="C1776" s="52"/>
      <c r="D1776" s="52"/>
      <c r="E1776" s="52"/>
      <c r="F1776" s="52"/>
      <c r="G1776" s="53"/>
      <c r="H1776" s="20"/>
      <c r="I1776" s="9">
        <v>1</v>
      </c>
      <c r="J1776" s="9"/>
      <c r="K1776" s="9"/>
      <c r="L1776" s="9"/>
      <c r="M1776" s="9">
        <f t="shared" si="232"/>
        <v>7.4</v>
      </c>
      <c r="N1776" s="9">
        <f t="shared" si="233"/>
        <v>3</v>
      </c>
      <c r="O1776" s="9">
        <v>7.4</v>
      </c>
      <c r="P1776" s="9">
        <v>3</v>
      </c>
      <c r="Q1776" s="9" t="s">
        <v>6</v>
      </c>
      <c r="R1776" s="1">
        <v>0</v>
      </c>
      <c r="S1776" s="26"/>
    </row>
    <row r="1777" spans="1:19" ht="16.5" customHeight="1" x14ac:dyDescent="0.25">
      <c r="A1777" s="9"/>
      <c r="B1777" s="51" t="s">
        <v>94</v>
      </c>
      <c r="C1777" s="52"/>
      <c r="D1777" s="52"/>
      <c r="E1777" s="52"/>
      <c r="F1777" s="52"/>
      <c r="G1777" s="53"/>
      <c r="H1777" s="20"/>
      <c r="I1777" s="9">
        <v>1</v>
      </c>
      <c r="J1777" s="9"/>
      <c r="K1777" s="9"/>
      <c r="L1777" s="9"/>
      <c r="M1777" s="9">
        <f t="shared" si="232"/>
        <v>7.1</v>
      </c>
      <c r="N1777" s="9">
        <f t="shared" si="233"/>
        <v>3</v>
      </c>
      <c r="O1777" s="9">
        <v>7.1</v>
      </c>
      <c r="P1777" s="9">
        <v>3</v>
      </c>
      <c r="Q1777" s="9" t="s">
        <v>6</v>
      </c>
      <c r="R1777" s="1">
        <v>0</v>
      </c>
      <c r="S1777" s="26"/>
    </row>
    <row r="1778" spans="1:19" ht="16.5" customHeight="1" x14ac:dyDescent="0.25">
      <c r="A1778" s="9"/>
      <c r="B1778" s="51" t="s">
        <v>95</v>
      </c>
      <c r="C1778" s="52"/>
      <c r="D1778" s="52"/>
      <c r="E1778" s="52"/>
      <c r="F1778" s="52"/>
      <c r="G1778" s="53"/>
      <c r="H1778" s="20"/>
      <c r="I1778" s="9">
        <v>3</v>
      </c>
      <c r="J1778" s="9"/>
      <c r="K1778" s="9"/>
      <c r="L1778" s="9"/>
      <c r="M1778" s="9">
        <f t="shared" si="232"/>
        <v>26.099999999999998</v>
      </c>
      <c r="N1778" s="9">
        <f t="shared" si="233"/>
        <v>11.100000000000001</v>
      </c>
      <c r="O1778" s="9">
        <v>8.6999999999999993</v>
      </c>
      <c r="P1778" s="9">
        <v>3.7</v>
      </c>
      <c r="Q1778" s="9" t="s">
        <v>10</v>
      </c>
      <c r="R1778" s="1">
        <v>0</v>
      </c>
      <c r="S1778" s="26"/>
    </row>
    <row r="1779" spans="1:19" ht="16.5" customHeight="1" x14ac:dyDescent="0.25">
      <c r="A1779" s="9"/>
      <c r="B1779" s="51" t="s">
        <v>96</v>
      </c>
      <c r="C1779" s="52"/>
      <c r="D1779" s="52"/>
      <c r="E1779" s="52"/>
      <c r="F1779" s="52"/>
      <c r="G1779" s="53"/>
      <c r="H1779" s="20"/>
      <c r="I1779" s="9">
        <v>3</v>
      </c>
      <c r="J1779" s="9"/>
      <c r="K1779" s="9"/>
      <c r="L1779" s="9"/>
      <c r="M1779" s="9">
        <f t="shared" si="232"/>
        <v>21.6</v>
      </c>
      <c r="N1779" s="9">
        <f t="shared" si="233"/>
        <v>9</v>
      </c>
      <c r="O1779" s="9">
        <v>7.2</v>
      </c>
      <c r="P1779" s="9">
        <v>3</v>
      </c>
      <c r="Q1779" s="9" t="s">
        <v>6</v>
      </c>
      <c r="R1779" s="1">
        <v>0</v>
      </c>
      <c r="S1779" s="26"/>
    </row>
    <row r="1780" spans="1:19" ht="16.5" customHeight="1" x14ac:dyDescent="0.25">
      <c r="A1780" s="9"/>
      <c r="B1780" s="51" t="s">
        <v>97</v>
      </c>
      <c r="C1780" s="52"/>
      <c r="D1780" s="52"/>
      <c r="E1780" s="52"/>
      <c r="F1780" s="52"/>
      <c r="G1780" s="53"/>
      <c r="H1780" s="20"/>
      <c r="I1780" s="9">
        <v>1</v>
      </c>
      <c r="J1780" s="9"/>
      <c r="K1780" s="9"/>
      <c r="L1780" s="9"/>
      <c r="M1780" s="9">
        <f t="shared" si="232"/>
        <v>8.5</v>
      </c>
      <c r="N1780" s="9">
        <f t="shared" si="233"/>
        <v>3.7</v>
      </c>
      <c r="O1780" s="9">
        <v>8.5</v>
      </c>
      <c r="P1780" s="9">
        <v>3.7</v>
      </c>
      <c r="Q1780" s="9" t="s">
        <v>10</v>
      </c>
      <c r="R1780" s="1">
        <v>0</v>
      </c>
      <c r="S1780" s="26"/>
    </row>
    <row r="1781" spans="1:19" ht="16.5" customHeight="1" x14ac:dyDescent="0.25">
      <c r="A1781" s="9"/>
      <c r="B1781" s="51" t="s">
        <v>98</v>
      </c>
      <c r="C1781" s="52"/>
      <c r="D1781" s="52"/>
      <c r="E1781" s="52"/>
      <c r="F1781" s="52"/>
      <c r="G1781" s="53"/>
      <c r="H1781" s="20"/>
      <c r="I1781" s="9">
        <v>3</v>
      </c>
      <c r="J1781" s="9"/>
      <c r="K1781" s="9"/>
      <c r="L1781" s="9"/>
      <c r="M1781" s="9">
        <f t="shared" si="232"/>
        <v>22.5</v>
      </c>
      <c r="N1781" s="9">
        <f t="shared" si="233"/>
        <v>9</v>
      </c>
      <c r="O1781" s="9">
        <v>7.5</v>
      </c>
      <c r="P1781" s="9">
        <v>3</v>
      </c>
      <c r="Q1781" s="9" t="s">
        <v>6</v>
      </c>
      <c r="R1781" s="1">
        <v>0</v>
      </c>
      <c r="S1781" s="26"/>
    </row>
    <row r="1782" spans="1:19" ht="16.5" hidden="1" customHeight="1" x14ac:dyDescent="0.25">
      <c r="A1782" s="21"/>
      <c r="H1782" s="21"/>
      <c r="I1782" s="21"/>
      <c r="J1782" s="21"/>
      <c r="K1782" s="21"/>
      <c r="L1782" s="21"/>
      <c r="M1782" s="9">
        <f t="shared" si="232"/>
        <v>0</v>
      </c>
      <c r="N1782" s="9">
        <f t="shared" si="233"/>
        <v>0</v>
      </c>
      <c r="O1782" s="21"/>
      <c r="P1782" s="21"/>
      <c r="Q1782" s="21"/>
      <c r="S1782" s="25"/>
    </row>
    <row r="1783" spans="1:19" ht="16.5" customHeight="1" x14ac:dyDescent="0.25">
      <c r="A1783" s="9"/>
      <c r="B1783" s="39" t="s">
        <v>42</v>
      </c>
      <c r="C1783" s="40"/>
      <c r="D1783" s="40"/>
      <c r="E1783" s="40"/>
      <c r="F1783" s="40"/>
      <c r="G1783" s="41"/>
      <c r="H1783" s="23"/>
      <c r="I1783" s="24">
        <f>SUM(I1772:I1782)</f>
        <v>22</v>
      </c>
      <c r="J1783" s="9"/>
      <c r="K1783" s="9"/>
      <c r="L1783" s="9"/>
      <c r="M1783" s="9">
        <f t="shared" si="232"/>
        <v>167.2</v>
      </c>
      <c r="N1783" s="9">
        <f t="shared" si="233"/>
        <v>70.400000000000006</v>
      </c>
      <c r="O1783" s="24">
        <f>ROUND(SUM(M1772:M1782)/I1783,2)</f>
        <v>7.6</v>
      </c>
      <c r="P1783" s="24">
        <f>ROUND(SUM(N1772:N1782)/I1783,2)</f>
        <v>3.2</v>
      </c>
      <c r="Q1783" s="9"/>
      <c r="S1783" s="25"/>
    </row>
    <row r="1784" spans="1:19" ht="20.25" customHeight="1" x14ac:dyDescent="0.25">
      <c r="A1784" s="27" t="s">
        <v>99</v>
      </c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</row>
    <row r="1785" spans="1:19" ht="16.5" customHeight="1" x14ac:dyDescent="0.25">
      <c r="A1785" s="9"/>
      <c r="B1785" s="51" t="s">
        <v>100</v>
      </c>
      <c r="C1785" s="52"/>
      <c r="D1785" s="52"/>
      <c r="E1785" s="52"/>
      <c r="F1785" s="52"/>
      <c r="G1785" s="53"/>
      <c r="H1785" s="20"/>
      <c r="I1785" s="9">
        <v>2</v>
      </c>
      <c r="J1785" s="9"/>
      <c r="K1785" s="9"/>
      <c r="L1785" s="9"/>
      <c r="M1785" s="9">
        <f t="shared" ref="M1785:M1798" si="234">I1785*O1785</f>
        <v>15.4</v>
      </c>
      <c r="N1785" s="9">
        <f t="shared" ref="N1785:N1798" si="235">I1785*P1785</f>
        <v>6</v>
      </c>
      <c r="O1785" s="9">
        <v>7.7</v>
      </c>
      <c r="P1785" s="9">
        <v>3</v>
      </c>
      <c r="Q1785" s="9" t="s">
        <v>6</v>
      </c>
      <c r="R1785" s="1">
        <v>0</v>
      </c>
      <c r="S1785" s="26"/>
    </row>
    <row r="1786" spans="1:19" ht="16.5" customHeight="1" x14ac:dyDescent="0.25">
      <c r="A1786" s="9"/>
      <c r="B1786" s="51" t="s">
        <v>101</v>
      </c>
      <c r="C1786" s="52"/>
      <c r="D1786" s="52"/>
      <c r="E1786" s="52"/>
      <c r="F1786" s="52"/>
      <c r="G1786" s="53"/>
      <c r="H1786" s="20"/>
      <c r="I1786" s="9">
        <v>2</v>
      </c>
      <c r="J1786" s="9"/>
      <c r="K1786" s="9"/>
      <c r="L1786" s="9"/>
      <c r="M1786" s="9">
        <f t="shared" si="234"/>
        <v>15</v>
      </c>
      <c r="N1786" s="9">
        <f t="shared" si="235"/>
        <v>6</v>
      </c>
      <c r="O1786" s="9">
        <v>7.5</v>
      </c>
      <c r="P1786" s="9">
        <v>3</v>
      </c>
      <c r="Q1786" s="9" t="s">
        <v>6</v>
      </c>
      <c r="R1786" s="1">
        <v>0</v>
      </c>
      <c r="S1786" s="26"/>
    </row>
    <row r="1787" spans="1:19" ht="16.5" customHeight="1" x14ac:dyDescent="0.25">
      <c r="A1787" s="9"/>
      <c r="B1787" s="51" t="s">
        <v>102</v>
      </c>
      <c r="C1787" s="52"/>
      <c r="D1787" s="52"/>
      <c r="E1787" s="52"/>
      <c r="F1787" s="52"/>
      <c r="G1787" s="53"/>
      <c r="H1787" s="20"/>
      <c r="I1787" s="9">
        <v>1</v>
      </c>
      <c r="J1787" s="9"/>
      <c r="K1787" s="9"/>
      <c r="L1787" s="9"/>
      <c r="M1787" s="9">
        <f t="shared" si="234"/>
        <v>7.5</v>
      </c>
      <c r="N1787" s="9">
        <f t="shared" si="235"/>
        <v>3</v>
      </c>
      <c r="O1787" s="9">
        <v>7.5</v>
      </c>
      <c r="P1787" s="9">
        <v>3</v>
      </c>
      <c r="Q1787" s="9" t="s">
        <v>6</v>
      </c>
      <c r="R1787" s="1">
        <v>0</v>
      </c>
      <c r="S1787" s="26"/>
    </row>
    <row r="1788" spans="1:19" ht="16.5" customHeight="1" x14ac:dyDescent="0.25">
      <c r="A1788" s="9"/>
      <c r="B1788" s="51" t="s">
        <v>103</v>
      </c>
      <c r="C1788" s="52"/>
      <c r="D1788" s="52"/>
      <c r="E1788" s="52"/>
      <c r="F1788" s="52"/>
      <c r="G1788" s="53"/>
      <c r="H1788" s="20"/>
      <c r="I1788" s="9">
        <v>2</v>
      </c>
      <c r="J1788" s="9"/>
      <c r="K1788" s="9"/>
      <c r="L1788" s="9"/>
      <c r="M1788" s="9">
        <f t="shared" si="234"/>
        <v>13.4</v>
      </c>
      <c r="N1788" s="9">
        <f t="shared" si="235"/>
        <v>5</v>
      </c>
      <c r="O1788" s="9">
        <v>6.7</v>
      </c>
      <c r="P1788" s="9">
        <v>2.5</v>
      </c>
      <c r="Q1788" s="9" t="s">
        <v>5</v>
      </c>
      <c r="R1788" s="1">
        <v>0</v>
      </c>
      <c r="S1788" s="26"/>
    </row>
    <row r="1789" spans="1:19" ht="16.5" customHeight="1" x14ac:dyDescent="0.25">
      <c r="A1789" s="9"/>
      <c r="B1789" s="51" t="s">
        <v>104</v>
      </c>
      <c r="C1789" s="52"/>
      <c r="D1789" s="52"/>
      <c r="E1789" s="52"/>
      <c r="F1789" s="52"/>
      <c r="G1789" s="53"/>
      <c r="H1789" s="20"/>
      <c r="I1789" s="9">
        <v>3</v>
      </c>
      <c r="J1789" s="9"/>
      <c r="K1789" s="9"/>
      <c r="L1789" s="9"/>
      <c r="M1789" s="9">
        <f t="shared" si="234"/>
        <v>23.700000000000003</v>
      </c>
      <c r="N1789" s="9">
        <f t="shared" si="235"/>
        <v>9</v>
      </c>
      <c r="O1789" s="9">
        <v>7.9</v>
      </c>
      <c r="P1789" s="9">
        <v>3</v>
      </c>
      <c r="Q1789" s="9" t="s">
        <v>6</v>
      </c>
      <c r="R1789" s="1">
        <v>0</v>
      </c>
      <c r="S1789" s="26"/>
    </row>
    <row r="1790" spans="1:19" ht="16.5" customHeight="1" x14ac:dyDescent="0.25">
      <c r="A1790" s="9"/>
      <c r="B1790" s="51" t="s">
        <v>105</v>
      </c>
      <c r="C1790" s="52"/>
      <c r="D1790" s="52"/>
      <c r="E1790" s="52"/>
      <c r="F1790" s="52"/>
      <c r="G1790" s="53"/>
      <c r="H1790" s="20"/>
      <c r="I1790" s="9">
        <v>3</v>
      </c>
      <c r="J1790" s="9"/>
      <c r="K1790" s="9"/>
      <c r="L1790" s="9"/>
      <c r="M1790" s="9">
        <f t="shared" si="234"/>
        <v>23.1</v>
      </c>
      <c r="N1790" s="9">
        <f t="shared" si="235"/>
        <v>9</v>
      </c>
      <c r="O1790" s="9">
        <v>7.7</v>
      </c>
      <c r="P1790" s="9">
        <v>3</v>
      </c>
      <c r="Q1790" s="9" t="s">
        <v>6</v>
      </c>
      <c r="R1790" s="1">
        <v>0</v>
      </c>
      <c r="S1790" s="26"/>
    </row>
    <row r="1791" spans="1:19" ht="16.5" customHeight="1" x14ac:dyDescent="0.25">
      <c r="A1791" s="9"/>
      <c r="B1791" s="51" t="s">
        <v>106</v>
      </c>
      <c r="C1791" s="52"/>
      <c r="D1791" s="52"/>
      <c r="E1791" s="52"/>
      <c r="F1791" s="52"/>
      <c r="G1791" s="53"/>
      <c r="H1791" s="20"/>
      <c r="I1791" s="9">
        <v>2</v>
      </c>
      <c r="J1791" s="9"/>
      <c r="K1791" s="9"/>
      <c r="L1791" s="9"/>
      <c r="M1791" s="9">
        <f t="shared" si="234"/>
        <v>13.4</v>
      </c>
      <c r="N1791" s="9">
        <f t="shared" si="235"/>
        <v>5</v>
      </c>
      <c r="O1791" s="9">
        <v>6.7</v>
      </c>
      <c r="P1791" s="9">
        <v>2.5</v>
      </c>
      <c r="Q1791" s="9" t="s">
        <v>5</v>
      </c>
      <c r="R1791" s="1">
        <v>0</v>
      </c>
      <c r="S1791" s="26"/>
    </row>
    <row r="1792" spans="1:19" ht="16.5" customHeight="1" x14ac:dyDescent="0.25">
      <c r="A1792" s="9"/>
      <c r="B1792" s="51" t="s">
        <v>107</v>
      </c>
      <c r="C1792" s="52"/>
      <c r="D1792" s="52"/>
      <c r="E1792" s="52"/>
      <c r="F1792" s="52"/>
      <c r="G1792" s="53"/>
      <c r="H1792" s="20"/>
      <c r="I1792" s="9">
        <v>3</v>
      </c>
      <c r="J1792" s="9"/>
      <c r="K1792" s="9"/>
      <c r="L1792" s="9"/>
      <c r="M1792" s="9">
        <f t="shared" si="234"/>
        <v>24</v>
      </c>
      <c r="N1792" s="9">
        <f t="shared" si="235"/>
        <v>10.5</v>
      </c>
      <c r="O1792" s="9">
        <v>8</v>
      </c>
      <c r="P1792" s="9">
        <v>3.5</v>
      </c>
      <c r="Q1792" s="9" t="s">
        <v>9</v>
      </c>
      <c r="R1792" s="1">
        <v>0</v>
      </c>
      <c r="S1792" s="26"/>
    </row>
    <row r="1793" spans="1:19" ht="16.5" customHeight="1" x14ac:dyDescent="0.25">
      <c r="A1793" s="9"/>
      <c r="B1793" s="51" t="s">
        <v>108</v>
      </c>
      <c r="C1793" s="52"/>
      <c r="D1793" s="52"/>
      <c r="E1793" s="52"/>
      <c r="F1793" s="52"/>
      <c r="G1793" s="53"/>
      <c r="H1793" s="20"/>
      <c r="I1793" s="9">
        <v>1</v>
      </c>
      <c r="J1793" s="9"/>
      <c r="K1793" s="9"/>
      <c r="L1793" s="9"/>
      <c r="M1793" s="9">
        <f t="shared" si="234"/>
        <v>8</v>
      </c>
      <c r="N1793" s="9">
        <f t="shared" si="235"/>
        <v>3.5</v>
      </c>
      <c r="O1793" s="9">
        <v>8</v>
      </c>
      <c r="P1793" s="9">
        <v>3.5</v>
      </c>
      <c r="Q1793" s="9" t="s">
        <v>9</v>
      </c>
      <c r="R1793" s="1">
        <v>0</v>
      </c>
      <c r="S1793" s="26"/>
    </row>
    <row r="1794" spans="1:19" ht="16.5" customHeight="1" x14ac:dyDescent="0.25">
      <c r="A1794" s="9"/>
      <c r="B1794" s="51" t="s">
        <v>109</v>
      </c>
      <c r="C1794" s="52"/>
      <c r="D1794" s="52"/>
      <c r="E1794" s="52"/>
      <c r="F1794" s="52"/>
      <c r="G1794" s="53"/>
      <c r="H1794" s="20"/>
      <c r="I1794" s="9">
        <v>2</v>
      </c>
      <c r="J1794" s="9"/>
      <c r="K1794" s="9"/>
      <c r="L1794" s="9"/>
      <c r="M1794" s="9">
        <f t="shared" si="234"/>
        <v>16</v>
      </c>
      <c r="N1794" s="9">
        <f t="shared" si="235"/>
        <v>7</v>
      </c>
      <c r="O1794" s="9">
        <v>8</v>
      </c>
      <c r="P1794" s="9">
        <v>3.5</v>
      </c>
      <c r="Q1794" s="9" t="s">
        <v>9</v>
      </c>
      <c r="R1794" s="1">
        <v>0</v>
      </c>
      <c r="S1794" s="26"/>
    </row>
    <row r="1795" spans="1:19" ht="16.5" customHeight="1" x14ac:dyDescent="0.25">
      <c r="A1795" s="9"/>
      <c r="B1795" s="51" t="s">
        <v>110</v>
      </c>
      <c r="C1795" s="52"/>
      <c r="D1795" s="52"/>
      <c r="E1795" s="52"/>
      <c r="F1795" s="52"/>
      <c r="G1795" s="53"/>
      <c r="H1795" s="20"/>
      <c r="I1795" s="9">
        <v>1</v>
      </c>
      <c r="J1795" s="9"/>
      <c r="K1795" s="9"/>
      <c r="L1795" s="9"/>
      <c r="M1795" s="9">
        <f t="shared" si="234"/>
        <v>9</v>
      </c>
      <c r="N1795" s="9">
        <f t="shared" si="235"/>
        <v>4</v>
      </c>
      <c r="O1795" s="9">
        <v>9</v>
      </c>
      <c r="P1795" s="9">
        <v>4</v>
      </c>
      <c r="Q1795" s="9" t="s">
        <v>12</v>
      </c>
      <c r="R1795" s="1">
        <v>0</v>
      </c>
      <c r="S1795" s="26"/>
    </row>
    <row r="1796" spans="1:19" ht="16.5" customHeight="1" x14ac:dyDescent="0.25">
      <c r="A1796" s="9"/>
      <c r="B1796" s="51" t="s">
        <v>111</v>
      </c>
      <c r="C1796" s="52"/>
      <c r="D1796" s="52"/>
      <c r="E1796" s="52"/>
      <c r="F1796" s="52"/>
      <c r="G1796" s="53"/>
      <c r="H1796" s="20"/>
      <c r="I1796" s="9">
        <v>3</v>
      </c>
      <c r="J1796" s="9"/>
      <c r="K1796" s="9"/>
      <c r="L1796" s="9"/>
      <c r="M1796" s="9">
        <f t="shared" si="234"/>
        <v>25.799999999999997</v>
      </c>
      <c r="N1796" s="9">
        <f t="shared" si="235"/>
        <v>11.100000000000001</v>
      </c>
      <c r="O1796" s="9">
        <v>8.6</v>
      </c>
      <c r="P1796" s="9">
        <v>3.7</v>
      </c>
      <c r="Q1796" s="9" t="s">
        <v>10</v>
      </c>
      <c r="R1796" s="1">
        <v>0</v>
      </c>
      <c r="S1796" s="26"/>
    </row>
    <row r="1797" spans="1:19" ht="16.5" hidden="1" customHeight="1" x14ac:dyDescent="0.25">
      <c r="A1797" s="21"/>
      <c r="H1797" s="21"/>
      <c r="I1797" s="21"/>
      <c r="J1797" s="21"/>
      <c r="K1797" s="21"/>
      <c r="L1797" s="21"/>
      <c r="M1797" s="9">
        <f t="shared" si="234"/>
        <v>0</v>
      </c>
      <c r="N1797" s="9">
        <f t="shared" si="235"/>
        <v>0</v>
      </c>
      <c r="O1797" s="21"/>
      <c r="P1797" s="21"/>
      <c r="Q1797" s="21"/>
      <c r="S1797" s="25"/>
    </row>
    <row r="1798" spans="1:19" ht="16.5" customHeight="1" x14ac:dyDescent="0.25">
      <c r="A1798" s="9"/>
      <c r="B1798" s="39" t="s">
        <v>42</v>
      </c>
      <c r="C1798" s="40"/>
      <c r="D1798" s="40"/>
      <c r="E1798" s="40"/>
      <c r="F1798" s="40"/>
      <c r="G1798" s="41"/>
      <c r="H1798" s="23"/>
      <c r="I1798" s="24">
        <f>SUM(I1785:I1797)</f>
        <v>25</v>
      </c>
      <c r="J1798" s="9"/>
      <c r="K1798" s="9"/>
      <c r="L1798" s="9"/>
      <c r="M1798" s="9">
        <f t="shared" si="234"/>
        <v>194.25</v>
      </c>
      <c r="N1798" s="9">
        <f t="shared" si="235"/>
        <v>79</v>
      </c>
      <c r="O1798" s="24">
        <f>ROUND(SUM(M1785:M1797)/I1798,2)</f>
        <v>7.77</v>
      </c>
      <c r="P1798" s="24">
        <f>ROUND(SUM(N1785:N1797)/I1798,2)</f>
        <v>3.16</v>
      </c>
      <c r="Q1798" s="9"/>
      <c r="S1798" s="25"/>
    </row>
    <row r="1799" spans="1:19" ht="20.25" customHeight="1" x14ac:dyDescent="0.25">
      <c r="A1799" s="27" t="s">
        <v>112</v>
      </c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</row>
    <row r="1800" spans="1:19" ht="16.5" customHeight="1" x14ac:dyDescent="0.25">
      <c r="A1800" s="9"/>
      <c r="B1800" s="51" t="s">
        <v>113</v>
      </c>
      <c r="C1800" s="52"/>
      <c r="D1800" s="52"/>
      <c r="E1800" s="52"/>
      <c r="F1800" s="52"/>
      <c r="G1800" s="53"/>
      <c r="H1800" s="20"/>
      <c r="I1800" s="9">
        <v>2</v>
      </c>
      <c r="J1800" s="9"/>
      <c r="K1800" s="9"/>
      <c r="L1800" s="9"/>
      <c r="M1800" s="9">
        <f t="shared" ref="M1800:M1808" si="236">I1800*O1800</f>
        <v>0</v>
      </c>
      <c r="N1800" s="9">
        <f t="shared" ref="N1800:N1808" si="237">I1800*P1800</f>
        <v>0</v>
      </c>
      <c r="O1800" s="9"/>
      <c r="P1800" s="9"/>
      <c r="Q1800" s="9"/>
      <c r="R1800" s="1">
        <v>0</v>
      </c>
      <c r="S1800" s="26"/>
    </row>
    <row r="1801" spans="1:19" ht="16.5" customHeight="1" x14ac:dyDescent="0.25">
      <c r="A1801" s="9"/>
      <c r="B1801" s="51" t="s">
        <v>114</v>
      </c>
      <c r="C1801" s="52"/>
      <c r="D1801" s="52"/>
      <c r="E1801" s="52"/>
      <c r="F1801" s="52"/>
      <c r="G1801" s="53"/>
      <c r="H1801" s="20"/>
      <c r="I1801" s="9">
        <v>3</v>
      </c>
      <c r="J1801" s="9"/>
      <c r="K1801" s="9"/>
      <c r="L1801" s="9"/>
      <c r="M1801" s="9">
        <f t="shared" si="236"/>
        <v>25.200000000000003</v>
      </c>
      <c r="N1801" s="9">
        <f t="shared" si="237"/>
        <v>10.5</v>
      </c>
      <c r="O1801" s="9">
        <v>8.4</v>
      </c>
      <c r="P1801" s="9">
        <v>3.5</v>
      </c>
      <c r="Q1801" s="9" t="s">
        <v>9</v>
      </c>
      <c r="R1801" s="1">
        <v>0</v>
      </c>
      <c r="S1801" s="26"/>
    </row>
    <row r="1802" spans="1:19" ht="16.5" customHeight="1" x14ac:dyDescent="0.25">
      <c r="A1802" s="9"/>
      <c r="B1802" s="51" t="s">
        <v>115</v>
      </c>
      <c r="C1802" s="52"/>
      <c r="D1802" s="52"/>
      <c r="E1802" s="52"/>
      <c r="F1802" s="52"/>
      <c r="G1802" s="53"/>
      <c r="H1802" s="20"/>
      <c r="I1802" s="9">
        <v>1</v>
      </c>
      <c r="J1802" s="9"/>
      <c r="K1802" s="9"/>
      <c r="L1802" s="9"/>
      <c r="M1802" s="9">
        <f t="shared" si="236"/>
        <v>7.4</v>
      </c>
      <c r="N1802" s="9">
        <f t="shared" si="237"/>
        <v>3</v>
      </c>
      <c r="O1802" s="9">
        <v>7.4</v>
      </c>
      <c r="P1802" s="9">
        <v>3</v>
      </c>
      <c r="Q1802" s="9" t="s">
        <v>6</v>
      </c>
      <c r="R1802" s="1">
        <v>0</v>
      </c>
      <c r="S1802" s="26"/>
    </row>
    <row r="1803" spans="1:19" ht="16.5" customHeight="1" x14ac:dyDescent="0.25">
      <c r="A1803" s="9"/>
      <c r="B1803" s="51" t="s">
        <v>116</v>
      </c>
      <c r="C1803" s="52"/>
      <c r="D1803" s="52"/>
      <c r="E1803" s="52"/>
      <c r="F1803" s="52"/>
      <c r="G1803" s="53"/>
      <c r="H1803" s="20"/>
      <c r="I1803" s="9">
        <v>3</v>
      </c>
      <c r="J1803" s="9"/>
      <c r="K1803" s="9"/>
      <c r="L1803" s="9"/>
      <c r="M1803" s="9">
        <f t="shared" si="236"/>
        <v>21.299999999999997</v>
      </c>
      <c r="N1803" s="9">
        <f t="shared" si="237"/>
        <v>9</v>
      </c>
      <c r="O1803" s="9">
        <v>7.1</v>
      </c>
      <c r="P1803" s="9">
        <v>3</v>
      </c>
      <c r="Q1803" s="9" t="s">
        <v>6</v>
      </c>
      <c r="R1803" s="1">
        <v>0</v>
      </c>
      <c r="S1803" s="26"/>
    </row>
    <row r="1804" spans="1:19" ht="16.5" customHeight="1" x14ac:dyDescent="0.25">
      <c r="A1804" s="9"/>
      <c r="B1804" s="51" t="s">
        <v>117</v>
      </c>
      <c r="C1804" s="52"/>
      <c r="D1804" s="52"/>
      <c r="E1804" s="52"/>
      <c r="F1804" s="52"/>
      <c r="G1804" s="53"/>
      <c r="H1804" s="20"/>
      <c r="I1804" s="9">
        <v>3</v>
      </c>
      <c r="J1804" s="9"/>
      <c r="K1804" s="9"/>
      <c r="L1804" s="9"/>
      <c r="M1804" s="9">
        <f t="shared" si="236"/>
        <v>18.600000000000001</v>
      </c>
      <c r="N1804" s="9">
        <f t="shared" si="237"/>
        <v>6</v>
      </c>
      <c r="O1804" s="9">
        <v>6.2</v>
      </c>
      <c r="P1804" s="9">
        <v>2</v>
      </c>
      <c r="Q1804" s="9" t="s">
        <v>3</v>
      </c>
      <c r="R1804" s="1">
        <v>0</v>
      </c>
      <c r="S1804" s="26"/>
    </row>
    <row r="1805" spans="1:19" ht="31.2" customHeight="1" x14ac:dyDescent="0.25">
      <c r="A1805" s="9"/>
      <c r="B1805" s="51" t="s">
        <v>119</v>
      </c>
      <c r="C1805" s="52"/>
      <c r="D1805" s="52"/>
      <c r="E1805" s="52"/>
      <c r="F1805" s="52"/>
      <c r="G1805" s="53"/>
      <c r="H1805" s="20"/>
      <c r="I1805" s="9">
        <v>2</v>
      </c>
      <c r="J1805" s="9"/>
      <c r="K1805" s="9"/>
      <c r="L1805" s="9"/>
      <c r="M1805" s="9">
        <f t="shared" si="236"/>
        <v>0</v>
      </c>
      <c r="N1805" s="9">
        <f t="shared" si="237"/>
        <v>0</v>
      </c>
      <c r="O1805" s="9"/>
      <c r="P1805" s="9"/>
      <c r="Q1805" s="9"/>
      <c r="R1805" s="1">
        <v>0</v>
      </c>
      <c r="S1805" s="26"/>
    </row>
    <row r="1806" spans="1:19" ht="16.5" customHeight="1" x14ac:dyDescent="0.25">
      <c r="A1806" s="9"/>
      <c r="B1806" s="51" t="s">
        <v>118</v>
      </c>
      <c r="C1806" s="52"/>
      <c r="D1806" s="52"/>
      <c r="E1806" s="52"/>
      <c r="F1806" s="52"/>
      <c r="G1806" s="53"/>
      <c r="H1806" s="20"/>
      <c r="I1806" s="9">
        <v>3</v>
      </c>
      <c r="J1806" s="9"/>
      <c r="K1806" s="9"/>
      <c r="L1806" s="9"/>
      <c r="M1806" s="9">
        <f t="shared" si="236"/>
        <v>23.700000000000003</v>
      </c>
      <c r="N1806" s="9">
        <f t="shared" si="237"/>
        <v>9</v>
      </c>
      <c r="O1806" s="9">
        <v>7.9</v>
      </c>
      <c r="P1806" s="9">
        <v>3</v>
      </c>
      <c r="Q1806" s="9" t="s">
        <v>6</v>
      </c>
      <c r="R1806" s="1">
        <v>0</v>
      </c>
      <c r="S1806" s="26"/>
    </row>
    <row r="1807" spans="1:19" ht="16.5" hidden="1" customHeight="1" x14ac:dyDescent="0.25">
      <c r="A1807" s="21"/>
      <c r="H1807" s="21"/>
      <c r="I1807" s="21"/>
      <c r="J1807" s="21"/>
      <c r="K1807" s="21"/>
      <c r="L1807" s="21"/>
      <c r="M1807" s="9">
        <f t="shared" si="236"/>
        <v>0</v>
      </c>
      <c r="N1807" s="9">
        <f t="shared" si="237"/>
        <v>0</v>
      </c>
      <c r="O1807" s="21"/>
      <c r="P1807" s="21"/>
      <c r="Q1807" s="21"/>
      <c r="S1807" s="25"/>
    </row>
    <row r="1808" spans="1:19" ht="16.5" customHeight="1" x14ac:dyDescent="0.25">
      <c r="A1808" s="9"/>
      <c r="B1808" s="39" t="s">
        <v>42</v>
      </c>
      <c r="C1808" s="40"/>
      <c r="D1808" s="40"/>
      <c r="E1808" s="40"/>
      <c r="F1808" s="40"/>
      <c r="G1808" s="41"/>
      <c r="H1808" s="23"/>
      <c r="I1808" s="24">
        <f>SUM(I1800:I1807)</f>
        <v>17</v>
      </c>
      <c r="J1808" s="9"/>
      <c r="K1808" s="9"/>
      <c r="L1808" s="9"/>
      <c r="M1808" s="9">
        <f t="shared" si="236"/>
        <v>96.22</v>
      </c>
      <c r="N1808" s="9">
        <f t="shared" si="237"/>
        <v>37.57</v>
      </c>
      <c r="O1808" s="24">
        <f>ROUND(SUM(M1800:M1807)/I1808,2)</f>
        <v>5.66</v>
      </c>
      <c r="P1808" s="24">
        <f>ROUND(SUM(N1800:N1807)/I1808,2)</f>
        <v>2.21</v>
      </c>
      <c r="Q1808" s="9"/>
      <c r="S1808" s="25"/>
    </row>
    <row r="1809" spans="1:19" ht="16.5" customHeight="1" x14ac:dyDescent="0.25">
      <c r="A1809" s="21"/>
      <c r="B1809" s="22"/>
      <c r="C1809" s="22"/>
      <c r="D1809" s="22"/>
      <c r="E1809" s="22"/>
      <c r="F1809" s="22"/>
      <c r="G1809" s="22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</row>
    <row r="1811" spans="1:19" ht="18" x14ac:dyDescent="0.25">
      <c r="A1811" s="35" t="s">
        <v>50</v>
      </c>
      <c r="B1811" s="35"/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  <c r="N1811" s="35"/>
      <c r="O1811" s="35"/>
      <c r="P1811" s="35"/>
      <c r="Q1811" s="35"/>
      <c r="R1811" s="35"/>
      <c r="S1811" s="35"/>
    </row>
    <row r="1812" spans="1:19" ht="18" x14ac:dyDescent="0.25">
      <c r="A1812" s="35" t="s">
        <v>209</v>
      </c>
      <c r="B1812" s="35"/>
      <c r="C1812" s="35"/>
      <c r="D1812" s="35"/>
      <c r="E1812" s="35"/>
      <c r="F1812" s="35"/>
      <c r="G1812" s="35"/>
      <c r="H1812" s="35"/>
      <c r="I1812" s="35"/>
      <c r="J1812" s="35"/>
      <c r="K1812" s="35"/>
      <c r="L1812" s="35"/>
      <c r="M1812" s="35"/>
      <c r="N1812" s="35"/>
      <c r="O1812" s="35"/>
      <c r="P1812" s="35"/>
      <c r="Q1812" s="35"/>
      <c r="R1812" s="35"/>
      <c r="S1812" s="35"/>
    </row>
    <row r="1813" spans="1:19" ht="18" x14ac:dyDescent="0.25">
      <c r="A1813" s="35" t="s">
        <v>210</v>
      </c>
      <c r="B1813" s="35"/>
      <c r="C1813" s="35"/>
      <c r="D1813" s="35"/>
      <c r="E1813" s="35"/>
      <c r="F1813" s="35"/>
      <c r="G1813" s="35"/>
      <c r="H1813" s="35"/>
      <c r="I1813" s="35"/>
      <c r="J1813" s="35"/>
      <c r="K1813" s="35"/>
      <c r="L1813" s="35"/>
      <c r="M1813" s="35"/>
      <c r="N1813" s="35"/>
      <c r="O1813" s="35"/>
      <c r="P1813" s="35"/>
      <c r="Q1813" s="35"/>
      <c r="R1813" s="35"/>
      <c r="S1813" s="35"/>
    </row>
    <row r="1814" spans="1:19" ht="18" x14ac:dyDescent="0.25">
      <c r="A1814" s="45" t="s">
        <v>53</v>
      </c>
      <c r="B1814" s="45"/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</row>
    <row r="1815" spans="1:19" ht="19.5" customHeight="1" x14ac:dyDescent="0.25">
      <c r="A1815" s="17"/>
      <c r="B1815" s="17"/>
      <c r="C1815" s="8"/>
      <c r="D1815" s="18"/>
      <c r="E1815" s="10"/>
      <c r="F1815" s="11"/>
      <c r="G1815" s="46" t="s">
        <v>49</v>
      </c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</row>
    <row r="1816" spans="1:19" ht="31.5" customHeight="1" x14ac:dyDescent="0.3">
      <c r="A1816" s="8"/>
      <c r="B1816" s="8"/>
      <c r="C1816" s="8"/>
      <c r="D1816" s="8"/>
      <c r="E1816" s="8"/>
      <c r="F1816" s="8"/>
      <c r="G1816" s="8"/>
      <c r="H1816" s="12"/>
      <c r="I1816" s="42" t="s">
        <v>40</v>
      </c>
      <c r="J1816" s="43"/>
      <c r="K1816" s="43"/>
      <c r="L1816" s="43"/>
      <c r="M1816" s="43"/>
      <c r="N1816" s="43"/>
      <c r="O1816" s="43"/>
      <c r="P1816" s="43"/>
      <c r="Q1816" s="43"/>
      <c r="R1816" s="43"/>
      <c r="S1816" s="43"/>
    </row>
    <row r="1817" spans="1:19" ht="16.8" x14ac:dyDescent="0.3">
      <c r="A1817" s="8"/>
      <c r="B1817" s="8"/>
      <c r="C1817" s="8"/>
      <c r="D1817" s="8"/>
      <c r="E1817" s="8"/>
      <c r="F1817" s="8"/>
      <c r="G1817" s="8"/>
      <c r="H1817" s="12"/>
      <c r="I1817" s="12"/>
      <c r="J1817" s="12"/>
      <c r="K1817" s="12"/>
      <c r="L1817" s="8"/>
      <c r="M1817" s="8"/>
      <c r="N1817" s="8"/>
      <c r="O1817" s="8"/>
      <c r="P1817" s="8"/>
      <c r="Q1817" s="8"/>
    </row>
    <row r="1818" spans="1:19" ht="33" customHeight="1" x14ac:dyDescent="0.3">
      <c r="A1818" s="8"/>
      <c r="B1818" s="8"/>
      <c r="C1818" s="8"/>
      <c r="D1818" s="8"/>
      <c r="E1818" s="8"/>
      <c r="F1818" s="8"/>
      <c r="G1818" s="8"/>
      <c r="H1818" s="12"/>
      <c r="I1818" s="12"/>
      <c r="J1818" s="12"/>
      <c r="K1818" s="12"/>
      <c r="L1818" s="8"/>
      <c r="M1818" s="8"/>
      <c r="N1818" s="8"/>
      <c r="O1818" s="8"/>
      <c r="P1818" s="8"/>
      <c r="Q1818" s="8"/>
    </row>
    <row r="1819" spans="1:19" ht="11.25" customHeight="1" x14ac:dyDescent="0.3">
      <c r="A1819" s="8"/>
      <c r="B1819" s="8"/>
      <c r="C1819" s="8"/>
      <c r="D1819" s="8"/>
      <c r="E1819" s="8"/>
      <c r="F1819" s="8"/>
      <c r="G1819" s="8"/>
      <c r="H1819" s="12"/>
      <c r="I1819" s="12"/>
      <c r="J1819" s="12"/>
      <c r="K1819" s="12"/>
      <c r="L1819" s="8"/>
      <c r="M1819" s="8"/>
      <c r="N1819" s="8"/>
      <c r="O1819" s="8"/>
      <c r="P1819" s="8"/>
      <c r="Q1819" s="8"/>
    </row>
    <row r="1820" spans="1:19" ht="17.399999999999999" x14ac:dyDescent="0.3">
      <c r="A1820" s="8"/>
      <c r="B1820" s="8"/>
      <c r="C1820" s="8"/>
      <c r="D1820" s="8"/>
      <c r="E1820" s="8"/>
      <c r="F1820" s="8"/>
      <c r="G1820" s="47" t="s">
        <v>41</v>
      </c>
      <c r="H1820" s="47"/>
      <c r="I1820" s="47"/>
      <c r="J1820" s="47"/>
      <c r="K1820" s="47"/>
      <c r="L1820" s="47"/>
      <c r="M1820" s="47"/>
      <c r="N1820" s="47"/>
      <c r="O1820" s="47"/>
      <c r="P1820" s="47"/>
      <c r="Q1820" s="47"/>
      <c r="R1820" s="47"/>
      <c r="S1820" s="47"/>
    </row>
    <row r="1821" spans="1:19" ht="54" customHeight="1" x14ac:dyDescent="0.25">
      <c r="A1821" s="48" t="s">
        <v>33</v>
      </c>
      <c r="B1821" s="48"/>
      <c r="C1821" s="48"/>
      <c r="D1821" s="48"/>
      <c r="E1821" s="48"/>
      <c r="F1821" s="42" t="s">
        <v>24</v>
      </c>
      <c r="G1821" s="42"/>
      <c r="H1821" s="42"/>
      <c r="I1821" s="42"/>
      <c r="J1821" s="42"/>
      <c r="K1821" s="42"/>
      <c r="L1821" s="42"/>
      <c r="M1821" s="42"/>
      <c r="N1821" s="42"/>
      <c r="O1821" s="42"/>
      <c r="P1821" s="42"/>
      <c r="Q1821" s="42"/>
      <c r="R1821" s="42"/>
      <c r="S1821" s="42"/>
    </row>
    <row r="1822" spans="1:19" ht="17.399999999999999" x14ac:dyDescent="0.25">
      <c r="A1822" s="49" t="s">
        <v>34</v>
      </c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  <c r="O1822" s="49"/>
      <c r="P1822" s="49"/>
      <c r="Q1822" s="49"/>
    </row>
    <row r="1823" spans="1:19" ht="4.5" customHeight="1" x14ac:dyDescent="0.25">
      <c r="A1823" s="50"/>
      <c r="B1823" s="50"/>
      <c r="C1823" s="50"/>
      <c r="D1823" s="50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50"/>
      <c r="Q1823" s="50"/>
    </row>
    <row r="1824" spans="1:19" ht="5.25" customHeight="1" x14ac:dyDescent="0.25">
      <c r="A1824" s="50"/>
      <c r="B1824" s="50"/>
      <c r="C1824" s="50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</row>
    <row r="1825" spans="1:20" ht="16.5" customHeight="1" x14ac:dyDescent="0.25">
      <c r="A1825" s="54" t="s">
        <v>211</v>
      </c>
      <c r="B1825" s="54"/>
      <c r="C1825" s="54"/>
      <c r="D1825" s="54"/>
      <c r="E1825" s="54"/>
      <c r="F1825" s="54"/>
      <c r="G1825" s="58" t="s">
        <v>212</v>
      </c>
      <c r="H1825" s="58"/>
      <c r="I1825" s="58"/>
      <c r="J1825" s="58"/>
      <c r="K1825" s="58"/>
      <c r="L1825" s="58"/>
      <c r="M1825" s="58"/>
      <c r="N1825" s="58"/>
      <c r="O1825" s="58"/>
      <c r="P1825" s="58"/>
      <c r="Q1825" s="58"/>
      <c r="R1825" s="58"/>
      <c r="S1825" s="58"/>
    </row>
    <row r="1826" spans="1:20" ht="16.5" customHeight="1" x14ac:dyDescent="0.25">
      <c r="A1826" s="54" t="s">
        <v>213</v>
      </c>
      <c r="B1826" s="54"/>
      <c r="C1826" s="54"/>
      <c r="D1826" s="54"/>
      <c r="E1826" s="54"/>
      <c r="F1826" s="54"/>
      <c r="G1826" s="8" t="s">
        <v>46</v>
      </c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T1826" s="2"/>
    </row>
    <row r="1827" spans="1:20" ht="16.5" customHeight="1" x14ac:dyDescent="0.25">
      <c r="A1827" s="54" t="s">
        <v>47</v>
      </c>
      <c r="B1827" s="54"/>
      <c r="C1827" s="54"/>
      <c r="D1827" s="54"/>
      <c r="E1827" s="54"/>
      <c r="F1827" s="54"/>
      <c r="G1827" s="58" t="s">
        <v>48</v>
      </c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</row>
    <row r="1828" spans="1:20" ht="5.25" customHeight="1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19"/>
      <c r="K1828" s="19"/>
      <c r="L1828" s="19"/>
      <c r="M1828" s="19"/>
      <c r="N1828" s="19"/>
      <c r="O1828" s="19"/>
      <c r="P1828" s="19"/>
      <c r="Q1828" s="19"/>
    </row>
    <row r="1829" spans="1:20" ht="15" customHeight="1" x14ac:dyDescent="0.25">
      <c r="A1829" s="36" t="s">
        <v>0</v>
      </c>
      <c r="B1829" s="29" t="s">
        <v>1</v>
      </c>
      <c r="C1829" s="30"/>
      <c r="D1829" s="30"/>
      <c r="E1829" s="30"/>
      <c r="F1829" s="30"/>
      <c r="G1829" s="31"/>
      <c r="H1829" s="36" t="s">
        <v>32</v>
      </c>
      <c r="I1829" s="36" t="s">
        <v>39</v>
      </c>
      <c r="J1829" s="55" t="s">
        <v>2</v>
      </c>
      <c r="K1829" s="56"/>
      <c r="L1829" s="56"/>
      <c r="M1829" s="56"/>
      <c r="N1829" s="56"/>
      <c r="O1829" s="56"/>
      <c r="P1829" s="56"/>
      <c r="Q1829" s="57"/>
      <c r="S1829" s="36" t="s">
        <v>38</v>
      </c>
    </row>
    <row r="1830" spans="1:20" ht="24" customHeight="1" x14ac:dyDescent="0.25">
      <c r="A1830" s="37"/>
      <c r="B1830" s="32"/>
      <c r="C1830" s="33"/>
      <c r="D1830" s="33"/>
      <c r="E1830" s="33"/>
      <c r="F1830" s="33"/>
      <c r="G1830" s="34"/>
      <c r="H1830" s="37"/>
      <c r="I1830" s="37"/>
      <c r="J1830" s="7" t="s">
        <v>28</v>
      </c>
      <c r="K1830" s="7" t="s">
        <v>29</v>
      </c>
      <c r="L1830" s="7" t="s">
        <v>30</v>
      </c>
      <c r="M1830" s="7"/>
      <c r="N1830" s="7"/>
      <c r="O1830" s="6" t="s">
        <v>35</v>
      </c>
      <c r="P1830" s="6" t="s">
        <v>36</v>
      </c>
      <c r="Q1830" s="6" t="s">
        <v>37</v>
      </c>
      <c r="S1830" s="37"/>
    </row>
    <row r="1831" spans="1:20" ht="20.25" customHeight="1" x14ac:dyDescent="0.25">
      <c r="A1831" s="27" t="s">
        <v>54</v>
      </c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</row>
    <row r="1832" spans="1:20" ht="16.5" customHeight="1" x14ac:dyDescent="0.25">
      <c r="A1832" s="9"/>
      <c r="B1832" s="51" t="s">
        <v>61</v>
      </c>
      <c r="C1832" s="52"/>
      <c r="D1832" s="52"/>
      <c r="E1832" s="52"/>
      <c r="F1832" s="52"/>
      <c r="G1832" s="53"/>
      <c r="H1832" s="20"/>
      <c r="I1832" s="9">
        <v>1</v>
      </c>
      <c r="J1832" s="9"/>
      <c r="K1832" s="9"/>
      <c r="L1832" s="9"/>
      <c r="M1832" s="9">
        <f t="shared" ref="M1832:M1840" si="238">I1832*O1832</f>
        <v>7.3</v>
      </c>
      <c r="N1832" s="9">
        <f t="shared" ref="N1832:N1840" si="239">I1832*P1832</f>
        <v>3</v>
      </c>
      <c r="O1832" s="9">
        <v>7.3</v>
      </c>
      <c r="P1832" s="9">
        <v>3</v>
      </c>
      <c r="Q1832" s="9" t="s">
        <v>6</v>
      </c>
      <c r="R1832" s="1">
        <v>0</v>
      </c>
      <c r="S1832" s="26"/>
    </row>
    <row r="1833" spans="1:20" ht="16.5" customHeight="1" x14ac:dyDescent="0.25">
      <c r="A1833" s="9"/>
      <c r="B1833" s="51" t="s">
        <v>56</v>
      </c>
      <c r="C1833" s="52"/>
      <c r="D1833" s="52"/>
      <c r="E1833" s="52"/>
      <c r="F1833" s="52"/>
      <c r="G1833" s="53"/>
      <c r="H1833" s="20"/>
      <c r="I1833" s="9">
        <v>3</v>
      </c>
      <c r="J1833" s="9"/>
      <c r="K1833" s="9"/>
      <c r="L1833" s="9"/>
      <c r="M1833" s="9">
        <f t="shared" si="238"/>
        <v>18</v>
      </c>
      <c r="N1833" s="9">
        <f t="shared" si="239"/>
        <v>6</v>
      </c>
      <c r="O1833" s="9">
        <v>6</v>
      </c>
      <c r="P1833" s="9">
        <v>2</v>
      </c>
      <c r="Q1833" s="9" t="s">
        <v>3</v>
      </c>
      <c r="R1833" s="1">
        <v>0</v>
      </c>
      <c r="S1833" s="26"/>
    </row>
    <row r="1834" spans="1:20" ht="31.2" customHeight="1" x14ac:dyDescent="0.25">
      <c r="A1834" s="9"/>
      <c r="B1834" s="51" t="s">
        <v>57</v>
      </c>
      <c r="C1834" s="52"/>
      <c r="D1834" s="52"/>
      <c r="E1834" s="52"/>
      <c r="F1834" s="52"/>
      <c r="G1834" s="53"/>
      <c r="H1834" s="20"/>
      <c r="I1834" s="9">
        <v>3</v>
      </c>
      <c r="J1834" s="9"/>
      <c r="K1834" s="9"/>
      <c r="L1834" s="9"/>
      <c r="M1834" s="9">
        <f t="shared" si="238"/>
        <v>23.1</v>
      </c>
      <c r="N1834" s="9">
        <f t="shared" si="239"/>
        <v>9</v>
      </c>
      <c r="O1834" s="9">
        <v>7.7</v>
      </c>
      <c r="P1834" s="9">
        <v>3</v>
      </c>
      <c r="Q1834" s="9" t="s">
        <v>6</v>
      </c>
      <c r="R1834" s="1">
        <v>0</v>
      </c>
      <c r="S1834" s="26"/>
    </row>
    <row r="1835" spans="1:20" ht="16.5" customHeight="1" x14ac:dyDescent="0.25">
      <c r="A1835" s="9"/>
      <c r="B1835" s="51" t="s">
        <v>58</v>
      </c>
      <c r="C1835" s="52"/>
      <c r="D1835" s="52"/>
      <c r="E1835" s="52"/>
      <c r="F1835" s="52"/>
      <c r="G1835" s="53"/>
      <c r="H1835" s="20"/>
      <c r="I1835" s="9">
        <v>1</v>
      </c>
      <c r="J1835" s="9"/>
      <c r="K1835" s="9"/>
      <c r="L1835" s="9"/>
      <c r="M1835" s="9">
        <f t="shared" si="238"/>
        <v>7</v>
      </c>
      <c r="N1835" s="9">
        <f t="shared" si="239"/>
        <v>3</v>
      </c>
      <c r="O1835" s="9">
        <v>7</v>
      </c>
      <c r="P1835" s="9">
        <v>3</v>
      </c>
      <c r="Q1835" s="9" t="s">
        <v>6</v>
      </c>
      <c r="R1835" s="1">
        <v>0</v>
      </c>
      <c r="S1835" s="26"/>
    </row>
    <row r="1836" spans="1:20" ht="16.5" customHeight="1" x14ac:dyDescent="0.25">
      <c r="A1836" s="9"/>
      <c r="B1836" s="51" t="s">
        <v>59</v>
      </c>
      <c r="C1836" s="52"/>
      <c r="D1836" s="52"/>
      <c r="E1836" s="52"/>
      <c r="F1836" s="52"/>
      <c r="G1836" s="53"/>
      <c r="H1836" s="20"/>
      <c r="I1836" s="9">
        <v>1</v>
      </c>
      <c r="J1836" s="9"/>
      <c r="K1836" s="9"/>
      <c r="L1836" s="9"/>
      <c r="M1836" s="9">
        <f t="shared" si="238"/>
        <v>7.1</v>
      </c>
      <c r="N1836" s="9">
        <f t="shared" si="239"/>
        <v>3</v>
      </c>
      <c r="O1836" s="9">
        <v>7.1</v>
      </c>
      <c r="P1836" s="9">
        <v>3</v>
      </c>
      <c r="Q1836" s="9" t="s">
        <v>6</v>
      </c>
      <c r="R1836" s="1">
        <v>0</v>
      </c>
      <c r="S1836" s="26"/>
    </row>
    <row r="1837" spans="1:20" ht="16.5" customHeight="1" x14ac:dyDescent="0.25">
      <c r="A1837" s="9"/>
      <c r="B1837" s="51" t="s">
        <v>60</v>
      </c>
      <c r="C1837" s="52"/>
      <c r="D1837" s="52"/>
      <c r="E1837" s="52"/>
      <c r="F1837" s="52"/>
      <c r="G1837" s="53"/>
      <c r="H1837" s="20"/>
      <c r="I1837" s="9">
        <v>3</v>
      </c>
      <c r="J1837" s="9"/>
      <c r="K1837" s="9"/>
      <c r="L1837" s="9"/>
      <c r="M1837" s="9">
        <f t="shared" si="238"/>
        <v>20.100000000000001</v>
      </c>
      <c r="N1837" s="9">
        <f t="shared" si="239"/>
        <v>7.5</v>
      </c>
      <c r="O1837" s="9">
        <v>6.7</v>
      </c>
      <c r="P1837" s="9">
        <v>2.5</v>
      </c>
      <c r="Q1837" s="9" t="s">
        <v>5</v>
      </c>
      <c r="R1837" s="1">
        <v>0</v>
      </c>
      <c r="S1837" s="26"/>
    </row>
    <row r="1838" spans="1:20" ht="16.5" customHeight="1" x14ac:dyDescent="0.25">
      <c r="A1838" s="9"/>
      <c r="B1838" s="51" t="s">
        <v>55</v>
      </c>
      <c r="C1838" s="52"/>
      <c r="D1838" s="52"/>
      <c r="E1838" s="52"/>
      <c r="F1838" s="52"/>
      <c r="G1838" s="53"/>
      <c r="H1838" s="20"/>
      <c r="I1838" s="9">
        <v>2</v>
      </c>
      <c r="J1838" s="9"/>
      <c r="K1838" s="9"/>
      <c r="L1838" s="9"/>
      <c r="M1838" s="9">
        <f t="shared" si="238"/>
        <v>13.6</v>
      </c>
      <c r="N1838" s="9">
        <f t="shared" si="239"/>
        <v>5</v>
      </c>
      <c r="O1838" s="9">
        <v>6.8</v>
      </c>
      <c r="P1838" s="9">
        <v>2.5</v>
      </c>
      <c r="Q1838" s="9" t="s">
        <v>5</v>
      </c>
      <c r="R1838" s="1">
        <v>0</v>
      </c>
      <c r="S1838" s="26"/>
    </row>
    <row r="1839" spans="1:20" ht="16.5" hidden="1" customHeight="1" x14ac:dyDescent="0.25">
      <c r="A1839" s="21"/>
      <c r="H1839" s="21"/>
      <c r="I1839" s="21"/>
      <c r="J1839" s="21"/>
      <c r="K1839" s="21"/>
      <c r="L1839" s="21"/>
      <c r="M1839" s="9">
        <f t="shared" si="238"/>
        <v>0</v>
      </c>
      <c r="N1839" s="9">
        <f t="shared" si="239"/>
        <v>0</v>
      </c>
      <c r="O1839" s="21"/>
      <c r="P1839" s="21"/>
      <c r="Q1839" s="21"/>
      <c r="S1839" s="25"/>
    </row>
    <row r="1840" spans="1:20" ht="16.5" customHeight="1" x14ac:dyDescent="0.25">
      <c r="A1840" s="9"/>
      <c r="B1840" s="39" t="s">
        <v>42</v>
      </c>
      <c r="C1840" s="40"/>
      <c r="D1840" s="40"/>
      <c r="E1840" s="40"/>
      <c r="F1840" s="40"/>
      <c r="G1840" s="41"/>
      <c r="H1840" s="23"/>
      <c r="I1840" s="24">
        <f>SUM(I1832:I1839)</f>
        <v>14</v>
      </c>
      <c r="J1840" s="9"/>
      <c r="K1840" s="9"/>
      <c r="L1840" s="9"/>
      <c r="M1840" s="9">
        <f t="shared" si="238"/>
        <v>96.18</v>
      </c>
      <c r="N1840" s="9">
        <f t="shared" si="239"/>
        <v>36.54</v>
      </c>
      <c r="O1840" s="24">
        <f>ROUND(SUM(M1832:M1839)/I1840,2)</f>
        <v>6.87</v>
      </c>
      <c r="P1840" s="24">
        <f>ROUND(SUM(N1832:N1839)/I1840,2)</f>
        <v>2.61</v>
      </c>
      <c r="Q1840" s="9"/>
      <c r="S1840" s="25"/>
    </row>
    <row r="1841" spans="1:19" ht="20.25" customHeight="1" x14ac:dyDescent="0.25">
      <c r="A1841" s="27" t="s">
        <v>62</v>
      </c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</row>
    <row r="1842" spans="1:19" ht="16.5" customHeight="1" x14ac:dyDescent="0.25">
      <c r="A1842" s="9"/>
      <c r="B1842" s="51" t="s">
        <v>63</v>
      </c>
      <c r="C1842" s="52"/>
      <c r="D1842" s="52"/>
      <c r="E1842" s="52"/>
      <c r="F1842" s="52"/>
      <c r="G1842" s="53"/>
      <c r="H1842" s="20"/>
      <c r="I1842" s="9">
        <v>4</v>
      </c>
      <c r="J1842" s="9"/>
      <c r="K1842" s="9"/>
      <c r="L1842" s="9"/>
      <c r="M1842" s="9">
        <f t="shared" ref="M1842:M1850" si="240">I1842*O1842</f>
        <v>10</v>
      </c>
      <c r="N1842" s="9">
        <f t="shared" ref="N1842:N1850" si="241">I1842*P1842</f>
        <v>0</v>
      </c>
      <c r="O1842" s="9">
        <v>2.5</v>
      </c>
      <c r="P1842" s="9">
        <v>0</v>
      </c>
      <c r="Q1842" s="9" t="s">
        <v>7</v>
      </c>
      <c r="R1842" s="1">
        <v>0</v>
      </c>
      <c r="S1842" s="26"/>
    </row>
    <row r="1843" spans="1:19" ht="16.5" customHeight="1" x14ac:dyDescent="0.25">
      <c r="A1843" s="9"/>
      <c r="B1843" s="51" t="s">
        <v>64</v>
      </c>
      <c r="C1843" s="52"/>
      <c r="D1843" s="52"/>
      <c r="E1843" s="52"/>
      <c r="F1843" s="52"/>
      <c r="G1843" s="53"/>
      <c r="H1843" s="20"/>
      <c r="I1843" s="9">
        <v>4</v>
      </c>
      <c r="J1843" s="9"/>
      <c r="K1843" s="9"/>
      <c r="L1843" s="9"/>
      <c r="M1843" s="9">
        <f t="shared" si="240"/>
        <v>20.8</v>
      </c>
      <c r="N1843" s="9">
        <f t="shared" si="241"/>
        <v>6</v>
      </c>
      <c r="O1843" s="9">
        <v>5.2</v>
      </c>
      <c r="P1843" s="9">
        <v>1.5</v>
      </c>
      <c r="Q1843" s="9" t="s">
        <v>4</v>
      </c>
      <c r="R1843" s="1">
        <v>0</v>
      </c>
      <c r="S1843" s="26"/>
    </row>
    <row r="1844" spans="1:19" ht="16.5" customHeight="1" x14ac:dyDescent="0.25">
      <c r="A1844" s="9"/>
      <c r="B1844" s="51" t="s">
        <v>65</v>
      </c>
      <c r="C1844" s="52"/>
      <c r="D1844" s="52"/>
      <c r="E1844" s="52"/>
      <c r="F1844" s="52"/>
      <c r="G1844" s="53"/>
      <c r="H1844" s="20"/>
      <c r="I1844" s="9">
        <v>4</v>
      </c>
      <c r="J1844" s="9"/>
      <c r="K1844" s="9"/>
      <c r="L1844" s="9"/>
      <c r="M1844" s="9">
        <f t="shared" si="240"/>
        <v>26.8</v>
      </c>
      <c r="N1844" s="9">
        <f t="shared" si="241"/>
        <v>10</v>
      </c>
      <c r="O1844" s="9">
        <v>6.7</v>
      </c>
      <c r="P1844" s="9">
        <v>2.5</v>
      </c>
      <c r="Q1844" s="9" t="s">
        <v>5</v>
      </c>
      <c r="R1844" s="1">
        <v>0</v>
      </c>
      <c r="S1844" s="26"/>
    </row>
    <row r="1845" spans="1:19" ht="16.5" customHeight="1" x14ac:dyDescent="0.25">
      <c r="A1845" s="9"/>
      <c r="B1845" s="51" t="s">
        <v>66</v>
      </c>
      <c r="C1845" s="52"/>
      <c r="D1845" s="52"/>
      <c r="E1845" s="52"/>
      <c r="F1845" s="52"/>
      <c r="G1845" s="53"/>
      <c r="H1845" s="20"/>
      <c r="I1845" s="9">
        <v>1</v>
      </c>
      <c r="J1845" s="9"/>
      <c r="K1845" s="9"/>
      <c r="L1845" s="9"/>
      <c r="M1845" s="9">
        <f t="shared" si="240"/>
        <v>7.9</v>
      </c>
      <c r="N1845" s="9">
        <f t="shared" si="241"/>
        <v>3</v>
      </c>
      <c r="O1845" s="9">
        <v>7.9</v>
      </c>
      <c r="P1845" s="9">
        <v>3</v>
      </c>
      <c r="Q1845" s="9" t="s">
        <v>6</v>
      </c>
      <c r="R1845" s="1">
        <v>0</v>
      </c>
      <c r="S1845" s="26"/>
    </row>
    <row r="1846" spans="1:19" ht="16.5" customHeight="1" x14ac:dyDescent="0.25">
      <c r="A1846" s="9"/>
      <c r="B1846" s="51" t="s">
        <v>67</v>
      </c>
      <c r="C1846" s="52"/>
      <c r="D1846" s="52"/>
      <c r="E1846" s="52"/>
      <c r="F1846" s="52"/>
      <c r="G1846" s="53"/>
      <c r="H1846" s="20"/>
      <c r="I1846" s="9">
        <v>1</v>
      </c>
      <c r="J1846" s="9"/>
      <c r="K1846" s="9"/>
      <c r="L1846" s="9"/>
      <c r="M1846" s="9">
        <f t="shared" si="240"/>
        <v>7.6</v>
      </c>
      <c r="N1846" s="9">
        <f t="shared" si="241"/>
        <v>3</v>
      </c>
      <c r="O1846" s="9">
        <v>7.6</v>
      </c>
      <c r="P1846" s="9">
        <v>3</v>
      </c>
      <c r="Q1846" s="9" t="s">
        <v>6</v>
      </c>
      <c r="R1846" s="1">
        <v>0</v>
      </c>
      <c r="S1846" s="26"/>
    </row>
    <row r="1847" spans="1:19" ht="16.5" customHeight="1" x14ac:dyDescent="0.25">
      <c r="A1847" s="9"/>
      <c r="B1847" s="51" t="s">
        <v>69</v>
      </c>
      <c r="C1847" s="52"/>
      <c r="D1847" s="52"/>
      <c r="E1847" s="52"/>
      <c r="F1847" s="52"/>
      <c r="G1847" s="53"/>
      <c r="H1847" s="20"/>
      <c r="I1847" s="9">
        <v>1</v>
      </c>
      <c r="J1847" s="9"/>
      <c r="K1847" s="9"/>
      <c r="L1847" s="9"/>
      <c r="M1847" s="9">
        <f t="shared" si="240"/>
        <v>6.8</v>
      </c>
      <c r="N1847" s="9">
        <f t="shared" si="241"/>
        <v>2.5</v>
      </c>
      <c r="O1847" s="9">
        <v>6.8</v>
      </c>
      <c r="P1847" s="9">
        <v>2.5</v>
      </c>
      <c r="Q1847" s="9" t="s">
        <v>5</v>
      </c>
      <c r="R1847" s="1">
        <v>0</v>
      </c>
      <c r="S1847" s="26"/>
    </row>
    <row r="1848" spans="1:19" ht="16.5" customHeight="1" x14ac:dyDescent="0.25">
      <c r="A1848" s="9"/>
      <c r="B1848" s="51" t="s">
        <v>68</v>
      </c>
      <c r="C1848" s="52"/>
      <c r="D1848" s="52"/>
      <c r="E1848" s="52"/>
      <c r="F1848" s="52"/>
      <c r="G1848" s="53"/>
      <c r="H1848" s="20"/>
      <c r="I1848" s="9">
        <v>1</v>
      </c>
      <c r="J1848" s="9"/>
      <c r="K1848" s="9"/>
      <c r="L1848" s="9"/>
      <c r="M1848" s="9">
        <f t="shared" si="240"/>
        <v>8.1</v>
      </c>
      <c r="N1848" s="9">
        <f t="shared" si="241"/>
        <v>3.5</v>
      </c>
      <c r="O1848" s="9">
        <v>8.1</v>
      </c>
      <c r="P1848" s="9">
        <v>3.5</v>
      </c>
      <c r="Q1848" s="9" t="s">
        <v>9</v>
      </c>
      <c r="R1848" s="1">
        <v>0</v>
      </c>
      <c r="S1848" s="26"/>
    </row>
    <row r="1849" spans="1:19" ht="16.5" hidden="1" customHeight="1" x14ac:dyDescent="0.25">
      <c r="A1849" s="21"/>
      <c r="H1849" s="21"/>
      <c r="I1849" s="21"/>
      <c r="J1849" s="21"/>
      <c r="K1849" s="21"/>
      <c r="L1849" s="21"/>
      <c r="M1849" s="9">
        <f t="shared" si="240"/>
        <v>0</v>
      </c>
      <c r="N1849" s="9">
        <f t="shared" si="241"/>
        <v>0</v>
      </c>
      <c r="O1849" s="21"/>
      <c r="P1849" s="21"/>
      <c r="Q1849" s="21"/>
      <c r="S1849" s="25"/>
    </row>
    <row r="1850" spans="1:19" ht="16.5" customHeight="1" x14ac:dyDescent="0.25">
      <c r="A1850" s="9"/>
      <c r="B1850" s="39" t="s">
        <v>42</v>
      </c>
      <c r="C1850" s="40"/>
      <c r="D1850" s="40"/>
      <c r="E1850" s="40"/>
      <c r="F1850" s="40"/>
      <c r="G1850" s="41"/>
      <c r="H1850" s="23"/>
      <c r="I1850" s="24">
        <f>SUM(I1842:I1849)</f>
        <v>16</v>
      </c>
      <c r="J1850" s="9"/>
      <c r="K1850" s="9"/>
      <c r="L1850" s="9"/>
      <c r="M1850" s="9">
        <f t="shared" si="240"/>
        <v>88</v>
      </c>
      <c r="N1850" s="9">
        <f t="shared" si="241"/>
        <v>28</v>
      </c>
      <c r="O1850" s="24">
        <f>ROUND(SUM(M1842:M1849)/I1850,2)</f>
        <v>5.5</v>
      </c>
      <c r="P1850" s="24">
        <f>ROUND(SUM(N1842:N1849)/I1850,2)</f>
        <v>1.75</v>
      </c>
      <c r="Q1850" s="9"/>
      <c r="S1850" s="25"/>
    </row>
    <row r="1851" spans="1:19" ht="20.25" customHeight="1" x14ac:dyDescent="0.25">
      <c r="A1851" s="27" t="s">
        <v>131</v>
      </c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</row>
    <row r="1852" spans="1:19" ht="16.5" customHeight="1" x14ac:dyDescent="0.25">
      <c r="A1852" s="9"/>
      <c r="B1852" s="51" t="s">
        <v>63</v>
      </c>
      <c r="C1852" s="52"/>
      <c r="D1852" s="52"/>
      <c r="E1852" s="52"/>
      <c r="F1852" s="52"/>
      <c r="G1852" s="53"/>
      <c r="H1852" s="20"/>
      <c r="I1852" s="9">
        <v>4</v>
      </c>
      <c r="J1852" s="9"/>
      <c r="K1852" s="9"/>
      <c r="L1852" s="9"/>
      <c r="M1852" s="9">
        <f>I1852*O1852</f>
        <v>23.6</v>
      </c>
      <c r="N1852" s="9">
        <f>I1852*P1852</f>
        <v>8</v>
      </c>
      <c r="O1852" s="9">
        <v>5.9</v>
      </c>
      <c r="P1852" s="9">
        <v>2</v>
      </c>
      <c r="Q1852" s="9" t="s">
        <v>3</v>
      </c>
      <c r="R1852" s="1">
        <v>6</v>
      </c>
      <c r="S1852" s="26" t="s">
        <v>132</v>
      </c>
    </row>
    <row r="1853" spans="1:19" ht="16.5" hidden="1" customHeight="1" x14ac:dyDescent="0.25">
      <c r="A1853" s="21"/>
      <c r="H1853" s="21"/>
      <c r="I1853" s="21"/>
      <c r="J1853" s="21"/>
      <c r="K1853" s="21"/>
      <c r="L1853" s="21"/>
      <c r="M1853" s="9">
        <f>I1853*O1853</f>
        <v>0</v>
      </c>
      <c r="N1853" s="9">
        <f>I1853*P1853</f>
        <v>0</v>
      </c>
      <c r="O1853" s="21"/>
      <c r="P1853" s="21"/>
      <c r="Q1853" s="21"/>
      <c r="S1853" s="25"/>
    </row>
    <row r="1854" spans="1:19" ht="16.5" customHeight="1" x14ac:dyDescent="0.25">
      <c r="A1854" s="9"/>
      <c r="B1854" s="39" t="s">
        <v>42</v>
      </c>
      <c r="C1854" s="40"/>
      <c r="D1854" s="40"/>
      <c r="E1854" s="40"/>
      <c r="F1854" s="40"/>
      <c r="G1854" s="41"/>
      <c r="H1854" s="23"/>
      <c r="I1854" s="24">
        <f>SUM(I1852:I1853)</f>
        <v>4</v>
      </c>
      <c r="J1854" s="9"/>
      <c r="K1854" s="9"/>
      <c r="L1854" s="9"/>
      <c r="M1854" s="9">
        <f>I1854*O1854</f>
        <v>23.6</v>
      </c>
      <c r="N1854" s="9">
        <f>I1854*P1854</f>
        <v>8</v>
      </c>
      <c r="O1854" s="24">
        <f>ROUND(SUM(M1852:M1853)/I1854,2)</f>
        <v>5.9</v>
      </c>
      <c r="P1854" s="24">
        <f>ROUND(SUM(N1852:N1853)/I1854,2)</f>
        <v>2</v>
      </c>
      <c r="Q1854" s="9"/>
      <c r="S1854" s="25"/>
    </row>
    <row r="1855" spans="1:19" ht="20.25" customHeight="1" x14ac:dyDescent="0.25">
      <c r="A1855" s="27" t="s">
        <v>70</v>
      </c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</row>
    <row r="1856" spans="1:19" ht="16.5" customHeight="1" x14ac:dyDescent="0.25">
      <c r="A1856" s="9"/>
      <c r="B1856" s="51" t="s">
        <v>71</v>
      </c>
      <c r="C1856" s="52"/>
      <c r="D1856" s="52"/>
      <c r="E1856" s="52"/>
      <c r="F1856" s="52"/>
      <c r="G1856" s="53"/>
      <c r="H1856" s="20"/>
      <c r="I1856" s="9">
        <v>4</v>
      </c>
      <c r="J1856" s="9"/>
      <c r="K1856" s="9"/>
      <c r="L1856" s="9"/>
      <c r="M1856" s="9">
        <f t="shared" ref="M1856:M1864" si="242">I1856*O1856</f>
        <v>21.6</v>
      </c>
      <c r="N1856" s="9">
        <f t="shared" ref="N1856:N1864" si="243">I1856*P1856</f>
        <v>6</v>
      </c>
      <c r="O1856" s="9">
        <v>5.4</v>
      </c>
      <c r="P1856" s="9">
        <v>1.5</v>
      </c>
      <c r="Q1856" s="9" t="s">
        <v>4</v>
      </c>
      <c r="R1856" s="1">
        <v>0</v>
      </c>
      <c r="S1856" s="26"/>
    </row>
    <row r="1857" spans="1:19" ht="16.5" customHeight="1" x14ac:dyDescent="0.25">
      <c r="A1857" s="9"/>
      <c r="B1857" s="51" t="s">
        <v>74</v>
      </c>
      <c r="C1857" s="52"/>
      <c r="D1857" s="52"/>
      <c r="E1857" s="52"/>
      <c r="F1857" s="52"/>
      <c r="G1857" s="53"/>
      <c r="H1857" s="20"/>
      <c r="I1857" s="9">
        <v>2</v>
      </c>
      <c r="J1857" s="9"/>
      <c r="K1857" s="9"/>
      <c r="L1857" s="9"/>
      <c r="M1857" s="9">
        <f t="shared" si="242"/>
        <v>15.2</v>
      </c>
      <c r="N1857" s="9">
        <f t="shared" si="243"/>
        <v>6</v>
      </c>
      <c r="O1857" s="9">
        <v>7.6</v>
      </c>
      <c r="P1857" s="9">
        <v>3</v>
      </c>
      <c r="Q1857" s="9" t="s">
        <v>6</v>
      </c>
      <c r="R1857" s="1">
        <v>0</v>
      </c>
      <c r="S1857" s="26"/>
    </row>
    <row r="1858" spans="1:19" ht="16.5" customHeight="1" x14ac:dyDescent="0.25">
      <c r="A1858" s="9"/>
      <c r="B1858" s="51" t="s">
        <v>73</v>
      </c>
      <c r="C1858" s="52"/>
      <c r="D1858" s="52"/>
      <c r="E1858" s="52"/>
      <c r="F1858" s="52"/>
      <c r="G1858" s="53"/>
      <c r="H1858" s="20"/>
      <c r="I1858" s="9">
        <v>1</v>
      </c>
      <c r="J1858" s="9"/>
      <c r="K1858" s="9"/>
      <c r="L1858" s="9"/>
      <c r="M1858" s="9">
        <f t="shared" si="242"/>
        <v>7.3</v>
      </c>
      <c r="N1858" s="9">
        <f t="shared" si="243"/>
        <v>3</v>
      </c>
      <c r="O1858" s="9">
        <v>7.3</v>
      </c>
      <c r="P1858" s="9">
        <v>3</v>
      </c>
      <c r="Q1858" s="9" t="s">
        <v>6</v>
      </c>
      <c r="R1858" s="1">
        <v>0</v>
      </c>
      <c r="S1858" s="26"/>
    </row>
    <row r="1859" spans="1:19" ht="16.5" customHeight="1" x14ac:dyDescent="0.25">
      <c r="A1859" s="9"/>
      <c r="B1859" s="51" t="s">
        <v>72</v>
      </c>
      <c r="C1859" s="52"/>
      <c r="D1859" s="52"/>
      <c r="E1859" s="52"/>
      <c r="F1859" s="52"/>
      <c r="G1859" s="53"/>
      <c r="H1859" s="20"/>
      <c r="I1859" s="9">
        <v>4</v>
      </c>
      <c r="J1859" s="9"/>
      <c r="K1859" s="9"/>
      <c r="L1859" s="9"/>
      <c r="M1859" s="9">
        <f t="shared" si="242"/>
        <v>28</v>
      </c>
      <c r="N1859" s="9">
        <f t="shared" si="243"/>
        <v>12</v>
      </c>
      <c r="O1859" s="9">
        <v>7</v>
      </c>
      <c r="P1859" s="9">
        <v>3</v>
      </c>
      <c r="Q1859" s="9" t="s">
        <v>6</v>
      </c>
      <c r="R1859" s="1">
        <v>0</v>
      </c>
      <c r="S1859" s="26"/>
    </row>
    <row r="1860" spans="1:19" ht="16.5" customHeight="1" x14ac:dyDescent="0.25">
      <c r="A1860" s="9"/>
      <c r="B1860" s="51" t="s">
        <v>75</v>
      </c>
      <c r="C1860" s="52"/>
      <c r="D1860" s="52"/>
      <c r="E1860" s="52"/>
      <c r="F1860" s="52"/>
      <c r="G1860" s="53"/>
      <c r="H1860" s="20"/>
      <c r="I1860" s="9">
        <v>1</v>
      </c>
      <c r="J1860" s="9"/>
      <c r="K1860" s="9"/>
      <c r="L1860" s="9"/>
      <c r="M1860" s="9">
        <f t="shared" si="242"/>
        <v>6.3</v>
      </c>
      <c r="N1860" s="9">
        <f t="shared" si="243"/>
        <v>2</v>
      </c>
      <c r="O1860" s="9">
        <v>6.3</v>
      </c>
      <c r="P1860" s="9">
        <v>2</v>
      </c>
      <c r="Q1860" s="9" t="s">
        <v>3</v>
      </c>
      <c r="R1860" s="1">
        <v>0</v>
      </c>
      <c r="S1860" s="26"/>
    </row>
    <row r="1861" spans="1:19" ht="16.5" customHeight="1" x14ac:dyDescent="0.25">
      <c r="A1861" s="9"/>
      <c r="B1861" s="51" t="s">
        <v>77</v>
      </c>
      <c r="C1861" s="52"/>
      <c r="D1861" s="52"/>
      <c r="E1861" s="52"/>
      <c r="F1861" s="52"/>
      <c r="G1861" s="53"/>
      <c r="H1861" s="20"/>
      <c r="I1861" s="9">
        <v>3</v>
      </c>
      <c r="J1861" s="9"/>
      <c r="K1861" s="9"/>
      <c r="L1861" s="9"/>
      <c r="M1861" s="9">
        <f t="shared" si="242"/>
        <v>18.299999999999997</v>
      </c>
      <c r="N1861" s="9">
        <f t="shared" si="243"/>
        <v>6</v>
      </c>
      <c r="O1861" s="9">
        <v>6.1</v>
      </c>
      <c r="P1861" s="9">
        <v>2</v>
      </c>
      <c r="Q1861" s="9" t="s">
        <v>3</v>
      </c>
      <c r="R1861" s="1">
        <v>0</v>
      </c>
      <c r="S1861" s="26"/>
    </row>
    <row r="1862" spans="1:19" ht="16.5" customHeight="1" x14ac:dyDescent="0.25">
      <c r="A1862" s="9"/>
      <c r="B1862" s="51" t="s">
        <v>76</v>
      </c>
      <c r="C1862" s="52"/>
      <c r="D1862" s="52"/>
      <c r="E1862" s="52"/>
      <c r="F1862" s="52"/>
      <c r="G1862" s="53"/>
      <c r="H1862" s="20"/>
      <c r="I1862" s="9">
        <v>4</v>
      </c>
      <c r="J1862" s="9"/>
      <c r="K1862" s="9"/>
      <c r="L1862" s="9"/>
      <c r="M1862" s="9">
        <f t="shared" si="242"/>
        <v>24.4</v>
      </c>
      <c r="N1862" s="9">
        <f t="shared" si="243"/>
        <v>8</v>
      </c>
      <c r="O1862" s="9">
        <v>6.1</v>
      </c>
      <c r="P1862" s="9">
        <v>2</v>
      </c>
      <c r="Q1862" s="9" t="s">
        <v>3</v>
      </c>
      <c r="R1862" s="1">
        <v>0</v>
      </c>
      <c r="S1862" s="26"/>
    </row>
    <row r="1863" spans="1:19" ht="16.5" hidden="1" customHeight="1" x14ac:dyDescent="0.25">
      <c r="A1863" s="21"/>
      <c r="H1863" s="21"/>
      <c r="I1863" s="21"/>
      <c r="J1863" s="21"/>
      <c r="K1863" s="21"/>
      <c r="L1863" s="21"/>
      <c r="M1863" s="9">
        <f t="shared" si="242"/>
        <v>0</v>
      </c>
      <c r="N1863" s="9">
        <f t="shared" si="243"/>
        <v>0</v>
      </c>
      <c r="O1863" s="21"/>
      <c r="P1863" s="21"/>
      <c r="Q1863" s="21"/>
      <c r="S1863" s="25"/>
    </row>
    <row r="1864" spans="1:19" ht="16.5" customHeight="1" x14ac:dyDescent="0.25">
      <c r="A1864" s="9"/>
      <c r="B1864" s="39" t="s">
        <v>42</v>
      </c>
      <c r="C1864" s="40"/>
      <c r="D1864" s="40"/>
      <c r="E1864" s="40"/>
      <c r="F1864" s="40"/>
      <c r="G1864" s="41"/>
      <c r="H1864" s="23"/>
      <c r="I1864" s="24">
        <f>SUM(I1856:I1863)</f>
        <v>19</v>
      </c>
      <c r="J1864" s="9"/>
      <c r="K1864" s="9"/>
      <c r="L1864" s="9"/>
      <c r="M1864" s="9">
        <f t="shared" si="242"/>
        <v>121.03</v>
      </c>
      <c r="N1864" s="9">
        <f t="shared" si="243"/>
        <v>42.94</v>
      </c>
      <c r="O1864" s="24">
        <f>ROUND(SUM(M1856:M1863)/I1864,2)</f>
        <v>6.37</v>
      </c>
      <c r="P1864" s="24">
        <f>ROUND(SUM(N1856:N1863)/I1864,2)</f>
        <v>2.2599999999999998</v>
      </c>
      <c r="Q1864" s="9"/>
      <c r="S1864" s="25"/>
    </row>
    <row r="1865" spans="1:19" ht="20.25" customHeight="1" x14ac:dyDescent="0.25">
      <c r="A1865" s="27" t="s">
        <v>78</v>
      </c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</row>
    <row r="1866" spans="1:19" ht="16.5" customHeight="1" x14ac:dyDescent="0.25">
      <c r="A1866" s="9"/>
      <c r="B1866" s="51" t="s">
        <v>79</v>
      </c>
      <c r="C1866" s="52"/>
      <c r="D1866" s="52"/>
      <c r="E1866" s="52"/>
      <c r="F1866" s="52"/>
      <c r="G1866" s="53"/>
      <c r="H1866" s="20"/>
      <c r="I1866" s="9">
        <v>1</v>
      </c>
      <c r="J1866" s="9"/>
      <c r="K1866" s="9"/>
      <c r="L1866" s="9"/>
      <c r="M1866" s="9">
        <f>I1866*O1866</f>
        <v>8</v>
      </c>
      <c r="N1866" s="9">
        <f>I1866*P1866</f>
        <v>3.5</v>
      </c>
      <c r="O1866" s="9">
        <v>8</v>
      </c>
      <c r="P1866" s="9">
        <v>3.5</v>
      </c>
      <c r="Q1866" s="9" t="s">
        <v>9</v>
      </c>
      <c r="R1866" s="1">
        <v>0</v>
      </c>
      <c r="S1866" s="26"/>
    </row>
    <row r="1867" spans="1:19" ht="16.5" customHeight="1" x14ac:dyDescent="0.25">
      <c r="A1867" s="9"/>
      <c r="B1867" s="51" t="s">
        <v>80</v>
      </c>
      <c r="C1867" s="52"/>
      <c r="D1867" s="52"/>
      <c r="E1867" s="52"/>
      <c r="F1867" s="52"/>
      <c r="G1867" s="53"/>
      <c r="H1867" s="20"/>
      <c r="I1867" s="9">
        <v>3</v>
      </c>
      <c r="J1867" s="9"/>
      <c r="K1867" s="9"/>
      <c r="L1867" s="9"/>
      <c r="M1867" s="9">
        <f>I1867*O1867</f>
        <v>22.799999999999997</v>
      </c>
      <c r="N1867" s="9">
        <f>I1867*P1867</f>
        <v>9</v>
      </c>
      <c r="O1867" s="9">
        <v>7.6</v>
      </c>
      <c r="P1867" s="9">
        <v>3</v>
      </c>
      <c r="Q1867" s="9" t="s">
        <v>6</v>
      </c>
      <c r="R1867" s="1">
        <v>0</v>
      </c>
      <c r="S1867" s="26"/>
    </row>
    <row r="1868" spans="1:19" ht="16.5" customHeight="1" x14ac:dyDescent="0.25">
      <c r="A1868" s="9"/>
      <c r="B1868" s="51" t="s">
        <v>87</v>
      </c>
      <c r="C1868" s="52"/>
      <c r="D1868" s="52"/>
      <c r="E1868" s="52"/>
      <c r="F1868" s="52"/>
      <c r="G1868" s="53"/>
      <c r="H1868" s="20"/>
      <c r="I1868" s="9">
        <v>3</v>
      </c>
      <c r="J1868" s="9"/>
      <c r="K1868" s="9"/>
      <c r="L1868" s="9"/>
      <c r="M1868" s="9">
        <f>I1868*O1868</f>
        <v>24.299999999999997</v>
      </c>
      <c r="N1868" s="9">
        <f>I1868*P1868</f>
        <v>10.5</v>
      </c>
      <c r="O1868" s="9">
        <v>8.1</v>
      </c>
      <c r="P1868" s="9">
        <v>3.5</v>
      </c>
      <c r="Q1868" s="9" t="s">
        <v>9</v>
      </c>
      <c r="R1868" s="1">
        <v>0</v>
      </c>
      <c r="S1868" s="26"/>
    </row>
    <row r="1869" spans="1:19" ht="15" customHeight="1" x14ac:dyDescent="0.25">
      <c r="A1869" s="36" t="s">
        <v>0</v>
      </c>
      <c r="B1869" s="29" t="s">
        <v>1</v>
      </c>
      <c r="C1869" s="30"/>
      <c r="D1869" s="30"/>
      <c r="E1869" s="30"/>
      <c r="F1869" s="30"/>
      <c r="G1869" s="31"/>
      <c r="H1869" s="36" t="s">
        <v>32</v>
      </c>
      <c r="I1869" s="36" t="s">
        <v>39</v>
      </c>
      <c r="J1869" s="55" t="s">
        <v>2</v>
      </c>
      <c r="K1869" s="56"/>
      <c r="L1869" s="56"/>
      <c r="M1869" s="56"/>
      <c r="N1869" s="56"/>
      <c r="O1869" s="56"/>
      <c r="P1869" s="56"/>
      <c r="Q1869" s="57"/>
      <c r="S1869" s="36" t="s">
        <v>38</v>
      </c>
    </row>
    <row r="1870" spans="1:19" ht="24" customHeight="1" x14ac:dyDescent="0.25">
      <c r="A1870" s="37"/>
      <c r="B1870" s="32"/>
      <c r="C1870" s="33"/>
      <c r="D1870" s="33"/>
      <c r="E1870" s="33"/>
      <c r="F1870" s="33"/>
      <c r="G1870" s="34"/>
      <c r="H1870" s="37"/>
      <c r="I1870" s="37"/>
      <c r="J1870" s="7" t="s">
        <v>28</v>
      </c>
      <c r="K1870" s="7" t="s">
        <v>29</v>
      </c>
      <c r="L1870" s="7" t="s">
        <v>30</v>
      </c>
      <c r="M1870" s="7"/>
      <c r="N1870" s="7"/>
      <c r="O1870" s="6" t="s">
        <v>35</v>
      </c>
      <c r="P1870" s="6" t="s">
        <v>36</v>
      </c>
      <c r="Q1870" s="6" t="s">
        <v>37</v>
      </c>
      <c r="S1870" s="37"/>
    </row>
    <row r="1871" spans="1:19" ht="16.5" customHeight="1" x14ac:dyDescent="0.25">
      <c r="A1871" s="9"/>
      <c r="B1871" s="51" t="s">
        <v>82</v>
      </c>
      <c r="C1871" s="52"/>
      <c r="D1871" s="52"/>
      <c r="E1871" s="52"/>
      <c r="F1871" s="52"/>
      <c r="G1871" s="53"/>
      <c r="H1871" s="20"/>
      <c r="I1871" s="9">
        <v>2</v>
      </c>
      <c r="J1871" s="9"/>
      <c r="K1871" s="9"/>
      <c r="L1871" s="9"/>
      <c r="M1871" s="9">
        <f t="shared" ref="M1871:M1878" si="244">I1871*O1871</f>
        <v>11.2</v>
      </c>
      <c r="N1871" s="9">
        <f t="shared" ref="N1871:N1878" si="245">I1871*P1871</f>
        <v>4</v>
      </c>
      <c r="O1871" s="9">
        <v>5.6</v>
      </c>
      <c r="P1871" s="9">
        <v>2</v>
      </c>
      <c r="Q1871" s="9" t="s">
        <v>3</v>
      </c>
      <c r="R1871" s="1">
        <v>0</v>
      </c>
      <c r="S1871" s="26"/>
    </row>
    <row r="1872" spans="1:19" ht="16.5" customHeight="1" x14ac:dyDescent="0.25">
      <c r="A1872" s="9"/>
      <c r="B1872" s="51" t="s">
        <v>83</v>
      </c>
      <c r="C1872" s="52"/>
      <c r="D1872" s="52"/>
      <c r="E1872" s="52"/>
      <c r="F1872" s="52"/>
      <c r="G1872" s="53"/>
      <c r="H1872" s="20"/>
      <c r="I1872" s="9">
        <v>2</v>
      </c>
      <c r="J1872" s="9"/>
      <c r="K1872" s="9"/>
      <c r="L1872" s="9"/>
      <c r="M1872" s="9">
        <f t="shared" si="244"/>
        <v>13.2</v>
      </c>
      <c r="N1872" s="9">
        <f t="shared" si="245"/>
        <v>5</v>
      </c>
      <c r="O1872" s="9">
        <v>6.6</v>
      </c>
      <c r="P1872" s="9">
        <v>2.5</v>
      </c>
      <c r="Q1872" s="9" t="s">
        <v>5</v>
      </c>
      <c r="R1872" s="1">
        <v>0</v>
      </c>
      <c r="S1872" s="26"/>
    </row>
    <row r="1873" spans="1:19" ht="16.5" customHeight="1" x14ac:dyDescent="0.25">
      <c r="A1873" s="9"/>
      <c r="B1873" s="51" t="s">
        <v>84</v>
      </c>
      <c r="C1873" s="52"/>
      <c r="D1873" s="52"/>
      <c r="E1873" s="52"/>
      <c r="F1873" s="52"/>
      <c r="G1873" s="53"/>
      <c r="H1873" s="20"/>
      <c r="I1873" s="9">
        <v>3</v>
      </c>
      <c r="J1873" s="9"/>
      <c r="K1873" s="9"/>
      <c r="L1873" s="9"/>
      <c r="M1873" s="9">
        <f t="shared" si="244"/>
        <v>22.5</v>
      </c>
      <c r="N1873" s="9">
        <f t="shared" si="245"/>
        <v>9</v>
      </c>
      <c r="O1873" s="9">
        <v>7.5</v>
      </c>
      <c r="P1873" s="9">
        <v>3</v>
      </c>
      <c r="Q1873" s="9" t="s">
        <v>6</v>
      </c>
      <c r="R1873" s="1">
        <v>0</v>
      </c>
      <c r="S1873" s="26"/>
    </row>
    <row r="1874" spans="1:19" ht="16.5" customHeight="1" x14ac:dyDescent="0.25">
      <c r="A1874" s="9"/>
      <c r="B1874" s="51" t="s">
        <v>85</v>
      </c>
      <c r="C1874" s="52"/>
      <c r="D1874" s="52"/>
      <c r="E1874" s="52"/>
      <c r="F1874" s="52"/>
      <c r="G1874" s="53"/>
      <c r="H1874" s="20"/>
      <c r="I1874" s="9">
        <v>2</v>
      </c>
      <c r="J1874" s="9"/>
      <c r="K1874" s="9"/>
      <c r="L1874" s="9"/>
      <c r="M1874" s="9">
        <f t="shared" si="244"/>
        <v>12.4</v>
      </c>
      <c r="N1874" s="9">
        <f t="shared" si="245"/>
        <v>4</v>
      </c>
      <c r="O1874" s="9">
        <v>6.2</v>
      </c>
      <c r="P1874" s="9">
        <v>2</v>
      </c>
      <c r="Q1874" s="9" t="s">
        <v>3</v>
      </c>
      <c r="R1874" s="1">
        <v>0</v>
      </c>
      <c r="S1874" s="26"/>
    </row>
    <row r="1875" spans="1:19" ht="16.5" customHeight="1" x14ac:dyDescent="0.25">
      <c r="A1875" s="9"/>
      <c r="B1875" s="51" t="s">
        <v>86</v>
      </c>
      <c r="C1875" s="52"/>
      <c r="D1875" s="52"/>
      <c r="E1875" s="52"/>
      <c r="F1875" s="52"/>
      <c r="G1875" s="53"/>
      <c r="H1875" s="20"/>
      <c r="I1875" s="9">
        <v>3</v>
      </c>
      <c r="J1875" s="9"/>
      <c r="K1875" s="9"/>
      <c r="L1875" s="9"/>
      <c r="M1875" s="9">
        <f t="shared" si="244"/>
        <v>26.099999999999998</v>
      </c>
      <c r="N1875" s="9">
        <f t="shared" si="245"/>
        <v>11.100000000000001</v>
      </c>
      <c r="O1875" s="9">
        <v>8.6999999999999993</v>
      </c>
      <c r="P1875" s="9">
        <v>3.7</v>
      </c>
      <c r="Q1875" s="9" t="s">
        <v>10</v>
      </c>
      <c r="R1875" s="1">
        <v>0</v>
      </c>
      <c r="S1875" s="26"/>
    </row>
    <row r="1876" spans="1:19" ht="16.5" customHeight="1" x14ac:dyDescent="0.25">
      <c r="A1876" s="9"/>
      <c r="B1876" s="51" t="s">
        <v>81</v>
      </c>
      <c r="C1876" s="52"/>
      <c r="D1876" s="52"/>
      <c r="E1876" s="52"/>
      <c r="F1876" s="52"/>
      <c r="G1876" s="53"/>
      <c r="H1876" s="20"/>
      <c r="I1876" s="9">
        <v>3</v>
      </c>
      <c r="J1876" s="9"/>
      <c r="K1876" s="9"/>
      <c r="L1876" s="9"/>
      <c r="M1876" s="9">
        <f t="shared" si="244"/>
        <v>20.399999999999999</v>
      </c>
      <c r="N1876" s="9">
        <f t="shared" si="245"/>
        <v>7.5</v>
      </c>
      <c r="O1876" s="9">
        <v>6.8</v>
      </c>
      <c r="P1876" s="9">
        <v>2.5</v>
      </c>
      <c r="Q1876" s="9" t="s">
        <v>5</v>
      </c>
      <c r="R1876" s="1">
        <v>0</v>
      </c>
      <c r="S1876" s="26"/>
    </row>
    <row r="1877" spans="1:19" ht="16.5" hidden="1" customHeight="1" x14ac:dyDescent="0.25">
      <c r="A1877" s="21"/>
      <c r="H1877" s="21"/>
      <c r="I1877" s="21"/>
      <c r="J1877" s="21"/>
      <c r="K1877" s="21"/>
      <c r="L1877" s="21"/>
      <c r="M1877" s="9">
        <f t="shared" si="244"/>
        <v>0</v>
      </c>
      <c r="N1877" s="9">
        <f t="shared" si="245"/>
        <v>0</v>
      </c>
      <c r="O1877" s="21"/>
      <c r="P1877" s="21"/>
      <c r="Q1877" s="21"/>
      <c r="S1877" s="25"/>
    </row>
    <row r="1878" spans="1:19" ht="16.5" customHeight="1" x14ac:dyDescent="0.25">
      <c r="A1878" s="9"/>
      <c r="B1878" s="39" t="s">
        <v>42</v>
      </c>
      <c r="C1878" s="40"/>
      <c r="D1878" s="40"/>
      <c r="E1878" s="40"/>
      <c r="F1878" s="40"/>
      <c r="G1878" s="41"/>
      <c r="H1878" s="23"/>
      <c r="I1878" s="24">
        <f>SUM(I1866:I1877)</f>
        <v>22</v>
      </c>
      <c r="J1878" s="9"/>
      <c r="K1878" s="9"/>
      <c r="L1878" s="9"/>
      <c r="M1878" s="9">
        <f t="shared" si="244"/>
        <v>160.82</v>
      </c>
      <c r="N1878" s="9">
        <f t="shared" si="245"/>
        <v>63.580000000000005</v>
      </c>
      <c r="O1878" s="24">
        <f>ROUND(SUM(M1866:M1877)/I1878,2)</f>
        <v>7.31</v>
      </c>
      <c r="P1878" s="24">
        <f>ROUND(SUM(N1866:N1877)/I1878,2)</f>
        <v>2.89</v>
      </c>
      <c r="Q1878" s="9"/>
      <c r="S1878" s="25"/>
    </row>
    <row r="1879" spans="1:19" ht="20.25" customHeight="1" x14ac:dyDescent="0.25">
      <c r="A1879" s="27" t="s">
        <v>88</v>
      </c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</row>
    <row r="1880" spans="1:19" ht="16.5" customHeight="1" x14ac:dyDescent="0.25">
      <c r="A1880" s="9"/>
      <c r="B1880" s="51" t="s">
        <v>98</v>
      </c>
      <c r="C1880" s="52"/>
      <c r="D1880" s="52"/>
      <c r="E1880" s="52"/>
      <c r="F1880" s="52"/>
      <c r="G1880" s="53"/>
      <c r="H1880" s="20"/>
      <c r="I1880" s="9">
        <v>3</v>
      </c>
      <c r="J1880" s="9"/>
      <c r="K1880" s="9"/>
      <c r="L1880" s="9"/>
      <c r="M1880" s="9">
        <f t="shared" ref="M1880:M1891" si="246">I1880*O1880</f>
        <v>21.6</v>
      </c>
      <c r="N1880" s="9">
        <f t="shared" ref="N1880:N1891" si="247">I1880*P1880</f>
        <v>9</v>
      </c>
      <c r="O1880" s="9">
        <v>7.2</v>
      </c>
      <c r="P1880" s="9">
        <v>3</v>
      </c>
      <c r="Q1880" s="9" t="s">
        <v>6</v>
      </c>
      <c r="R1880" s="1">
        <v>0</v>
      </c>
      <c r="S1880" s="26"/>
    </row>
    <row r="1881" spans="1:19" ht="16.5" customHeight="1" x14ac:dyDescent="0.25">
      <c r="A1881" s="9"/>
      <c r="B1881" s="51" t="s">
        <v>90</v>
      </c>
      <c r="C1881" s="52"/>
      <c r="D1881" s="52"/>
      <c r="E1881" s="52"/>
      <c r="F1881" s="52"/>
      <c r="G1881" s="53"/>
      <c r="H1881" s="20"/>
      <c r="I1881" s="9">
        <v>3</v>
      </c>
      <c r="J1881" s="9"/>
      <c r="K1881" s="9"/>
      <c r="L1881" s="9"/>
      <c r="M1881" s="9">
        <f t="shared" si="246"/>
        <v>21.9</v>
      </c>
      <c r="N1881" s="9">
        <f t="shared" si="247"/>
        <v>9</v>
      </c>
      <c r="O1881" s="9">
        <v>7.3</v>
      </c>
      <c r="P1881" s="9">
        <v>3</v>
      </c>
      <c r="Q1881" s="9" t="s">
        <v>6</v>
      </c>
      <c r="R1881" s="1">
        <v>0</v>
      </c>
      <c r="S1881" s="26"/>
    </row>
    <row r="1882" spans="1:19" ht="16.5" customHeight="1" x14ac:dyDescent="0.25">
      <c r="A1882" s="9"/>
      <c r="B1882" s="51" t="s">
        <v>91</v>
      </c>
      <c r="C1882" s="52"/>
      <c r="D1882" s="52"/>
      <c r="E1882" s="52"/>
      <c r="F1882" s="52"/>
      <c r="G1882" s="53"/>
      <c r="H1882" s="20"/>
      <c r="I1882" s="9">
        <v>2</v>
      </c>
      <c r="J1882" s="9"/>
      <c r="K1882" s="9"/>
      <c r="L1882" s="9"/>
      <c r="M1882" s="9">
        <f t="shared" si="246"/>
        <v>14</v>
      </c>
      <c r="N1882" s="9">
        <f t="shared" si="247"/>
        <v>6</v>
      </c>
      <c r="O1882" s="9">
        <v>7</v>
      </c>
      <c r="P1882" s="9">
        <v>3</v>
      </c>
      <c r="Q1882" s="9" t="s">
        <v>6</v>
      </c>
      <c r="R1882" s="1">
        <v>0</v>
      </c>
      <c r="S1882" s="26"/>
    </row>
    <row r="1883" spans="1:19" ht="16.5" customHeight="1" x14ac:dyDescent="0.25">
      <c r="A1883" s="9"/>
      <c r="B1883" s="51" t="s">
        <v>92</v>
      </c>
      <c r="C1883" s="52"/>
      <c r="D1883" s="52"/>
      <c r="E1883" s="52"/>
      <c r="F1883" s="52"/>
      <c r="G1883" s="53"/>
      <c r="H1883" s="20"/>
      <c r="I1883" s="9">
        <v>3</v>
      </c>
      <c r="J1883" s="9"/>
      <c r="K1883" s="9"/>
      <c r="L1883" s="9"/>
      <c r="M1883" s="9">
        <f t="shared" si="246"/>
        <v>18</v>
      </c>
      <c r="N1883" s="9">
        <f t="shared" si="247"/>
        <v>6</v>
      </c>
      <c r="O1883" s="9">
        <v>6</v>
      </c>
      <c r="P1883" s="9">
        <v>2</v>
      </c>
      <c r="Q1883" s="9" t="s">
        <v>3</v>
      </c>
      <c r="R1883" s="1">
        <v>0</v>
      </c>
      <c r="S1883" s="26"/>
    </row>
    <row r="1884" spans="1:19" ht="16.5" customHeight="1" x14ac:dyDescent="0.25">
      <c r="A1884" s="9"/>
      <c r="B1884" s="51" t="s">
        <v>93</v>
      </c>
      <c r="C1884" s="52"/>
      <c r="D1884" s="52"/>
      <c r="E1884" s="52"/>
      <c r="F1884" s="52"/>
      <c r="G1884" s="53"/>
      <c r="H1884" s="20"/>
      <c r="I1884" s="9">
        <v>1</v>
      </c>
      <c r="J1884" s="9"/>
      <c r="K1884" s="9"/>
      <c r="L1884" s="9"/>
      <c r="M1884" s="9">
        <f t="shared" si="246"/>
        <v>5.9</v>
      </c>
      <c r="N1884" s="9">
        <f t="shared" si="247"/>
        <v>2</v>
      </c>
      <c r="O1884" s="9">
        <v>5.9</v>
      </c>
      <c r="P1884" s="9">
        <v>2</v>
      </c>
      <c r="Q1884" s="9" t="s">
        <v>3</v>
      </c>
      <c r="R1884" s="1">
        <v>0</v>
      </c>
      <c r="S1884" s="26"/>
    </row>
    <row r="1885" spans="1:19" ht="16.5" customHeight="1" x14ac:dyDescent="0.25">
      <c r="A1885" s="9"/>
      <c r="B1885" s="51" t="s">
        <v>94</v>
      </c>
      <c r="C1885" s="52"/>
      <c r="D1885" s="52"/>
      <c r="E1885" s="52"/>
      <c r="F1885" s="52"/>
      <c r="G1885" s="53"/>
      <c r="H1885" s="20"/>
      <c r="I1885" s="9">
        <v>1</v>
      </c>
      <c r="J1885" s="9"/>
      <c r="K1885" s="9"/>
      <c r="L1885" s="9"/>
      <c r="M1885" s="9">
        <f t="shared" si="246"/>
        <v>7.4</v>
      </c>
      <c r="N1885" s="9">
        <f t="shared" si="247"/>
        <v>3</v>
      </c>
      <c r="O1885" s="9">
        <v>7.4</v>
      </c>
      <c r="P1885" s="9">
        <v>3</v>
      </c>
      <c r="Q1885" s="9" t="s">
        <v>6</v>
      </c>
      <c r="R1885" s="1">
        <v>0</v>
      </c>
      <c r="S1885" s="26"/>
    </row>
    <row r="1886" spans="1:19" ht="16.5" customHeight="1" x14ac:dyDescent="0.25">
      <c r="A1886" s="9"/>
      <c r="B1886" s="51" t="s">
        <v>95</v>
      </c>
      <c r="C1886" s="52"/>
      <c r="D1886" s="52"/>
      <c r="E1886" s="52"/>
      <c r="F1886" s="52"/>
      <c r="G1886" s="53"/>
      <c r="H1886" s="20"/>
      <c r="I1886" s="9">
        <v>3</v>
      </c>
      <c r="J1886" s="9"/>
      <c r="K1886" s="9"/>
      <c r="L1886" s="9"/>
      <c r="M1886" s="9">
        <f t="shared" si="246"/>
        <v>21.9</v>
      </c>
      <c r="N1886" s="9">
        <f t="shared" si="247"/>
        <v>9</v>
      </c>
      <c r="O1886" s="9">
        <v>7.3</v>
      </c>
      <c r="P1886" s="9">
        <v>3</v>
      </c>
      <c r="Q1886" s="9" t="s">
        <v>6</v>
      </c>
      <c r="R1886" s="1">
        <v>0</v>
      </c>
      <c r="S1886" s="26"/>
    </row>
    <row r="1887" spans="1:19" ht="16.5" customHeight="1" x14ac:dyDescent="0.25">
      <c r="A1887" s="9"/>
      <c r="B1887" s="51" t="s">
        <v>89</v>
      </c>
      <c r="C1887" s="52"/>
      <c r="D1887" s="52"/>
      <c r="E1887" s="52"/>
      <c r="F1887" s="52"/>
      <c r="G1887" s="53"/>
      <c r="H1887" s="20"/>
      <c r="I1887" s="9">
        <v>2</v>
      </c>
      <c r="J1887" s="9"/>
      <c r="K1887" s="9"/>
      <c r="L1887" s="9"/>
      <c r="M1887" s="9">
        <f t="shared" si="246"/>
        <v>15.4</v>
      </c>
      <c r="N1887" s="9">
        <f t="shared" si="247"/>
        <v>6</v>
      </c>
      <c r="O1887" s="9">
        <v>7.7</v>
      </c>
      <c r="P1887" s="9">
        <v>3</v>
      </c>
      <c r="Q1887" s="9" t="s">
        <v>6</v>
      </c>
      <c r="R1887" s="1">
        <v>0</v>
      </c>
      <c r="S1887" s="26"/>
    </row>
    <row r="1888" spans="1:19" ht="16.5" customHeight="1" x14ac:dyDescent="0.25">
      <c r="A1888" s="9"/>
      <c r="B1888" s="51" t="s">
        <v>97</v>
      </c>
      <c r="C1888" s="52"/>
      <c r="D1888" s="52"/>
      <c r="E1888" s="52"/>
      <c r="F1888" s="52"/>
      <c r="G1888" s="53"/>
      <c r="H1888" s="20"/>
      <c r="I1888" s="9">
        <v>1</v>
      </c>
      <c r="J1888" s="9"/>
      <c r="K1888" s="9"/>
      <c r="L1888" s="9"/>
      <c r="M1888" s="9">
        <f t="shared" si="246"/>
        <v>7.5</v>
      </c>
      <c r="N1888" s="9">
        <f t="shared" si="247"/>
        <v>3</v>
      </c>
      <c r="O1888" s="9">
        <v>7.5</v>
      </c>
      <c r="P1888" s="9">
        <v>3</v>
      </c>
      <c r="Q1888" s="9" t="s">
        <v>6</v>
      </c>
      <c r="R1888" s="1">
        <v>0</v>
      </c>
      <c r="S1888" s="26"/>
    </row>
    <row r="1889" spans="1:19" ht="16.5" customHeight="1" x14ac:dyDescent="0.25">
      <c r="A1889" s="9"/>
      <c r="B1889" s="51" t="s">
        <v>96</v>
      </c>
      <c r="C1889" s="52"/>
      <c r="D1889" s="52"/>
      <c r="E1889" s="52"/>
      <c r="F1889" s="52"/>
      <c r="G1889" s="53"/>
      <c r="H1889" s="20"/>
      <c r="I1889" s="9">
        <v>3</v>
      </c>
      <c r="J1889" s="9"/>
      <c r="K1889" s="9"/>
      <c r="L1889" s="9"/>
      <c r="M1889" s="9">
        <f t="shared" si="246"/>
        <v>21.9</v>
      </c>
      <c r="N1889" s="9">
        <f t="shared" si="247"/>
        <v>9</v>
      </c>
      <c r="O1889" s="9">
        <v>7.3</v>
      </c>
      <c r="P1889" s="9">
        <v>3</v>
      </c>
      <c r="Q1889" s="9" t="s">
        <v>6</v>
      </c>
      <c r="R1889" s="1">
        <v>0</v>
      </c>
      <c r="S1889" s="26"/>
    </row>
    <row r="1890" spans="1:19" ht="16.5" hidden="1" customHeight="1" x14ac:dyDescent="0.25">
      <c r="A1890" s="21"/>
      <c r="H1890" s="21"/>
      <c r="I1890" s="21"/>
      <c r="J1890" s="21"/>
      <c r="K1890" s="21"/>
      <c r="L1890" s="21"/>
      <c r="M1890" s="9">
        <f t="shared" si="246"/>
        <v>0</v>
      </c>
      <c r="N1890" s="9">
        <f t="shared" si="247"/>
        <v>0</v>
      </c>
      <c r="O1890" s="21"/>
      <c r="P1890" s="21"/>
      <c r="Q1890" s="21"/>
      <c r="S1890" s="25"/>
    </row>
    <row r="1891" spans="1:19" ht="16.5" customHeight="1" x14ac:dyDescent="0.25">
      <c r="A1891" s="9"/>
      <c r="B1891" s="39" t="s">
        <v>42</v>
      </c>
      <c r="C1891" s="40"/>
      <c r="D1891" s="40"/>
      <c r="E1891" s="40"/>
      <c r="F1891" s="40"/>
      <c r="G1891" s="41"/>
      <c r="H1891" s="23"/>
      <c r="I1891" s="24">
        <f>SUM(I1880:I1890)</f>
        <v>22</v>
      </c>
      <c r="J1891" s="9"/>
      <c r="K1891" s="9"/>
      <c r="L1891" s="9"/>
      <c r="M1891" s="9">
        <f t="shared" si="246"/>
        <v>155.54000000000002</v>
      </c>
      <c r="N1891" s="9">
        <f t="shared" si="247"/>
        <v>62.04</v>
      </c>
      <c r="O1891" s="24">
        <f>ROUND(SUM(M1880:M1890)/I1891,2)</f>
        <v>7.07</v>
      </c>
      <c r="P1891" s="24">
        <f>ROUND(SUM(N1880:N1890)/I1891,2)</f>
        <v>2.82</v>
      </c>
      <c r="Q1891" s="9"/>
      <c r="S1891" s="25"/>
    </row>
    <row r="1892" spans="1:19" ht="20.25" customHeight="1" x14ac:dyDescent="0.25">
      <c r="A1892" s="27" t="s">
        <v>99</v>
      </c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</row>
    <row r="1893" spans="1:19" ht="16.5" customHeight="1" x14ac:dyDescent="0.25">
      <c r="A1893" s="9"/>
      <c r="B1893" s="51" t="s">
        <v>100</v>
      </c>
      <c r="C1893" s="52"/>
      <c r="D1893" s="52"/>
      <c r="E1893" s="52"/>
      <c r="F1893" s="52"/>
      <c r="G1893" s="53"/>
      <c r="H1893" s="20"/>
      <c r="I1893" s="9">
        <v>2</v>
      </c>
      <c r="J1893" s="9"/>
      <c r="K1893" s="9"/>
      <c r="L1893" s="9"/>
      <c r="M1893" s="9">
        <f t="shared" ref="M1893:M1906" si="248">I1893*O1893</f>
        <v>14.2</v>
      </c>
      <c r="N1893" s="9">
        <f t="shared" ref="N1893:N1906" si="249">I1893*P1893</f>
        <v>6</v>
      </c>
      <c r="O1893" s="9">
        <v>7.1</v>
      </c>
      <c r="P1893" s="9">
        <v>3</v>
      </c>
      <c r="Q1893" s="9" t="s">
        <v>6</v>
      </c>
      <c r="R1893" s="1">
        <v>0</v>
      </c>
      <c r="S1893" s="26"/>
    </row>
    <row r="1894" spans="1:19" ht="16.5" customHeight="1" x14ac:dyDescent="0.25">
      <c r="A1894" s="9"/>
      <c r="B1894" s="51" t="s">
        <v>101</v>
      </c>
      <c r="C1894" s="52"/>
      <c r="D1894" s="52"/>
      <c r="E1894" s="52"/>
      <c r="F1894" s="52"/>
      <c r="G1894" s="53"/>
      <c r="H1894" s="20"/>
      <c r="I1894" s="9">
        <v>2</v>
      </c>
      <c r="J1894" s="9"/>
      <c r="K1894" s="9"/>
      <c r="L1894" s="9"/>
      <c r="M1894" s="9">
        <f t="shared" si="248"/>
        <v>15</v>
      </c>
      <c r="N1894" s="9">
        <f t="shared" si="249"/>
        <v>6</v>
      </c>
      <c r="O1894" s="9">
        <v>7.5</v>
      </c>
      <c r="P1894" s="9">
        <v>3</v>
      </c>
      <c r="Q1894" s="9" t="s">
        <v>6</v>
      </c>
      <c r="R1894" s="1">
        <v>0</v>
      </c>
      <c r="S1894" s="26"/>
    </row>
    <row r="1895" spans="1:19" ht="16.5" customHeight="1" x14ac:dyDescent="0.25">
      <c r="A1895" s="9"/>
      <c r="B1895" s="51" t="s">
        <v>102</v>
      </c>
      <c r="C1895" s="52"/>
      <c r="D1895" s="52"/>
      <c r="E1895" s="52"/>
      <c r="F1895" s="52"/>
      <c r="G1895" s="53"/>
      <c r="H1895" s="20"/>
      <c r="I1895" s="9">
        <v>1</v>
      </c>
      <c r="J1895" s="9"/>
      <c r="K1895" s="9"/>
      <c r="L1895" s="9"/>
      <c r="M1895" s="9">
        <f t="shared" si="248"/>
        <v>6.9</v>
      </c>
      <c r="N1895" s="9">
        <f t="shared" si="249"/>
        <v>2.5</v>
      </c>
      <c r="O1895" s="9">
        <v>6.9</v>
      </c>
      <c r="P1895" s="9">
        <v>2.5</v>
      </c>
      <c r="Q1895" s="9" t="s">
        <v>5</v>
      </c>
      <c r="R1895" s="1">
        <v>0</v>
      </c>
      <c r="S1895" s="26"/>
    </row>
    <row r="1896" spans="1:19" ht="16.5" customHeight="1" x14ac:dyDescent="0.25">
      <c r="A1896" s="9"/>
      <c r="B1896" s="51" t="s">
        <v>103</v>
      </c>
      <c r="C1896" s="52"/>
      <c r="D1896" s="52"/>
      <c r="E1896" s="52"/>
      <c r="F1896" s="52"/>
      <c r="G1896" s="53"/>
      <c r="H1896" s="20"/>
      <c r="I1896" s="9">
        <v>2</v>
      </c>
      <c r="J1896" s="9"/>
      <c r="K1896" s="9"/>
      <c r="L1896" s="9"/>
      <c r="M1896" s="9">
        <f t="shared" si="248"/>
        <v>12.4</v>
      </c>
      <c r="N1896" s="9">
        <f t="shared" si="249"/>
        <v>4</v>
      </c>
      <c r="O1896" s="9">
        <v>6.2</v>
      </c>
      <c r="P1896" s="9">
        <v>2</v>
      </c>
      <c r="Q1896" s="9" t="s">
        <v>3</v>
      </c>
      <c r="R1896" s="1">
        <v>0</v>
      </c>
      <c r="S1896" s="26"/>
    </row>
    <row r="1897" spans="1:19" ht="16.5" customHeight="1" x14ac:dyDescent="0.25">
      <c r="A1897" s="9"/>
      <c r="B1897" s="51" t="s">
        <v>104</v>
      </c>
      <c r="C1897" s="52"/>
      <c r="D1897" s="52"/>
      <c r="E1897" s="52"/>
      <c r="F1897" s="52"/>
      <c r="G1897" s="53"/>
      <c r="H1897" s="20"/>
      <c r="I1897" s="9">
        <v>3</v>
      </c>
      <c r="J1897" s="9"/>
      <c r="K1897" s="9"/>
      <c r="L1897" s="9"/>
      <c r="M1897" s="9">
        <f t="shared" si="248"/>
        <v>21</v>
      </c>
      <c r="N1897" s="9">
        <f t="shared" si="249"/>
        <v>9</v>
      </c>
      <c r="O1897" s="9">
        <v>7</v>
      </c>
      <c r="P1897" s="9">
        <v>3</v>
      </c>
      <c r="Q1897" s="9" t="s">
        <v>6</v>
      </c>
      <c r="R1897" s="1">
        <v>0</v>
      </c>
      <c r="S1897" s="26"/>
    </row>
    <row r="1898" spans="1:19" ht="16.5" customHeight="1" x14ac:dyDescent="0.25">
      <c r="A1898" s="9"/>
      <c r="B1898" s="51" t="s">
        <v>105</v>
      </c>
      <c r="C1898" s="52"/>
      <c r="D1898" s="52"/>
      <c r="E1898" s="52"/>
      <c r="F1898" s="52"/>
      <c r="G1898" s="53"/>
      <c r="H1898" s="20"/>
      <c r="I1898" s="9">
        <v>3</v>
      </c>
      <c r="J1898" s="9"/>
      <c r="K1898" s="9"/>
      <c r="L1898" s="9"/>
      <c r="M1898" s="9">
        <f t="shared" si="248"/>
        <v>24.900000000000002</v>
      </c>
      <c r="N1898" s="9">
        <f t="shared" si="249"/>
        <v>10.5</v>
      </c>
      <c r="O1898" s="9">
        <v>8.3000000000000007</v>
      </c>
      <c r="P1898" s="9">
        <v>3.5</v>
      </c>
      <c r="Q1898" s="9" t="s">
        <v>9</v>
      </c>
      <c r="R1898" s="1">
        <v>0</v>
      </c>
      <c r="S1898" s="26"/>
    </row>
    <row r="1899" spans="1:19" ht="16.5" customHeight="1" x14ac:dyDescent="0.25">
      <c r="A1899" s="9"/>
      <c r="B1899" s="51" t="s">
        <v>106</v>
      </c>
      <c r="C1899" s="52"/>
      <c r="D1899" s="52"/>
      <c r="E1899" s="52"/>
      <c r="F1899" s="52"/>
      <c r="G1899" s="53"/>
      <c r="H1899" s="20"/>
      <c r="I1899" s="9">
        <v>2</v>
      </c>
      <c r="J1899" s="9"/>
      <c r="K1899" s="9"/>
      <c r="L1899" s="9"/>
      <c r="M1899" s="9">
        <f t="shared" si="248"/>
        <v>13</v>
      </c>
      <c r="N1899" s="9">
        <f t="shared" si="249"/>
        <v>5</v>
      </c>
      <c r="O1899" s="9">
        <v>6.5</v>
      </c>
      <c r="P1899" s="9">
        <v>2.5</v>
      </c>
      <c r="Q1899" s="9" t="s">
        <v>5</v>
      </c>
      <c r="R1899" s="1">
        <v>0</v>
      </c>
      <c r="S1899" s="26"/>
    </row>
    <row r="1900" spans="1:19" ht="16.5" customHeight="1" x14ac:dyDescent="0.25">
      <c r="A1900" s="9"/>
      <c r="B1900" s="51" t="s">
        <v>107</v>
      </c>
      <c r="C1900" s="52"/>
      <c r="D1900" s="52"/>
      <c r="E1900" s="52"/>
      <c r="F1900" s="52"/>
      <c r="G1900" s="53"/>
      <c r="H1900" s="20"/>
      <c r="I1900" s="9">
        <v>3</v>
      </c>
      <c r="J1900" s="9"/>
      <c r="K1900" s="9"/>
      <c r="L1900" s="9"/>
      <c r="M1900" s="9">
        <f t="shared" si="248"/>
        <v>21.299999999999997</v>
      </c>
      <c r="N1900" s="9">
        <f t="shared" si="249"/>
        <v>9</v>
      </c>
      <c r="O1900" s="9">
        <v>7.1</v>
      </c>
      <c r="P1900" s="9">
        <v>3</v>
      </c>
      <c r="Q1900" s="9" t="s">
        <v>6</v>
      </c>
      <c r="R1900" s="1">
        <v>0</v>
      </c>
      <c r="S1900" s="26"/>
    </row>
    <row r="1901" spans="1:19" ht="16.5" customHeight="1" x14ac:dyDescent="0.25">
      <c r="A1901" s="9"/>
      <c r="B1901" s="51" t="s">
        <v>108</v>
      </c>
      <c r="C1901" s="52"/>
      <c r="D1901" s="52"/>
      <c r="E1901" s="52"/>
      <c r="F1901" s="52"/>
      <c r="G1901" s="53"/>
      <c r="H1901" s="20"/>
      <c r="I1901" s="9">
        <v>1</v>
      </c>
      <c r="J1901" s="9"/>
      <c r="K1901" s="9"/>
      <c r="L1901" s="9"/>
      <c r="M1901" s="9">
        <f t="shared" si="248"/>
        <v>8</v>
      </c>
      <c r="N1901" s="9">
        <f t="shared" si="249"/>
        <v>3.5</v>
      </c>
      <c r="O1901" s="9">
        <v>8</v>
      </c>
      <c r="P1901" s="9">
        <v>3.5</v>
      </c>
      <c r="Q1901" s="9" t="s">
        <v>9</v>
      </c>
      <c r="R1901" s="1">
        <v>0</v>
      </c>
      <c r="S1901" s="26"/>
    </row>
    <row r="1902" spans="1:19" ht="16.5" customHeight="1" x14ac:dyDescent="0.25">
      <c r="A1902" s="9"/>
      <c r="B1902" s="51" t="s">
        <v>111</v>
      </c>
      <c r="C1902" s="52"/>
      <c r="D1902" s="52"/>
      <c r="E1902" s="52"/>
      <c r="F1902" s="52"/>
      <c r="G1902" s="53"/>
      <c r="H1902" s="20"/>
      <c r="I1902" s="9">
        <v>3</v>
      </c>
      <c r="J1902" s="9"/>
      <c r="K1902" s="9"/>
      <c r="L1902" s="9"/>
      <c r="M1902" s="9">
        <f t="shared" si="248"/>
        <v>25.799999999999997</v>
      </c>
      <c r="N1902" s="9">
        <f t="shared" si="249"/>
        <v>11.100000000000001</v>
      </c>
      <c r="O1902" s="9">
        <v>8.6</v>
      </c>
      <c r="P1902" s="9">
        <v>3.7</v>
      </c>
      <c r="Q1902" s="9" t="s">
        <v>10</v>
      </c>
      <c r="R1902" s="1">
        <v>0</v>
      </c>
      <c r="S1902" s="26"/>
    </row>
    <row r="1903" spans="1:19" ht="16.5" customHeight="1" x14ac:dyDescent="0.25">
      <c r="A1903" s="9"/>
      <c r="B1903" s="51" t="s">
        <v>110</v>
      </c>
      <c r="C1903" s="52"/>
      <c r="D1903" s="52"/>
      <c r="E1903" s="52"/>
      <c r="F1903" s="52"/>
      <c r="G1903" s="53"/>
      <c r="H1903" s="20"/>
      <c r="I1903" s="9">
        <v>1</v>
      </c>
      <c r="J1903" s="9"/>
      <c r="K1903" s="9"/>
      <c r="L1903" s="9"/>
      <c r="M1903" s="9">
        <f t="shared" si="248"/>
        <v>8</v>
      </c>
      <c r="N1903" s="9">
        <f t="shared" si="249"/>
        <v>3.5</v>
      </c>
      <c r="O1903" s="9">
        <v>8</v>
      </c>
      <c r="P1903" s="9">
        <v>3.5</v>
      </c>
      <c r="Q1903" s="9" t="s">
        <v>9</v>
      </c>
      <c r="R1903" s="1">
        <v>0</v>
      </c>
      <c r="S1903" s="26"/>
    </row>
    <row r="1904" spans="1:19" ht="16.5" customHeight="1" x14ac:dyDescent="0.25">
      <c r="A1904" s="9"/>
      <c r="B1904" s="51" t="s">
        <v>109</v>
      </c>
      <c r="C1904" s="52"/>
      <c r="D1904" s="52"/>
      <c r="E1904" s="52"/>
      <c r="F1904" s="52"/>
      <c r="G1904" s="53"/>
      <c r="H1904" s="20"/>
      <c r="I1904" s="9">
        <v>2</v>
      </c>
      <c r="J1904" s="9"/>
      <c r="K1904" s="9"/>
      <c r="L1904" s="9"/>
      <c r="M1904" s="9">
        <f t="shared" si="248"/>
        <v>15.4</v>
      </c>
      <c r="N1904" s="9">
        <f t="shared" si="249"/>
        <v>6</v>
      </c>
      <c r="O1904" s="9">
        <v>7.7</v>
      </c>
      <c r="P1904" s="9">
        <v>3</v>
      </c>
      <c r="Q1904" s="9" t="s">
        <v>6</v>
      </c>
      <c r="R1904" s="1">
        <v>0</v>
      </c>
      <c r="S1904" s="26"/>
    </row>
    <row r="1905" spans="1:19" ht="16.5" hidden="1" customHeight="1" x14ac:dyDescent="0.25">
      <c r="A1905" s="21"/>
      <c r="H1905" s="21"/>
      <c r="I1905" s="21"/>
      <c r="J1905" s="21"/>
      <c r="K1905" s="21"/>
      <c r="L1905" s="21"/>
      <c r="M1905" s="9">
        <f t="shared" si="248"/>
        <v>0</v>
      </c>
      <c r="N1905" s="9">
        <f t="shared" si="249"/>
        <v>0</v>
      </c>
      <c r="O1905" s="21"/>
      <c r="P1905" s="21"/>
      <c r="Q1905" s="21"/>
      <c r="S1905" s="25"/>
    </row>
    <row r="1906" spans="1:19" ht="16.5" customHeight="1" x14ac:dyDescent="0.25">
      <c r="A1906" s="9"/>
      <c r="B1906" s="39" t="s">
        <v>42</v>
      </c>
      <c r="C1906" s="40"/>
      <c r="D1906" s="40"/>
      <c r="E1906" s="40"/>
      <c r="F1906" s="40"/>
      <c r="G1906" s="41"/>
      <c r="H1906" s="23"/>
      <c r="I1906" s="24">
        <f>SUM(I1893:I1905)</f>
        <v>25</v>
      </c>
      <c r="J1906" s="9"/>
      <c r="K1906" s="9"/>
      <c r="L1906" s="9"/>
      <c r="M1906" s="9">
        <f t="shared" si="248"/>
        <v>186</v>
      </c>
      <c r="N1906" s="9">
        <f t="shared" si="249"/>
        <v>76</v>
      </c>
      <c r="O1906" s="24">
        <f>ROUND(SUM(M1893:M1905)/I1906,2)</f>
        <v>7.44</v>
      </c>
      <c r="P1906" s="24">
        <f>ROUND(SUM(N1893:N1905)/I1906,2)</f>
        <v>3.04</v>
      </c>
      <c r="Q1906" s="9"/>
      <c r="S1906" s="25"/>
    </row>
    <row r="1907" spans="1:19" ht="20.25" customHeight="1" x14ac:dyDescent="0.25">
      <c r="A1907" s="27" t="s">
        <v>112</v>
      </c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</row>
    <row r="1908" spans="1:19" ht="16.5" customHeight="1" x14ac:dyDescent="0.25">
      <c r="A1908" s="9"/>
      <c r="B1908" s="51" t="s">
        <v>113</v>
      </c>
      <c r="C1908" s="52"/>
      <c r="D1908" s="52"/>
      <c r="E1908" s="52"/>
      <c r="F1908" s="52"/>
      <c r="G1908" s="53"/>
      <c r="H1908" s="20"/>
      <c r="I1908" s="9">
        <v>2</v>
      </c>
      <c r="J1908" s="9"/>
      <c r="K1908" s="9"/>
      <c r="L1908" s="9"/>
      <c r="M1908" s="9">
        <f t="shared" ref="M1908:M1916" si="250">I1908*O1908</f>
        <v>0</v>
      </c>
      <c r="N1908" s="9">
        <f t="shared" ref="N1908:N1916" si="251">I1908*P1908</f>
        <v>0</v>
      </c>
      <c r="O1908" s="9"/>
      <c r="P1908" s="9"/>
      <c r="Q1908" s="9"/>
      <c r="R1908" s="1">
        <v>0</v>
      </c>
      <c r="S1908" s="26"/>
    </row>
    <row r="1909" spans="1:19" ht="16.5" customHeight="1" x14ac:dyDescent="0.25">
      <c r="A1909" s="9"/>
      <c r="B1909" s="51" t="s">
        <v>114</v>
      </c>
      <c r="C1909" s="52"/>
      <c r="D1909" s="52"/>
      <c r="E1909" s="52"/>
      <c r="F1909" s="52"/>
      <c r="G1909" s="53"/>
      <c r="H1909" s="20"/>
      <c r="I1909" s="9">
        <v>3</v>
      </c>
      <c r="J1909" s="9"/>
      <c r="K1909" s="9"/>
      <c r="L1909" s="9"/>
      <c r="M1909" s="9">
        <f t="shared" si="250"/>
        <v>25.799999999999997</v>
      </c>
      <c r="N1909" s="9">
        <f t="shared" si="251"/>
        <v>11.100000000000001</v>
      </c>
      <c r="O1909" s="9">
        <v>8.6</v>
      </c>
      <c r="P1909" s="9">
        <v>3.7</v>
      </c>
      <c r="Q1909" s="9" t="s">
        <v>10</v>
      </c>
      <c r="R1909" s="1">
        <v>0</v>
      </c>
      <c r="S1909" s="26"/>
    </row>
    <row r="1910" spans="1:19" ht="16.5" customHeight="1" x14ac:dyDescent="0.25">
      <c r="A1910" s="9"/>
      <c r="B1910" s="51" t="s">
        <v>115</v>
      </c>
      <c r="C1910" s="52"/>
      <c r="D1910" s="52"/>
      <c r="E1910" s="52"/>
      <c r="F1910" s="52"/>
      <c r="G1910" s="53"/>
      <c r="H1910" s="20"/>
      <c r="I1910" s="9">
        <v>1</v>
      </c>
      <c r="J1910" s="9"/>
      <c r="K1910" s="9"/>
      <c r="L1910" s="9"/>
      <c r="M1910" s="9">
        <f t="shared" si="250"/>
        <v>6.8</v>
      </c>
      <c r="N1910" s="9">
        <f t="shared" si="251"/>
        <v>2.5</v>
      </c>
      <c r="O1910" s="9">
        <v>6.8</v>
      </c>
      <c r="P1910" s="9">
        <v>2.5</v>
      </c>
      <c r="Q1910" s="9" t="s">
        <v>5</v>
      </c>
      <c r="R1910" s="1">
        <v>0</v>
      </c>
      <c r="S1910" s="26"/>
    </row>
    <row r="1911" spans="1:19" ht="31.2" customHeight="1" x14ac:dyDescent="0.25">
      <c r="A1911" s="9"/>
      <c r="B1911" s="51" t="s">
        <v>119</v>
      </c>
      <c r="C1911" s="52"/>
      <c r="D1911" s="52"/>
      <c r="E1911" s="52"/>
      <c r="F1911" s="52"/>
      <c r="G1911" s="53"/>
      <c r="H1911" s="20"/>
      <c r="I1911" s="9">
        <v>2</v>
      </c>
      <c r="J1911" s="9"/>
      <c r="K1911" s="9"/>
      <c r="L1911" s="9"/>
      <c r="M1911" s="9">
        <f t="shared" si="250"/>
        <v>0</v>
      </c>
      <c r="N1911" s="9">
        <f t="shared" si="251"/>
        <v>0</v>
      </c>
      <c r="O1911" s="9"/>
      <c r="P1911" s="9"/>
      <c r="Q1911" s="9"/>
      <c r="R1911" s="1">
        <v>0</v>
      </c>
      <c r="S1911" s="26"/>
    </row>
    <row r="1912" spans="1:19" ht="16.5" customHeight="1" x14ac:dyDescent="0.25">
      <c r="A1912" s="9"/>
      <c r="B1912" s="51" t="s">
        <v>117</v>
      </c>
      <c r="C1912" s="52"/>
      <c r="D1912" s="52"/>
      <c r="E1912" s="52"/>
      <c r="F1912" s="52"/>
      <c r="G1912" s="53"/>
      <c r="H1912" s="20"/>
      <c r="I1912" s="9">
        <v>3</v>
      </c>
      <c r="J1912" s="9"/>
      <c r="K1912" s="9"/>
      <c r="L1912" s="9"/>
      <c r="M1912" s="9">
        <f t="shared" si="250"/>
        <v>17.700000000000003</v>
      </c>
      <c r="N1912" s="9">
        <f t="shared" si="251"/>
        <v>6</v>
      </c>
      <c r="O1912" s="9">
        <v>5.9</v>
      </c>
      <c r="P1912" s="9">
        <v>2</v>
      </c>
      <c r="Q1912" s="9" t="s">
        <v>3</v>
      </c>
      <c r="R1912" s="1">
        <v>0</v>
      </c>
      <c r="S1912" s="26"/>
    </row>
    <row r="1913" spans="1:19" ht="16.5" customHeight="1" x14ac:dyDescent="0.25">
      <c r="A1913" s="9"/>
      <c r="B1913" s="51" t="s">
        <v>116</v>
      </c>
      <c r="C1913" s="52"/>
      <c r="D1913" s="52"/>
      <c r="E1913" s="52"/>
      <c r="F1913" s="52"/>
      <c r="G1913" s="53"/>
      <c r="H1913" s="20"/>
      <c r="I1913" s="9">
        <v>3</v>
      </c>
      <c r="J1913" s="9"/>
      <c r="K1913" s="9"/>
      <c r="L1913" s="9"/>
      <c r="M1913" s="9">
        <f t="shared" si="250"/>
        <v>22.5</v>
      </c>
      <c r="N1913" s="9">
        <f t="shared" si="251"/>
        <v>9</v>
      </c>
      <c r="O1913" s="9">
        <v>7.5</v>
      </c>
      <c r="P1913" s="9">
        <v>3</v>
      </c>
      <c r="Q1913" s="9" t="s">
        <v>6</v>
      </c>
      <c r="R1913" s="1">
        <v>0</v>
      </c>
      <c r="S1913" s="26"/>
    </row>
    <row r="1914" spans="1:19" ht="16.5" customHeight="1" x14ac:dyDescent="0.25">
      <c r="A1914" s="9"/>
      <c r="B1914" s="51" t="s">
        <v>118</v>
      </c>
      <c r="C1914" s="52"/>
      <c r="D1914" s="52"/>
      <c r="E1914" s="52"/>
      <c r="F1914" s="52"/>
      <c r="G1914" s="53"/>
      <c r="H1914" s="20"/>
      <c r="I1914" s="9">
        <v>3</v>
      </c>
      <c r="J1914" s="9"/>
      <c r="K1914" s="9"/>
      <c r="L1914" s="9"/>
      <c r="M1914" s="9">
        <f t="shared" si="250"/>
        <v>21</v>
      </c>
      <c r="N1914" s="9">
        <f t="shared" si="251"/>
        <v>9</v>
      </c>
      <c r="O1914" s="9">
        <v>7</v>
      </c>
      <c r="P1914" s="9">
        <v>3</v>
      </c>
      <c r="Q1914" s="9" t="s">
        <v>6</v>
      </c>
      <c r="R1914" s="1">
        <v>0</v>
      </c>
      <c r="S1914" s="26"/>
    </row>
    <row r="1915" spans="1:19" ht="16.5" hidden="1" customHeight="1" x14ac:dyDescent="0.25">
      <c r="A1915" s="21"/>
      <c r="H1915" s="21"/>
      <c r="I1915" s="21"/>
      <c r="J1915" s="21"/>
      <c r="K1915" s="21"/>
      <c r="L1915" s="21"/>
      <c r="M1915" s="9">
        <f t="shared" si="250"/>
        <v>0</v>
      </c>
      <c r="N1915" s="9">
        <f t="shared" si="251"/>
        <v>0</v>
      </c>
      <c r="O1915" s="21"/>
      <c r="P1915" s="21"/>
      <c r="Q1915" s="21"/>
      <c r="S1915" s="25"/>
    </row>
    <row r="1916" spans="1:19" ht="16.5" customHeight="1" x14ac:dyDescent="0.25">
      <c r="A1916" s="9"/>
      <c r="B1916" s="39" t="s">
        <v>42</v>
      </c>
      <c r="C1916" s="40"/>
      <c r="D1916" s="40"/>
      <c r="E1916" s="40"/>
      <c r="F1916" s="40"/>
      <c r="G1916" s="41"/>
      <c r="H1916" s="23"/>
      <c r="I1916" s="24">
        <f>SUM(I1908:I1915)</f>
        <v>17</v>
      </c>
      <c r="J1916" s="9"/>
      <c r="K1916" s="9"/>
      <c r="L1916" s="9"/>
      <c r="M1916" s="9">
        <f t="shared" si="250"/>
        <v>93.839999999999989</v>
      </c>
      <c r="N1916" s="9">
        <f t="shared" si="251"/>
        <v>37.57</v>
      </c>
      <c r="O1916" s="24">
        <f>ROUND(SUM(M1908:M1915)/I1916,2)</f>
        <v>5.52</v>
      </c>
      <c r="P1916" s="24">
        <f>ROUND(SUM(N1908:N1915)/I1916,2)</f>
        <v>2.21</v>
      </c>
      <c r="Q1916" s="9"/>
      <c r="S1916" s="25"/>
    </row>
    <row r="1917" spans="1:19" ht="16.5" customHeight="1" x14ac:dyDescent="0.25">
      <c r="A1917" s="21"/>
      <c r="B1917" s="22"/>
      <c r="C1917" s="22"/>
      <c r="D1917" s="22"/>
      <c r="E1917" s="22"/>
      <c r="F1917" s="22"/>
      <c r="G1917" s="22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</row>
    <row r="1919" spans="1:19" ht="18" x14ac:dyDescent="0.25">
      <c r="A1919" s="35" t="s">
        <v>128</v>
      </c>
      <c r="B1919" s="35"/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  <c r="N1919" s="35"/>
      <c r="O1919" s="35"/>
      <c r="P1919" s="35"/>
      <c r="Q1919" s="35"/>
      <c r="R1919" s="35"/>
      <c r="S1919" s="35"/>
    </row>
    <row r="1920" spans="1:19" ht="18" x14ac:dyDescent="0.25">
      <c r="A1920" s="35" t="s">
        <v>214</v>
      </c>
      <c r="B1920" s="35"/>
      <c r="C1920" s="35"/>
      <c r="D1920" s="35"/>
      <c r="E1920" s="35"/>
      <c r="F1920" s="35"/>
      <c r="G1920" s="35"/>
      <c r="H1920" s="35"/>
      <c r="I1920" s="35"/>
      <c r="J1920" s="35"/>
      <c r="K1920" s="35"/>
      <c r="L1920" s="35"/>
      <c r="M1920" s="35"/>
      <c r="N1920" s="35"/>
      <c r="O1920" s="35"/>
      <c r="P1920" s="35"/>
      <c r="Q1920" s="35"/>
      <c r="R1920" s="35"/>
      <c r="S1920" s="35"/>
    </row>
    <row r="1921" spans="1:20" ht="18" x14ac:dyDescent="0.25">
      <c r="A1921" s="35" t="s">
        <v>177</v>
      </c>
      <c r="B1921" s="35"/>
      <c r="C1921" s="35"/>
      <c r="D1921" s="35"/>
      <c r="E1921" s="35"/>
      <c r="F1921" s="35"/>
      <c r="G1921" s="35"/>
      <c r="H1921" s="35"/>
      <c r="I1921" s="35"/>
      <c r="J1921" s="35"/>
      <c r="K1921" s="35"/>
      <c r="L1921" s="35"/>
      <c r="M1921" s="35"/>
      <c r="N1921" s="35"/>
      <c r="O1921" s="35"/>
      <c r="P1921" s="35"/>
      <c r="Q1921" s="35"/>
      <c r="R1921" s="35"/>
      <c r="S1921" s="35"/>
    </row>
    <row r="1922" spans="1:20" ht="18" x14ac:dyDescent="0.25">
      <c r="A1922" s="45" t="s">
        <v>156</v>
      </c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</row>
    <row r="1923" spans="1:20" ht="19.5" customHeight="1" x14ac:dyDescent="0.25">
      <c r="A1923" s="17"/>
      <c r="B1923" s="17"/>
      <c r="C1923" s="8"/>
      <c r="D1923" s="18"/>
      <c r="E1923" s="10"/>
      <c r="F1923" s="11"/>
      <c r="G1923" s="46" t="s">
        <v>49</v>
      </c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</row>
    <row r="1924" spans="1:20" ht="31.5" customHeight="1" x14ac:dyDescent="0.3">
      <c r="A1924" s="8"/>
      <c r="B1924" s="8"/>
      <c r="C1924" s="8"/>
      <c r="D1924" s="8"/>
      <c r="E1924" s="8"/>
      <c r="F1924" s="8"/>
      <c r="G1924" s="8"/>
      <c r="H1924" s="12"/>
      <c r="I1924" s="42" t="s">
        <v>40</v>
      </c>
      <c r="J1924" s="43"/>
      <c r="K1924" s="43"/>
      <c r="L1924" s="43"/>
      <c r="M1924" s="43"/>
      <c r="N1924" s="43"/>
      <c r="O1924" s="43"/>
      <c r="P1924" s="43"/>
      <c r="Q1924" s="43"/>
      <c r="R1924" s="43"/>
      <c r="S1924" s="43"/>
    </row>
    <row r="1925" spans="1:20" ht="16.8" x14ac:dyDescent="0.3">
      <c r="A1925" s="8"/>
      <c r="B1925" s="8"/>
      <c r="C1925" s="8"/>
      <c r="D1925" s="8"/>
      <c r="E1925" s="8"/>
      <c r="F1925" s="8"/>
      <c r="G1925" s="8"/>
      <c r="H1925" s="12"/>
      <c r="I1925" s="12"/>
      <c r="J1925" s="12"/>
      <c r="K1925" s="12"/>
      <c r="L1925" s="8"/>
      <c r="M1925" s="8"/>
      <c r="N1925" s="8"/>
      <c r="O1925" s="8"/>
      <c r="P1925" s="8"/>
      <c r="Q1925" s="8"/>
    </row>
    <row r="1926" spans="1:20" ht="33" customHeight="1" x14ac:dyDescent="0.3">
      <c r="A1926" s="8"/>
      <c r="B1926" s="8"/>
      <c r="C1926" s="8"/>
      <c r="D1926" s="8"/>
      <c r="E1926" s="8"/>
      <c r="F1926" s="8"/>
      <c r="G1926" s="8"/>
      <c r="H1926" s="12"/>
      <c r="I1926" s="12"/>
      <c r="J1926" s="12"/>
      <c r="K1926" s="12"/>
      <c r="L1926" s="8"/>
      <c r="M1926" s="8"/>
      <c r="N1926" s="8"/>
      <c r="O1926" s="8"/>
      <c r="P1926" s="8"/>
      <c r="Q1926" s="8"/>
    </row>
    <row r="1927" spans="1:20" ht="11.25" customHeight="1" x14ac:dyDescent="0.3">
      <c r="A1927" s="8"/>
      <c r="B1927" s="8"/>
      <c r="C1927" s="8"/>
      <c r="D1927" s="8"/>
      <c r="E1927" s="8"/>
      <c r="F1927" s="8"/>
      <c r="G1927" s="8"/>
      <c r="H1927" s="12"/>
      <c r="I1927" s="12"/>
      <c r="J1927" s="12"/>
      <c r="K1927" s="12"/>
      <c r="L1927" s="8"/>
      <c r="M1927" s="8"/>
      <c r="N1927" s="8"/>
      <c r="O1927" s="8"/>
      <c r="P1927" s="8"/>
      <c r="Q1927" s="8"/>
    </row>
    <row r="1928" spans="1:20" ht="17.399999999999999" x14ac:dyDescent="0.3">
      <c r="A1928" s="8"/>
      <c r="B1928" s="8"/>
      <c r="C1928" s="8"/>
      <c r="D1928" s="8"/>
      <c r="E1928" s="8"/>
      <c r="F1928" s="8"/>
      <c r="G1928" s="47" t="s">
        <v>41</v>
      </c>
      <c r="H1928" s="47"/>
      <c r="I1928" s="47"/>
      <c r="J1928" s="47"/>
      <c r="K1928" s="47"/>
      <c r="L1928" s="47"/>
      <c r="M1928" s="47"/>
      <c r="N1928" s="47"/>
      <c r="O1928" s="47"/>
      <c r="P1928" s="47"/>
      <c r="Q1928" s="47"/>
      <c r="R1928" s="47"/>
      <c r="S1928" s="47"/>
    </row>
    <row r="1929" spans="1:20" ht="54" customHeight="1" x14ac:dyDescent="0.25">
      <c r="A1929" s="48" t="s">
        <v>33</v>
      </c>
      <c r="B1929" s="48"/>
      <c r="C1929" s="48"/>
      <c r="D1929" s="48"/>
      <c r="E1929" s="48"/>
      <c r="F1929" s="42" t="s">
        <v>24</v>
      </c>
      <c r="G1929" s="42"/>
      <c r="H1929" s="42"/>
      <c r="I1929" s="42"/>
      <c r="J1929" s="42"/>
      <c r="K1929" s="42"/>
      <c r="L1929" s="42"/>
      <c r="M1929" s="42"/>
      <c r="N1929" s="42"/>
      <c r="O1929" s="42"/>
      <c r="P1929" s="42"/>
      <c r="Q1929" s="42"/>
      <c r="R1929" s="42"/>
      <c r="S1929" s="42"/>
    </row>
    <row r="1930" spans="1:20" ht="17.399999999999999" x14ac:dyDescent="0.25">
      <c r="A1930" s="49" t="s">
        <v>34</v>
      </c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</row>
    <row r="1931" spans="1:20" ht="4.5" customHeight="1" x14ac:dyDescent="0.25">
      <c r="A1931" s="50"/>
      <c r="B1931" s="50"/>
      <c r="C1931" s="50"/>
      <c r="D1931" s="50"/>
      <c r="E1931" s="50"/>
      <c r="F1931" s="50"/>
      <c r="G1931" s="50"/>
      <c r="H1931" s="50"/>
      <c r="I1931" s="50"/>
      <c r="J1931" s="50"/>
      <c r="K1931" s="50"/>
      <c r="L1931" s="50"/>
      <c r="M1931" s="50"/>
      <c r="N1931" s="50"/>
      <c r="O1931" s="50"/>
      <c r="P1931" s="50"/>
      <c r="Q1931" s="50"/>
    </row>
    <row r="1932" spans="1:20" ht="5.25" customHeight="1" x14ac:dyDescent="0.25">
      <c r="A1932" s="50"/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</row>
    <row r="1933" spans="1:20" ht="16.5" customHeight="1" x14ac:dyDescent="0.25">
      <c r="A1933" s="54" t="s">
        <v>215</v>
      </c>
      <c r="B1933" s="54"/>
      <c r="C1933" s="54"/>
      <c r="D1933" s="54"/>
      <c r="E1933" s="54"/>
      <c r="F1933" s="54"/>
      <c r="G1933" s="58" t="s">
        <v>216</v>
      </c>
      <c r="H1933" s="58"/>
      <c r="I1933" s="58"/>
      <c r="J1933" s="58"/>
      <c r="K1933" s="58"/>
      <c r="L1933" s="58"/>
      <c r="M1933" s="58"/>
      <c r="N1933" s="58"/>
      <c r="O1933" s="58"/>
      <c r="P1933" s="58"/>
      <c r="Q1933" s="58"/>
      <c r="R1933" s="58"/>
      <c r="S1933" s="58"/>
    </row>
    <row r="1934" spans="1:20" ht="16.5" customHeight="1" x14ac:dyDescent="0.25">
      <c r="A1934" s="54" t="s">
        <v>217</v>
      </c>
      <c r="B1934" s="54"/>
      <c r="C1934" s="54"/>
      <c r="D1934" s="54"/>
      <c r="E1934" s="54"/>
      <c r="F1934" s="54"/>
      <c r="G1934" s="8" t="s">
        <v>46</v>
      </c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T1934" s="2"/>
    </row>
    <row r="1935" spans="1:20" ht="16.5" customHeight="1" x14ac:dyDescent="0.25">
      <c r="A1935" s="54" t="s">
        <v>47</v>
      </c>
      <c r="B1935" s="54"/>
      <c r="C1935" s="54"/>
      <c r="D1935" s="54"/>
      <c r="E1935" s="54"/>
      <c r="F1935" s="54"/>
      <c r="G1935" s="58" t="s">
        <v>48</v>
      </c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</row>
    <row r="1936" spans="1:20" ht="5.25" customHeight="1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19"/>
      <c r="K1936" s="19"/>
      <c r="L1936" s="19"/>
      <c r="M1936" s="19"/>
      <c r="N1936" s="19"/>
      <c r="O1936" s="19"/>
      <c r="P1936" s="19"/>
      <c r="Q1936" s="19"/>
    </row>
    <row r="1937" spans="1:19" ht="15" customHeight="1" x14ac:dyDescent="0.25">
      <c r="A1937" s="36" t="s">
        <v>0</v>
      </c>
      <c r="B1937" s="29" t="s">
        <v>1</v>
      </c>
      <c r="C1937" s="30"/>
      <c r="D1937" s="30"/>
      <c r="E1937" s="30"/>
      <c r="F1937" s="30"/>
      <c r="G1937" s="31"/>
      <c r="H1937" s="36" t="s">
        <v>32</v>
      </c>
      <c r="I1937" s="36" t="s">
        <v>39</v>
      </c>
      <c r="J1937" s="55" t="s">
        <v>2</v>
      </c>
      <c r="K1937" s="56"/>
      <c r="L1937" s="56"/>
      <c r="M1937" s="56"/>
      <c r="N1937" s="56"/>
      <c r="O1937" s="56"/>
      <c r="P1937" s="56"/>
      <c r="Q1937" s="57"/>
      <c r="S1937" s="36" t="s">
        <v>38</v>
      </c>
    </row>
    <row r="1938" spans="1:19" ht="24" customHeight="1" x14ac:dyDescent="0.25">
      <c r="A1938" s="37"/>
      <c r="B1938" s="32"/>
      <c r="C1938" s="33"/>
      <c r="D1938" s="33"/>
      <c r="E1938" s="33"/>
      <c r="F1938" s="33"/>
      <c r="G1938" s="34"/>
      <c r="H1938" s="37"/>
      <c r="I1938" s="37"/>
      <c r="J1938" s="7" t="s">
        <v>28</v>
      </c>
      <c r="K1938" s="7" t="s">
        <v>29</v>
      </c>
      <c r="L1938" s="7" t="s">
        <v>30</v>
      </c>
      <c r="M1938" s="7"/>
      <c r="N1938" s="7"/>
      <c r="O1938" s="6" t="s">
        <v>35</v>
      </c>
      <c r="P1938" s="6" t="s">
        <v>36</v>
      </c>
      <c r="Q1938" s="6" t="s">
        <v>37</v>
      </c>
      <c r="S1938" s="37"/>
    </row>
    <row r="1939" spans="1:19" ht="20.25" customHeight="1" x14ac:dyDescent="0.25">
      <c r="A1939" s="27" t="s">
        <v>54</v>
      </c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</row>
    <row r="1940" spans="1:19" ht="16.5" customHeight="1" x14ac:dyDescent="0.25">
      <c r="A1940" s="9"/>
      <c r="B1940" s="51" t="s">
        <v>55</v>
      </c>
      <c r="C1940" s="52"/>
      <c r="D1940" s="52"/>
      <c r="E1940" s="52"/>
      <c r="F1940" s="52"/>
      <c r="G1940" s="53"/>
      <c r="H1940" s="20"/>
      <c r="I1940" s="9">
        <v>2</v>
      </c>
      <c r="J1940" s="9"/>
      <c r="K1940" s="9"/>
      <c r="L1940" s="9"/>
      <c r="M1940" s="9">
        <f t="shared" ref="M1940:M1948" si="252">I1940*O1940</f>
        <v>15.4</v>
      </c>
      <c r="N1940" s="9">
        <f t="shared" ref="N1940:N1948" si="253">I1940*P1940</f>
        <v>6</v>
      </c>
      <c r="O1940" s="9">
        <v>7.7</v>
      </c>
      <c r="P1940" s="9">
        <v>3</v>
      </c>
      <c r="Q1940" s="9" t="s">
        <v>6</v>
      </c>
      <c r="R1940" s="1">
        <v>0</v>
      </c>
      <c r="S1940" s="26"/>
    </row>
    <row r="1941" spans="1:19" ht="16.5" customHeight="1" x14ac:dyDescent="0.25">
      <c r="A1941" s="9"/>
      <c r="B1941" s="51" t="s">
        <v>56</v>
      </c>
      <c r="C1941" s="52"/>
      <c r="D1941" s="52"/>
      <c r="E1941" s="52"/>
      <c r="F1941" s="52"/>
      <c r="G1941" s="53"/>
      <c r="H1941" s="20"/>
      <c r="I1941" s="9">
        <v>3</v>
      </c>
      <c r="J1941" s="9"/>
      <c r="K1941" s="9"/>
      <c r="L1941" s="9"/>
      <c r="M1941" s="9">
        <f t="shared" si="252"/>
        <v>23.4</v>
      </c>
      <c r="N1941" s="9">
        <f t="shared" si="253"/>
        <v>9</v>
      </c>
      <c r="O1941" s="9">
        <v>7.8</v>
      </c>
      <c r="P1941" s="9">
        <v>3</v>
      </c>
      <c r="Q1941" s="9" t="s">
        <v>6</v>
      </c>
      <c r="R1941" s="1">
        <v>0</v>
      </c>
      <c r="S1941" s="26"/>
    </row>
    <row r="1942" spans="1:19" ht="31.2" customHeight="1" x14ac:dyDescent="0.25">
      <c r="A1942" s="9"/>
      <c r="B1942" s="51" t="s">
        <v>57</v>
      </c>
      <c r="C1942" s="52"/>
      <c r="D1942" s="52"/>
      <c r="E1942" s="52"/>
      <c r="F1942" s="52"/>
      <c r="G1942" s="53"/>
      <c r="H1942" s="20"/>
      <c r="I1942" s="9">
        <v>3</v>
      </c>
      <c r="J1942" s="9"/>
      <c r="K1942" s="9"/>
      <c r="L1942" s="9"/>
      <c r="M1942" s="9">
        <f t="shared" si="252"/>
        <v>22.799999999999997</v>
      </c>
      <c r="N1942" s="9">
        <f t="shared" si="253"/>
        <v>9</v>
      </c>
      <c r="O1942" s="9">
        <v>7.6</v>
      </c>
      <c r="P1942" s="9">
        <v>3</v>
      </c>
      <c r="Q1942" s="9" t="s">
        <v>6</v>
      </c>
      <c r="R1942" s="1">
        <v>0</v>
      </c>
      <c r="S1942" s="26"/>
    </row>
    <row r="1943" spans="1:19" ht="16.5" customHeight="1" x14ac:dyDescent="0.25">
      <c r="A1943" s="9"/>
      <c r="B1943" s="51" t="s">
        <v>58</v>
      </c>
      <c r="C1943" s="52"/>
      <c r="D1943" s="52"/>
      <c r="E1943" s="52"/>
      <c r="F1943" s="52"/>
      <c r="G1943" s="53"/>
      <c r="H1943" s="20"/>
      <c r="I1943" s="9">
        <v>1</v>
      </c>
      <c r="J1943" s="9"/>
      <c r="K1943" s="9"/>
      <c r="L1943" s="9"/>
      <c r="M1943" s="9">
        <f t="shared" si="252"/>
        <v>7.3</v>
      </c>
      <c r="N1943" s="9">
        <f t="shared" si="253"/>
        <v>3</v>
      </c>
      <c r="O1943" s="9">
        <v>7.3</v>
      </c>
      <c r="P1943" s="9">
        <v>3</v>
      </c>
      <c r="Q1943" s="9" t="s">
        <v>6</v>
      </c>
      <c r="R1943" s="1">
        <v>0</v>
      </c>
      <c r="S1943" s="26"/>
    </row>
    <row r="1944" spans="1:19" ht="16.5" customHeight="1" x14ac:dyDescent="0.25">
      <c r="A1944" s="9"/>
      <c r="B1944" s="51" t="s">
        <v>59</v>
      </c>
      <c r="C1944" s="52"/>
      <c r="D1944" s="52"/>
      <c r="E1944" s="52"/>
      <c r="F1944" s="52"/>
      <c r="G1944" s="53"/>
      <c r="H1944" s="20"/>
      <c r="I1944" s="9">
        <v>1</v>
      </c>
      <c r="J1944" s="9"/>
      <c r="K1944" s="9"/>
      <c r="L1944" s="9"/>
      <c r="M1944" s="9">
        <f t="shared" si="252"/>
        <v>7.4</v>
      </c>
      <c r="N1944" s="9">
        <f t="shared" si="253"/>
        <v>3</v>
      </c>
      <c r="O1944" s="9">
        <v>7.4</v>
      </c>
      <c r="P1944" s="9">
        <v>3</v>
      </c>
      <c r="Q1944" s="9" t="s">
        <v>6</v>
      </c>
      <c r="R1944" s="1">
        <v>0</v>
      </c>
      <c r="S1944" s="26"/>
    </row>
    <row r="1945" spans="1:19" ht="16.5" customHeight="1" x14ac:dyDescent="0.25">
      <c r="A1945" s="9"/>
      <c r="B1945" s="51" t="s">
        <v>60</v>
      </c>
      <c r="C1945" s="52"/>
      <c r="D1945" s="52"/>
      <c r="E1945" s="52"/>
      <c r="F1945" s="52"/>
      <c r="G1945" s="53"/>
      <c r="H1945" s="20"/>
      <c r="I1945" s="9">
        <v>3</v>
      </c>
      <c r="J1945" s="9"/>
      <c r="K1945" s="9"/>
      <c r="L1945" s="9"/>
      <c r="M1945" s="9">
        <f t="shared" si="252"/>
        <v>24.599999999999998</v>
      </c>
      <c r="N1945" s="9">
        <f t="shared" si="253"/>
        <v>10.5</v>
      </c>
      <c r="O1945" s="9">
        <v>8.1999999999999993</v>
      </c>
      <c r="P1945" s="9">
        <v>3.5</v>
      </c>
      <c r="Q1945" s="9" t="s">
        <v>9</v>
      </c>
      <c r="R1945" s="1">
        <v>0</v>
      </c>
      <c r="S1945" s="26"/>
    </row>
    <row r="1946" spans="1:19" ht="16.5" customHeight="1" x14ac:dyDescent="0.25">
      <c r="A1946" s="9"/>
      <c r="B1946" s="51" t="s">
        <v>61</v>
      </c>
      <c r="C1946" s="52"/>
      <c r="D1946" s="52"/>
      <c r="E1946" s="52"/>
      <c r="F1946" s="52"/>
      <c r="G1946" s="53"/>
      <c r="H1946" s="20"/>
      <c r="I1946" s="9">
        <v>1</v>
      </c>
      <c r="J1946" s="9"/>
      <c r="K1946" s="9"/>
      <c r="L1946" s="9"/>
      <c r="M1946" s="9">
        <f t="shared" si="252"/>
        <v>4.5999999999999996</v>
      </c>
      <c r="N1946" s="9">
        <f t="shared" si="253"/>
        <v>1</v>
      </c>
      <c r="O1946" s="9">
        <v>4.5999999999999996</v>
      </c>
      <c r="P1946" s="9">
        <v>1</v>
      </c>
      <c r="Q1946" s="9" t="s">
        <v>8</v>
      </c>
      <c r="R1946" s="1">
        <v>0</v>
      </c>
      <c r="S1946" s="26"/>
    </row>
    <row r="1947" spans="1:19" ht="16.5" hidden="1" customHeight="1" x14ac:dyDescent="0.25">
      <c r="A1947" s="21"/>
      <c r="H1947" s="21"/>
      <c r="I1947" s="21"/>
      <c r="J1947" s="21"/>
      <c r="K1947" s="21"/>
      <c r="L1947" s="21"/>
      <c r="M1947" s="9">
        <f t="shared" si="252"/>
        <v>0</v>
      </c>
      <c r="N1947" s="9">
        <f t="shared" si="253"/>
        <v>0</v>
      </c>
      <c r="O1947" s="21"/>
      <c r="P1947" s="21"/>
      <c r="Q1947" s="21"/>
      <c r="S1947" s="25"/>
    </row>
    <row r="1948" spans="1:19" ht="16.5" customHeight="1" x14ac:dyDescent="0.25">
      <c r="A1948" s="9"/>
      <c r="B1948" s="39" t="s">
        <v>42</v>
      </c>
      <c r="C1948" s="40"/>
      <c r="D1948" s="40"/>
      <c r="E1948" s="40"/>
      <c r="F1948" s="40"/>
      <c r="G1948" s="41"/>
      <c r="H1948" s="23"/>
      <c r="I1948" s="24">
        <f>SUM(I1940:I1947)</f>
        <v>14</v>
      </c>
      <c r="J1948" s="9"/>
      <c r="K1948" s="9"/>
      <c r="L1948" s="9"/>
      <c r="M1948" s="9">
        <f t="shared" si="252"/>
        <v>105.56</v>
      </c>
      <c r="N1948" s="9">
        <f t="shared" si="253"/>
        <v>41.44</v>
      </c>
      <c r="O1948" s="24">
        <f>ROUND(SUM(M1940:M1947)/I1948,2)</f>
        <v>7.54</v>
      </c>
      <c r="P1948" s="24">
        <f>ROUND(SUM(N1940:N1947)/I1948,2)</f>
        <v>2.96</v>
      </c>
      <c r="Q1948" s="9"/>
      <c r="S1948" s="25"/>
    </row>
    <row r="1949" spans="1:19" ht="20.25" customHeight="1" x14ac:dyDescent="0.25">
      <c r="A1949" s="27" t="s">
        <v>62</v>
      </c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</row>
    <row r="1950" spans="1:19" ht="16.5" customHeight="1" x14ac:dyDescent="0.25">
      <c r="A1950" s="9"/>
      <c r="B1950" s="51" t="s">
        <v>63</v>
      </c>
      <c r="C1950" s="52"/>
      <c r="D1950" s="52"/>
      <c r="E1950" s="52"/>
      <c r="F1950" s="52"/>
      <c r="G1950" s="53"/>
      <c r="H1950" s="20"/>
      <c r="I1950" s="9">
        <v>4</v>
      </c>
      <c r="J1950" s="9"/>
      <c r="K1950" s="9"/>
      <c r="L1950" s="9"/>
      <c r="M1950" s="9">
        <f t="shared" ref="M1950:M1958" si="254">I1950*O1950</f>
        <v>24.8</v>
      </c>
      <c r="N1950" s="9">
        <f t="shared" ref="N1950:N1958" si="255">I1950*P1950</f>
        <v>8</v>
      </c>
      <c r="O1950" s="9">
        <v>6.2</v>
      </c>
      <c r="P1950" s="9">
        <v>2</v>
      </c>
      <c r="Q1950" s="9" t="s">
        <v>3</v>
      </c>
      <c r="R1950" s="1">
        <v>0</v>
      </c>
      <c r="S1950" s="26"/>
    </row>
    <row r="1951" spans="1:19" ht="16.5" customHeight="1" x14ac:dyDescent="0.25">
      <c r="A1951" s="9"/>
      <c r="B1951" s="51" t="s">
        <v>64</v>
      </c>
      <c r="C1951" s="52"/>
      <c r="D1951" s="52"/>
      <c r="E1951" s="52"/>
      <c r="F1951" s="52"/>
      <c r="G1951" s="53"/>
      <c r="H1951" s="20"/>
      <c r="I1951" s="9">
        <v>4</v>
      </c>
      <c r="J1951" s="9"/>
      <c r="K1951" s="9"/>
      <c r="L1951" s="9"/>
      <c r="M1951" s="9">
        <f t="shared" si="254"/>
        <v>24</v>
      </c>
      <c r="N1951" s="9">
        <f t="shared" si="255"/>
        <v>8</v>
      </c>
      <c r="O1951" s="9">
        <v>6</v>
      </c>
      <c r="P1951" s="9">
        <v>2</v>
      </c>
      <c r="Q1951" s="9" t="s">
        <v>3</v>
      </c>
      <c r="R1951" s="1">
        <v>0</v>
      </c>
      <c r="S1951" s="26"/>
    </row>
    <row r="1952" spans="1:19" ht="16.5" customHeight="1" x14ac:dyDescent="0.25">
      <c r="A1952" s="9"/>
      <c r="B1952" s="51" t="s">
        <v>65</v>
      </c>
      <c r="C1952" s="52"/>
      <c r="D1952" s="52"/>
      <c r="E1952" s="52"/>
      <c r="F1952" s="52"/>
      <c r="G1952" s="53"/>
      <c r="H1952" s="20"/>
      <c r="I1952" s="9">
        <v>4</v>
      </c>
      <c r="J1952" s="9"/>
      <c r="K1952" s="9"/>
      <c r="L1952" s="9"/>
      <c r="M1952" s="9">
        <f t="shared" si="254"/>
        <v>30.4</v>
      </c>
      <c r="N1952" s="9">
        <f t="shared" si="255"/>
        <v>12</v>
      </c>
      <c r="O1952" s="9">
        <v>7.6</v>
      </c>
      <c r="P1952" s="9">
        <v>3</v>
      </c>
      <c r="Q1952" s="9" t="s">
        <v>6</v>
      </c>
      <c r="R1952" s="1">
        <v>0</v>
      </c>
      <c r="S1952" s="26"/>
    </row>
    <row r="1953" spans="1:19" ht="16.5" customHeight="1" x14ac:dyDescent="0.25">
      <c r="A1953" s="9"/>
      <c r="B1953" s="51" t="s">
        <v>66</v>
      </c>
      <c r="C1953" s="52"/>
      <c r="D1953" s="52"/>
      <c r="E1953" s="52"/>
      <c r="F1953" s="52"/>
      <c r="G1953" s="53"/>
      <c r="H1953" s="20"/>
      <c r="I1953" s="9">
        <v>1</v>
      </c>
      <c r="J1953" s="9"/>
      <c r="K1953" s="9"/>
      <c r="L1953" s="9"/>
      <c r="M1953" s="9">
        <f t="shared" si="254"/>
        <v>7.7</v>
      </c>
      <c r="N1953" s="9">
        <f t="shared" si="255"/>
        <v>3</v>
      </c>
      <c r="O1953" s="9">
        <v>7.7</v>
      </c>
      <c r="P1953" s="9">
        <v>3</v>
      </c>
      <c r="Q1953" s="9" t="s">
        <v>6</v>
      </c>
      <c r="R1953" s="1">
        <v>0</v>
      </c>
      <c r="S1953" s="26"/>
    </row>
    <row r="1954" spans="1:19" ht="16.5" customHeight="1" x14ac:dyDescent="0.25">
      <c r="A1954" s="9"/>
      <c r="B1954" s="51" t="s">
        <v>67</v>
      </c>
      <c r="C1954" s="52"/>
      <c r="D1954" s="52"/>
      <c r="E1954" s="52"/>
      <c r="F1954" s="52"/>
      <c r="G1954" s="53"/>
      <c r="H1954" s="20"/>
      <c r="I1954" s="9">
        <v>1</v>
      </c>
      <c r="J1954" s="9"/>
      <c r="K1954" s="9"/>
      <c r="L1954" s="9"/>
      <c r="M1954" s="9">
        <f t="shared" si="254"/>
        <v>7.6</v>
      </c>
      <c r="N1954" s="9">
        <f t="shared" si="255"/>
        <v>3</v>
      </c>
      <c r="O1954" s="9">
        <v>7.6</v>
      </c>
      <c r="P1954" s="9">
        <v>3</v>
      </c>
      <c r="Q1954" s="9" t="s">
        <v>6</v>
      </c>
      <c r="R1954" s="1">
        <v>0</v>
      </c>
      <c r="S1954" s="26"/>
    </row>
    <row r="1955" spans="1:19" ht="16.5" customHeight="1" x14ac:dyDescent="0.25">
      <c r="A1955" s="9"/>
      <c r="B1955" s="51" t="s">
        <v>69</v>
      </c>
      <c r="C1955" s="52"/>
      <c r="D1955" s="52"/>
      <c r="E1955" s="52"/>
      <c r="F1955" s="52"/>
      <c r="G1955" s="53"/>
      <c r="H1955" s="20"/>
      <c r="I1955" s="9">
        <v>1</v>
      </c>
      <c r="J1955" s="9"/>
      <c r="K1955" s="9"/>
      <c r="L1955" s="9"/>
      <c r="M1955" s="9">
        <f t="shared" si="254"/>
        <v>7.3</v>
      </c>
      <c r="N1955" s="9">
        <f t="shared" si="255"/>
        <v>3</v>
      </c>
      <c r="O1955" s="9">
        <v>7.3</v>
      </c>
      <c r="P1955" s="9">
        <v>3</v>
      </c>
      <c r="Q1955" s="9" t="s">
        <v>6</v>
      </c>
      <c r="R1955" s="1">
        <v>0</v>
      </c>
      <c r="S1955" s="26"/>
    </row>
    <row r="1956" spans="1:19" ht="16.5" customHeight="1" x14ac:dyDescent="0.25">
      <c r="A1956" s="9"/>
      <c r="B1956" s="51" t="s">
        <v>68</v>
      </c>
      <c r="C1956" s="52"/>
      <c r="D1956" s="52"/>
      <c r="E1956" s="52"/>
      <c r="F1956" s="52"/>
      <c r="G1956" s="53"/>
      <c r="H1956" s="20"/>
      <c r="I1956" s="9">
        <v>1</v>
      </c>
      <c r="J1956" s="9"/>
      <c r="K1956" s="9"/>
      <c r="L1956" s="9"/>
      <c r="M1956" s="9">
        <f t="shared" si="254"/>
        <v>7.8</v>
      </c>
      <c r="N1956" s="9">
        <f t="shared" si="255"/>
        <v>3</v>
      </c>
      <c r="O1956" s="9">
        <v>7.8</v>
      </c>
      <c r="P1956" s="9">
        <v>3</v>
      </c>
      <c r="Q1956" s="9" t="s">
        <v>6</v>
      </c>
      <c r="R1956" s="1">
        <v>0</v>
      </c>
      <c r="S1956" s="26"/>
    </row>
    <row r="1957" spans="1:19" ht="16.5" hidden="1" customHeight="1" x14ac:dyDescent="0.25">
      <c r="A1957" s="21"/>
      <c r="H1957" s="21"/>
      <c r="I1957" s="21"/>
      <c r="J1957" s="21"/>
      <c r="K1957" s="21"/>
      <c r="L1957" s="21"/>
      <c r="M1957" s="9">
        <f t="shared" si="254"/>
        <v>0</v>
      </c>
      <c r="N1957" s="9">
        <f t="shared" si="255"/>
        <v>0</v>
      </c>
      <c r="O1957" s="21"/>
      <c r="P1957" s="21"/>
      <c r="Q1957" s="21"/>
      <c r="S1957" s="25"/>
    </row>
    <row r="1958" spans="1:19" ht="16.5" customHeight="1" x14ac:dyDescent="0.25">
      <c r="A1958" s="9"/>
      <c r="B1958" s="39" t="s">
        <v>42</v>
      </c>
      <c r="C1958" s="40"/>
      <c r="D1958" s="40"/>
      <c r="E1958" s="40"/>
      <c r="F1958" s="40"/>
      <c r="G1958" s="41"/>
      <c r="H1958" s="23"/>
      <c r="I1958" s="24">
        <f>SUM(I1950:I1957)</f>
        <v>16</v>
      </c>
      <c r="J1958" s="9"/>
      <c r="K1958" s="9"/>
      <c r="L1958" s="9"/>
      <c r="M1958" s="9">
        <f t="shared" si="254"/>
        <v>109.6</v>
      </c>
      <c r="N1958" s="9">
        <f t="shared" si="255"/>
        <v>40</v>
      </c>
      <c r="O1958" s="24">
        <f>ROUND(SUM(M1950:M1957)/I1958,2)</f>
        <v>6.85</v>
      </c>
      <c r="P1958" s="24">
        <f>ROUND(SUM(N1950:N1957)/I1958,2)</f>
        <v>2.5</v>
      </c>
      <c r="Q1958" s="9"/>
      <c r="S1958" s="25"/>
    </row>
    <row r="1959" spans="1:19" ht="20.25" customHeight="1" x14ac:dyDescent="0.25">
      <c r="A1959" s="27" t="s">
        <v>70</v>
      </c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</row>
    <row r="1960" spans="1:19" ht="16.5" customHeight="1" x14ac:dyDescent="0.25">
      <c r="A1960" s="9"/>
      <c r="B1960" s="51" t="s">
        <v>71</v>
      </c>
      <c r="C1960" s="52"/>
      <c r="D1960" s="52"/>
      <c r="E1960" s="52"/>
      <c r="F1960" s="52"/>
      <c r="G1960" s="53"/>
      <c r="H1960" s="20"/>
      <c r="I1960" s="9">
        <v>4</v>
      </c>
      <c r="J1960" s="9"/>
      <c r="K1960" s="9"/>
      <c r="L1960" s="9"/>
      <c r="M1960" s="9">
        <f t="shared" ref="M1960:M1968" si="256">I1960*O1960</f>
        <v>29.6</v>
      </c>
      <c r="N1960" s="9">
        <f t="shared" ref="N1960:N1968" si="257">I1960*P1960</f>
        <v>12</v>
      </c>
      <c r="O1960" s="9">
        <v>7.4</v>
      </c>
      <c r="P1960" s="9">
        <v>3</v>
      </c>
      <c r="Q1960" s="9" t="s">
        <v>6</v>
      </c>
      <c r="R1960" s="1">
        <v>0</v>
      </c>
      <c r="S1960" s="26"/>
    </row>
    <row r="1961" spans="1:19" ht="16.5" customHeight="1" x14ac:dyDescent="0.25">
      <c r="A1961" s="9"/>
      <c r="B1961" s="51" t="s">
        <v>72</v>
      </c>
      <c r="C1961" s="52"/>
      <c r="D1961" s="52"/>
      <c r="E1961" s="52"/>
      <c r="F1961" s="52"/>
      <c r="G1961" s="53"/>
      <c r="H1961" s="20"/>
      <c r="I1961" s="9">
        <v>4</v>
      </c>
      <c r="J1961" s="9"/>
      <c r="K1961" s="9"/>
      <c r="L1961" s="9"/>
      <c r="M1961" s="9">
        <f t="shared" si="256"/>
        <v>23.6</v>
      </c>
      <c r="N1961" s="9">
        <f t="shared" si="257"/>
        <v>8</v>
      </c>
      <c r="O1961" s="9">
        <v>5.9</v>
      </c>
      <c r="P1961" s="9">
        <v>2</v>
      </c>
      <c r="Q1961" s="9" t="s">
        <v>3</v>
      </c>
      <c r="R1961" s="1">
        <v>0</v>
      </c>
      <c r="S1961" s="26"/>
    </row>
    <row r="1962" spans="1:19" ht="16.5" customHeight="1" x14ac:dyDescent="0.25">
      <c r="A1962" s="9"/>
      <c r="B1962" s="51" t="s">
        <v>73</v>
      </c>
      <c r="C1962" s="52"/>
      <c r="D1962" s="52"/>
      <c r="E1962" s="52"/>
      <c r="F1962" s="52"/>
      <c r="G1962" s="53"/>
      <c r="H1962" s="20"/>
      <c r="I1962" s="9">
        <v>1</v>
      </c>
      <c r="J1962" s="9"/>
      <c r="K1962" s="9"/>
      <c r="L1962" s="9"/>
      <c r="M1962" s="9">
        <f t="shared" si="256"/>
        <v>7.2</v>
      </c>
      <c r="N1962" s="9">
        <f t="shared" si="257"/>
        <v>3</v>
      </c>
      <c r="O1962" s="9">
        <v>7.2</v>
      </c>
      <c r="P1962" s="9">
        <v>3</v>
      </c>
      <c r="Q1962" s="9" t="s">
        <v>6</v>
      </c>
      <c r="R1962" s="1">
        <v>0</v>
      </c>
      <c r="S1962" s="26"/>
    </row>
    <row r="1963" spans="1:19" ht="16.5" customHeight="1" x14ac:dyDescent="0.25">
      <c r="A1963" s="9"/>
      <c r="B1963" s="51" t="s">
        <v>74</v>
      </c>
      <c r="C1963" s="52"/>
      <c r="D1963" s="52"/>
      <c r="E1963" s="52"/>
      <c r="F1963" s="52"/>
      <c r="G1963" s="53"/>
      <c r="H1963" s="20"/>
      <c r="I1963" s="9">
        <v>2</v>
      </c>
      <c r="J1963" s="9"/>
      <c r="K1963" s="9"/>
      <c r="L1963" s="9"/>
      <c r="M1963" s="9">
        <f t="shared" si="256"/>
        <v>14.8</v>
      </c>
      <c r="N1963" s="9">
        <f t="shared" si="257"/>
        <v>6</v>
      </c>
      <c r="O1963" s="9">
        <v>7.4</v>
      </c>
      <c r="P1963" s="9">
        <v>3</v>
      </c>
      <c r="Q1963" s="9" t="s">
        <v>6</v>
      </c>
      <c r="R1963" s="1">
        <v>0</v>
      </c>
      <c r="S1963" s="26"/>
    </row>
    <row r="1964" spans="1:19" ht="16.5" customHeight="1" x14ac:dyDescent="0.25">
      <c r="A1964" s="9"/>
      <c r="B1964" s="51" t="s">
        <v>75</v>
      </c>
      <c r="C1964" s="52"/>
      <c r="D1964" s="52"/>
      <c r="E1964" s="52"/>
      <c r="F1964" s="52"/>
      <c r="G1964" s="53"/>
      <c r="H1964" s="20"/>
      <c r="I1964" s="9">
        <v>1</v>
      </c>
      <c r="J1964" s="9"/>
      <c r="K1964" s="9"/>
      <c r="L1964" s="9"/>
      <c r="M1964" s="9">
        <f t="shared" si="256"/>
        <v>5.4</v>
      </c>
      <c r="N1964" s="9">
        <f t="shared" si="257"/>
        <v>1.5</v>
      </c>
      <c r="O1964" s="9">
        <v>5.4</v>
      </c>
      <c r="P1964" s="9">
        <v>1.5</v>
      </c>
      <c r="Q1964" s="9" t="s">
        <v>4</v>
      </c>
      <c r="R1964" s="1">
        <v>0</v>
      </c>
      <c r="S1964" s="26"/>
    </row>
    <row r="1965" spans="1:19" ht="16.5" customHeight="1" x14ac:dyDescent="0.25">
      <c r="A1965" s="9"/>
      <c r="B1965" s="51" t="s">
        <v>76</v>
      </c>
      <c r="C1965" s="52"/>
      <c r="D1965" s="52"/>
      <c r="E1965" s="52"/>
      <c r="F1965" s="52"/>
      <c r="G1965" s="53"/>
      <c r="H1965" s="20"/>
      <c r="I1965" s="9">
        <v>4</v>
      </c>
      <c r="J1965" s="9"/>
      <c r="K1965" s="9"/>
      <c r="L1965" s="9"/>
      <c r="M1965" s="9">
        <f t="shared" si="256"/>
        <v>29.6</v>
      </c>
      <c r="N1965" s="9">
        <f t="shared" si="257"/>
        <v>12</v>
      </c>
      <c r="O1965" s="9">
        <v>7.4</v>
      </c>
      <c r="P1965" s="9">
        <v>3</v>
      </c>
      <c r="Q1965" s="9" t="s">
        <v>6</v>
      </c>
      <c r="R1965" s="1">
        <v>0</v>
      </c>
      <c r="S1965" s="26"/>
    </row>
    <row r="1966" spans="1:19" ht="16.5" customHeight="1" x14ac:dyDescent="0.25">
      <c r="A1966" s="9"/>
      <c r="B1966" s="51" t="s">
        <v>77</v>
      </c>
      <c r="C1966" s="52"/>
      <c r="D1966" s="52"/>
      <c r="E1966" s="52"/>
      <c r="F1966" s="52"/>
      <c r="G1966" s="53"/>
      <c r="H1966" s="20"/>
      <c r="I1966" s="9">
        <v>3</v>
      </c>
      <c r="J1966" s="9"/>
      <c r="K1966" s="9"/>
      <c r="L1966" s="9"/>
      <c r="M1966" s="9">
        <f t="shared" si="256"/>
        <v>18.299999999999997</v>
      </c>
      <c r="N1966" s="9">
        <f t="shared" si="257"/>
        <v>6</v>
      </c>
      <c r="O1966" s="9">
        <v>6.1</v>
      </c>
      <c r="P1966" s="9">
        <v>2</v>
      </c>
      <c r="Q1966" s="9" t="s">
        <v>3</v>
      </c>
      <c r="R1966" s="1">
        <v>0</v>
      </c>
      <c r="S1966" s="26"/>
    </row>
    <row r="1967" spans="1:19" ht="16.5" hidden="1" customHeight="1" x14ac:dyDescent="0.25">
      <c r="A1967" s="21"/>
      <c r="H1967" s="21"/>
      <c r="I1967" s="21"/>
      <c r="J1967" s="21"/>
      <c r="K1967" s="21"/>
      <c r="L1967" s="21"/>
      <c r="M1967" s="9">
        <f t="shared" si="256"/>
        <v>0</v>
      </c>
      <c r="N1967" s="9">
        <f t="shared" si="257"/>
        <v>0</v>
      </c>
      <c r="O1967" s="21"/>
      <c r="P1967" s="21"/>
      <c r="Q1967" s="21"/>
      <c r="S1967" s="25"/>
    </row>
    <row r="1968" spans="1:19" ht="16.5" customHeight="1" x14ac:dyDescent="0.25">
      <c r="A1968" s="9"/>
      <c r="B1968" s="39" t="s">
        <v>42</v>
      </c>
      <c r="C1968" s="40"/>
      <c r="D1968" s="40"/>
      <c r="E1968" s="40"/>
      <c r="F1968" s="40"/>
      <c r="G1968" s="41"/>
      <c r="H1968" s="23"/>
      <c r="I1968" s="24">
        <f>SUM(I1960:I1967)</f>
        <v>19</v>
      </c>
      <c r="J1968" s="9"/>
      <c r="K1968" s="9"/>
      <c r="L1968" s="9"/>
      <c r="M1968" s="9">
        <f t="shared" si="256"/>
        <v>128.44</v>
      </c>
      <c r="N1968" s="9">
        <f t="shared" si="257"/>
        <v>48.449999999999996</v>
      </c>
      <c r="O1968" s="24">
        <f>ROUND(SUM(M1960:M1967)/I1968,2)</f>
        <v>6.76</v>
      </c>
      <c r="P1968" s="24">
        <f>ROUND(SUM(N1960:N1967)/I1968,2)</f>
        <v>2.5499999999999998</v>
      </c>
      <c r="Q1968" s="9"/>
      <c r="S1968" s="25"/>
    </row>
    <row r="1969" spans="1:19" ht="20.25" customHeight="1" x14ac:dyDescent="0.25">
      <c r="A1969" s="27" t="s">
        <v>78</v>
      </c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</row>
    <row r="1970" spans="1:19" ht="16.5" customHeight="1" x14ac:dyDescent="0.25">
      <c r="A1970" s="9"/>
      <c r="B1970" s="51" t="s">
        <v>79</v>
      </c>
      <c r="C1970" s="52"/>
      <c r="D1970" s="52"/>
      <c r="E1970" s="52"/>
      <c r="F1970" s="52"/>
      <c r="G1970" s="53"/>
      <c r="H1970" s="20"/>
      <c r="I1970" s="9">
        <v>1</v>
      </c>
      <c r="J1970" s="9"/>
      <c r="K1970" s="9"/>
      <c r="L1970" s="9"/>
      <c r="M1970" s="9">
        <f t="shared" ref="M1970:M1976" si="258">I1970*O1970</f>
        <v>8.5</v>
      </c>
      <c r="N1970" s="9">
        <f t="shared" ref="N1970:N1976" si="259">I1970*P1970</f>
        <v>3.7</v>
      </c>
      <c r="O1970" s="9">
        <v>8.5</v>
      </c>
      <c r="P1970" s="9">
        <v>3.7</v>
      </c>
      <c r="Q1970" s="9" t="s">
        <v>10</v>
      </c>
      <c r="R1970" s="1">
        <v>0</v>
      </c>
      <c r="S1970" s="26"/>
    </row>
    <row r="1971" spans="1:19" ht="16.5" customHeight="1" x14ac:dyDescent="0.25">
      <c r="A1971" s="9"/>
      <c r="B1971" s="51" t="s">
        <v>80</v>
      </c>
      <c r="C1971" s="52"/>
      <c r="D1971" s="52"/>
      <c r="E1971" s="52"/>
      <c r="F1971" s="52"/>
      <c r="G1971" s="53"/>
      <c r="H1971" s="20"/>
      <c r="I1971" s="9">
        <v>3</v>
      </c>
      <c r="J1971" s="9"/>
      <c r="K1971" s="9"/>
      <c r="L1971" s="9"/>
      <c r="M1971" s="9">
        <f t="shared" si="258"/>
        <v>24.599999999999998</v>
      </c>
      <c r="N1971" s="9">
        <f t="shared" si="259"/>
        <v>10.5</v>
      </c>
      <c r="O1971" s="9">
        <v>8.1999999999999993</v>
      </c>
      <c r="P1971" s="9">
        <v>3.5</v>
      </c>
      <c r="Q1971" s="9" t="s">
        <v>9</v>
      </c>
      <c r="R1971" s="1">
        <v>0</v>
      </c>
      <c r="S1971" s="26"/>
    </row>
    <row r="1972" spans="1:19" ht="16.5" customHeight="1" x14ac:dyDescent="0.25">
      <c r="A1972" s="9"/>
      <c r="B1972" s="51" t="s">
        <v>87</v>
      </c>
      <c r="C1972" s="52"/>
      <c r="D1972" s="52"/>
      <c r="E1972" s="52"/>
      <c r="F1972" s="52"/>
      <c r="G1972" s="53"/>
      <c r="H1972" s="20"/>
      <c r="I1972" s="9">
        <v>3</v>
      </c>
      <c r="J1972" s="9"/>
      <c r="K1972" s="9"/>
      <c r="L1972" s="9"/>
      <c r="M1972" s="9">
        <f t="shared" si="258"/>
        <v>24.299999999999997</v>
      </c>
      <c r="N1972" s="9">
        <f t="shared" si="259"/>
        <v>10.5</v>
      </c>
      <c r="O1972" s="9">
        <v>8.1</v>
      </c>
      <c r="P1972" s="9">
        <v>3.5</v>
      </c>
      <c r="Q1972" s="9" t="s">
        <v>9</v>
      </c>
      <c r="R1972" s="1">
        <v>0</v>
      </c>
      <c r="S1972" s="26"/>
    </row>
    <row r="1973" spans="1:19" ht="16.5" customHeight="1" x14ac:dyDescent="0.25">
      <c r="A1973" s="9"/>
      <c r="B1973" s="51" t="s">
        <v>82</v>
      </c>
      <c r="C1973" s="52"/>
      <c r="D1973" s="52"/>
      <c r="E1973" s="52"/>
      <c r="F1973" s="52"/>
      <c r="G1973" s="53"/>
      <c r="H1973" s="20"/>
      <c r="I1973" s="9">
        <v>2</v>
      </c>
      <c r="J1973" s="9"/>
      <c r="K1973" s="9"/>
      <c r="L1973" s="9"/>
      <c r="M1973" s="9">
        <f t="shared" si="258"/>
        <v>14.6</v>
      </c>
      <c r="N1973" s="9">
        <f t="shared" si="259"/>
        <v>6</v>
      </c>
      <c r="O1973" s="9">
        <v>7.3</v>
      </c>
      <c r="P1973" s="9">
        <v>3</v>
      </c>
      <c r="Q1973" s="9" t="s">
        <v>6</v>
      </c>
      <c r="R1973" s="1">
        <v>0</v>
      </c>
      <c r="S1973" s="26"/>
    </row>
    <row r="1974" spans="1:19" ht="16.5" customHeight="1" x14ac:dyDescent="0.25">
      <c r="A1974" s="9"/>
      <c r="B1974" s="51" t="s">
        <v>83</v>
      </c>
      <c r="C1974" s="52"/>
      <c r="D1974" s="52"/>
      <c r="E1974" s="52"/>
      <c r="F1974" s="52"/>
      <c r="G1974" s="53"/>
      <c r="H1974" s="20"/>
      <c r="I1974" s="9">
        <v>2</v>
      </c>
      <c r="J1974" s="9"/>
      <c r="K1974" s="9"/>
      <c r="L1974" s="9"/>
      <c r="M1974" s="9">
        <f t="shared" si="258"/>
        <v>14.2</v>
      </c>
      <c r="N1974" s="9">
        <f t="shared" si="259"/>
        <v>6</v>
      </c>
      <c r="O1974" s="9">
        <v>7.1</v>
      </c>
      <c r="P1974" s="9">
        <v>3</v>
      </c>
      <c r="Q1974" s="9" t="s">
        <v>6</v>
      </c>
      <c r="R1974" s="1">
        <v>0</v>
      </c>
      <c r="S1974" s="26"/>
    </row>
    <row r="1975" spans="1:19" ht="16.5" customHeight="1" x14ac:dyDescent="0.25">
      <c r="A1975" s="9"/>
      <c r="B1975" s="51" t="s">
        <v>84</v>
      </c>
      <c r="C1975" s="52"/>
      <c r="D1975" s="52"/>
      <c r="E1975" s="52"/>
      <c r="F1975" s="52"/>
      <c r="G1975" s="53"/>
      <c r="H1975" s="20"/>
      <c r="I1975" s="9">
        <v>3</v>
      </c>
      <c r="J1975" s="9"/>
      <c r="K1975" s="9"/>
      <c r="L1975" s="9"/>
      <c r="M1975" s="9">
        <f t="shared" si="258"/>
        <v>24.900000000000002</v>
      </c>
      <c r="N1975" s="9">
        <f t="shared" si="259"/>
        <v>10.5</v>
      </c>
      <c r="O1975" s="9">
        <v>8.3000000000000007</v>
      </c>
      <c r="P1975" s="9">
        <v>3.5</v>
      </c>
      <c r="Q1975" s="9" t="s">
        <v>9</v>
      </c>
      <c r="R1975" s="1">
        <v>0</v>
      </c>
      <c r="S1975" s="26"/>
    </row>
    <row r="1976" spans="1:19" ht="16.5" customHeight="1" x14ac:dyDescent="0.25">
      <c r="A1976" s="9"/>
      <c r="B1976" s="51" t="s">
        <v>85</v>
      </c>
      <c r="C1976" s="52"/>
      <c r="D1976" s="52"/>
      <c r="E1976" s="52"/>
      <c r="F1976" s="52"/>
      <c r="G1976" s="53"/>
      <c r="H1976" s="20"/>
      <c r="I1976" s="9">
        <v>2</v>
      </c>
      <c r="J1976" s="9"/>
      <c r="K1976" s="9"/>
      <c r="L1976" s="9"/>
      <c r="M1976" s="9">
        <f t="shared" si="258"/>
        <v>13.6</v>
      </c>
      <c r="N1976" s="9">
        <f t="shared" si="259"/>
        <v>5</v>
      </c>
      <c r="O1976" s="9">
        <v>6.8</v>
      </c>
      <c r="P1976" s="9">
        <v>2.5</v>
      </c>
      <c r="Q1976" s="9" t="s">
        <v>5</v>
      </c>
      <c r="R1976" s="1">
        <v>0</v>
      </c>
      <c r="S1976" s="26"/>
    </row>
    <row r="1977" spans="1:19" ht="15" customHeight="1" x14ac:dyDescent="0.25">
      <c r="A1977" s="36" t="s">
        <v>0</v>
      </c>
      <c r="B1977" s="29" t="s">
        <v>1</v>
      </c>
      <c r="C1977" s="30"/>
      <c r="D1977" s="30"/>
      <c r="E1977" s="30"/>
      <c r="F1977" s="30"/>
      <c r="G1977" s="31"/>
      <c r="H1977" s="36" t="s">
        <v>32</v>
      </c>
      <c r="I1977" s="36" t="s">
        <v>39</v>
      </c>
      <c r="J1977" s="55" t="s">
        <v>2</v>
      </c>
      <c r="K1977" s="56"/>
      <c r="L1977" s="56"/>
      <c r="M1977" s="56"/>
      <c r="N1977" s="56"/>
      <c r="O1977" s="56"/>
      <c r="P1977" s="56"/>
      <c r="Q1977" s="57"/>
      <c r="S1977" s="36" t="s">
        <v>38</v>
      </c>
    </row>
    <row r="1978" spans="1:19" ht="24" customHeight="1" x14ac:dyDescent="0.25">
      <c r="A1978" s="37"/>
      <c r="B1978" s="32"/>
      <c r="C1978" s="33"/>
      <c r="D1978" s="33"/>
      <c r="E1978" s="33"/>
      <c r="F1978" s="33"/>
      <c r="G1978" s="34"/>
      <c r="H1978" s="37"/>
      <c r="I1978" s="37"/>
      <c r="J1978" s="7" t="s">
        <v>28</v>
      </c>
      <c r="K1978" s="7" t="s">
        <v>29</v>
      </c>
      <c r="L1978" s="7" t="s">
        <v>30</v>
      </c>
      <c r="M1978" s="7"/>
      <c r="N1978" s="7"/>
      <c r="O1978" s="6" t="s">
        <v>35</v>
      </c>
      <c r="P1978" s="6" t="s">
        <v>36</v>
      </c>
      <c r="Q1978" s="6" t="s">
        <v>37</v>
      </c>
      <c r="S1978" s="37"/>
    </row>
    <row r="1979" spans="1:19" ht="16.5" customHeight="1" x14ac:dyDescent="0.25">
      <c r="A1979" s="9"/>
      <c r="B1979" s="51" t="s">
        <v>86</v>
      </c>
      <c r="C1979" s="52"/>
      <c r="D1979" s="52"/>
      <c r="E1979" s="52"/>
      <c r="F1979" s="52"/>
      <c r="G1979" s="53"/>
      <c r="H1979" s="20"/>
      <c r="I1979" s="9">
        <v>3</v>
      </c>
      <c r="J1979" s="9"/>
      <c r="K1979" s="9"/>
      <c r="L1979" s="9"/>
      <c r="M1979" s="9">
        <f>I1979*O1979</f>
        <v>25.799999999999997</v>
      </c>
      <c r="N1979" s="9">
        <f>I1979*P1979</f>
        <v>11.100000000000001</v>
      </c>
      <c r="O1979" s="9">
        <v>8.6</v>
      </c>
      <c r="P1979" s="9">
        <v>3.7</v>
      </c>
      <c r="Q1979" s="9" t="s">
        <v>10</v>
      </c>
      <c r="R1979" s="1">
        <v>0</v>
      </c>
      <c r="S1979" s="26"/>
    </row>
    <row r="1980" spans="1:19" ht="16.5" customHeight="1" x14ac:dyDescent="0.25">
      <c r="A1980" s="9"/>
      <c r="B1980" s="51" t="s">
        <v>81</v>
      </c>
      <c r="C1980" s="52"/>
      <c r="D1980" s="52"/>
      <c r="E1980" s="52"/>
      <c r="F1980" s="52"/>
      <c r="G1980" s="53"/>
      <c r="H1980" s="20"/>
      <c r="I1980" s="9">
        <v>3</v>
      </c>
      <c r="J1980" s="9"/>
      <c r="K1980" s="9"/>
      <c r="L1980" s="9"/>
      <c r="M1980" s="9">
        <f>I1980*O1980</f>
        <v>21.299999999999997</v>
      </c>
      <c r="N1980" s="9">
        <f>I1980*P1980</f>
        <v>9</v>
      </c>
      <c r="O1980" s="9">
        <v>7.1</v>
      </c>
      <c r="P1980" s="9">
        <v>3</v>
      </c>
      <c r="Q1980" s="9" t="s">
        <v>6</v>
      </c>
      <c r="R1980" s="1">
        <v>0</v>
      </c>
      <c r="S1980" s="26"/>
    </row>
    <row r="1981" spans="1:19" ht="16.5" hidden="1" customHeight="1" x14ac:dyDescent="0.25">
      <c r="A1981" s="21"/>
      <c r="H1981" s="21"/>
      <c r="I1981" s="21"/>
      <c r="J1981" s="21"/>
      <c r="K1981" s="21"/>
      <c r="L1981" s="21"/>
      <c r="M1981" s="9">
        <f>I1981*O1981</f>
        <v>0</v>
      </c>
      <c r="N1981" s="9">
        <f>I1981*P1981</f>
        <v>0</v>
      </c>
      <c r="O1981" s="21"/>
      <c r="P1981" s="21"/>
      <c r="Q1981" s="21"/>
      <c r="S1981" s="25"/>
    </row>
    <row r="1982" spans="1:19" ht="16.5" customHeight="1" x14ac:dyDescent="0.25">
      <c r="A1982" s="9"/>
      <c r="B1982" s="39" t="s">
        <v>42</v>
      </c>
      <c r="C1982" s="40"/>
      <c r="D1982" s="40"/>
      <c r="E1982" s="40"/>
      <c r="F1982" s="40"/>
      <c r="G1982" s="41"/>
      <c r="H1982" s="23"/>
      <c r="I1982" s="24">
        <f>SUM(I1970:I1981)</f>
        <v>22</v>
      </c>
      <c r="J1982" s="9"/>
      <c r="K1982" s="9"/>
      <c r="L1982" s="9"/>
      <c r="M1982" s="9">
        <f>I1982*O1982</f>
        <v>171.82</v>
      </c>
      <c r="N1982" s="9">
        <f>I1982*P1982</f>
        <v>72.38</v>
      </c>
      <c r="O1982" s="24">
        <f>ROUND(SUM(M1970:M1981)/I1982,2)</f>
        <v>7.81</v>
      </c>
      <c r="P1982" s="24">
        <f>ROUND(SUM(N1970:N1981)/I1982,2)</f>
        <v>3.29</v>
      </c>
      <c r="Q1982" s="9"/>
      <c r="S1982" s="25"/>
    </row>
    <row r="1983" spans="1:19" ht="20.25" customHeight="1" x14ac:dyDescent="0.25">
      <c r="A1983" s="27" t="s">
        <v>88</v>
      </c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</row>
    <row r="1984" spans="1:19" ht="16.5" customHeight="1" x14ac:dyDescent="0.25">
      <c r="A1984" s="9"/>
      <c r="B1984" s="51" t="s">
        <v>89</v>
      </c>
      <c r="C1984" s="52"/>
      <c r="D1984" s="52"/>
      <c r="E1984" s="52"/>
      <c r="F1984" s="52"/>
      <c r="G1984" s="53"/>
      <c r="H1984" s="20"/>
      <c r="I1984" s="9">
        <v>2</v>
      </c>
      <c r="J1984" s="9"/>
      <c r="K1984" s="9"/>
      <c r="L1984" s="9"/>
      <c r="M1984" s="9">
        <f t="shared" ref="M1984:M1995" si="260">I1984*O1984</f>
        <v>14.6</v>
      </c>
      <c r="N1984" s="9">
        <f t="shared" ref="N1984:N1995" si="261">I1984*P1984</f>
        <v>6</v>
      </c>
      <c r="O1984" s="9">
        <v>7.3</v>
      </c>
      <c r="P1984" s="9">
        <v>3</v>
      </c>
      <c r="Q1984" s="9" t="s">
        <v>6</v>
      </c>
      <c r="R1984" s="1">
        <v>0</v>
      </c>
      <c r="S1984" s="26"/>
    </row>
    <row r="1985" spans="1:19" ht="16.5" customHeight="1" x14ac:dyDescent="0.25">
      <c r="A1985" s="9"/>
      <c r="B1985" s="51" t="s">
        <v>90</v>
      </c>
      <c r="C1985" s="52"/>
      <c r="D1985" s="52"/>
      <c r="E1985" s="52"/>
      <c r="F1985" s="52"/>
      <c r="G1985" s="53"/>
      <c r="H1985" s="20"/>
      <c r="I1985" s="9">
        <v>3</v>
      </c>
      <c r="J1985" s="9"/>
      <c r="K1985" s="9"/>
      <c r="L1985" s="9"/>
      <c r="M1985" s="9">
        <f t="shared" si="260"/>
        <v>22.200000000000003</v>
      </c>
      <c r="N1985" s="9">
        <f t="shared" si="261"/>
        <v>9</v>
      </c>
      <c r="O1985" s="9">
        <v>7.4</v>
      </c>
      <c r="P1985" s="9">
        <v>3</v>
      </c>
      <c r="Q1985" s="9" t="s">
        <v>6</v>
      </c>
      <c r="R1985" s="1">
        <v>0</v>
      </c>
      <c r="S1985" s="26"/>
    </row>
    <row r="1986" spans="1:19" ht="16.5" customHeight="1" x14ac:dyDescent="0.25">
      <c r="A1986" s="9"/>
      <c r="B1986" s="51" t="s">
        <v>91</v>
      </c>
      <c r="C1986" s="52"/>
      <c r="D1986" s="52"/>
      <c r="E1986" s="52"/>
      <c r="F1986" s="52"/>
      <c r="G1986" s="53"/>
      <c r="H1986" s="20"/>
      <c r="I1986" s="9">
        <v>2</v>
      </c>
      <c r="J1986" s="9"/>
      <c r="K1986" s="9"/>
      <c r="L1986" s="9"/>
      <c r="M1986" s="9">
        <f t="shared" si="260"/>
        <v>15.4</v>
      </c>
      <c r="N1986" s="9">
        <f t="shared" si="261"/>
        <v>6</v>
      </c>
      <c r="O1986" s="9">
        <v>7.7</v>
      </c>
      <c r="P1986" s="9">
        <v>3</v>
      </c>
      <c r="Q1986" s="9" t="s">
        <v>6</v>
      </c>
      <c r="R1986" s="1">
        <v>0</v>
      </c>
      <c r="S1986" s="26"/>
    </row>
    <row r="1987" spans="1:19" ht="16.5" customHeight="1" x14ac:dyDescent="0.25">
      <c r="A1987" s="9"/>
      <c r="B1987" s="51" t="s">
        <v>92</v>
      </c>
      <c r="C1987" s="52"/>
      <c r="D1987" s="52"/>
      <c r="E1987" s="52"/>
      <c r="F1987" s="52"/>
      <c r="G1987" s="53"/>
      <c r="H1987" s="20"/>
      <c r="I1987" s="9">
        <v>3</v>
      </c>
      <c r="J1987" s="9"/>
      <c r="K1987" s="9"/>
      <c r="L1987" s="9"/>
      <c r="M1987" s="9">
        <f t="shared" si="260"/>
        <v>23.4</v>
      </c>
      <c r="N1987" s="9">
        <f t="shared" si="261"/>
        <v>9</v>
      </c>
      <c r="O1987" s="9">
        <v>7.8</v>
      </c>
      <c r="P1987" s="9">
        <v>3</v>
      </c>
      <c r="Q1987" s="9" t="s">
        <v>6</v>
      </c>
      <c r="R1987" s="1">
        <v>0</v>
      </c>
      <c r="S1987" s="26"/>
    </row>
    <row r="1988" spans="1:19" ht="16.5" customHeight="1" x14ac:dyDescent="0.25">
      <c r="A1988" s="9"/>
      <c r="B1988" s="51" t="s">
        <v>93</v>
      </c>
      <c r="C1988" s="52"/>
      <c r="D1988" s="52"/>
      <c r="E1988" s="52"/>
      <c r="F1988" s="52"/>
      <c r="G1988" s="53"/>
      <c r="H1988" s="20"/>
      <c r="I1988" s="9">
        <v>1</v>
      </c>
      <c r="J1988" s="9"/>
      <c r="K1988" s="9"/>
      <c r="L1988" s="9"/>
      <c r="M1988" s="9">
        <f t="shared" si="260"/>
        <v>5.9</v>
      </c>
      <c r="N1988" s="9">
        <f t="shared" si="261"/>
        <v>2</v>
      </c>
      <c r="O1988" s="9">
        <v>5.9</v>
      </c>
      <c r="P1988" s="9">
        <v>2</v>
      </c>
      <c r="Q1988" s="9" t="s">
        <v>3</v>
      </c>
      <c r="R1988" s="1">
        <v>0</v>
      </c>
      <c r="S1988" s="26"/>
    </row>
    <row r="1989" spans="1:19" ht="16.5" customHeight="1" x14ac:dyDescent="0.25">
      <c r="A1989" s="9"/>
      <c r="B1989" s="51" t="s">
        <v>94</v>
      </c>
      <c r="C1989" s="52"/>
      <c r="D1989" s="52"/>
      <c r="E1989" s="52"/>
      <c r="F1989" s="52"/>
      <c r="G1989" s="53"/>
      <c r="H1989" s="20"/>
      <c r="I1989" s="9">
        <v>1</v>
      </c>
      <c r="J1989" s="9"/>
      <c r="K1989" s="9"/>
      <c r="L1989" s="9"/>
      <c r="M1989" s="9">
        <f t="shared" si="260"/>
        <v>7.2</v>
      </c>
      <c r="N1989" s="9">
        <f t="shared" si="261"/>
        <v>3</v>
      </c>
      <c r="O1989" s="9">
        <v>7.2</v>
      </c>
      <c r="P1989" s="9">
        <v>3</v>
      </c>
      <c r="Q1989" s="9" t="s">
        <v>6</v>
      </c>
      <c r="R1989" s="1">
        <v>0</v>
      </c>
      <c r="S1989" s="26"/>
    </row>
    <row r="1990" spans="1:19" ht="16.5" customHeight="1" x14ac:dyDescent="0.25">
      <c r="A1990" s="9"/>
      <c r="B1990" s="51" t="s">
        <v>95</v>
      </c>
      <c r="C1990" s="52"/>
      <c r="D1990" s="52"/>
      <c r="E1990" s="52"/>
      <c r="F1990" s="52"/>
      <c r="G1990" s="53"/>
      <c r="H1990" s="20"/>
      <c r="I1990" s="9">
        <v>3</v>
      </c>
      <c r="J1990" s="9"/>
      <c r="K1990" s="9"/>
      <c r="L1990" s="9"/>
      <c r="M1990" s="9">
        <f t="shared" si="260"/>
        <v>24.900000000000002</v>
      </c>
      <c r="N1990" s="9">
        <f t="shared" si="261"/>
        <v>10.5</v>
      </c>
      <c r="O1990" s="9">
        <v>8.3000000000000007</v>
      </c>
      <c r="P1990" s="9">
        <v>3.5</v>
      </c>
      <c r="Q1990" s="9" t="s">
        <v>9</v>
      </c>
      <c r="R1990" s="1">
        <v>0</v>
      </c>
      <c r="S1990" s="26"/>
    </row>
    <row r="1991" spans="1:19" ht="16.5" customHeight="1" x14ac:dyDescent="0.25">
      <c r="A1991" s="9"/>
      <c r="B1991" s="51" t="s">
        <v>96</v>
      </c>
      <c r="C1991" s="52"/>
      <c r="D1991" s="52"/>
      <c r="E1991" s="52"/>
      <c r="F1991" s="52"/>
      <c r="G1991" s="53"/>
      <c r="H1991" s="20"/>
      <c r="I1991" s="9">
        <v>3</v>
      </c>
      <c r="J1991" s="9"/>
      <c r="K1991" s="9"/>
      <c r="L1991" s="9"/>
      <c r="M1991" s="9">
        <f t="shared" si="260"/>
        <v>24.900000000000002</v>
      </c>
      <c r="N1991" s="9">
        <f t="shared" si="261"/>
        <v>10.5</v>
      </c>
      <c r="O1991" s="9">
        <v>8.3000000000000007</v>
      </c>
      <c r="P1991" s="9">
        <v>3.5</v>
      </c>
      <c r="Q1991" s="9" t="s">
        <v>9</v>
      </c>
      <c r="R1991" s="1">
        <v>0</v>
      </c>
      <c r="S1991" s="26"/>
    </row>
    <row r="1992" spans="1:19" ht="16.5" customHeight="1" x14ac:dyDescent="0.25">
      <c r="A1992" s="9"/>
      <c r="B1992" s="51" t="s">
        <v>97</v>
      </c>
      <c r="C1992" s="52"/>
      <c r="D1992" s="52"/>
      <c r="E1992" s="52"/>
      <c r="F1992" s="52"/>
      <c r="G1992" s="53"/>
      <c r="H1992" s="20"/>
      <c r="I1992" s="9">
        <v>1</v>
      </c>
      <c r="J1992" s="9"/>
      <c r="K1992" s="9"/>
      <c r="L1992" s="9"/>
      <c r="M1992" s="9">
        <f t="shared" si="260"/>
        <v>7.5</v>
      </c>
      <c r="N1992" s="9">
        <f t="shared" si="261"/>
        <v>3</v>
      </c>
      <c r="O1992" s="9">
        <v>7.5</v>
      </c>
      <c r="P1992" s="9">
        <v>3</v>
      </c>
      <c r="Q1992" s="9" t="s">
        <v>6</v>
      </c>
      <c r="R1992" s="1">
        <v>0</v>
      </c>
      <c r="S1992" s="26"/>
    </row>
    <row r="1993" spans="1:19" ht="16.5" customHeight="1" x14ac:dyDescent="0.25">
      <c r="A1993" s="9"/>
      <c r="B1993" s="51" t="s">
        <v>98</v>
      </c>
      <c r="C1993" s="52"/>
      <c r="D1993" s="52"/>
      <c r="E1993" s="52"/>
      <c r="F1993" s="52"/>
      <c r="G1993" s="53"/>
      <c r="H1993" s="20"/>
      <c r="I1993" s="9">
        <v>3</v>
      </c>
      <c r="J1993" s="9"/>
      <c r="K1993" s="9"/>
      <c r="L1993" s="9"/>
      <c r="M1993" s="9">
        <f t="shared" si="260"/>
        <v>19.200000000000003</v>
      </c>
      <c r="N1993" s="9">
        <f t="shared" si="261"/>
        <v>6</v>
      </c>
      <c r="O1993" s="9">
        <v>6.4</v>
      </c>
      <c r="P1993" s="9">
        <v>2</v>
      </c>
      <c r="Q1993" s="9" t="s">
        <v>3</v>
      </c>
      <c r="R1993" s="1">
        <v>0</v>
      </c>
      <c r="S1993" s="26"/>
    </row>
    <row r="1994" spans="1:19" ht="16.5" hidden="1" customHeight="1" x14ac:dyDescent="0.25">
      <c r="A1994" s="21"/>
      <c r="H1994" s="21"/>
      <c r="I1994" s="21"/>
      <c r="J1994" s="21"/>
      <c r="K1994" s="21"/>
      <c r="L1994" s="21"/>
      <c r="M1994" s="9">
        <f t="shared" si="260"/>
        <v>0</v>
      </c>
      <c r="N1994" s="9">
        <f t="shared" si="261"/>
        <v>0</v>
      </c>
      <c r="O1994" s="21"/>
      <c r="P1994" s="21"/>
      <c r="Q1994" s="21"/>
      <c r="S1994" s="25"/>
    </row>
    <row r="1995" spans="1:19" ht="16.5" customHeight="1" x14ac:dyDescent="0.25">
      <c r="A1995" s="9"/>
      <c r="B1995" s="39" t="s">
        <v>42</v>
      </c>
      <c r="C1995" s="40"/>
      <c r="D1995" s="40"/>
      <c r="E1995" s="40"/>
      <c r="F1995" s="40"/>
      <c r="G1995" s="41"/>
      <c r="H1995" s="23"/>
      <c r="I1995" s="24">
        <f>SUM(I1984:I1994)</f>
        <v>22</v>
      </c>
      <c r="J1995" s="9"/>
      <c r="K1995" s="9"/>
      <c r="L1995" s="9"/>
      <c r="M1995" s="9">
        <f t="shared" si="260"/>
        <v>165.22</v>
      </c>
      <c r="N1995" s="9">
        <f t="shared" si="261"/>
        <v>64.900000000000006</v>
      </c>
      <c r="O1995" s="24">
        <f>ROUND(SUM(M1984:M1994)/I1995,2)</f>
        <v>7.51</v>
      </c>
      <c r="P1995" s="24">
        <f>ROUND(SUM(N1984:N1994)/I1995,2)</f>
        <v>2.95</v>
      </c>
      <c r="Q1995" s="9"/>
      <c r="S1995" s="25"/>
    </row>
    <row r="1996" spans="1:19" ht="20.25" customHeight="1" x14ac:dyDescent="0.25">
      <c r="A1996" s="27" t="s">
        <v>99</v>
      </c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</row>
    <row r="1997" spans="1:19" ht="16.5" customHeight="1" x14ac:dyDescent="0.25">
      <c r="A1997" s="9"/>
      <c r="B1997" s="51" t="s">
        <v>100</v>
      </c>
      <c r="C1997" s="52"/>
      <c r="D1997" s="52"/>
      <c r="E1997" s="52"/>
      <c r="F1997" s="52"/>
      <c r="G1997" s="53"/>
      <c r="H1997" s="20"/>
      <c r="I1997" s="9">
        <v>2</v>
      </c>
      <c r="J1997" s="9"/>
      <c r="K1997" s="9"/>
      <c r="L1997" s="9"/>
      <c r="M1997" s="9">
        <f t="shared" ref="M1997:M2010" si="262">I1997*O1997</f>
        <v>16</v>
      </c>
      <c r="N1997" s="9">
        <f t="shared" ref="N1997:N2010" si="263">I1997*P1997</f>
        <v>7</v>
      </c>
      <c r="O1997" s="9">
        <v>8</v>
      </c>
      <c r="P1997" s="9">
        <v>3.5</v>
      </c>
      <c r="Q1997" s="9" t="s">
        <v>9</v>
      </c>
      <c r="R1997" s="1">
        <v>0</v>
      </c>
      <c r="S1997" s="26"/>
    </row>
    <row r="1998" spans="1:19" ht="16.5" customHeight="1" x14ac:dyDescent="0.25">
      <c r="A1998" s="9"/>
      <c r="B1998" s="51" t="s">
        <v>101</v>
      </c>
      <c r="C1998" s="52"/>
      <c r="D1998" s="52"/>
      <c r="E1998" s="52"/>
      <c r="F1998" s="52"/>
      <c r="G1998" s="53"/>
      <c r="H1998" s="20"/>
      <c r="I1998" s="9">
        <v>2</v>
      </c>
      <c r="J1998" s="9"/>
      <c r="K1998" s="9"/>
      <c r="L1998" s="9"/>
      <c r="M1998" s="9">
        <f t="shared" si="262"/>
        <v>13.6</v>
      </c>
      <c r="N1998" s="9">
        <f t="shared" si="263"/>
        <v>5</v>
      </c>
      <c r="O1998" s="9">
        <v>6.8</v>
      </c>
      <c r="P1998" s="9">
        <v>2.5</v>
      </c>
      <c r="Q1998" s="9" t="s">
        <v>5</v>
      </c>
      <c r="R1998" s="1">
        <v>0</v>
      </c>
      <c r="S1998" s="26"/>
    </row>
    <row r="1999" spans="1:19" ht="16.5" customHeight="1" x14ac:dyDescent="0.25">
      <c r="A1999" s="9"/>
      <c r="B1999" s="51" t="s">
        <v>102</v>
      </c>
      <c r="C1999" s="52"/>
      <c r="D1999" s="52"/>
      <c r="E1999" s="52"/>
      <c r="F1999" s="52"/>
      <c r="G1999" s="53"/>
      <c r="H1999" s="20"/>
      <c r="I1999" s="9">
        <v>1</v>
      </c>
      <c r="J1999" s="9"/>
      <c r="K1999" s="9"/>
      <c r="L1999" s="9"/>
      <c r="M1999" s="9">
        <f t="shared" si="262"/>
        <v>7.5</v>
      </c>
      <c r="N1999" s="9">
        <f t="shared" si="263"/>
        <v>3</v>
      </c>
      <c r="O1999" s="9">
        <v>7.5</v>
      </c>
      <c r="P1999" s="9">
        <v>3</v>
      </c>
      <c r="Q1999" s="9" t="s">
        <v>6</v>
      </c>
      <c r="R1999" s="1">
        <v>0</v>
      </c>
      <c r="S1999" s="26"/>
    </row>
    <row r="2000" spans="1:19" ht="16.5" customHeight="1" x14ac:dyDescent="0.25">
      <c r="A2000" s="9"/>
      <c r="B2000" s="51" t="s">
        <v>103</v>
      </c>
      <c r="C2000" s="52"/>
      <c r="D2000" s="52"/>
      <c r="E2000" s="52"/>
      <c r="F2000" s="52"/>
      <c r="G2000" s="53"/>
      <c r="H2000" s="20"/>
      <c r="I2000" s="9">
        <v>2</v>
      </c>
      <c r="J2000" s="9"/>
      <c r="K2000" s="9"/>
      <c r="L2000" s="9"/>
      <c r="M2000" s="9">
        <f t="shared" si="262"/>
        <v>12.2</v>
      </c>
      <c r="N2000" s="9">
        <f t="shared" si="263"/>
        <v>4</v>
      </c>
      <c r="O2000" s="9">
        <v>6.1</v>
      </c>
      <c r="P2000" s="9">
        <v>2</v>
      </c>
      <c r="Q2000" s="9" t="s">
        <v>3</v>
      </c>
      <c r="R2000" s="1">
        <v>0</v>
      </c>
      <c r="S2000" s="26"/>
    </row>
    <row r="2001" spans="1:19" ht="16.5" customHeight="1" x14ac:dyDescent="0.25">
      <c r="A2001" s="9"/>
      <c r="B2001" s="51" t="s">
        <v>104</v>
      </c>
      <c r="C2001" s="52"/>
      <c r="D2001" s="52"/>
      <c r="E2001" s="52"/>
      <c r="F2001" s="52"/>
      <c r="G2001" s="53"/>
      <c r="H2001" s="20"/>
      <c r="I2001" s="9">
        <v>3</v>
      </c>
      <c r="J2001" s="9"/>
      <c r="K2001" s="9"/>
      <c r="L2001" s="9"/>
      <c r="M2001" s="9">
        <f t="shared" si="262"/>
        <v>20.700000000000003</v>
      </c>
      <c r="N2001" s="9">
        <f t="shared" si="263"/>
        <v>7.5</v>
      </c>
      <c r="O2001" s="9">
        <v>6.9</v>
      </c>
      <c r="P2001" s="9">
        <v>2.5</v>
      </c>
      <c r="Q2001" s="9" t="s">
        <v>5</v>
      </c>
      <c r="R2001" s="1">
        <v>0</v>
      </c>
      <c r="S2001" s="26"/>
    </row>
    <row r="2002" spans="1:19" ht="16.5" customHeight="1" x14ac:dyDescent="0.25">
      <c r="A2002" s="9"/>
      <c r="B2002" s="51" t="s">
        <v>105</v>
      </c>
      <c r="C2002" s="52"/>
      <c r="D2002" s="52"/>
      <c r="E2002" s="52"/>
      <c r="F2002" s="52"/>
      <c r="G2002" s="53"/>
      <c r="H2002" s="20"/>
      <c r="I2002" s="9">
        <v>3</v>
      </c>
      <c r="J2002" s="9"/>
      <c r="K2002" s="9"/>
      <c r="L2002" s="9"/>
      <c r="M2002" s="9">
        <f t="shared" si="262"/>
        <v>24</v>
      </c>
      <c r="N2002" s="9">
        <f t="shared" si="263"/>
        <v>10.5</v>
      </c>
      <c r="O2002" s="9">
        <v>8</v>
      </c>
      <c r="P2002" s="9">
        <v>3.5</v>
      </c>
      <c r="Q2002" s="9" t="s">
        <v>9</v>
      </c>
      <c r="R2002" s="1">
        <v>0</v>
      </c>
      <c r="S2002" s="26"/>
    </row>
    <row r="2003" spans="1:19" ht="16.5" customHeight="1" x14ac:dyDescent="0.25">
      <c r="A2003" s="9"/>
      <c r="B2003" s="51" t="s">
        <v>106</v>
      </c>
      <c r="C2003" s="52"/>
      <c r="D2003" s="52"/>
      <c r="E2003" s="52"/>
      <c r="F2003" s="52"/>
      <c r="G2003" s="53"/>
      <c r="H2003" s="20"/>
      <c r="I2003" s="9">
        <v>2</v>
      </c>
      <c r="J2003" s="9"/>
      <c r="K2003" s="9"/>
      <c r="L2003" s="9"/>
      <c r="M2003" s="9">
        <f t="shared" si="262"/>
        <v>14.2</v>
      </c>
      <c r="N2003" s="9">
        <f t="shared" si="263"/>
        <v>6</v>
      </c>
      <c r="O2003" s="9">
        <v>7.1</v>
      </c>
      <c r="P2003" s="9">
        <v>3</v>
      </c>
      <c r="Q2003" s="9" t="s">
        <v>6</v>
      </c>
      <c r="R2003" s="1">
        <v>0</v>
      </c>
      <c r="S2003" s="26"/>
    </row>
    <row r="2004" spans="1:19" ht="16.5" customHeight="1" x14ac:dyDescent="0.25">
      <c r="A2004" s="9"/>
      <c r="B2004" s="51" t="s">
        <v>107</v>
      </c>
      <c r="C2004" s="52"/>
      <c r="D2004" s="52"/>
      <c r="E2004" s="52"/>
      <c r="F2004" s="52"/>
      <c r="G2004" s="53"/>
      <c r="H2004" s="20"/>
      <c r="I2004" s="9">
        <v>3</v>
      </c>
      <c r="J2004" s="9"/>
      <c r="K2004" s="9"/>
      <c r="L2004" s="9"/>
      <c r="M2004" s="9">
        <f t="shared" si="262"/>
        <v>23.1</v>
      </c>
      <c r="N2004" s="9">
        <f t="shared" si="263"/>
        <v>9</v>
      </c>
      <c r="O2004" s="9">
        <v>7.7</v>
      </c>
      <c r="P2004" s="9">
        <v>3</v>
      </c>
      <c r="Q2004" s="9" t="s">
        <v>6</v>
      </c>
      <c r="R2004" s="1">
        <v>0</v>
      </c>
      <c r="S2004" s="26"/>
    </row>
    <row r="2005" spans="1:19" ht="16.5" customHeight="1" x14ac:dyDescent="0.25">
      <c r="A2005" s="9"/>
      <c r="B2005" s="51" t="s">
        <v>108</v>
      </c>
      <c r="C2005" s="52"/>
      <c r="D2005" s="52"/>
      <c r="E2005" s="52"/>
      <c r="F2005" s="52"/>
      <c r="G2005" s="53"/>
      <c r="H2005" s="20"/>
      <c r="I2005" s="9">
        <v>1</v>
      </c>
      <c r="J2005" s="9"/>
      <c r="K2005" s="9"/>
      <c r="L2005" s="9"/>
      <c r="M2005" s="9">
        <f t="shared" si="262"/>
        <v>8</v>
      </c>
      <c r="N2005" s="9">
        <f t="shared" si="263"/>
        <v>3.5</v>
      </c>
      <c r="O2005" s="9">
        <v>8</v>
      </c>
      <c r="P2005" s="9">
        <v>3.5</v>
      </c>
      <c r="Q2005" s="9" t="s">
        <v>9</v>
      </c>
      <c r="R2005" s="1">
        <v>0</v>
      </c>
      <c r="S2005" s="26"/>
    </row>
    <row r="2006" spans="1:19" ht="16.5" customHeight="1" x14ac:dyDescent="0.25">
      <c r="A2006" s="9"/>
      <c r="B2006" s="51" t="s">
        <v>109</v>
      </c>
      <c r="C2006" s="52"/>
      <c r="D2006" s="52"/>
      <c r="E2006" s="52"/>
      <c r="F2006" s="52"/>
      <c r="G2006" s="53"/>
      <c r="H2006" s="20"/>
      <c r="I2006" s="9">
        <v>2</v>
      </c>
      <c r="J2006" s="9"/>
      <c r="K2006" s="9"/>
      <c r="L2006" s="9"/>
      <c r="M2006" s="9">
        <f t="shared" si="262"/>
        <v>16</v>
      </c>
      <c r="N2006" s="9">
        <f t="shared" si="263"/>
        <v>7</v>
      </c>
      <c r="O2006" s="9">
        <v>8</v>
      </c>
      <c r="P2006" s="9">
        <v>3.5</v>
      </c>
      <c r="Q2006" s="9" t="s">
        <v>9</v>
      </c>
      <c r="R2006" s="1">
        <v>0</v>
      </c>
      <c r="S2006" s="26"/>
    </row>
    <row r="2007" spans="1:19" ht="16.5" customHeight="1" x14ac:dyDescent="0.25">
      <c r="A2007" s="9"/>
      <c r="B2007" s="51" t="s">
        <v>110</v>
      </c>
      <c r="C2007" s="52"/>
      <c r="D2007" s="52"/>
      <c r="E2007" s="52"/>
      <c r="F2007" s="52"/>
      <c r="G2007" s="53"/>
      <c r="H2007" s="20"/>
      <c r="I2007" s="9">
        <v>1</v>
      </c>
      <c r="J2007" s="9"/>
      <c r="K2007" s="9"/>
      <c r="L2007" s="9"/>
      <c r="M2007" s="9">
        <f t="shared" si="262"/>
        <v>9</v>
      </c>
      <c r="N2007" s="9">
        <f t="shared" si="263"/>
        <v>4</v>
      </c>
      <c r="O2007" s="9">
        <v>9</v>
      </c>
      <c r="P2007" s="9">
        <v>4</v>
      </c>
      <c r="Q2007" s="9" t="s">
        <v>12</v>
      </c>
      <c r="R2007" s="1">
        <v>0</v>
      </c>
      <c r="S2007" s="26"/>
    </row>
    <row r="2008" spans="1:19" ht="16.5" customHeight="1" x14ac:dyDescent="0.25">
      <c r="A2008" s="9"/>
      <c r="B2008" s="51" t="s">
        <v>111</v>
      </c>
      <c r="C2008" s="52"/>
      <c r="D2008" s="52"/>
      <c r="E2008" s="52"/>
      <c r="F2008" s="52"/>
      <c r="G2008" s="53"/>
      <c r="H2008" s="20"/>
      <c r="I2008" s="9">
        <v>3</v>
      </c>
      <c r="J2008" s="9"/>
      <c r="K2008" s="9"/>
      <c r="L2008" s="9"/>
      <c r="M2008" s="9">
        <f t="shared" si="262"/>
        <v>26.400000000000002</v>
      </c>
      <c r="N2008" s="9">
        <f t="shared" si="263"/>
        <v>11.100000000000001</v>
      </c>
      <c r="O2008" s="9">
        <v>8.8000000000000007</v>
      </c>
      <c r="P2008" s="9">
        <v>3.7</v>
      </c>
      <c r="Q2008" s="9" t="s">
        <v>10</v>
      </c>
      <c r="R2008" s="1">
        <v>0</v>
      </c>
      <c r="S2008" s="26"/>
    </row>
    <row r="2009" spans="1:19" ht="16.5" hidden="1" customHeight="1" x14ac:dyDescent="0.25">
      <c r="A2009" s="21"/>
      <c r="H2009" s="21"/>
      <c r="I2009" s="21"/>
      <c r="J2009" s="21"/>
      <c r="K2009" s="21"/>
      <c r="L2009" s="21"/>
      <c r="M2009" s="9">
        <f t="shared" si="262"/>
        <v>0</v>
      </c>
      <c r="N2009" s="9">
        <f t="shared" si="263"/>
        <v>0</v>
      </c>
      <c r="O2009" s="21"/>
      <c r="P2009" s="21"/>
      <c r="Q2009" s="21"/>
      <c r="S2009" s="25"/>
    </row>
    <row r="2010" spans="1:19" ht="16.5" customHeight="1" x14ac:dyDescent="0.25">
      <c r="A2010" s="9"/>
      <c r="B2010" s="39" t="s">
        <v>42</v>
      </c>
      <c r="C2010" s="40"/>
      <c r="D2010" s="40"/>
      <c r="E2010" s="40"/>
      <c r="F2010" s="40"/>
      <c r="G2010" s="41"/>
      <c r="H2010" s="23"/>
      <c r="I2010" s="24">
        <f>SUM(I1997:I2009)</f>
        <v>25</v>
      </c>
      <c r="J2010" s="9"/>
      <c r="K2010" s="9"/>
      <c r="L2010" s="9"/>
      <c r="M2010" s="9">
        <f t="shared" si="262"/>
        <v>190.75</v>
      </c>
      <c r="N2010" s="9">
        <f t="shared" si="263"/>
        <v>77.5</v>
      </c>
      <c r="O2010" s="24">
        <f>ROUND(SUM(M1997:M2009)/I2010,2)</f>
        <v>7.63</v>
      </c>
      <c r="P2010" s="24">
        <f>ROUND(SUM(N1997:N2009)/I2010,2)</f>
        <v>3.1</v>
      </c>
      <c r="Q2010" s="9"/>
      <c r="S2010" s="25"/>
    </row>
    <row r="2011" spans="1:19" ht="20.25" customHeight="1" x14ac:dyDescent="0.25">
      <c r="A2011" s="27" t="s">
        <v>112</v>
      </c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</row>
    <row r="2012" spans="1:19" ht="16.5" customHeight="1" x14ac:dyDescent="0.25">
      <c r="A2012" s="9"/>
      <c r="B2012" s="51" t="s">
        <v>113</v>
      </c>
      <c r="C2012" s="52"/>
      <c r="D2012" s="52"/>
      <c r="E2012" s="52"/>
      <c r="F2012" s="52"/>
      <c r="G2012" s="53"/>
      <c r="H2012" s="20"/>
      <c r="I2012" s="9">
        <v>2</v>
      </c>
      <c r="J2012" s="9"/>
      <c r="K2012" s="9"/>
      <c r="L2012" s="9"/>
      <c r="M2012" s="9">
        <f t="shared" ref="M2012:M2020" si="264">I2012*O2012</f>
        <v>0</v>
      </c>
      <c r="N2012" s="9">
        <f t="shared" ref="N2012:N2020" si="265">I2012*P2012</f>
        <v>0</v>
      </c>
      <c r="O2012" s="9"/>
      <c r="P2012" s="9"/>
      <c r="Q2012" s="9"/>
      <c r="R2012" s="1">
        <v>0</v>
      </c>
      <c r="S2012" s="26"/>
    </row>
    <row r="2013" spans="1:19" ht="16.5" customHeight="1" x14ac:dyDescent="0.25">
      <c r="A2013" s="9"/>
      <c r="B2013" s="51" t="s">
        <v>114</v>
      </c>
      <c r="C2013" s="52"/>
      <c r="D2013" s="52"/>
      <c r="E2013" s="52"/>
      <c r="F2013" s="52"/>
      <c r="G2013" s="53"/>
      <c r="H2013" s="20"/>
      <c r="I2013" s="9">
        <v>3</v>
      </c>
      <c r="J2013" s="9"/>
      <c r="K2013" s="9"/>
      <c r="L2013" s="9"/>
      <c r="M2013" s="9">
        <f t="shared" si="264"/>
        <v>23.4</v>
      </c>
      <c r="N2013" s="9">
        <f t="shared" si="265"/>
        <v>9</v>
      </c>
      <c r="O2013" s="9">
        <v>7.8</v>
      </c>
      <c r="P2013" s="9">
        <v>3</v>
      </c>
      <c r="Q2013" s="9" t="s">
        <v>6</v>
      </c>
      <c r="R2013" s="1">
        <v>0</v>
      </c>
      <c r="S2013" s="26"/>
    </row>
    <row r="2014" spans="1:19" ht="16.5" customHeight="1" x14ac:dyDescent="0.25">
      <c r="A2014" s="9"/>
      <c r="B2014" s="51" t="s">
        <v>115</v>
      </c>
      <c r="C2014" s="52"/>
      <c r="D2014" s="52"/>
      <c r="E2014" s="52"/>
      <c r="F2014" s="52"/>
      <c r="G2014" s="53"/>
      <c r="H2014" s="20"/>
      <c r="I2014" s="9">
        <v>1</v>
      </c>
      <c r="J2014" s="9"/>
      <c r="K2014" s="9"/>
      <c r="L2014" s="9"/>
      <c r="M2014" s="9">
        <f t="shared" si="264"/>
        <v>6.8</v>
      </c>
      <c r="N2014" s="9">
        <f t="shared" si="265"/>
        <v>2.5</v>
      </c>
      <c r="O2014" s="9">
        <v>6.8</v>
      </c>
      <c r="P2014" s="9">
        <v>2.5</v>
      </c>
      <c r="Q2014" s="9" t="s">
        <v>5</v>
      </c>
      <c r="R2014" s="1">
        <v>0</v>
      </c>
      <c r="S2014" s="26"/>
    </row>
    <row r="2015" spans="1:19" ht="16.5" customHeight="1" x14ac:dyDescent="0.25">
      <c r="A2015" s="9"/>
      <c r="B2015" s="51" t="s">
        <v>116</v>
      </c>
      <c r="C2015" s="52"/>
      <c r="D2015" s="52"/>
      <c r="E2015" s="52"/>
      <c r="F2015" s="52"/>
      <c r="G2015" s="53"/>
      <c r="H2015" s="20"/>
      <c r="I2015" s="9">
        <v>3</v>
      </c>
      <c r="J2015" s="9"/>
      <c r="K2015" s="9"/>
      <c r="L2015" s="9"/>
      <c r="M2015" s="9">
        <f t="shared" si="264"/>
        <v>21</v>
      </c>
      <c r="N2015" s="9">
        <f t="shared" si="265"/>
        <v>9</v>
      </c>
      <c r="O2015" s="9">
        <v>7</v>
      </c>
      <c r="P2015" s="9">
        <v>3</v>
      </c>
      <c r="Q2015" s="9" t="s">
        <v>6</v>
      </c>
      <c r="R2015" s="1">
        <v>0</v>
      </c>
      <c r="S2015" s="26"/>
    </row>
    <row r="2016" spans="1:19" ht="16.5" customHeight="1" x14ac:dyDescent="0.25">
      <c r="A2016" s="9"/>
      <c r="B2016" s="51" t="s">
        <v>117</v>
      </c>
      <c r="C2016" s="52"/>
      <c r="D2016" s="52"/>
      <c r="E2016" s="52"/>
      <c r="F2016" s="52"/>
      <c r="G2016" s="53"/>
      <c r="H2016" s="20"/>
      <c r="I2016" s="9">
        <v>3</v>
      </c>
      <c r="J2016" s="9"/>
      <c r="K2016" s="9"/>
      <c r="L2016" s="9"/>
      <c r="M2016" s="9">
        <f t="shared" si="264"/>
        <v>16.799999999999997</v>
      </c>
      <c r="N2016" s="9">
        <f t="shared" si="265"/>
        <v>6</v>
      </c>
      <c r="O2016" s="9">
        <v>5.6</v>
      </c>
      <c r="P2016" s="9">
        <v>2</v>
      </c>
      <c r="Q2016" s="9" t="s">
        <v>3</v>
      </c>
      <c r="R2016" s="1">
        <v>0</v>
      </c>
      <c r="S2016" s="26"/>
    </row>
    <row r="2017" spans="1:19" ht="16.5" customHeight="1" x14ac:dyDescent="0.25">
      <c r="A2017" s="9"/>
      <c r="B2017" s="51" t="s">
        <v>118</v>
      </c>
      <c r="C2017" s="52"/>
      <c r="D2017" s="52"/>
      <c r="E2017" s="52"/>
      <c r="F2017" s="52"/>
      <c r="G2017" s="53"/>
      <c r="H2017" s="20"/>
      <c r="I2017" s="9">
        <v>3</v>
      </c>
      <c r="J2017" s="9"/>
      <c r="K2017" s="9"/>
      <c r="L2017" s="9"/>
      <c r="M2017" s="9">
        <f t="shared" si="264"/>
        <v>24.299999999999997</v>
      </c>
      <c r="N2017" s="9">
        <f t="shared" si="265"/>
        <v>10.5</v>
      </c>
      <c r="O2017" s="9">
        <v>8.1</v>
      </c>
      <c r="P2017" s="9">
        <v>3.5</v>
      </c>
      <c r="Q2017" s="9" t="s">
        <v>9</v>
      </c>
      <c r="R2017" s="1">
        <v>0</v>
      </c>
      <c r="S2017" s="26"/>
    </row>
    <row r="2018" spans="1:19" ht="31.2" customHeight="1" x14ac:dyDescent="0.25">
      <c r="A2018" s="9"/>
      <c r="B2018" s="51" t="s">
        <v>119</v>
      </c>
      <c r="C2018" s="52"/>
      <c r="D2018" s="52"/>
      <c r="E2018" s="52"/>
      <c r="F2018" s="52"/>
      <c r="G2018" s="53"/>
      <c r="H2018" s="20"/>
      <c r="I2018" s="9">
        <v>2</v>
      </c>
      <c r="J2018" s="9"/>
      <c r="K2018" s="9"/>
      <c r="L2018" s="9"/>
      <c r="M2018" s="9">
        <f t="shared" si="264"/>
        <v>0</v>
      </c>
      <c r="N2018" s="9">
        <f t="shared" si="265"/>
        <v>0</v>
      </c>
      <c r="O2018" s="9"/>
      <c r="P2018" s="9"/>
      <c r="Q2018" s="9"/>
      <c r="R2018" s="1">
        <v>0</v>
      </c>
      <c r="S2018" s="26"/>
    </row>
    <row r="2019" spans="1:19" ht="16.5" hidden="1" customHeight="1" x14ac:dyDescent="0.25">
      <c r="A2019" s="21"/>
      <c r="H2019" s="21"/>
      <c r="I2019" s="21"/>
      <c r="J2019" s="21"/>
      <c r="K2019" s="21"/>
      <c r="L2019" s="21"/>
      <c r="M2019" s="9">
        <f t="shared" si="264"/>
        <v>0</v>
      </c>
      <c r="N2019" s="9">
        <f t="shared" si="265"/>
        <v>0</v>
      </c>
      <c r="O2019" s="21"/>
      <c r="P2019" s="21"/>
      <c r="Q2019" s="21"/>
      <c r="S2019" s="25"/>
    </row>
    <row r="2020" spans="1:19" ht="16.5" customHeight="1" x14ac:dyDescent="0.25">
      <c r="A2020" s="9"/>
      <c r="B2020" s="39" t="s">
        <v>42</v>
      </c>
      <c r="C2020" s="40"/>
      <c r="D2020" s="40"/>
      <c r="E2020" s="40"/>
      <c r="F2020" s="40"/>
      <c r="G2020" s="41"/>
      <c r="H2020" s="23"/>
      <c r="I2020" s="24">
        <f>SUM(I2012:I2019)</f>
        <v>17</v>
      </c>
      <c r="J2020" s="9"/>
      <c r="K2020" s="9"/>
      <c r="L2020" s="9"/>
      <c r="M2020" s="9">
        <f t="shared" si="264"/>
        <v>92.31</v>
      </c>
      <c r="N2020" s="9">
        <f t="shared" si="265"/>
        <v>37.06</v>
      </c>
      <c r="O2020" s="24">
        <f>ROUND(SUM(M2012:M2019)/I2020,2)</f>
        <v>5.43</v>
      </c>
      <c r="P2020" s="24">
        <f>ROUND(SUM(N2012:N2019)/I2020,2)</f>
        <v>2.1800000000000002</v>
      </c>
      <c r="Q2020" s="9"/>
      <c r="S2020" s="25"/>
    </row>
    <row r="2021" spans="1:19" ht="16.5" customHeight="1" x14ac:dyDescent="0.25">
      <c r="A2021" s="21"/>
      <c r="B2021" s="22"/>
      <c r="C2021" s="22"/>
      <c r="D2021" s="22"/>
      <c r="E2021" s="22"/>
      <c r="F2021" s="22"/>
      <c r="G2021" s="22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</row>
    <row r="2023" spans="1:19" ht="18" x14ac:dyDescent="0.25">
      <c r="A2023" s="35" t="s">
        <v>50</v>
      </c>
      <c r="B2023" s="35"/>
      <c r="C2023" s="35"/>
      <c r="D2023" s="35"/>
      <c r="E2023" s="35"/>
      <c r="F2023" s="35"/>
      <c r="G2023" s="35"/>
      <c r="H2023" s="35"/>
      <c r="I2023" s="35"/>
      <c r="J2023" s="35"/>
      <c r="K2023" s="35"/>
      <c r="L2023" s="35"/>
      <c r="M2023" s="35"/>
      <c r="N2023" s="35"/>
      <c r="O2023" s="35"/>
      <c r="P2023" s="35"/>
      <c r="Q2023" s="35"/>
      <c r="R2023" s="35"/>
      <c r="S2023" s="35"/>
    </row>
    <row r="2024" spans="1:19" ht="18" x14ac:dyDescent="0.25">
      <c r="A2024" s="35" t="s">
        <v>218</v>
      </c>
      <c r="B2024" s="35"/>
      <c r="C2024" s="35"/>
      <c r="D2024" s="35"/>
      <c r="E2024" s="35"/>
      <c r="F2024" s="35"/>
      <c r="G2024" s="35"/>
      <c r="H2024" s="35"/>
      <c r="I2024" s="35"/>
      <c r="J2024" s="35"/>
      <c r="K2024" s="35"/>
      <c r="L2024" s="35"/>
      <c r="M2024" s="35"/>
      <c r="N2024" s="35"/>
      <c r="O2024" s="35"/>
      <c r="P2024" s="35"/>
      <c r="Q2024" s="35"/>
      <c r="R2024" s="35"/>
      <c r="S2024" s="35"/>
    </row>
    <row r="2025" spans="1:19" ht="18" x14ac:dyDescent="0.25">
      <c r="A2025" s="35" t="s">
        <v>219</v>
      </c>
      <c r="B2025" s="35"/>
      <c r="C2025" s="35"/>
      <c r="D2025" s="35"/>
      <c r="E2025" s="35"/>
      <c r="F2025" s="35"/>
      <c r="G2025" s="35"/>
      <c r="H2025" s="35"/>
      <c r="I2025" s="35"/>
      <c r="J2025" s="35"/>
      <c r="K2025" s="35"/>
      <c r="L2025" s="35"/>
      <c r="M2025" s="35"/>
      <c r="N2025" s="35"/>
      <c r="O2025" s="35"/>
      <c r="P2025" s="35"/>
      <c r="Q2025" s="35"/>
      <c r="R2025" s="35"/>
      <c r="S2025" s="35"/>
    </row>
    <row r="2026" spans="1:19" ht="18" x14ac:dyDescent="0.25">
      <c r="A2026" s="45" t="s">
        <v>53</v>
      </c>
      <c r="B2026" s="45"/>
      <c r="C2026" s="45"/>
      <c r="D2026" s="45"/>
      <c r="E2026" s="45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</row>
    <row r="2027" spans="1:19" ht="19.5" customHeight="1" x14ac:dyDescent="0.25">
      <c r="A2027" s="17"/>
      <c r="B2027" s="17"/>
      <c r="C2027" s="8"/>
      <c r="D2027" s="18"/>
      <c r="E2027" s="10"/>
      <c r="F2027" s="11"/>
      <c r="G2027" s="46" t="s">
        <v>49</v>
      </c>
      <c r="H2027" s="46"/>
      <c r="I2027" s="46"/>
      <c r="J2027" s="46"/>
      <c r="K2027" s="46"/>
      <c r="L2027" s="46"/>
      <c r="M2027" s="46"/>
      <c r="N2027" s="46"/>
      <c r="O2027" s="46"/>
      <c r="P2027" s="46"/>
      <c r="Q2027" s="46"/>
      <c r="R2027" s="46"/>
      <c r="S2027" s="46"/>
    </row>
    <row r="2028" spans="1:19" ht="31.5" customHeight="1" x14ac:dyDescent="0.3">
      <c r="A2028" s="8"/>
      <c r="B2028" s="8"/>
      <c r="C2028" s="8"/>
      <c r="D2028" s="8"/>
      <c r="E2028" s="8"/>
      <c r="F2028" s="8"/>
      <c r="G2028" s="8"/>
      <c r="H2028" s="12"/>
      <c r="I2028" s="42" t="s">
        <v>40</v>
      </c>
      <c r="J2028" s="43"/>
      <c r="K2028" s="43"/>
      <c r="L2028" s="43"/>
      <c r="M2028" s="43"/>
      <c r="N2028" s="43"/>
      <c r="O2028" s="43"/>
      <c r="P2028" s="43"/>
      <c r="Q2028" s="43"/>
      <c r="R2028" s="43"/>
      <c r="S2028" s="43"/>
    </row>
    <row r="2029" spans="1:19" ht="16.8" x14ac:dyDescent="0.3">
      <c r="A2029" s="8"/>
      <c r="B2029" s="8"/>
      <c r="C2029" s="8"/>
      <c r="D2029" s="8"/>
      <c r="E2029" s="8"/>
      <c r="F2029" s="8"/>
      <c r="G2029" s="8"/>
      <c r="H2029" s="12"/>
      <c r="I2029" s="12"/>
      <c r="J2029" s="12"/>
      <c r="K2029" s="12"/>
      <c r="L2029" s="8"/>
      <c r="M2029" s="8"/>
      <c r="N2029" s="8"/>
      <c r="O2029" s="8"/>
      <c r="P2029" s="8"/>
      <c r="Q2029" s="8"/>
    </row>
    <row r="2030" spans="1:19" ht="33" customHeight="1" x14ac:dyDescent="0.3">
      <c r="A2030" s="8"/>
      <c r="B2030" s="8"/>
      <c r="C2030" s="8"/>
      <c r="D2030" s="8"/>
      <c r="E2030" s="8"/>
      <c r="F2030" s="8"/>
      <c r="G2030" s="8"/>
      <c r="H2030" s="12"/>
      <c r="I2030" s="12"/>
      <c r="J2030" s="12"/>
      <c r="K2030" s="12"/>
      <c r="L2030" s="8"/>
      <c r="M2030" s="8"/>
      <c r="N2030" s="8"/>
      <c r="O2030" s="8"/>
      <c r="P2030" s="8"/>
      <c r="Q2030" s="8"/>
    </row>
    <row r="2031" spans="1:19" ht="11.25" customHeight="1" x14ac:dyDescent="0.3">
      <c r="A2031" s="8"/>
      <c r="B2031" s="8"/>
      <c r="C2031" s="8"/>
      <c r="D2031" s="8"/>
      <c r="E2031" s="8"/>
      <c r="F2031" s="8"/>
      <c r="G2031" s="8"/>
      <c r="H2031" s="12"/>
      <c r="I2031" s="12"/>
      <c r="J2031" s="12"/>
      <c r="K2031" s="12"/>
      <c r="L2031" s="8"/>
      <c r="M2031" s="8"/>
      <c r="N2031" s="8"/>
      <c r="O2031" s="8"/>
      <c r="P2031" s="8"/>
      <c r="Q2031" s="8"/>
    </row>
    <row r="2032" spans="1:19" ht="17.399999999999999" x14ac:dyDescent="0.3">
      <c r="A2032" s="8"/>
      <c r="B2032" s="8"/>
      <c r="C2032" s="8"/>
      <c r="D2032" s="8"/>
      <c r="E2032" s="8"/>
      <c r="F2032" s="8"/>
      <c r="G2032" s="47" t="s">
        <v>41</v>
      </c>
      <c r="H2032" s="47"/>
      <c r="I2032" s="47"/>
      <c r="J2032" s="47"/>
      <c r="K2032" s="47"/>
      <c r="L2032" s="47"/>
      <c r="M2032" s="47"/>
      <c r="N2032" s="47"/>
      <c r="O2032" s="47"/>
      <c r="P2032" s="47"/>
      <c r="Q2032" s="47"/>
      <c r="R2032" s="47"/>
      <c r="S2032" s="47"/>
    </row>
    <row r="2033" spans="1:20" ht="54" customHeight="1" x14ac:dyDescent="0.25">
      <c r="A2033" s="48" t="s">
        <v>33</v>
      </c>
      <c r="B2033" s="48"/>
      <c r="C2033" s="48"/>
      <c r="D2033" s="48"/>
      <c r="E2033" s="48"/>
      <c r="F2033" s="42" t="s">
        <v>24</v>
      </c>
      <c r="G2033" s="42"/>
      <c r="H2033" s="42"/>
      <c r="I2033" s="42"/>
      <c r="J2033" s="42"/>
      <c r="K2033" s="42"/>
      <c r="L2033" s="42"/>
      <c r="M2033" s="42"/>
      <c r="N2033" s="42"/>
      <c r="O2033" s="42"/>
      <c r="P2033" s="42"/>
      <c r="Q2033" s="42"/>
      <c r="R2033" s="42"/>
      <c r="S2033" s="42"/>
    </row>
    <row r="2034" spans="1:20" ht="17.399999999999999" x14ac:dyDescent="0.25">
      <c r="A2034" s="49" t="s">
        <v>34</v>
      </c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  <c r="O2034" s="49"/>
      <c r="P2034" s="49"/>
      <c r="Q2034" s="49"/>
    </row>
    <row r="2035" spans="1:20" ht="4.5" customHeight="1" x14ac:dyDescent="0.25">
      <c r="A2035" s="50"/>
      <c r="B2035" s="50"/>
      <c r="C2035" s="50"/>
      <c r="D2035" s="50"/>
      <c r="E2035" s="50"/>
      <c r="F2035" s="50"/>
      <c r="G2035" s="50"/>
      <c r="H2035" s="50"/>
      <c r="I2035" s="50"/>
      <c r="J2035" s="50"/>
      <c r="K2035" s="50"/>
      <c r="L2035" s="50"/>
      <c r="M2035" s="50"/>
      <c r="N2035" s="50"/>
      <c r="O2035" s="50"/>
      <c r="P2035" s="50"/>
      <c r="Q2035" s="50"/>
    </row>
    <row r="2036" spans="1:20" ht="5.25" customHeight="1" x14ac:dyDescent="0.25">
      <c r="A2036" s="50"/>
      <c r="B2036" s="50"/>
      <c r="C2036" s="50"/>
      <c r="D2036" s="50"/>
      <c r="E2036" s="50"/>
      <c r="F2036" s="50"/>
      <c r="G2036" s="50"/>
      <c r="H2036" s="50"/>
      <c r="I2036" s="50"/>
      <c r="J2036" s="50"/>
      <c r="K2036" s="50"/>
      <c r="L2036" s="50"/>
      <c r="M2036" s="50"/>
      <c r="N2036" s="50"/>
      <c r="O2036" s="50"/>
      <c r="P2036" s="50"/>
      <c r="Q2036" s="50"/>
    </row>
    <row r="2037" spans="1:20" ht="16.5" customHeight="1" x14ac:dyDescent="0.25">
      <c r="A2037" s="54" t="s">
        <v>220</v>
      </c>
      <c r="B2037" s="54"/>
      <c r="C2037" s="54"/>
      <c r="D2037" s="54"/>
      <c r="E2037" s="54"/>
      <c r="F2037" s="54"/>
      <c r="G2037" s="58" t="s">
        <v>221</v>
      </c>
      <c r="H2037" s="58"/>
      <c r="I2037" s="58"/>
      <c r="J2037" s="58"/>
      <c r="K2037" s="58"/>
      <c r="L2037" s="58"/>
      <c r="M2037" s="58"/>
      <c r="N2037" s="58"/>
      <c r="O2037" s="58"/>
      <c r="P2037" s="58"/>
      <c r="Q2037" s="58"/>
      <c r="R2037" s="58"/>
      <c r="S2037" s="58"/>
    </row>
    <row r="2038" spans="1:20" ht="16.5" customHeight="1" x14ac:dyDescent="0.25">
      <c r="A2038" s="54" t="s">
        <v>222</v>
      </c>
      <c r="B2038" s="54"/>
      <c r="C2038" s="54"/>
      <c r="D2038" s="54"/>
      <c r="E2038" s="54"/>
      <c r="F2038" s="54"/>
      <c r="G2038" s="8" t="s">
        <v>46</v>
      </c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T2038" s="2"/>
    </row>
    <row r="2039" spans="1:20" ht="16.5" customHeight="1" x14ac:dyDescent="0.25">
      <c r="A2039" s="54" t="s">
        <v>47</v>
      </c>
      <c r="B2039" s="54"/>
      <c r="C2039" s="54"/>
      <c r="D2039" s="54"/>
      <c r="E2039" s="54"/>
      <c r="F2039" s="54"/>
      <c r="G2039" s="58" t="s">
        <v>48</v>
      </c>
      <c r="H2039" s="58"/>
      <c r="I2039" s="58"/>
      <c r="J2039" s="58"/>
      <c r="K2039" s="58"/>
      <c r="L2039" s="58"/>
      <c r="M2039" s="58"/>
      <c r="N2039" s="58"/>
      <c r="O2039" s="58"/>
      <c r="P2039" s="58"/>
      <c r="Q2039" s="58"/>
      <c r="R2039" s="58"/>
      <c r="S2039" s="58"/>
    </row>
    <row r="2040" spans="1:20" ht="5.25" customHeight="1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19"/>
      <c r="K2040" s="19"/>
      <c r="L2040" s="19"/>
      <c r="M2040" s="19"/>
      <c r="N2040" s="19"/>
      <c r="O2040" s="19"/>
      <c r="P2040" s="19"/>
      <c r="Q2040" s="19"/>
    </row>
    <row r="2041" spans="1:20" ht="15" customHeight="1" x14ac:dyDescent="0.25">
      <c r="A2041" s="36" t="s">
        <v>0</v>
      </c>
      <c r="B2041" s="29" t="s">
        <v>1</v>
      </c>
      <c r="C2041" s="30"/>
      <c r="D2041" s="30"/>
      <c r="E2041" s="30"/>
      <c r="F2041" s="30"/>
      <c r="G2041" s="31"/>
      <c r="H2041" s="36" t="s">
        <v>32</v>
      </c>
      <c r="I2041" s="36" t="s">
        <v>39</v>
      </c>
      <c r="J2041" s="55" t="s">
        <v>2</v>
      </c>
      <c r="K2041" s="56"/>
      <c r="L2041" s="56"/>
      <c r="M2041" s="56"/>
      <c r="N2041" s="56"/>
      <c r="O2041" s="56"/>
      <c r="P2041" s="56"/>
      <c r="Q2041" s="57"/>
      <c r="S2041" s="36" t="s">
        <v>38</v>
      </c>
    </row>
    <row r="2042" spans="1:20" ht="24" customHeight="1" x14ac:dyDescent="0.25">
      <c r="A2042" s="37"/>
      <c r="B2042" s="32"/>
      <c r="C2042" s="33"/>
      <c r="D2042" s="33"/>
      <c r="E2042" s="33"/>
      <c r="F2042" s="33"/>
      <c r="G2042" s="34"/>
      <c r="H2042" s="37"/>
      <c r="I2042" s="37"/>
      <c r="J2042" s="7" t="s">
        <v>28</v>
      </c>
      <c r="K2042" s="7" t="s">
        <v>29</v>
      </c>
      <c r="L2042" s="7" t="s">
        <v>30</v>
      </c>
      <c r="M2042" s="7"/>
      <c r="N2042" s="7"/>
      <c r="O2042" s="6" t="s">
        <v>35</v>
      </c>
      <c r="P2042" s="6" t="s">
        <v>36</v>
      </c>
      <c r="Q2042" s="6" t="s">
        <v>37</v>
      </c>
      <c r="S2042" s="37"/>
    </row>
    <row r="2043" spans="1:20" ht="20.25" customHeight="1" x14ac:dyDescent="0.25">
      <c r="A2043" s="27" t="s">
        <v>54</v>
      </c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</row>
    <row r="2044" spans="1:20" ht="16.5" customHeight="1" x14ac:dyDescent="0.25">
      <c r="A2044" s="9"/>
      <c r="B2044" s="51" t="s">
        <v>61</v>
      </c>
      <c r="C2044" s="52"/>
      <c r="D2044" s="52"/>
      <c r="E2044" s="52"/>
      <c r="F2044" s="52"/>
      <c r="G2044" s="53"/>
      <c r="H2044" s="20"/>
      <c r="I2044" s="9">
        <v>1</v>
      </c>
      <c r="J2044" s="9"/>
      <c r="K2044" s="9"/>
      <c r="L2044" s="9"/>
      <c r="M2044" s="9">
        <f t="shared" ref="M2044:M2052" si="266">I2044*O2044</f>
        <v>6.9</v>
      </c>
      <c r="N2044" s="9">
        <f t="shared" ref="N2044:N2052" si="267">I2044*P2044</f>
        <v>2.5</v>
      </c>
      <c r="O2044" s="9">
        <v>6.9</v>
      </c>
      <c r="P2044" s="9">
        <v>2.5</v>
      </c>
      <c r="Q2044" s="9" t="s">
        <v>5</v>
      </c>
      <c r="R2044" s="1">
        <v>0</v>
      </c>
      <c r="S2044" s="26"/>
    </row>
    <row r="2045" spans="1:20" ht="16.5" customHeight="1" x14ac:dyDescent="0.25">
      <c r="A2045" s="9"/>
      <c r="B2045" s="51" t="s">
        <v>56</v>
      </c>
      <c r="C2045" s="52"/>
      <c r="D2045" s="52"/>
      <c r="E2045" s="52"/>
      <c r="F2045" s="52"/>
      <c r="G2045" s="53"/>
      <c r="H2045" s="20"/>
      <c r="I2045" s="9">
        <v>3</v>
      </c>
      <c r="J2045" s="9"/>
      <c r="K2045" s="9"/>
      <c r="L2045" s="9"/>
      <c r="M2045" s="9">
        <f t="shared" si="266"/>
        <v>21.9</v>
      </c>
      <c r="N2045" s="9">
        <f t="shared" si="267"/>
        <v>9</v>
      </c>
      <c r="O2045" s="9">
        <v>7.3</v>
      </c>
      <c r="P2045" s="9">
        <v>3</v>
      </c>
      <c r="Q2045" s="9" t="s">
        <v>6</v>
      </c>
      <c r="R2045" s="1">
        <v>0</v>
      </c>
      <c r="S2045" s="26"/>
    </row>
    <row r="2046" spans="1:20" ht="31.2" customHeight="1" x14ac:dyDescent="0.25">
      <c r="A2046" s="9"/>
      <c r="B2046" s="51" t="s">
        <v>57</v>
      </c>
      <c r="C2046" s="52"/>
      <c r="D2046" s="52"/>
      <c r="E2046" s="52"/>
      <c r="F2046" s="52"/>
      <c r="G2046" s="53"/>
      <c r="H2046" s="20"/>
      <c r="I2046" s="9">
        <v>3</v>
      </c>
      <c r="J2046" s="9"/>
      <c r="K2046" s="9"/>
      <c r="L2046" s="9"/>
      <c r="M2046" s="9">
        <f t="shared" si="266"/>
        <v>22.799999999999997</v>
      </c>
      <c r="N2046" s="9">
        <f t="shared" si="267"/>
        <v>9</v>
      </c>
      <c r="O2046" s="9">
        <v>7.6</v>
      </c>
      <c r="P2046" s="9">
        <v>3</v>
      </c>
      <c r="Q2046" s="9" t="s">
        <v>6</v>
      </c>
      <c r="R2046" s="1">
        <v>0</v>
      </c>
      <c r="S2046" s="26"/>
    </row>
    <row r="2047" spans="1:20" ht="16.5" customHeight="1" x14ac:dyDescent="0.25">
      <c r="A2047" s="9"/>
      <c r="B2047" s="51" t="s">
        <v>58</v>
      </c>
      <c r="C2047" s="52"/>
      <c r="D2047" s="52"/>
      <c r="E2047" s="52"/>
      <c r="F2047" s="52"/>
      <c r="G2047" s="53"/>
      <c r="H2047" s="20"/>
      <c r="I2047" s="9">
        <v>1</v>
      </c>
      <c r="J2047" s="9"/>
      <c r="K2047" s="9"/>
      <c r="L2047" s="9"/>
      <c r="M2047" s="9">
        <f t="shared" si="266"/>
        <v>7.4</v>
      </c>
      <c r="N2047" s="9">
        <f t="shared" si="267"/>
        <v>3</v>
      </c>
      <c r="O2047" s="9">
        <v>7.4</v>
      </c>
      <c r="P2047" s="9">
        <v>3</v>
      </c>
      <c r="Q2047" s="9" t="s">
        <v>6</v>
      </c>
      <c r="R2047" s="1">
        <v>0</v>
      </c>
      <c r="S2047" s="26"/>
    </row>
    <row r="2048" spans="1:20" ht="16.5" customHeight="1" x14ac:dyDescent="0.25">
      <c r="A2048" s="9"/>
      <c r="B2048" s="51" t="s">
        <v>59</v>
      </c>
      <c r="C2048" s="52"/>
      <c r="D2048" s="52"/>
      <c r="E2048" s="52"/>
      <c r="F2048" s="52"/>
      <c r="G2048" s="53"/>
      <c r="H2048" s="20"/>
      <c r="I2048" s="9">
        <v>1</v>
      </c>
      <c r="J2048" s="9"/>
      <c r="K2048" s="9"/>
      <c r="L2048" s="9"/>
      <c r="M2048" s="9">
        <f t="shared" si="266"/>
        <v>7.3</v>
      </c>
      <c r="N2048" s="9">
        <f t="shared" si="267"/>
        <v>3</v>
      </c>
      <c r="O2048" s="9">
        <v>7.3</v>
      </c>
      <c r="P2048" s="9">
        <v>3</v>
      </c>
      <c r="Q2048" s="9" t="s">
        <v>6</v>
      </c>
      <c r="R2048" s="1">
        <v>0</v>
      </c>
      <c r="S2048" s="26"/>
    </row>
    <row r="2049" spans="1:19" ht="16.5" customHeight="1" x14ac:dyDescent="0.25">
      <c r="A2049" s="9"/>
      <c r="B2049" s="51" t="s">
        <v>60</v>
      </c>
      <c r="C2049" s="52"/>
      <c r="D2049" s="52"/>
      <c r="E2049" s="52"/>
      <c r="F2049" s="52"/>
      <c r="G2049" s="53"/>
      <c r="H2049" s="20"/>
      <c r="I2049" s="9">
        <v>3</v>
      </c>
      <c r="J2049" s="9"/>
      <c r="K2049" s="9"/>
      <c r="L2049" s="9"/>
      <c r="M2049" s="9">
        <f t="shared" si="266"/>
        <v>22.799999999999997</v>
      </c>
      <c r="N2049" s="9">
        <f t="shared" si="267"/>
        <v>9</v>
      </c>
      <c r="O2049" s="9">
        <v>7.6</v>
      </c>
      <c r="P2049" s="9">
        <v>3</v>
      </c>
      <c r="Q2049" s="9" t="s">
        <v>6</v>
      </c>
      <c r="R2049" s="1">
        <v>0</v>
      </c>
      <c r="S2049" s="26"/>
    </row>
    <row r="2050" spans="1:19" ht="16.5" customHeight="1" x14ac:dyDescent="0.25">
      <c r="A2050" s="9"/>
      <c r="B2050" s="51" t="s">
        <v>55</v>
      </c>
      <c r="C2050" s="52"/>
      <c r="D2050" s="52"/>
      <c r="E2050" s="52"/>
      <c r="F2050" s="52"/>
      <c r="G2050" s="53"/>
      <c r="H2050" s="20"/>
      <c r="I2050" s="9">
        <v>2</v>
      </c>
      <c r="J2050" s="9"/>
      <c r="K2050" s="9"/>
      <c r="L2050" s="9"/>
      <c r="M2050" s="9">
        <f t="shared" si="266"/>
        <v>14.2</v>
      </c>
      <c r="N2050" s="9">
        <f t="shared" si="267"/>
        <v>6</v>
      </c>
      <c r="O2050" s="9">
        <v>7.1</v>
      </c>
      <c r="P2050" s="9">
        <v>3</v>
      </c>
      <c r="Q2050" s="9" t="s">
        <v>6</v>
      </c>
      <c r="R2050" s="1">
        <v>0</v>
      </c>
      <c r="S2050" s="26"/>
    </row>
    <row r="2051" spans="1:19" ht="16.5" hidden="1" customHeight="1" x14ac:dyDescent="0.25">
      <c r="A2051" s="21"/>
      <c r="H2051" s="21"/>
      <c r="I2051" s="21"/>
      <c r="J2051" s="21"/>
      <c r="K2051" s="21"/>
      <c r="L2051" s="21"/>
      <c r="M2051" s="9">
        <f t="shared" si="266"/>
        <v>0</v>
      </c>
      <c r="N2051" s="9">
        <f t="shared" si="267"/>
        <v>0</v>
      </c>
      <c r="O2051" s="21"/>
      <c r="P2051" s="21"/>
      <c r="Q2051" s="21"/>
      <c r="S2051" s="25"/>
    </row>
    <row r="2052" spans="1:19" ht="16.5" customHeight="1" x14ac:dyDescent="0.25">
      <c r="A2052" s="9"/>
      <c r="B2052" s="39" t="s">
        <v>42</v>
      </c>
      <c r="C2052" s="40"/>
      <c r="D2052" s="40"/>
      <c r="E2052" s="40"/>
      <c r="F2052" s="40"/>
      <c r="G2052" s="41"/>
      <c r="H2052" s="23"/>
      <c r="I2052" s="24">
        <f>SUM(I2044:I2051)</f>
        <v>14</v>
      </c>
      <c r="J2052" s="9"/>
      <c r="K2052" s="9"/>
      <c r="L2052" s="9"/>
      <c r="M2052" s="9">
        <f t="shared" si="266"/>
        <v>103.32</v>
      </c>
      <c r="N2052" s="9">
        <f t="shared" si="267"/>
        <v>41.44</v>
      </c>
      <c r="O2052" s="24">
        <f>ROUND(SUM(M2044:M2051)/I2052,2)</f>
        <v>7.38</v>
      </c>
      <c r="P2052" s="24">
        <f>ROUND(SUM(N2044:N2051)/I2052,2)</f>
        <v>2.96</v>
      </c>
      <c r="Q2052" s="9"/>
      <c r="S2052" s="25"/>
    </row>
    <row r="2053" spans="1:19" ht="20.25" customHeight="1" x14ac:dyDescent="0.25">
      <c r="A2053" s="27" t="s">
        <v>62</v>
      </c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</row>
    <row r="2054" spans="1:19" ht="16.5" customHeight="1" x14ac:dyDescent="0.25">
      <c r="A2054" s="9"/>
      <c r="B2054" s="51" t="s">
        <v>63</v>
      </c>
      <c r="C2054" s="52"/>
      <c r="D2054" s="52"/>
      <c r="E2054" s="52"/>
      <c r="F2054" s="52"/>
      <c r="G2054" s="53"/>
      <c r="H2054" s="20"/>
      <c r="I2054" s="9">
        <v>4</v>
      </c>
      <c r="J2054" s="9"/>
      <c r="K2054" s="9"/>
      <c r="L2054" s="9"/>
      <c r="M2054" s="9">
        <f t="shared" ref="M2054:M2062" si="268">I2054*O2054</f>
        <v>26</v>
      </c>
      <c r="N2054" s="9">
        <f t="shared" ref="N2054:N2062" si="269">I2054*P2054</f>
        <v>10</v>
      </c>
      <c r="O2054" s="9">
        <v>6.5</v>
      </c>
      <c r="P2054" s="9">
        <v>2.5</v>
      </c>
      <c r="Q2054" s="9" t="s">
        <v>5</v>
      </c>
      <c r="R2054" s="1">
        <v>0</v>
      </c>
      <c r="S2054" s="26"/>
    </row>
    <row r="2055" spans="1:19" ht="16.5" customHeight="1" x14ac:dyDescent="0.25">
      <c r="A2055" s="9"/>
      <c r="B2055" s="51" t="s">
        <v>64</v>
      </c>
      <c r="C2055" s="52"/>
      <c r="D2055" s="52"/>
      <c r="E2055" s="52"/>
      <c r="F2055" s="52"/>
      <c r="G2055" s="53"/>
      <c r="H2055" s="20"/>
      <c r="I2055" s="9">
        <v>4</v>
      </c>
      <c r="J2055" s="9"/>
      <c r="K2055" s="9"/>
      <c r="L2055" s="9"/>
      <c r="M2055" s="9">
        <f t="shared" si="268"/>
        <v>30</v>
      </c>
      <c r="N2055" s="9">
        <f t="shared" si="269"/>
        <v>12</v>
      </c>
      <c r="O2055" s="9">
        <v>7.5</v>
      </c>
      <c r="P2055" s="9">
        <v>3</v>
      </c>
      <c r="Q2055" s="9" t="s">
        <v>6</v>
      </c>
      <c r="R2055" s="1">
        <v>0</v>
      </c>
      <c r="S2055" s="26"/>
    </row>
    <row r="2056" spans="1:19" ht="16.5" customHeight="1" x14ac:dyDescent="0.25">
      <c r="A2056" s="9"/>
      <c r="B2056" s="51" t="s">
        <v>65</v>
      </c>
      <c r="C2056" s="52"/>
      <c r="D2056" s="52"/>
      <c r="E2056" s="52"/>
      <c r="F2056" s="52"/>
      <c r="G2056" s="53"/>
      <c r="H2056" s="20"/>
      <c r="I2056" s="9">
        <v>4</v>
      </c>
      <c r="J2056" s="9"/>
      <c r="K2056" s="9"/>
      <c r="L2056" s="9"/>
      <c r="M2056" s="9">
        <f t="shared" si="268"/>
        <v>32</v>
      </c>
      <c r="N2056" s="9">
        <f t="shared" si="269"/>
        <v>14</v>
      </c>
      <c r="O2056" s="9">
        <v>8</v>
      </c>
      <c r="P2056" s="9">
        <v>3.5</v>
      </c>
      <c r="Q2056" s="9" t="s">
        <v>9</v>
      </c>
      <c r="R2056" s="1">
        <v>0</v>
      </c>
      <c r="S2056" s="26"/>
    </row>
    <row r="2057" spans="1:19" ht="16.5" customHeight="1" x14ac:dyDescent="0.25">
      <c r="A2057" s="9"/>
      <c r="B2057" s="51" t="s">
        <v>66</v>
      </c>
      <c r="C2057" s="52"/>
      <c r="D2057" s="52"/>
      <c r="E2057" s="52"/>
      <c r="F2057" s="52"/>
      <c r="G2057" s="53"/>
      <c r="H2057" s="20"/>
      <c r="I2057" s="9">
        <v>1</v>
      </c>
      <c r="J2057" s="9"/>
      <c r="K2057" s="9"/>
      <c r="L2057" s="9"/>
      <c r="M2057" s="9">
        <f t="shared" si="268"/>
        <v>8</v>
      </c>
      <c r="N2057" s="9">
        <f t="shared" si="269"/>
        <v>3.5</v>
      </c>
      <c r="O2057" s="9">
        <v>8</v>
      </c>
      <c r="P2057" s="9">
        <v>3.5</v>
      </c>
      <c r="Q2057" s="9" t="s">
        <v>9</v>
      </c>
      <c r="R2057" s="1">
        <v>0</v>
      </c>
      <c r="S2057" s="26"/>
    </row>
    <row r="2058" spans="1:19" ht="16.5" customHeight="1" x14ac:dyDescent="0.25">
      <c r="A2058" s="9"/>
      <c r="B2058" s="51" t="s">
        <v>67</v>
      </c>
      <c r="C2058" s="52"/>
      <c r="D2058" s="52"/>
      <c r="E2058" s="52"/>
      <c r="F2058" s="52"/>
      <c r="G2058" s="53"/>
      <c r="H2058" s="20"/>
      <c r="I2058" s="9">
        <v>1</v>
      </c>
      <c r="J2058" s="9"/>
      <c r="K2058" s="9"/>
      <c r="L2058" s="9"/>
      <c r="M2058" s="9">
        <f t="shared" si="268"/>
        <v>8</v>
      </c>
      <c r="N2058" s="9">
        <f t="shared" si="269"/>
        <v>3.5</v>
      </c>
      <c r="O2058" s="9">
        <v>8</v>
      </c>
      <c r="P2058" s="9">
        <v>3.5</v>
      </c>
      <c r="Q2058" s="9" t="s">
        <v>9</v>
      </c>
      <c r="R2058" s="1">
        <v>0</v>
      </c>
      <c r="S2058" s="26"/>
    </row>
    <row r="2059" spans="1:19" ht="16.5" customHeight="1" x14ac:dyDescent="0.25">
      <c r="A2059" s="9"/>
      <c r="B2059" s="51" t="s">
        <v>69</v>
      </c>
      <c r="C2059" s="52"/>
      <c r="D2059" s="52"/>
      <c r="E2059" s="52"/>
      <c r="F2059" s="52"/>
      <c r="G2059" s="53"/>
      <c r="H2059" s="20"/>
      <c r="I2059" s="9">
        <v>1</v>
      </c>
      <c r="J2059" s="9"/>
      <c r="K2059" s="9"/>
      <c r="L2059" s="9"/>
      <c r="M2059" s="9">
        <f t="shared" si="268"/>
        <v>7.9</v>
      </c>
      <c r="N2059" s="9">
        <f t="shared" si="269"/>
        <v>3</v>
      </c>
      <c r="O2059" s="9">
        <v>7.9</v>
      </c>
      <c r="P2059" s="9">
        <v>3</v>
      </c>
      <c r="Q2059" s="9" t="s">
        <v>6</v>
      </c>
      <c r="R2059" s="1">
        <v>0</v>
      </c>
      <c r="S2059" s="26"/>
    </row>
    <row r="2060" spans="1:19" ht="16.5" customHeight="1" x14ac:dyDescent="0.25">
      <c r="A2060" s="9"/>
      <c r="B2060" s="51" t="s">
        <v>68</v>
      </c>
      <c r="C2060" s="52"/>
      <c r="D2060" s="52"/>
      <c r="E2060" s="52"/>
      <c r="F2060" s="52"/>
      <c r="G2060" s="53"/>
      <c r="H2060" s="20"/>
      <c r="I2060" s="9">
        <v>1</v>
      </c>
      <c r="J2060" s="9"/>
      <c r="K2060" s="9"/>
      <c r="L2060" s="9"/>
      <c r="M2060" s="9">
        <f t="shared" si="268"/>
        <v>7.6</v>
      </c>
      <c r="N2060" s="9">
        <f t="shared" si="269"/>
        <v>3</v>
      </c>
      <c r="O2060" s="9">
        <v>7.6</v>
      </c>
      <c r="P2060" s="9">
        <v>3</v>
      </c>
      <c r="Q2060" s="9" t="s">
        <v>6</v>
      </c>
      <c r="R2060" s="1">
        <v>0</v>
      </c>
      <c r="S2060" s="26"/>
    </row>
    <row r="2061" spans="1:19" ht="16.5" hidden="1" customHeight="1" x14ac:dyDescent="0.25">
      <c r="A2061" s="21"/>
      <c r="H2061" s="21"/>
      <c r="I2061" s="21"/>
      <c r="J2061" s="21"/>
      <c r="K2061" s="21"/>
      <c r="L2061" s="21"/>
      <c r="M2061" s="9">
        <f t="shared" si="268"/>
        <v>0</v>
      </c>
      <c r="N2061" s="9">
        <f t="shared" si="269"/>
        <v>0</v>
      </c>
      <c r="O2061" s="21"/>
      <c r="P2061" s="21"/>
      <c r="Q2061" s="21"/>
      <c r="S2061" s="25"/>
    </row>
    <row r="2062" spans="1:19" ht="16.5" customHeight="1" x14ac:dyDescent="0.25">
      <c r="A2062" s="9"/>
      <c r="B2062" s="39" t="s">
        <v>42</v>
      </c>
      <c r="C2062" s="40"/>
      <c r="D2062" s="40"/>
      <c r="E2062" s="40"/>
      <c r="F2062" s="40"/>
      <c r="G2062" s="41"/>
      <c r="H2062" s="23"/>
      <c r="I2062" s="24">
        <f>SUM(I2054:I2061)</f>
        <v>16</v>
      </c>
      <c r="J2062" s="9"/>
      <c r="K2062" s="9"/>
      <c r="L2062" s="9"/>
      <c r="M2062" s="9">
        <f t="shared" si="268"/>
        <v>119.52</v>
      </c>
      <c r="N2062" s="9">
        <f t="shared" si="269"/>
        <v>48.96</v>
      </c>
      <c r="O2062" s="24">
        <f>ROUND(SUM(M2054:M2061)/I2062,2)</f>
        <v>7.47</v>
      </c>
      <c r="P2062" s="24">
        <f>ROUND(SUM(N2054:N2061)/I2062,2)</f>
        <v>3.06</v>
      </c>
      <c r="Q2062" s="9"/>
      <c r="S2062" s="25"/>
    </row>
    <row r="2063" spans="1:19" ht="20.25" customHeight="1" x14ac:dyDescent="0.25">
      <c r="A2063" s="27" t="s">
        <v>70</v>
      </c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</row>
    <row r="2064" spans="1:19" ht="16.5" customHeight="1" x14ac:dyDescent="0.25">
      <c r="A2064" s="9"/>
      <c r="B2064" s="51" t="s">
        <v>71</v>
      </c>
      <c r="C2064" s="52"/>
      <c r="D2064" s="52"/>
      <c r="E2064" s="52"/>
      <c r="F2064" s="52"/>
      <c r="G2064" s="53"/>
      <c r="H2064" s="20"/>
      <c r="I2064" s="9">
        <v>4</v>
      </c>
      <c r="J2064" s="9"/>
      <c r="K2064" s="9"/>
      <c r="L2064" s="9"/>
      <c r="M2064" s="9">
        <f t="shared" ref="M2064:M2072" si="270">I2064*O2064</f>
        <v>30.8</v>
      </c>
      <c r="N2064" s="9">
        <f t="shared" ref="N2064:N2072" si="271">I2064*P2064</f>
        <v>12</v>
      </c>
      <c r="O2064" s="9">
        <v>7.7</v>
      </c>
      <c r="P2064" s="9">
        <v>3</v>
      </c>
      <c r="Q2064" s="9" t="s">
        <v>6</v>
      </c>
      <c r="R2064" s="1">
        <v>0</v>
      </c>
      <c r="S2064" s="26"/>
    </row>
    <row r="2065" spans="1:19" ht="16.5" customHeight="1" x14ac:dyDescent="0.25">
      <c r="A2065" s="9"/>
      <c r="B2065" s="51" t="s">
        <v>72</v>
      </c>
      <c r="C2065" s="52"/>
      <c r="D2065" s="52"/>
      <c r="E2065" s="52"/>
      <c r="F2065" s="52"/>
      <c r="G2065" s="53"/>
      <c r="H2065" s="20"/>
      <c r="I2065" s="9">
        <v>4</v>
      </c>
      <c r="J2065" s="9"/>
      <c r="K2065" s="9"/>
      <c r="L2065" s="9"/>
      <c r="M2065" s="9">
        <f t="shared" si="270"/>
        <v>32.4</v>
      </c>
      <c r="N2065" s="9">
        <f t="shared" si="271"/>
        <v>14</v>
      </c>
      <c r="O2065" s="9">
        <v>8.1</v>
      </c>
      <c r="P2065" s="9">
        <v>3.5</v>
      </c>
      <c r="Q2065" s="9" t="s">
        <v>9</v>
      </c>
      <c r="R2065" s="1">
        <v>0</v>
      </c>
      <c r="S2065" s="26"/>
    </row>
    <row r="2066" spans="1:19" ht="16.5" customHeight="1" x14ac:dyDescent="0.25">
      <c r="A2066" s="9"/>
      <c r="B2066" s="51" t="s">
        <v>73</v>
      </c>
      <c r="C2066" s="52"/>
      <c r="D2066" s="52"/>
      <c r="E2066" s="52"/>
      <c r="F2066" s="52"/>
      <c r="G2066" s="53"/>
      <c r="H2066" s="20"/>
      <c r="I2066" s="9">
        <v>1</v>
      </c>
      <c r="J2066" s="9"/>
      <c r="K2066" s="9"/>
      <c r="L2066" s="9"/>
      <c r="M2066" s="9">
        <f t="shared" si="270"/>
        <v>7.6</v>
      </c>
      <c r="N2066" s="9">
        <f t="shared" si="271"/>
        <v>3</v>
      </c>
      <c r="O2066" s="9">
        <v>7.6</v>
      </c>
      <c r="P2066" s="9">
        <v>3</v>
      </c>
      <c r="Q2066" s="9" t="s">
        <v>6</v>
      </c>
      <c r="R2066" s="1">
        <v>0</v>
      </c>
      <c r="S2066" s="26"/>
    </row>
    <row r="2067" spans="1:19" ht="16.5" customHeight="1" x14ac:dyDescent="0.25">
      <c r="A2067" s="9"/>
      <c r="B2067" s="51" t="s">
        <v>74</v>
      </c>
      <c r="C2067" s="52"/>
      <c r="D2067" s="52"/>
      <c r="E2067" s="52"/>
      <c r="F2067" s="52"/>
      <c r="G2067" s="53"/>
      <c r="H2067" s="20"/>
      <c r="I2067" s="9">
        <v>2</v>
      </c>
      <c r="J2067" s="9"/>
      <c r="K2067" s="9"/>
      <c r="L2067" s="9"/>
      <c r="M2067" s="9">
        <f t="shared" si="270"/>
        <v>16.399999999999999</v>
      </c>
      <c r="N2067" s="9">
        <f t="shared" si="271"/>
        <v>7</v>
      </c>
      <c r="O2067" s="9">
        <v>8.1999999999999993</v>
      </c>
      <c r="P2067" s="9">
        <v>3.5</v>
      </c>
      <c r="Q2067" s="9" t="s">
        <v>9</v>
      </c>
      <c r="R2067" s="1">
        <v>0</v>
      </c>
      <c r="S2067" s="26"/>
    </row>
    <row r="2068" spans="1:19" ht="16.5" customHeight="1" x14ac:dyDescent="0.25">
      <c r="A2068" s="9"/>
      <c r="B2068" s="51" t="s">
        <v>75</v>
      </c>
      <c r="C2068" s="52"/>
      <c r="D2068" s="52"/>
      <c r="E2068" s="52"/>
      <c r="F2068" s="52"/>
      <c r="G2068" s="53"/>
      <c r="H2068" s="20"/>
      <c r="I2068" s="9">
        <v>1</v>
      </c>
      <c r="J2068" s="9"/>
      <c r="K2068" s="9"/>
      <c r="L2068" s="9"/>
      <c r="M2068" s="9">
        <f t="shared" si="270"/>
        <v>8.1</v>
      </c>
      <c r="N2068" s="9">
        <f t="shared" si="271"/>
        <v>3.5</v>
      </c>
      <c r="O2068" s="9">
        <v>8.1</v>
      </c>
      <c r="P2068" s="9">
        <v>3.5</v>
      </c>
      <c r="Q2068" s="9" t="s">
        <v>9</v>
      </c>
      <c r="R2068" s="1">
        <v>0</v>
      </c>
      <c r="S2068" s="26"/>
    </row>
    <row r="2069" spans="1:19" ht="16.5" customHeight="1" x14ac:dyDescent="0.25">
      <c r="A2069" s="9"/>
      <c r="B2069" s="51" t="s">
        <v>76</v>
      </c>
      <c r="C2069" s="52"/>
      <c r="D2069" s="52"/>
      <c r="E2069" s="52"/>
      <c r="F2069" s="52"/>
      <c r="G2069" s="53"/>
      <c r="H2069" s="20"/>
      <c r="I2069" s="9">
        <v>4</v>
      </c>
      <c r="J2069" s="9"/>
      <c r="K2069" s="9"/>
      <c r="L2069" s="9"/>
      <c r="M2069" s="9">
        <f t="shared" si="270"/>
        <v>34.799999999999997</v>
      </c>
      <c r="N2069" s="9">
        <f t="shared" si="271"/>
        <v>14.8</v>
      </c>
      <c r="O2069" s="9">
        <v>8.6999999999999993</v>
      </c>
      <c r="P2069" s="9">
        <v>3.7</v>
      </c>
      <c r="Q2069" s="9" t="s">
        <v>10</v>
      </c>
      <c r="R2069" s="1">
        <v>0</v>
      </c>
      <c r="S2069" s="26"/>
    </row>
    <row r="2070" spans="1:19" ht="16.5" customHeight="1" x14ac:dyDescent="0.25">
      <c r="A2070" s="9"/>
      <c r="B2070" s="51" t="s">
        <v>77</v>
      </c>
      <c r="C2070" s="52"/>
      <c r="D2070" s="52"/>
      <c r="E2070" s="52"/>
      <c r="F2070" s="52"/>
      <c r="G2070" s="53"/>
      <c r="H2070" s="20"/>
      <c r="I2070" s="9">
        <v>3</v>
      </c>
      <c r="J2070" s="9"/>
      <c r="K2070" s="9"/>
      <c r="L2070" s="9"/>
      <c r="M2070" s="9">
        <f t="shared" si="270"/>
        <v>18.899999999999999</v>
      </c>
      <c r="N2070" s="9">
        <f t="shared" si="271"/>
        <v>6</v>
      </c>
      <c r="O2070" s="9">
        <v>6.3</v>
      </c>
      <c r="P2070" s="9">
        <v>2</v>
      </c>
      <c r="Q2070" s="9" t="s">
        <v>3</v>
      </c>
      <c r="R2070" s="1">
        <v>0</v>
      </c>
      <c r="S2070" s="26"/>
    </row>
    <row r="2071" spans="1:19" ht="16.5" hidden="1" customHeight="1" x14ac:dyDescent="0.25">
      <c r="A2071" s="21"/>
      <c r="H2071" s="21"/>
      <c r="I2071" s="21"/>
      <c r="J2071" s="21"/>
      <c r="K2071" s="21"/>
      <c r="L2071" s="21"/>
      <c r="M2071" s="9">
        <f t="shared" si="270"/>
        <v>0</v>
      </c>
      <c r="N2071" s="9">
        <f t="shared" si="271"/>
        <v>0</v>
      </c>
      <c r="O2071" s="21"/>
      <c r="P2071" s="21"/>
      <c r="Q2071" s="21"/>
      <c r="S2071" s="25"/>
    </row>
    <row r="2072" spans="1:19" ht="16.5" customHeight="1" x14ac:dyDescent="0.25">
      <c r="A2072" s="9"/>
      <c r="B2072" s="39" t="s">
        <v>42</v>
      </c>
      <c r="C2072" s="40"/>
      <c r="D2072" s="40"/>
      <c r="E2072" s="40"/>
      <c r="F2072" s="40"/>
      <c r="G2072" s="41"/>
      <c r="H2072" s="23"/>
      <c r="I2072" s="24">
        <f>SUM(I2064:I2071)</f>
        <v>19</v>
      </c>
      <c r="J2072" s="9"/>
      <c r="K2072" s="9"/>
      <c r="L2072" s="9"/>
      <c r="M2072" s="9">
        <f t="shared" si="270"/>
        <v>148.96</v>
      </c>
      <c r="N2072" s="9">
        <f t="shared" si="271"/>
        <v>60.23</v>
      </c>
      <c r="O2072" s="24">
        <f>ROUND(SUM(M2064:M2071)/I2072,2)</f>
        <v>7.84</v>
      </c>
      <c r="P2072" s="24">
        <f>ROUND(SUM(N2064:N2071)/I2072,2)</f>
        <v>3.17</v>
      </c>
      <c r="Q2072" s="9"/>
      <c r="S2072" s="25"/>
    </row>
    <row r="2073" spans="1:19" ht="20.25" customHeight="1" x14ac:dyDescent="0.25">
      <c r="A2073" s="27" t="s">
        <v>78</v>
      </c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</row>
    <row r="2074" spans="1:19" ht="16.5" customHeight="1" x14ac:dyDescent="0.25">
      <c r="A2074" s="9"/>
      <c r="B2074" s="51" t="s">
        <v>79</v>
      </c>
      <c r="C2074" s="52"/>
      <c r="D2074" s="52"/>
      <c r="E2074" s="52"/>
      <c r="F2074" s="52"/>
      <c r="G2074" s="53"/>
      <c r="H2074" s="20"/>
      <c r="I2074" s="9">
        <v>1</v>
      </c>
      <c r="J2074" s="9"/>
      <c r="K2074" s="9"/>
      <c r="L2074" s="9"/>
      <c r="M2074" s="9">
        <f t="shared" ref="M2074:M2080" si="272">I2074*O2074</f>
        <v>9</v>
      </c>
      <c r="N2074" s="9">
        <f t="shared" ref="N2074:N2080" si="273">I2074*P2074</f>
        <v>4</v>
      </c>
      <c r="O2074" s="9">
        <v>9</v>
      </c>
      <c r="P2074" s="9">
        <v>4</v>
      </c>
      <c r="Q2074" s="9" t="s">
        <v>12</v>
      </c>
      <c r="R2074" s="1">
        <v>0</v>
      </c>
      <c r="S2074" s="26"/>
    </row>
    <row r="2075" spans="1:19" ht="16.5" customHeight="1" x14ac:dyDescent="0.25">
      <c r="A2075" s="9"/>
      <c r="B2075" s="51" t="s">
        <v>80</v>
      </c>
      <c r="C2075" s="52"/>
      <c r="D2075" s="52"/>
      <c r="E2075" s="52"/>
      <c r="F2075" s="52"/>
      <c r="G2075" s="53"/>
      <c r="H2075" s="20"/>
      <c r="I2075" s="9">
        <v>3</v>
      </c>
      <c r="J2075" s="9"/>
      <c r="K2075" s="9"/>
      <c r="L2075" s="9"/>
      <c r="M2075" s="9">
        <f t="shared" si="272"/>
        <v>24.599999999999998</v>
      </c>
      <c r="N2075" s="9">
        <f t="shared" si="273"/>
        <v>10.5</v>
      </c>
      <c r="O2075" s="9">
        <v>8.1999999999999993</v>
      </c>
      <c r="P2075" s="9">
        <v>3.5</v>
      </c>
      <c r="Q2075" s="9" t="s">
        <v>9</v>
      </c>
      <c r="R2075" s="1">
        <v>0</v>
      </c>
      <c r="S2075" s="26"/>
    </row>
    <row r="2076" spans="1:19" ht="16.5" customHeight="1" x14ac:dyDescent="0.25">
      <c r="A2076" s="9"/>
      <c r="B2076" s="51" t="s">
        <v>87</v>
      </c>
      <c r="C2076" s="52"/>
      <c r="D2076" s="52"/>
      <c r="E2076" s="52"/>
      <c r="F2076" s="52"/>
      <c r="G2076" s="53"/>
      <c r="H2076" s="20"/>
      <c r="I2076" s="9">
        <v>3</v>
      </c>
      <c r="J2076" s="9"/>
      <c r="K2076" s="9"/>
      <c r="L2076" s="9"/>
      <c r="M2076" s="9">
        <f t="shared" si="272"/>
        <v>20.700000000000003</v>
      </c>
      <c r="N2076" s="9">
        <f t="shared" si="273"/>
        <v>7.5</v>
      </c>
      <c r="O2076" s="9">
        <v>6.9</v>
      </c>
      <c r="P2076" s="9">
        <v>2.5</v>
      </c>
      <c r="Q2076" s="9" t="s">
        <v>5</v>
      </c>
      <c r="R2076" s="1">
        <v>0</v>
      </c>
      <c r="S2076" s="26"/>
    </row>
    <row r="2077" spans="1:19" ht="16.5" customHeight="1" x14ac:dyDescent="0.25">
      <c r="A2077" s="9"/>
      <c r="B2077" s="51" t="s">
        <v>82</v>
      </c>
      <c r="C2077" s="52"/>
      <c r="D2077" s="52"/>
      <c r="E2077" s="52"/>
      <c r="F2077" s="52"/>
      <c r="G2077" s="53"/>
      <c r="H2077" s="20"/>
      <c r="I2077" s="9">
        <v>2</v>
      </c>
      <c r="J2077" s="9"/>
      <c r="K2077" s="9"/>
      <c r="L2077" s="9"/>
      <c r="M2077" s="9">
        <f t="shared" si="272"/>
        <v>15.2</v>
      </c>
      <c r="N2077" s="9">
        <f t="shared" si="273"/>
        <v>6</v>
      </c>
      <c r="O2077" s="9">
        <v>7.6</v>
      </c>
      <c r="P2077" s="9">
        <v>3</v>
      </c>
      <c r="Q2077" s="9" t="s">
        <v>6</v>
      </c>
      <c r="R2077" s="1">
        <v>0</v>
      </c>
      <c r="S2077" s="26"/>
    </row>
    <row r="2078" spans="1:19" ht="16.5" customHeight="1" x14ac:dyDescent="0.25">
      <c r="A2078" s="9"/>
      <c r="B2078" s="51" t="s">
        <v>83</v>
      </c>
      <c r="C2078" s="52"/>
      <c r="D2078" s="52"/>
      <c r="E2078" s="52"/>
      <c r="F2078" s="52"/>
      <c r="G2078" s="53"/>
      <c r="H2078" s="20"/>
      <c r="I2078" s="9">
        <v>2</v>
      </c>
      <c r="J2078" s="9"/>
      <c r="K2078" s="9"/>
      <c r="L2078" s="9"/>
      <c r="M2078" s="9">
        <f t="shared" si="272"/>
        <v>15.6</v>
      </c>
      <c r="N2078" s="9">
        <f t="shared" si="273"/>
        <v>6</v>
      </c>
      <c r="O2078" s="9">
        <v>7.8</v>
      </c>
      <c r="P2078" s="9">
        <v>3</v>
      </c>
      <c r="Q2078" s="9" t="s">
        <v>6</v>
      </c>
      <c r="R2078" s="1">
        <v>0</v>
      </c>
      <c r="S2078" s="26"/>
    </row>
    <row r="2079" spans="1:19" ht="16.5" customHeight="1" x14ac:dyDescent="0.25">
      <c r="A2079" s="9"/>
      <c r="B2079" s="51" t="s">
        <v>84</v>
      </c>
      <c r="C2079" s="52"/>
      <c r="D2079" s="52"/>
      <c r="E2079" s="52"/>
      <c r="F2079" s="52"/>
      <c r="G2079" s="53"/>
      <c r="H2079" s="20"/>
      <c r="I2079" s="9">
        <v>3</v>
      </c>
      <c r="J2079" s="9"/>
      <c r="K2079" s="9"/>
      <c r="L2079" s="9"/>
      <c r="M2079" s="9">
        <f t="shared" si="272"/>
        <v>24.599999999999998</v>
      </c>
      <c r="N2079" s="9">
        <f t="shared" si="273"/>
        <v>10.5</v>
      </c>
      <c r="O2079" s="9">
        <v>8.1999999999999993</v>
      </c>
      <c r="P2079" s="9">
        <v>3.5</v>
      </c>
      <c r="Q2079" s="9" t="s">
        <v>9</v>
      </c>
      <c r="R2079" s="1">
        <v>0</v>
      </c>
      <c r="S2079" s="26"/>
    </row>
    <row r="2080" spans="1:19" ht="16.5" customHeight="1" x14ac:dyDescent="0.25">
      <c r="A2080" s="9"/>
      <c r="B2080" s="51" t="s">
        <v>85</v>
      </c>
      <c r="C2080" s="52"/>
      <c r="D2080" s="52"/>
      <c r="E2080" s="52"/>
      <c r="F2080" s="52"/>
      <c r="G2080" s="53"/>
      <c r="H2080" s="20"/>
      <c r="I2080" s="9">
        <v>2</v>
      </c>
      <c r="J2080" s="9"/>
      <c r="K2080" s="9"/>
      <c r="L2080" s="9"/>
      <c r="M2080" s="9">
        <f t="shared" si="272"/>
        <v>14.2</v>
      </c>
      <c r="N2080" s="9">
        <f t="shared" si="273"/>
        <v>6</v>
      </c>
      <c r="O2080" s="9">
        <v>7.1</v>
      </c>
      <c r="P2080" s="9">
        <v>3</v>
      </c>
      <c r="Q2080" s="9" t="s">
        <v>6</v>
      </c>
      <c r="R2080" s="1">
        <v>0</v>
      </c>
      <c r="S2080" s="26"/>
    </row>
    <row r="2081" spans="1:19" ht="15" customHeight="1" x14ac:dyDescent="0.25">
      <c r="A2081" s="36" t="s">
        <v>0</v>
      </c>
      <c r="B2081" s="29" t="s">
        <v>1</v>
      </c>
      <c r="C2081" s="30"/>
      <c r="D2081" s="30"/>
      <c r="E2081" s="30"/>
      <c r="F2081" s="30"/>
      <c r="G2081" s="31"/>
      <c r="H2081" s="36" t="s">
        <v>32</v>
      </c>
      <c r="I2081" s="36" t="s">
        <v>39</v>
      </c>
      <c r="J2081" s="55" t="s">
        <v>2</v>
      </c>
      <c r="K2081" s="56"/>
      <c r="L2081" s="56"/>
      <c r="M2081" s="56"/>
      <c r="N2081" s="56"/>
      <c r="O2081" s="56"/>
      <c r="P2081" s="56"/>
      <c r="Q2081" s="57"/>
      <c r="S2081" s="36" t="s">
        <v>38</v>
      </c>
    </row>
    <row r="2082" spans="1:19" ht="24" customHeight="1" x14ac:dyDescent="0.25">
      <c r="A2082" s="37"/>
      <c r="B2082" s="32"/>
      <c r="C2082" s="33"/>
      <c r="D2082" s="33"/>
      <c r="E2082" s="33"/>
      <c r="F2082" s="33"/>
      <c r="G2082" s="34"/>
      <c r="H2082" s="37"/>
      <c r="I2082" s="37"/>
      <c r="J2082" s="7" t="s">
        <v>28</v>
      </c>
      <c r="K2082" s="7" t="s">
        <v>29</v>
      </c>
      <c r="L2082" s="7" t="s">
        <v>30</v>
      </c>
      <c r="M2082" s="7"/>
      <c r="N2082" s="7"/>
      <c r="O2082" s="6" t="s">
        <v>35</v>
      </c>
      <c r="P2082" s="6" t="s">
        <v>36</v>
      </c>
      <c r="Q2082" s="6" t="s">
        <v>37</v>
      </c>
      <c r="S2082" s="37"/>
    </row>
    <row r="2083" spans="1:19" ht="16.5" customHeight="1" x14ac:dyDescent="0.25">
      <c r="A2083" s="9"/>
      <c r="B2083" s="51" t="s">
        <v>86</v>
      </c>
      <c r="C2083" s="52"/>
      <c r="D2083" s="52"/>
      <c r="E2083" s="52"/>
      <c r="F2083" s="52"/>
      <c r="G2083" s="53"/>
      <c r="H2083" s="20"/>
      <c r="I2083" s="9">
        <v>3</v>
      </c>
      <c r="J2083" s="9"/>
      <c r="K2083" s="9"/>
      <c r="L2083" s="9"/>
      <c r="M2083" s="9">
        <f>I2083*O2083</f>
        <v>28.799999999999997</v>
      </c>
      <c r="N2083" s="9">
        <f>I2083*P2083</f>
        <v>12</v>
      </c>
      <c r="O2083" s="9">
        <v>9.6</v>
      </c>
      <c r="P2083" s="9">
        <v>4</v>
      </c>
      <c r="Q2083" s="9" t="s">
        <v>12</v>
      </c>
      <c r="R2083" s="1">
        <v>0</v>
      </c>
      <c r="S2083" s="26"/>
    </row>
    <row r="2084" spans="1:19" ht="16.5" customHeight="1" x14ac:dyDescent="0.25">
      <c r="A2084" s="9"/>
      <c r="B2084" s="51" t="s">
        <v>81</v>
      </c>
      <c r="C2084" s="52"/>
      <c r="D2084" s="52"/>
      <c r="E2084" s="52"/>
      <c r="F2084" s="52"/>
      <c r="G2084" s="53"/>
      <c r="H2084" s="20"/>
      <c r="I2084" s="9">
        <v>3</v>
      </c>
      <c r="J2084" s="9"/>
      <c r="K2084" s="9"/>
      <c r="L2084" s="9"/>
      <c r="M2084" s="9">
        <f>I2084*O2084</f>
        <v>25.799999999999997</v>
      </c>
      <c r="N2084" s="9">
        <f>I2084*P2084</f>
        <v>11.100000000000001</v>
      </c>
      <c r="O2084" s="9">
        <v>8.6</v>
      </c>
      <c r="P2084" s="9">
        <v>3.7</v>
      </c>
      <c r="Q2084" s="9" t="s">
        <v>10</v>
      </c>
      <c r="R2084" s="1">
        <v>0</v>
      </c>
      <c r="S2084" s="26"/>
    </row>
    <row r="2085" spans="1:19" ht="16.5" hidden="1" customHeight="1" x14ac:dyDescent="0.25">
      <c r="A2085" s="21"/>
      <c r="H2085" s="21"/>
      <c r="I2085" s="21"/>
      <c r="J2085" s="21"/>
      <c r="K2085" s="21"/>
      <c r="L2085" s="21"/>
      <c r="M2085" s="9">
        <f>I2085*O2085</f>
        <v>0</v>
      </c>
      <c r="N2085" s="9">
        <f>I2085*P2085</f>
        <v>0</v>
      </c>
      <c r="O2085" s="21"/>
      <c r="P2085" s="21"/>
      <c r="Q2085" s="21"/>
      <c r="S2085" s="25"/>
    </row>
    <row r="2086" spans="1:19" ht="16.5" customHeight="1" x14ac:dyDescent="0.25">
      <c r="A2086" s="9"/>
      <c r="B2086" s="39" t="s">
        <v>42</v>
      </c>
      <c r="C2086" s="40"/>
      <c r="D2086" s="40"/>
      <c r="E2086" s="40"/>
      <c r="F2086" s="40"/>
      <c r="G2086" s="41"/>
      <c r="H2086" s="23"/>
      <c r="I2086" s="24">
        <f>SUM(I2074:I2085)</f>
        <v>22</v>
      </c>
      <c r="J2086" s="9"/>
      <c r="K2086" s="9"/>
      <c r="L2086" s="9"/>
      <c r="M2086" s="9">
        <f>I2086*O2086</f>
        <v>178.42</v>
      </c>
      <c r="N2086" s="9">
        <f>I2086*P2086</f>
        <v>73.7</v>
      </c>
      <c r="O2086" s="24">
        <f>ROUND(SUM(M2074:M2085)/I2086,2)</f>
        <v>8.11</v>
      </c>
      <c r="P2086" s="24">
        <f>ROUND(SUM(N2074:N2085)/I2086,2)</f>
        <v>3.35</v>
      </c>
      <c r="Q2086" s="9"/>
      <c r="S2086" s="25"/>
    </row>
    <row r="2087" spans="1:19" ht="20.25" customHeight="1" x14ac:dyDescent="0.25">
      <c r="A2087" s="27" t="s">
        <v>88</v>
      </c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</row>
    <row r="2088" spans="1:19" ht="16.5" customHeight="1" x14ac:dyDescent="0.25">
      <c r="A2088" s="9"/>
      <c r="B2088" s="51" t="s">
        <v>96</v>
      </c>
      <c r="C2088" s="52"/>
      <c r="D2088" s="52"/>
      <c r="E2088" s="52"/>
      <c r="F2088" s="52"/>
      <c r="G2088" s="53"/>
      <c r="H2088" s="20"/>
      <c r="I2088" s="9">
        <v>3</v>
      </c>
      <c r="J2088" s="9"/>
      <c r="K2088" s="9"/>
      <c r="L2088" s="9"/>
      <c r="M2088" s="9">
        <f t="shared" ref="M2088:M2099" si="274">I2088*O2088</f>
        <v>24.299999999999997</v>
      </c>
      <c r="N2088" s="9">
        <f t="shared" ref="N2088:N2099" si="275">I2088*P2088</f>
        <v>10.5</v>
      </c>
      <c r="O2088" s="9">
        <v>8.1</v>
      </c>
      <c r="P2088" s="9">
        <v>3.5</v>
      </c>
      <c r="Q2088" s="9" t="s">
        <v>9</v>
      </c>
      <c r="R2088" s="1">
        <v>0</v>
      </c>
      <c r="S2088" s="26"/>
    </row>
    <row r="2089" spans="1:19" ht="16.5" customHeight="1" x14ac:dyDescent="0.25">
      <c r="A2089" s="9"/>
      <c r="B2089" s="51" t="s">
        <v>90</v>
      </c>
      <c r="C2089" s="52"/>
      <c r="D2089" s="52"/>
      <c r="E2089" s="52"/>
      <c r="F2089" s="52"/>
      <c r="G2089" s="53"/>
      <c r="H2089" s="20"/>
      <c r="I2089" s="9">
        <v>3</v>
      </c>
      <c r="J2089" s="9"/>
      <c r="K2089" s="9"/>
      <c r="L2089" s="9"/>
      <c r="M2089" s="9">
        <f t="shared" si="274"/>
        <v>25.5</v>
      </c>
      <c r="N2089" s="9">
        <f t="shared" si="275"/>
        <v>11.100000000000001</v>
      </c>
      <c r="O2089" s="9">
        <v>8.5</v>
      </c>
      <c r="P2089" s="9">
        <v>3.7</v>
      </c>
      <c r="Q2089" s="9" t="s">
        <v>10</v>
      </c>
      <c r="R2089" s="1">
        <v>0</v>
      </c>
      <c r="S2089" s="26"/>
    </row>
    <row r="2090" spans="1:19" ht="16.5" customHeight="1" x14ac:dyDescent="0.25">
      <c r="A2090" s="9"/>
      <c r="B2090" s="51" t="s">
        <v>91</v>
      </c>
      <c r="C2090" s="52"/>
      <c r="D2090" s="52"/>
      <c r="E2090" s="52"/>
      <c r="F2090" s="52"/>
      <c r="G2090" s="53"/>
      <c r="H2090" s="20"/>
      <c r="I2090" s="9">
        <v>2</v>
      </c>
      <c r="J2090" s="9"/>
      <c r="K2090" s="9"/>
      <c r="L2090" s="9"/>
      <c r="M2090" s="9">
        <f t="shared" si="274"/>
        <v>16</v>
      </c>
      <c r="N2090" s="9">
        <f t="shared" si="275"/>
        <v>7</v>
      </c>
      <c r="O2090" s="9">
        <v>8</v>
      </c>
      <c r="P2090" s="9">
        <v>3.5</v>
      </c>
      <c r="Q2090" s="9" t="s">
        <v>9</v>
      </c>
      <c r="R2090" s="1">
        <v>0</v>
      </c>
      <c r="S2090" s="26"/>
    </row>
    <row r="2091" spans="1:19" ht="16.5" customHeight="1" x14ac:dyDescent="0.25">
      <c r="A2091" s="9"/>
      <c r="B2091" s="51" t="s">
        <v>92</v>
      </c>
      <c r="C2091" s="52"/>
      <c r="D2091" s="52"/>
      <c r="E2091" s="52"/>
      <c r="F2091" s="52"/>
      <c r="G2091" s="53"/>
      <c r="H2091" s="20"/>
      <c r="I2091" s="9">
        <v>3</v>
      </c>
      <c r="J2091" s="9"/>
      <c r="K2091" s="9"/>
      <c r="L2091" s="9"/>
      <c r="M2091" s="9">
        <f t="shared" si="274"/>
        <v>19.200000000000003</v>
      </c>
      <c r="N2091" s="9">
        <f t="shared" si="275"/>
        <v>6</v>
      </c>
      <c r="O2091" s="9">
        <v>6.4</v>
      </c>
      <c r="P2091" s="9">
        <v>2</v>
      </c>
      <c r="Q2091" s="9" t="s">
        <v>3</v>
      </c>
      <c r="R2091" s="1">
        <v>0</v>
      </c>
      <c r="S2091" s="26"/>
    </row>
    <row r="2092" spans="1:19" ht="16.5" customHeight="1" x14ac:dyDescent="0.25">
      <c r="A2092" s="9"/>
      <c r="B2092" s="51" t="s">
        <v>93</v>
      </c>
      <c r="C2092" s="52"/>
      <c r="D2092" s="52"/>
      <c r="E2092" s="52"/>
      <c r="F2092" s="52"/>
      <c r="G2092" s="53"/>
      <c r="H2092" s="20"/>
      <c r="I2092" s="9">
        <v>1</v>
      </c>
      <c r="J2092" s="9"/>
      <c r="K2092" s="9"/>
      <c r="L2092" s="9"/>
      <c r="M2092" s="9">
        <f t="shared" si="274"/>
        <v>7.6</v>
      </c>
      <c r="N2092" s="9">
        <f t="shared" si="275"/>
        <v>3</v>
      </c>
      <c r="O2092" s="9">
        <v>7.6</v>
      </c>
      <c r="P2092" s="9">
        <v>3</v>
      </c>
      <c r="Q2092" s="9" t="s">
        <v>6</v>
      </c>
      <c r="R2092" s="1">
        <v>0</v>
      </c>
      <c r="S2092" s="26"/>
    </row>
    <row r="2093" spans="1:19" ht="16.5" customHeight="1" x14ac:dyDescent="0.25">
      <c r="A2093" s="9"/>
      <c r="B2093" s="51" t="s">
        <v>94</v>
      </c>
      <c r="C2093" s="52"/>
      <c r="D2093" s="52"/>
      <c r="E2093" s="52"/>
      <c r="F2093" s="52"/>
      <c r="G2093" s="53"/>
      <c r="H2093" s="20"/>
      <c r="I2093" s="9">
        <v>1</v>
      </c>
      <c r="J2093" s="9"/>
      <c r="K2093" s="9"/>
      <c r="L2093" s="9"/>
      <c r="M2093" s="9">
        <f t="shared" si="274"/>
        <v>8.5</v>
      </c>
      <c r="N2093" s="9">
        <f t="shared" si="275"/>
        <v>3.7</v>
      </c>
      <c r="O2093" s="9">
        <v>8.5</v>
      </c>
      <c r="P2093" s="9">
        <v>3.7</v>
      </c>
      <c r="Q2093" s="9" t="s">
        <v>10</v>
      </c>
      <c r="R2093" s="1">
        <v>0</v>
      </c>
      <c r="S2093" s="26"/>
    </row>
    <row r="2094" spans="1:19" ht="16.5" customHeight="1" x14ac:dyDescent="0.25">
      <c r="A2094" s="9"/>
      <c r="B2094" s="51" t="s">
        <v>97</v>
      </c>
      <c r="C2094" s="52"/>
      <c r="D2094" s="52"/>
      <c r="E2094" s="52"/>
      <c r="F2094" s="52"/>
      <c r="G2094" s="53"/>
      <c r="H2094" s="20"/>
      <c r="I2094" s="9">
        <v>1</v>
      </c>
      <c r="J2094" s="9"/>
      <c r="K2094" s="9"/>
      <c r="L2094" s="9"/>
      <c r="M2094" s="9">
        <f t="shared" si="274"/>
        <v>7.5</v>
      </c>
      <c r="N2094" s="9">
        <f t="shared" si="275"/>
        <v>3</v>
      </c>
      <c r="O2094" s="9">
        <v>7.5</v>
      </c>
      <c r="P2094" s="9">
        <v>3</v>
      </c>
      <c r="Q2094" s="9" t="s">
        <v>6</v>
      </c>
      <c r="R2094" s="1">
        <v>0</v>
      </c>
      <c r="S2094" s="26"/>
    </row>
    <row r="2095" spans="1:19" ht="16.5" customHeight="1" x14ac:dyDescent="0.25">
      <c r="A2095" s="9"/>
      <c r="B2095" s="51" t="s">
        <v>89</v>
      </c>
      <c r="C2095" s="52"/>
      <c r="D2095" s="52"/>
      <c r="E2095" s="52"/>
      <c r="F2095" s="52"/>
      <c r="G2095" s="53"/>
      <c r="H2095" s="20"/>
      <c r="I2095" s="9">
        <v>2</v>
      </c>
      <c r="J2095" s="9"/>
      <c r="K2095" s="9"/>
      <c r="L2095" s="9"/>
      <c r="M2095" s="9">
        <f t="shared" si="274"/>
        <v>16.600000000000001</v>
      </c>
      <c r="N2095" s="9">
        <f t="shared" si="275"/>
        <v>7</v>
      </c>
      <c r="O2095" s="9">
        <v>8.3000000000000007</v>
      </c>
      <c r="P2095" s="9">
        <v>3.5</v>
      </c>
      <c r="Q2095" s="9" t="s">
        <v>9</v>
      </c>
      <c r="R2095" s="1">
        <v>0</v>
      </c>
      <c r="S2095" s="26"/>
    </row>
    <row r="2096" spans="1:19" ht="16.5" customHeight="1" x14ac:dyDescent="0.25">
      <c r="A2096" s="9"/>
      <c r="B2096" s="51" t="s">
        <v>95</v>
      </c>
      <c r="C2096" s="52"/>
      <c r="D2096" s="52"/>
      <c r="E2096" s="52"/>
      <c r="F2096" s="52"/>
      <c r="G2096" s="53"/>
      <c r="H2096" s="20"/>
      <c r="I2096" s="9">
        <v>3</v>
      </c>
      <c r="J2096" s="9"/>
      <c r="K2096" s="9"/>
      <c r="L2096" s="9"/>
      <c r="M2096" s="9">
        <f t="shared" si="274"/>
        <v>25.200000000000003</v>
      </c>
      <c r="N2096" s="9">
        <f t="shared" si="275"/>
        <v>10.5</v>
      </c>
      <c r="O2096" s="9">
        <v>8.4</v>
      </c>
      <c r="P2096" s="9">
        <v>3.5</v>
      </c>
      <c r="Q2096" s="9" t="s">
        <v>9</v>
      </c>
      <c r="R2096" s="1">
        <v>0</v>
      </c>
      <c r="S2096" s="26"/>
    </row>
    <row r="2097" spans="1:19" ht="16.5" customHeight="1" x14ac:dyDescent="0.25">
      <c r="A2097" s="9"/>
      <c r="B2097" s="51" t="s">
        <v>98</v>
      </c>
      <c r="C2097" s="52"/>
      <c r="D2097" s="52"/>
      <c r="E2097" s="52"/>
      <c r="F2097" s="52"/>
      <c r="G2097" s="53"/>
      <c r="H2097" s="20"/>
      <c r="I2097" s="9">
        <v>3</v>
      </c>
      <c r="J2097" s="9"/>
      <c r="K2097" s="9"/>
      <c r="L2097" s="9"/>
      <c r="M2097" s="9">
        <f t="shared" si="274"/>
        <v>23.700000000000003</v>
      </c>
      <c r="N2097" s="9">
        <f t="shared" si="275"/>
        <v>9</v>
      </c>
      <c r="O2097" s="9">
        <v>7.9</v>
      </c>
      <c r="P2097" s="9">
        <v>3</v>
      </c>
      <c r="Q2097" s="9" t="s">
        <v>6</v>
      </c>
      <c r="R2097" s="1">
        <v>0</v>
      </c>
      <c r="S2097" s="26"/>
    </row>
    <row r="2098" spans="1:19" ht="16.5" hidden="1" customHeight="1" x14ac:dyDescent="0.25">
      <c r="A2098" s="21"/>
      <c r="H2098" s="21"/>
      <c r="I2098" s="21"/>
      <c r="J2098" s="21"/>
      <c r="K2098" s="21"/>
      <c r="L2098" s="21"/>
      <c r="M2098" s="9">
        <f t="shared" si="274"/>
        <v>0</v>
      </c>
      <c r="N2098" s="9">
        <f t="shared" si="275"/>
        <v>0</v>
      </c>
      <c r="O2098" s="21"/>
      <c r="P2098" s="21"/>
      <c r="Q2098" s="21"/>
      <c r="S2098" s="25"/>
    </row>
    <row r="2099" spans="1:19" ht="16.5" customHeight="1" x14ac:dyDescent="0.25">
      <c r="A2099" s="9"/>
      <c r="B2099" s="39" t="s">
        <v>42</v>
      </c>
      <c r="C2099" s="40"/>
      <c r="D2099" s="40"/>
      <c r="E2099" s="40"/>
      <c r="F2099" s="40"/>
      <c r="G2099" s="41"/>
      <c r="H2099" s="23"/>
      <c r="I2099" s="24">
        <f>SUM(I2088:I2098)</f>
        <v>22</v>
      </c>
      <c r="J2099" s="9"/>
      <c r="K2099" s="9"/>
      <c r="L2099" s="9"/>
      <c r="M2099" s="9">
        <f t="shared" si="274"/>
        <v>174.02</v>
      </c>
      <c r="N2099" s="9">
        <f t="shared" si="275"/>
        <v>70.84</v>
      </c>
      <c r="O2099" s="24">
        <f>ROUND(SUM(M2088:M2098)/I2099,2)</f>
        <v>7.91</v>
      </c>
      <c r="P2099" s="24">
        <f>ROUND(SUM(N2088:N2098)/I2099,2)</f>
        <v>3.22</v>
      </c>
      <c r="Q2099" s="9"/>
      <c r="S2099" s="25"/>
    </row>
    <row r="2100" spans="1:19" ht="20.25" customHeight="1" x14ac:dyDescent="0.25">
      <c r="A2100" s="27" t="s">
        <v>99</v>
      </c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</row>
    <row r="2101" spans="1:19" ht="16.5" customHeight="1" x14ac:dyDescent="0.25">
      <c r="A2101" s="9"/>
      <c r="B2101" s="51" t="s">
        <v>100</v>
      </c>
      <c r="C2101" s="52"/>
      <c r="D2101" s="52"/>
      <c r="E2101" s="52"/>
      <c r="F2101" s="52"/>
      <c r="G2101" s="53"/>
      <c r="H2101" s="20"/>
      <c r="I2101" s="9">
        <v>2</v>
      </c>
      <c r="J2101" s="9"/>
      <c r="K2101" s="9"/>
      <c r="L2101" s="9"/>
      <c r="M2101" s="9">
        <f t="shared" ref="M2101:M2114" si="276">I2101*O2101</f>
        <v>16</v>
      </c>
      <c r="N2101" s="9">
        <f t="shared" ref="N2101:N2114" si="277">I2101*P2101</f>
        <v>7</v>
      </c>
      <c r="O2101" s="9">
        <v>8</v>
      </c>
      <c r="P2101" s="9">
        <v>3.5</v>
      </c>
      <c r="Q2101" s="9" t="s">
        <v>9</v>
      </c>
      <c r="R2101" s="1">
        <v>0</v>
      </c>
      <c r="S2101" s="26"/>
    </row>
    <row r="2102" spans="1:19" ht="16.5" customHeight="1" x14ac:dyDescent="0.25">
      <c r="A2102" s="9"/>
      <c r="B2102" s="51" t="s">
        <v>101</v>
      </c>
      <c r="C2102" s="52"/>
      <c r="D2102" s="52"/>
      <c r="E2102" s="52"/>
      <c r="F2102" s="52"/>
      <c r="G2102" s="53"/>
      <c r="H2102" s="20"/>
      <c r="I2102" s="9">
        <v>2</v>
      </c>
      <c r="J2102" s="9"/>
      <c r="K2102" s="9"/>
      <c r="L2102" s="9"/>
      <c r="M2102" s="9">
        <f t="shared" si="276"/>
        <v>16.8</v>
      </c>
      <c r="N2102" s="9">
        <f t="shared" si="277"/>
        <v>7</v>
      </c>
      <c r="O2102" s="9">
        <v>8.4</v>
      </c>
      <c r="P2102" s="9">
        <v>3.5</v>
      </c>
      <c r="Q2102" s="9" t="s">
        <v>9</v>
      </c>
      <c r="R2102" s="1">
        <v>0</v>
      </c>
      <c r="S2102" s="26"/>
    </row>
    <row r="2103" spans="1:19" ht="16.5" customHeight="1" x14ac:dyDescent="0.25">
      <c r="A2103" s="9"/>
      <c r="B2103" s="51" t="s">
        <v>102</v>
      </c>
      <c r="C2103" s="52"/>
      <c r="D2103" s="52"/>
      <c r="E2103" s="52"/>
      <c r="F2103" s="52"/>
      <c r="G2103" s="53"/>
      <c r="H2103" s="20"/>
      <c r="I2103" s="9">
        <v>1</v>
      </c>
      <c r="J2103" s="9"/>
      <c r="K2103" s="9"/>
      <c r="L2103" s="9"/>
      <c r="M2103" s="9">
        <f t="shared" si="276"/>
        <v>7.9</v>
      </c>
      <c r="N2103" s="9">
        <f t="shared" si="277"/>
        <v>3</v>
      </c>
      <c r="O2103" s="9">
        <v>7.9</v>
      </c>
      <c r="P2103" s="9">
        <v>3</v>
      </c>
      <c r="Q2103" s="9" t="s">
        <v>6</v>
      </c>
      <c r="R2103" s="1">
        <v>0</v>
      </c>
      <c r="S2103" s="26"/>
    </row>
    <row r="2104" spans="1:19" ht="16.5" customHeight="1" x14ac:dyDescent="0.25">
      <c r="A2104" s="9"/>
      <c r="B2104" s="51" t="s">
        <v>103</v>
      </c>
      <c r="C2104" s="52"/>
      <c r="D2104" s="52"/>
      <c r="E2104" s="52"/>
      <c r="F2104" s="52"/>
      <c r="G2104" s="53"/>
      <c r="H2104" s="20"/>
      <c r="I2104" s="9">
        <v>2</v>
      </c>
      <c r="J2104" s="9"/>
      <c r="K2104" s="9"/>
      <c r="L2104" s="9"/>
      <c r="M2104" s="9">
        <f t="shared" si="276"/>
        <v>13.6</v>
      </c>
      <c r="N2104" s="9">
        <f t="shared" si="277"/>
        <v>5</v>
      </c>
      <c r="O2104" s="9">
        <v>6.8</v>
      </c>
      <c r="P2104" s="9">
        <v>2.5</v>
      </c>
      <c r="Q2104" s="9" t="s">
        <v>5</v>
      </c>
      <c r="R2104" s="1">
        <v>0</v>
      </c>
      <c r="S2104" s="26"/>
    </row>
    <row r="2105" spans="1:19" ht="16.5" customHeight="1" x14ac:dyDescent="0.25">
      <c r="A2105" s="9"/>
      <c r="B2105" s="51" t="s">
        <v>104</v>
      </c>
      <c r="C2105" s="52"/>
      <c r="D2105" s="52"/>
      <c r="E2105" s="52"/>
      <c r="F2105" s="52"/>
      <c r="G2105" s="53"/>
      <c r="H2105" s="20"/>
      <c r="I2105" s="9">
        <v>3</v>
      </c>
      <c r="J2105" s="9"/>
      <c r="K2105" s="9"/>
      <c r="L2105" s="9"/>
      <c r="M2105" s="9">
        <f t="shared" si="276"/>
        <v>26.400000000000002</v>
      </c>
      <c r="N2105" s="9">
        <f t="shared" si="277"/>
        <v>11.100000000000001</v>
      </c>
      <c r="O2105" s="9">
        <v>8.8000000000000007</v>
      </c>
      <c r="P2105" s="9">
        <v>3.7</v>
      </c>
      <c r="Q2105" s="9" t="s">
        <v>10</v>
      </c>
      <c r="R2105" s="1">
        <v>0</v>
      </c>
      <c r="S2105" s="26"/>
    </row>
    <row r="2106" spans="1:19" ht="16.5" customHeight="1" x14ac:dyDescent="0.25">
      <c r="A2106" s="9"/>
      <c r="B2106" s="51" t="s">
        <v>110</v>
      </c>
      <c r="C2106" s="52"/>
      <c r="D2106" s="52"/>
      <c r="E2106" s="52"/>
      <c r="F2106" s="52"/>
      <c r="G2106" s="53"/>
      <c r="H2106" s="20"/>
      <c r="I2106" s="9">
        <v>1</v>
      </c>
      <c r="J2106" s="9"/>
      <c r="K2106" s="9"/>
      <c r="L2106" s="9"/>
      <c r="M2106" s="9">
        <f t="shared" si="276"/>
        <v>9</v>
      </c>
      <c r="N2106" s="9">
        <f t="shared" si="277"/>
        <v>4</v>
      </c>
      <c r="O2106" s="9">
        <v>9</v>
      </c>
      <c r="P2106" s="9">
        <v>4</v>
      </c>
      <c r="Q2106" s="9" t="s">
        <v>12</v>
      </c>
      <c r="R2106" s="1">
        <v>0</v>
      </c>
      <c r="S2106" s="26"/>
    </row>
    <row r="2107" spans="1:19" ht="16.5" customHeight="1" x14ac:dyDescent="0.25">
      <c r="A2107" s="9"/>
      <c r="B2107" s="51" t="s">
        <v>106</v>
      </c>
      <c r="C2107" s="52"/>
      <c r="D2107" s="52"/>
      <c r="E2107" s="52"/>
      <c r="F2107" s="52"/>
      <c r="G2107" s="53"/>
      <c r="H2107" s="20"/>
      <c r="I2107" s="9">
        <v>2</v>
      </c>
      <c r="J2107" s="9"/>
      <c r="K2107" s="9"/>
      <c r="L2107" s="9"/>
      <c r="M2107" s="9">
        <f t="shared" si="276"/>
        <v>15.4</v>
      </c>
      <c r="N2107" s="9">
        <f t="shared" si="277"/>
        <v>6</v>
      </c>
      <c r="O2107" s="9">
        <v>7.7</v>
      </c>
      <c r="P2107" s="9">
        <v>3</v>
      </c>
      <c r="Q2107" s="9" t="s">
        <v>6</v>
      </c>
      <c r="R2107" s="1">
        <v>0</v>
      </c>
      <c r="S2107" s="26"/>
    </row>
    <row r="2108" spans="1:19" ht="16.5" customHeight="1" x14ac:dyDescent="0.25">
      <c r="A2108" s="9"/>
      <c r="B2108" s="51" t="s">
        <v>107</v>
      </c>
      <c r="C2108" s="52"/>
      <c r="D2108" s="52"/>
      <c r="E2108" s="52"/>
      <c r="F2108" s="52"/>
      <c r="G2108" s="53"/>
      <c r="H2108" s="20"/>
      <c r="I2108" s="9">
        <v>3</v>
      </c>
      <c r="J2108" s="9"/>
      <c r="K2108" s="9"/>
      <c r="L2108" s="9"/>
      <c r="M2108" s="9">
        <f t="shared" si="276"/>
        <v>21.299999999999997</v>
      </c>
      <c r="N2108" s="9">
        <f t="shared" si="277"/>
        <v>9</v>
      </c>
      <c r="O2108" s="9">
        <v>7.1</v>
      </c>
      <c r="P2108" s="9">
        <v>3</v>
      </c>
      <c r="Q2108" s="9" t="s">
        <v>6</v>
      </c>
      <c r="R2108" s="1">
        <v>0</v>
      </c>
      <c r="S2108" s="26"/>
    </row>
    <row r="2109" spans="1:19" ht="16.5" customHeight="1" x14ac:dyDescent="0.25">
      <c r="A2109" s="9"/>
      <c r="B2109" s="51" t="s">
        <v>108</v>
      </c>
      <c r="C2109" s="52"/>
      <c r="D2109" s="52"/>
      <c r="E2109" s="52"/>
      <c r="F2109" s="52"/>
      <c r="G2109" s="53"/>
      <c r="H2109" s="20"/>
      <c r="I2109" s="9">
        <v>1</v>
      </c>
      <c r="J2109" s="9"/>
      <c r="K2109" s="9"/>
      <c r="L2109" s="9"/>
      <c r="M2109" s="9">
        <f t="shared" si="276"/>
        <v>8</v>
      </c>
      <c r="N2109" s="9">
        <f t="shared" si="277"/>
        <v>3.5</v>
      </c>
      <c r="O2109" s="9">
        <v>8</v>
      </c>
      <c r="P2109" s="9">
        <v>3.5</v>
      </c>
      <c r="Q2109" s="9" t="s">
        <v>9</v>
      </c>
      <c r="R2109" s="1">
        <v>0</v>
      </c>
      <c r="S2109" s="26"/>
    </row>
    <row r="2110" spans="1:19" ht="16.5" customHeight="1" x14ac:dyDescent="0.25">
      <c r="A2110" s="9"/>
      <c r="B2110" s="51" t="s">
        <v>111</v>
      </c>
      <c r="C2110" s="52"/>
      <c r="D2110" s="52"/>
      <c r="E2110" s="52"/>
      <c r="F2110" s="52"/>
      <c r="G2110" s="53"/>
      <c r="H2110" s="20"/>
      <c r="I2110" s="9">
        <v>3</v>
      </c>
      <c r="J2110" s="9"/>
      <c r="K2110" s="9"/>
      <c r="L2110" s="9"/>
      <c r="M2110" s="9">
        <f t="shared" si="276"/>
        <v>25.5</v>
      </c>
      <c r="N2110" s="9">
        <f t="shared" si="277"/>
        <v>11.100000000000001</v>
      </c>
      <c r="O2110" s="9">
        <v>8.5</v>
      </c>
      <c r="P2110" s="9">
        <v>3.7</v>
      </c>
      <c r="Q2110" s="9" t="s">
        <v>10</v>
      </c>
      <c r="R2110" s="1">
        <v>0</v>
      </c>
      <c r="S2110" s="26"/>
    </row>
    <row r="2111" spans="1:19" ht="16.5" customHeight="1" x14ac:dyDescent="0.25">
      <c r="A2111" s="9"/>
      <c r="B2111" s="51" t="s">
        <v>105</v>
      </c>
      <c r="C2111" s="52"/>
      <c r="D2111" s="52"/>
      <c r="E2111" s="52"/>
      <c r="F2111" s="52"/>
      <c r="G2111" s="53"/>
      <c r="H2111" s="20"/>
      <c r="I2111" s="9">
        <v>3</v>
      </c>
      <c r="J2111" s="9"/>
      <c r="K2111" s="9"/>
      <c r="L2111" s="9"/>
      <c r="M2111" s="9">
        <f t="shared" si="276"/>
        <v>24.299999999999997</v>
      </c>
      <c r="N2111" s="9">
        <f t="shared" si="277"/>
        <v>10.5</v>
      </c>
      <c r="O2111" s="9">
        <v>8.1</v>
      </c>
      <c r="P2111" s="9">
        <v>3.5</v>
      </c>
      <c r="Q2111" s="9" t="s">
        <v>9</v>
      </c>
      <c r="R2111" s="1">
        <v>0</v>
      </c>
      <c r="S2111" s="26"/>
    </row>
    <row r="2112" spans="1:19" ht="16.5" customHeight="1" x14ac:dyDescent="0.25">
      <c r="A2112" s="9"/>
      <c r="B2112" s="51" t="s">
        <v>109</v>
      </c>
      <c r="C2112" s="52"/>
      <c r="D2112" s="52"/>
      <c r="E2112" s="52"/>
      <c r="F2112" s="52"/>
      <c r="G2112" s="53"/>
      <c r="H2112" s="20"/>
      <c r="I2112" s="9">
        <v>2</v>
      </c>
      <c r="J2112" s="9"/>
      <c r="K2112" s="9"/>
      <c r="L2112" s="9"/>
      <c r="M2112" s="9">
        <f t="shared" si="276"/>
        <v>16.399999999999999</v>
      </c>
      <c r="N2112" s="9">
        <f t="shared" si="277"/>
        <v>7</v>
      </c>
      <c r="O2112" s="9">
        <v>8.1999999999999993</v>
      </c>
      <c r="P2112" s="9">
        <v>3.5</v>
      </c>
      <c r="Q2112" s="9" t="s">
        <v>9</v>
      </c>
      <c r="R2112" s="1">
        <v>0</v>
      </c>
      <c r="S2112" s="26"/>
    </row>
    <row r="2113" spans="1:19" ht="16.5" hidden="1" customHeight="1" x14ac:dyDescent="0.25">
      <c r="A2113" s="21"/>
      <c r="H2113" s="21"/>
      <c r="I2113" s="21"/>
      <c r="J2113" s="21"/>
      <c r="K2113" s="21"/>
      <c r="L2113" s="21"/>
      <c r="M2113" s="9">
        <f t="shared" si="276"/>
        <v>0</v>
      </c>
      <c r="N2113" s="9">
        <f t="shared" si="277"/>
        <v>0</v>
      </c>
      <c r="O2113" s="21"/>
      <c r="P2113" s="21"/>
      <c r="Q2113" s="21"/>
      <c r="S2113" s="25"/>
    </row>
    <row r="2114" spans="1:19" ht="16.5" customHeight="1" x14ac:dyDescent="0.25">
      <c r="A2114" s="9"/>
      <c r="B2114" s="39" t="s">
        <v>42</v>
      </c>
      <c r="C2114" s="40"/>
      <c r="D2114" s="40"/>
      <c r="E2114" s="40"/>
      <c r="F2114" s="40"/>
      <c r="G2114" s="41"/>
      <c r="H2114" s="23"/>
      <c r="I2114" s="24">
        <f>SUM(I2101:I2113)</f>
        <v>25</v>
      </c>
      <c r="J2114" s="9"/>
      <c r="K2114" s="9"/>
      <c r="L2114" s="9"/>
      <c r="M2114" s="9">
        <f t="shared" si="276"/>
        <v>200.5</v>
      </c>
      <c r="N2114" s="9">
        <f t="shared" si="277"/>
        <v>84.25</v>
      </c>
      <c r="O2114" s="24">
        <f>ROUND(SUM(M2101:M2113)/I2114,2)</f>
        <v>8.02</v>
      </c>
      <c r="P2114" s="24">
        <f>ROUND(SUM(N2101:N2113)/I2114,2)</f>
        <v>3.37</v>
      </c>
      <c r="Q2114" s="9"/>
      <c r="S2114" s="25"/>
    </row>
    <row r="2115" spans="1:19" ht="20.25" customHeight="1" x14ac:dyDescent="0.25">
      <c r="A2115" s="27" t="s">
        <v>112</v>
      </c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</row>
    <row r="2116" spans="1:19" ht="16.5" customHeight="1" x14ac:dyDescent="0.25">
      <c r="A2116" s="9"/>
      <c r="B2116" s="51" t="s">
        <v>113</v>
      </c>
      <c r="C2116" s="52"/>
      <c r="D2116" s="52"/>
      <c r="E2116" s="52"/>
      <c r="F2116" s="52"/>
      <c r="G2116" s="53"/>
      <c r="H2116" s="20"/>
      <c r="I2116" s="9">
        <v>2</v>
      </c>
      <c r="J2116" s="9"/>
      <c r="K2116" s="9"/>
      <c r="L2116" s="9"/>
      <c r="M2116" s="9">
        <f t="shared" ref="M2116:M2124" si="278">I2116*O2116</f>
        <v>0</v>
      </c>
      <c r="N2116" s="9">
        <f t="shared" ref="N2116:N2124" si="279">I2116*P2116</f>
        <v>0</v>
      </c>
      <c r="O2116" s="9"/>
      <c r="P2116" s="9"/>
      <c r="Q2116" s="9"/>
      <c r="R2116" s="1">
        <v>0</v>
      </c>
      <c r="S2116" s="26"/>
    </row>
    <row r="2117" spans="1:19" ht="16.5" customHeight="1" x14ac:dyDescent="0.25">
      <c r="A2117" s="9"/>
      <c r="B2117" s="51" t="s">
        <v>114</v>
      </c>
      <c r="C2117" s="52"/>
      <c r="D2117" s="52"/>
      <c r="E2117" s="52"/>
      <c r="F2117" s="52"/>
      <c r="G2117" s="53"/>
      <c r="H2117" s="20"/>
      <c r="I2117" s="9">
        <v>3</v>
      </c>
      <c r="J2117" s="9"/>
      <c r="K2117" s="9"/>
      <c r="L2117" s="9"/>
      <c r="M2117" s="9">
        <f t="shared" si="278"/>
        <v>24.900000000000002</v>
      </c>
      <c r="N2117" s="9">
        <f t="shared" si="279"/>
        <v>10.5</v>
      </c>
      <c r="O2117" s="9">
        <v>8.3000000000000007</v>
      </c>
      <c r="P2117" s="9">
        <v>3.5</v>
      </c>
      <c r="Q2117" s="9" t="s">
        <v>9</v>
      </c>
      <c r="R2117" s="1">
        <v>0</v>
      </c>
      <c r="S2117" s="26"/>
    </row>
    <row r="2118" spans="1:19" ht="16.5" customHeight="1" x14ac:dyDescent="0.25">
      <c r="A2118" s="9"/>
      <c r="B2118" s="51" t="s">
        <v>115</v>
      </c>
      <c r="C2118" s="52"/>
      <c r="D2118" s="52"/>
      <c r="E2118" s="52"/>
      <c r="F2118" s="52"/>
      <c r="G2118" s="53"/>
      <c r="H2118" s="20"/>
      <c r="I2118" s="9">
        <v>1</v>
      </c>
      <c r="J2118" s="9"/>
      <c r="K2118" s="9"/>
      <c r="L2118" s="9"/>
      <c r="M2118" s="9">
        <f t="shared" si="278"/>
        <v>7.1</v>
      </c>
      <c r="N2118" s="9">
        <f t="shared" si="279"/>
        <v>3</v>
      </c>
      <c r="O2118" s="9">
        <v>7.1</v>
      </c>
      <c r="P2118" s="9">
        <v>3</v>
      </c>
      <c r="Q2118" s="9" t="s">
        <v>6</v>
      </c>
      <c r="R2118" s="1">
        <v>0</v>
      </c>
      <c r="S2118" s="26"/>
    </row>
    <row r="2119" spans="1:19" ht="16.5" customHeight="1" x14ac:dyDescent="0.25">
      <c r="A2119" s="9"/>
      <c r="B2119" s="51" t="s">
        <v>116</v>
      </c>
      <c r="C2119" s="52"/>
      <c r="D2119" s="52"/>
      <c r="E2119" s="52"/>
      <c r="F2119" s="52"/>
      <c r="G2119" s="53"/>
      <c r="H2119" s="20"/>
      <c r="I2119" s="9">
        <v>3</v>
      </c>
      <c r="J2119" s="9"/>
      <c r="K2119" s="9"/>
      <c r="L2119" s="9"/>
      <c r="M2119" s="9">
        <f t="shared" si="278"/>
        <v>25.5</v>
      </c>
      <c r="N2119" s="9">
        <f t="shared" si="279"/>
        <v>11.100000000000001</v>
      </c>
      <c r="O2119" s="9">
        <v>8.5</v>
      </c>
      <c r="P2119" s="9">
        <v>3.7</v>
      </c>
      <c r="Q2119" s="9" t="s">
        <v>10</v>
      </c>
      <c r="R2119" s="1">
        <v>0</v>
      </c>
      <c r="S2119" s="26"/>
    </row>
    <row r="2120" spans="1:19" ht="16.5" customHeight="1" x14ac:dyDescent="0.25">
      <c r="A2120" s="9"/>
      <c r="B2120" s="51" t="s">
        <v>117</v>
      </c>
      <c r="C2120" s="52"/>
      <c r="D2120" s="52"/>
      <c r="E2120" s="52"/>
      <c r="F2120" s="52"/>
      <c r="G2120" s="53"/>
      <c r="H2120" s="20"/>
      <c r="I2120" s="9">
        <v>3</v>
      </c>
      <c r="J2120" s="9"/>
      <c r="K2120" s="9"/>
      <c r="L2120" s="9"/>
      <c r="M2120" s="9">
        <f t="shared" si="278"/>
        <v>16.799999999999997</v>
      </c>
      <c r="N2120" s="9">
        <f t="shared" si="279"/>
        <v>6</v>
      </c>
      <c r="O2120" s="9">
        <v>5.6</v>
      </c>
      <c r="P2120" s="9">
        <v>2</v>
      </c>
      <c r="Q2120" s="9" t="s">
        <v>3</v>
      </c>
      <c r="R2120" s="1">
        <v>0</v>
      </c>
      <c r="S2120" s="26"/>
    </row>
    <row r="2121" spans="1:19" ht="31.2" customHeight="1" x14ac:dyDescent="0.25">
      <c r="A2121" s="9"/>
      <c r="B2121" s="51" t="s">
        <v>119</v>
      </c>
      <c r="C2121" s="52"/>
      <c r="D2121" s="52"/>
      <c r="E2121" s="52"/>
      <c r="F2121" s="52"/>
      <c r="G2121" s="53"/>
      <c r="H2121" s="20"/>
      <c r="I2121" s="9">
        <v>2</v>
      </c>
      <c r="J2121" s="9"/>
      <c r="K2121" s="9"/>
      <c r="L2121" s="9"/>
      <c r="M2121" s="9">
        <f t="shared" si="278"/>
        <v>0</v>
      </c>
      <c r="N2121" s="9">
        <f t="shared" si="279"/>
        <v>0</v>
      </c>
      <c r="O2121" s="9"/>
      <c r="P2121" s="9"/>
      <c r="Q2121" s="9"/>
      <c r="R2121" s="1">
        <v>0</v>
      </c>
      <c r="S2121" s="26"/>
    </row>
    <row r="2122" spans="1:19" ht="16.5" customHeight="1" x14ac:dyDescent="0.25">
      <c r="A2122" s="9"/>
      <c r="B2122" s="51" t="s">
        <v>118</v>
      </c>
      <c r="C2122" s="52"/>
      <c r="D2122" s="52"/>
      <c r="E2122" s="52"/>
      <c r="F2122" s="52"/>
      <c r="G2122" s="53"/>
      <c r="H2122" s="20"/>
      <c r="I2122" s="9">
        <v>3</v>
      </c>
      <c r="J2122" s="9"/>
      <c r="K2122" s="9"/>
      <c r="L2122" s="9"/>
      <c r="M2122" s="9">
        <f t="shared" si="278"/>
        <v>24</v>
      </c>
      <c r="N2122" s="9">
        <f t="shared" si="279"/>
        <v>10.5</v>
      </c>
      <c r="O2122" s="9">
        <v>8</v>
      </c>
      <c r="P2122" s="9">
        <v>3.5</v>
      </c>
      <c r="Q2122" s="9" t="s">
        <v>9</v>
      </c>
      <c r="R2122" s="1">
        <v>0</v>
      </c>
      <c r="S2122" s="26"/>
    </row>
    <row r="2123" spans="1:19" ht="16.5" hidden="1" customHeight="1" x14ac:dyDescent="0.25">
      <c r="A2123" s="21"/>
      <c r="H2123" s="21"/>
      <c r="I2123" s="21"/>
      <c r="J2123" s="21"/>
      <c r="K2123" s="21"/>
      <c r="L2123" s="21"/>
      <c r="M2123" s="9">
        <f t="shared" si="278"/>
        <v>0</v>
      </c>
      <c r="N2123" s="9">
        <f t="shared" si="279"/>
        <v>0</v>
      </c>
      <c r="O2123" s="21"/>
      <c r="P2123" s="21"/>
      <c r="Q2123" s="21"/>
      <c r="S2123" s="25"/>
    </row>
    <row r="2124" spans="1:19" ht="16.5" customHeight="1" x14ac:dyDescent="0.25">
      <c r="A2124" s="9"/>
      <c r="B2124" s="39" t="s">
        <v>42</v>
      </c>
      <c r="C2124" s="40"/>
      <c r="D2124" s="40"/>
      <c r="E2124" s="40"/>
      <c r="F2124" s="40"/>
      <c r="G2124" s="41"/>
      <c r="H2124" s="23"/>
      <c r="I2124" s="24">
        <f>SUM(I2116:I2123)</f>
        <v>17</v>
      </c>
      <c r="J2124" s="9"/>
      <c r="K2124" s="9"/>
      <c r="L2124" s="9"/>
      <c r="M2124" s="9">
        <f t="shared" si="278"/>
        <v>98.26</v>
      </c>
      <c r="N2124" s="9">
        <f t="shared" si="279"/>
        <v>41.14</v>
      </c>
      <c r="O2124" s="24">
        <f>ROUND(SUM(M2116:M2123)/I2124,2)</f>
        <v>5.78</v>
      </c>
      <c r="P2124" s="24">
        <f>ROUND(SUM(N2116:N2123)/I2124,2)</f>
        <v>2.42</v>
      </c>
      <c r="Q2124" s="9"/>
      <c r="S2124" s="25"/>
    </row>
    <row r="2125" spans="1:19" ht="16.5" customHeight="1" x14ac:dyDescent="0.25">
      <c r="A2125" s="21"/>
      <c r="B2125" s="22"/>
      <c r="C2125" s="22"/>
      <c r="D2125" s="22"/>
      <c r="E2125" s="22"/>
      <c r="F2125" s="22"/>
      <c r="G2125" s="22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</row>
    <row r="2127" spans="1:19" ht="18" x14ac:dyDescent="0.25">
      <c r="A2127" s="35" t="s">
        <v>50</v>
      </c>
      <c r="B2127" s="35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35"/>
      <c r="N2127" s="35"/>
      <c r="O2127" s="35"/>
      <c r="P2127" s="35"/>
      <c r="Q2127" s="35"/>
      <c r="R2127" s="35"/>
      <c r="S2127" s="35"/>
    </row>
    <row r="2128" spans="1:19" ht="18" x14ac:dyDescent="0.25">
      <c r="A2128" s="35" t="s">
        <v>223</v>
      </c>
      <c r="B2128" s="35"/>
      <c r="C2128" s="35"/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  <c r="N2128" s="35"/>
      <c r="O2128" s="35"/>
      <c r="P2128" s="35"/>
      <c r="Q2128" s="35"/>
      <c r="R2128" s="35"/>
      <c r="S2128" s="35"/>
    </row>
    <row r="2129" spans="1:19" ht="18" x14ac:dyDescent="0.25">
      <c r="A2129" s="35" t="s">
        <v>224</v>
      </c>
      <c r="B2129" s="35"/>
      <c r="C2129" s="35"/>
      <c r="D2129" s="35"/>
      <c r="E2129" s="35"/>
      <c r="F2129" s="35"/>
      <c r="G2129" s="35"/>
      <c r="H2129" s="35"/>
      <c r="I2129" s="35"/>
      <c r="J2129" s="35"/>
      <c r="K2129" s="35"/>
      <c r="L2129" s="35"/>
      <c r="M2129" s="35"/>
      <c r="N2129" s="35"/>
      <c r="O2129" s="35"/>
      <c r="P2129" s="35"/>
      <c r="Q2129" s="35"/>
      <c r="R2129" s="35"/>
      <c r="S2129" s="35"/>
    </row>
    <row r="2130" spans="1:19" ht="18" x14ac:dyDescent="0.25">
      <c r="A2130" s="45" t="s">
        <v>53</v>
      </c>
      <c r="B2130" s="45"/>
      <c r="C2130" s="45"/>
      <c r="D2130" s="45"/>
      <c r="E2130" s="45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</row>
    <row r="2131" spans="1:19" ht="19.5" customHeight="1" x14ac:dyDescent="0.25">
      <c r="A2131" s="17"/>
      <c r="B2131" s="17"/>
      <c r="C2131" s="8"/>
      <c r="D2131" s="18"/>
      <c r="E2131" s="10"/>
      <c r="F2131" s="11"/>
      <c r="G2131" s="46" t="s">
        <v>49</v>
      </c>
      <c r="H2131" s="46"/>
      <c r="I2131" s="46"/>
      <c r="J2131" s="46"/>
      <c r="K2131" s="46"/>
      <c r="L2131" s="46"/>
      <c r="M2131" s="46"/>
      <c r="N2131" s="46"/>
      <c r="O2131" s="46"/>
      <c r="P2131" s="46"/>
      <c r="Q2131" s="46"/>
      <c r="R2131" s="46"/>
      <c r="S2131" s="46"/>
    </row>
    <row r="2132" spans="1:19" ht="31.5" customHeight="1" x14ac:dyDescent="0.3">
      <c r="A2132" s="8"/>
      <c r="B2132" s="8"/>
      <c r="C2132" s="8"/>
      <c r="D2132" s="8"/>
      <c r="E2132" s="8"/>
      <c r="F2132" s="8"/>
      <c r="G2132" s="8"/>
      <c r="H2132" s="12"/>
      <c r="I2132" s="42" t="s">
        <v>40</v>
      </c>
      <c r="J2132" s="43"/>
      <c r="K2132" s="43"/>
      <c r="L2132" s="43"/>
      <c r="M2132" s="43"/>
      <c r="N2132" s="43"/>
      <c r="O2132" s="43"/>
      <c r="P2132" s="43"/>
      <c r="Q2132" s="43"/>
      <c r="R2132" s="43"/>
      <c r="S2132" s="43"/>
    </row>
    <row r="2133" spans="1:19" ht="16.8" x14ac:dyDescent="0.3">
      <c r="A2133" s="8"/>
      <c r="B2133" s="8"/>
      <c r="C2133" s="8"/>
      <c r="D2133" s="8"/>
      <c r="E2133" s="8"/>
      <c r="F2133" s="8"/>
      <c r="G2133" s="8"/>
      <c r="H2133" s="12"/>
      <c r="I2133" s="12"/>
      <c r="J2133" s="12"/>
      <c r="K2133" s="12"/>
      <c r="L2133" s="8"/>
      <c r="M2133" s="8"/>
      <c r="N2133" s="8"/>
      <c r="O2133" s="8"/>
      <c r="P2133" s="8"/>
      <c r="Q2133" s="8"/>
    </row>
    <row r="2134" spans="1:19" ht="33" customHeight="1" x14ac:dyDescent="0.3">
      <c r="A2134" s="8"/>
      <c r="B2134" s="8"/>
      <c r="C2134" s="8"/>
      <c r="D2134" s="8"/>
      <c r="E2134" s="8"/>
      <c r="F2134" s="8"/>
      <c r="G2134" s="8"/>
      <c r="H2134" s="12"/>
      <c r="I2134" s="12"/>
      <c r="J2134" s="12"/>
      <c r="K2134" s="12"/>
      <c r="L2134" s="8"/>
      <c r="M2134" s="8"/>
      <c r="N2134" s="8"/>
      <c r="O2134" s="8"/>
      <c r="P2134" s="8"/>
      <c r="Q2134" s="8"/>
    </row>
    <row r="2135" spans="1:19" ht="11.25" customHeight="1" x14ac:dyDescent="0.3">
      <c r="A2135" s="8"/>
      <c r="B2135" s="8"/>
      <c r="C2135" s="8"/>
      <c r="D2135" s="8"/>
      <c r="E2135" s="8"/>
      <c r="F2135" s="8"/>
      <c r="G2135" s="8"/>
      <c r="H2135" s="12"/>
      <c r="I2135" s="12"/>
      <c r="J2135" s="12"/>
      <c r="K2135" s="12"/>
      <c r="L2135" s="8"/>
      <c r="M2135" s="8"/>
      <c r="N2135" s="8"/>
      <c r="O2135" s="8"/>
      <c r="P2135" s="8"/>
      <c r="Q2135" s="8"/>
    </row>
    <row r="2136" spans="1:19" ht="17.399999999999999" x14ac:dyDescent="0.3">
      <c r="A2136" s="8"/>
      <c r="B2136" s="8"/>
      <c r="C2136" s="8"/>
      <c r="D2136" s="8"/>
      <c r="E2136" s="8"/>
      <c r="F2136" s="8"/>
      <c r="G2136" s="47" t="s">
        <v>41</v>
      </c>
      <c r="H2136" s="47"/>
      <c r="I2136" s="47"/>
      <c r="J2136" s="47"/>
      <c r="K2136" s="47"/>
      <c r="L2136" s="47"/>
      <c r="M2136" s="47"/>
      <c r="N2136" s="47"/>
      <c r="O2136" s="47"/>
      <c r="P2136" s="47"/>
      <c r="Q2136" s="47"/>
      <c r="R2136" s="47"/>
      <c r="S2136" s="47"/>
    </row>
    <row r="2137" spans="1:19" ht="16.5" hidden="1" customHeight="1" x14ac:dyDescent="0.3">
      <c r="A2137" s="8"/>
      <c r="B2137" s="13" t="s">
        <v>27</v>
      </c>
      <c r="C2137" s="13" t="s">
        <v>31</v>
      </c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</row>
    <row r="2138" spans="1:19" ht="13.5" hidden="1" customHeight="1" x14ac:dyDescent="0.3">
      <c r="A2138" s="12"/>
      <c r="B2138" s="13"/>
      <c r="C2138" s="44" t="s">
        <v>26</v>
      </c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</row>
    <row r="2139" spans="1:19" ht="13.5" hidden="1" customHeight="1" x14ac:dyDescent="0.25">
      <c r="A2139" s="38" t="s">
        <v>11</v>
      </c>
      <c r="B2139" s="38"/>
      <c r="C2139" s="14" t="s">
        <v>12</v>
      </c>
      <c r="D2139" s="14" t="s">
        <v>10</v>
      </c>
      <c r="E2139" s="14" t="s">
        <v>9</v>
      </c>
      <c r="F2139" s="14" t="s">
        <v>6</v>
      </c>
      <c r="G2139" s="14" t="s">
        <v>5</v>
      </c>
      <c r="H2139" s="14" t="s">
        <v>3</v>
      </c>
      <c r="I2139" s="14" t="s">
        <v>4</v>
      </c>
      <c r="J2139" s="14" t="s">
        <v>8</v>
      </c>
      <c r="K2139" s="14" t="s">
        <v>7</v>
      </c>
      <c r="L2139" s="14" t="s">
        <v>4</v>
      </c>
      <c r="M2139" s="14"/>
      <c r="N2139" s="14"/>
      <c r="O2139" s="14" t="s">
        <v>8</v>
      </c>
      <c r="P2139" s="14" t="s">
        <v>7</v>
      </c>
      <c r="Q2139" s="8"/>
    </row>
    <row r="2140" spans="1:19" ht="13.5" hidden="1" customHeight="1" x14ac:dyDescent="0.25">
      <c r="A2140" s="38" t="s">
        <v>13</v>
      </c>
      <c r="B2140" s="38"/>
      <c r="C2140" s="14">
        <v>4</v>
      </c>
      <c r="D2140" s="14">
        <v>3.7</v>
      </c>
      <c r="E2140" s="14">
        <v>3.5</v>
      </c>
      <c r="F2140" s="14">
        <v>3</v>
      </c>
      <c r="G2140" s="14">
        <v>2.5</v>
      </c>
      <c r="H2140" s="14">
        <v>2</v>
      </c>
      <c r="I2140" s="14">
        <v>1.5</v>
      </c>
      <c r="J2140" s="14">
        <v>1</v>
      </c>
      <c r="K2140" s="14">
        <v>0</v>
      </c>
      <c r="L2140" s="14">
        <v>1.5</v>
      </c>
      <c r="M2140" s="14"/>
      <c r="N2140" s="14"/>
      <c r="O2140" s="14">
        <v>1</v>
      </c>
      <c r="P2140" s="14">
        <v>0</v>
      </c>
      <c r="Q2140" s="8"/>
      <c r="R2140" s="5"/>
      <c r="S2140" s="5"/>
    </row>
    <row r="2141" spans="1:19" ht="13.5" hidden="1" customHeight="1" x14ac:dyDescent="0.25">
      <c r="A2141" s="38" t="s">
        <v>14</v>
      </c>
      <c r="B2141" s="38"/>
      <c r="C2141" s="15" t="s">
        <v>23</v>
      </c>
      <c r="D2141" s="14" t="s">
        <v>15</v>
      </c>
      <c r="E2141" s="14" t="s">
        <v>16</v>
      </c>
      <c r="F2141" s="14" t="s">
        <v>17</v>
      </c>
      <c r="G2141" s="14" t="s">
        <v>18</v>
      </c>
      <c r="H2141" s="14" t="s">
        <v>19</v>
      </c>
      <c r="I2141" s="14" t="s">
        <v>20</v>
      </c>
      <c r="J2141" s="14" t="s">
        <v>21</v>
      </c>
      <c r="K2141" s="14" t="s">
        <v>22</v>
      </c>
      <c r="L2141" s="14" t="s">
        <v>20</v>
      </c>
      <c r="M2141" s="14"/>
      <c r="N2141" s="14"/>
      <c r="O2141" s="14" t="s">
        <v>21</v>
      </c>
      <c r="P2141" s="14" t="s">
        <v>22</v>
      </c>
      <c r="Q2141" s="8"/>
      <c r="R2141" s="5"/>
      <c r="S2141" s="5"/>
    </row>
    <row r="2142" spans="1:19" ht="13.5" hidden="1" customHeight="1" x14ac:dyDescent="0.25">
      <c r="A2142" s="16"/>
      <c r="B2142" s="38" t="s">
        <v>25</v>
      </c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  <c r="M2142" s="38"/>
      <c r="N2142" s="38"/>
      <c r="O2142" s="38"/>
      <c r="P2142" s="38"/>
      <c r="Q2142" s="38"/>
      <c r="R2142" s="4"/>
      <c r="S2142" s="4"/>
    </row>
    <row r="2143" spans="1:19" ht="13.5" hidden="1" customHeight="1" x14ac:dyDescent="0.25">
      <c r="A2143" s="16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  <c r="M2143" s="38"/>
      <c r="N2143" s="38"/>
      <c r="O2143" s="38"/>
      <c r="P2143" s="38"/>
      <c r="Q2143" s="38"/>
      <c r="R2143" s="4"/>
      <c r="S2143" s="4"/>
    </row>
    <row r="2144" spans="1:19" ht="16.8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</row>
  </sheetData>
  <sheetProtection selectLockedCells="1" selectUnlockedCells="1"/>
  <mergeCells count="2088">
    <mergeCell ref="H1977:H1978"/>
    <mergeCell ref="B2081:G2082"/>
    <mergeCell ref="S2081:S2082"/>
    <mergeCell ref="I2081:I2082"/>
    <mergeCell ref="A2081:A2082"/>
    <mergeCell ref="J2081:Q2081"/>
    <mergeCell ref="H2081:H2082"/>
    <mergeCell ref="S1869:S1870"/>
    <mergeCell ref="I1869:I1870"/>
    <mergeCell ref="A1869:A1870"/>
    <mergeCell ref="J1869:Q1869"/>
    <mergeCell ref="H1869:H1870"/>
    <mergeCell ref="B1977:G1978"/>
    <mergeCell ref="S1977:S1978"/>
    <mergeCell ref="I1977:I1978"/>
    <mergeCell ref="A1977:A1978"/>
    <mergeCell ref="J1977:Q1977"/>
    <mergeCell ref="H1661:H1662"/>
    <mergeCell ref="B1765:G1766"/>
    <mergeCell ref="S1765:S1766"/>
    <mergeCell ref="I1765:I1766"/>
    <mergeCell ref="A1765:A1766"/>
    <mergeCell ref="J1765:Q1765"/>
    <mergeCell ref="H1765:H1766"/>
    <mergeCell ref="S1544:S1545"/>
    <mergeCell ref="I1544:I1545"/>
    <mergeCell ref="A1544:A1545"/>
    <mergeCell ref="J1544:Q1544"/>
    <mergeCell ref="H1544:H1545"/>
    <mergeCell ref="B1661:G1662"/>
    <mergeCell ref="S1661:S1662"/>
    <mergeCell ref="I1661:I1662"/>
    <mergeCell ref="A1661:A1662"/>
    <mergeCell ref="J1661:Q1661"/>
    <mergeCell ref="B1427:G1428"/>
    <mergeCell ref="S1427:S1428"/>
    <mergeCell ref="I1427:I1428"/>
    <mergeCell ref="A1427:A1428"/>
    <mergeCell ref="J1427:Q1427"/>
    <mergeCell ref="H1427:H1428"/>
    <mergeCell ref="H1219:H1220"/>
    <mergeCell ref="B1323:G1324"/>
    <mergeCell ref="S1323:S1324"/>
    <mergeCell ref="I1323:I1324"/>
    <mergeCell ref="A1323:A1324"/>
    <mergeCell ref="J1323:Q1323"/>
    <mergeCell ref="H1323:H1324"/>
    <mergeCell ref="S1114:S1115"/>
    <mergeCell ref="I1114:I1115"/>
    <mergeCell ref="A1114:A1115"/>
    <mergeCell ref="J1114:Q1114"/>
    <mergeCell ref="H1114:H1115"/>
    <mergeCell ref="B1219:G1220"/>
    <mergeCell ref="S1219:S1220"/>
    <mergeCell ref="I1219:I1220"/>
    <mergeCell ref="A1219:A1220"/>
    <mergeCell ref="J1219:Q1219"/>
    <mergeCell ref="H898:H899"/>
    <mergeCell ref="B1006:G1007"/>
    <mergeCell ref="S1006:S1007"/>
    <mergeCell ref="I1006:I1007"/>
    <mergeCell ref="A1006:A1007"/>
    <mergeCell ref="J1006:Q1006"/>
    <mergeCell ref="H1006:H1007"/>
    <mergeCell ref="S794:S795"/>
    <mergeCell ref="I794:I795"/>
    <mergeCell ref="A794:A795"/>
    <mergeCell ref="J794:Q794"/>
    <mergeCell ref="H794:H795"/>
    <mergeCell ref="B898:G899"/>
    <mergeCell ref="S898:S899"/>
    <mergeCell ref="I898:I899"/>
    <mergeCell ref="A898:A899"/>
    <mergeCell ref="J898:Q898"/>
    <mergeCell ref="H578:H579"/>
    <mergeCell ref="B682:G683"/>
    <mergeCell ref="S682:S683"/>
    <mergeCell ref="I682:I683"/>
    <mergeCell ref="A682:A683"/>
    <mergeCell ref="J682:Q682"/>
    <mergeCell ref="H682:H683"/>
    <mergeCell ref="S470:S471"/>
    <mergeCell ref="I470:I471"/>
    <mergeCell ref="A470:A471"/>
    <mergeCell ref="J470:Q470"/>
    <mergeCell ref="H470:H471"/>
    <mergeCell ref="B578:G579"/>
    <mergeCell ref="S578:S579"/>
    <mergeCell ref="I578:I579"/>
    <mergeCell ref="A578:A579"/>
    <mergeCell ref="J578:Q578"/>
    <mergeCell ref="H257:H258"/>
    <mergeCell ref="B366:G367"/>
    <mergeCell ref="S366:S367"/>
    <mergeCell ref="I366:I367"/>
    <mergeCell ref="A366:A367"/>
    <mergeCell ref="J366:Q366"/>
    <mergeCell ref="H366:H367"/>
    <mergeCell ref="S153:S154"/>
    <mergeCell ref="I153:I154"/>
    <mergeCell ref="A153:A154"/>
    <mergeCell ref="J153:Q153"/>
    <mergeCell ref="H153:H154"/>
    <mergeCell ref="B257:G258"/>
    <mergeCell ref="S257:S258"/>
    <mergeCell ref="I257:I258"/>
    <mergeCell ref="A257:A258"/>
    <mergeCell ref="J257:Q257"/>
    <mergeCell ref="B49:G50"/>
    <mergeCell ref="S49:S50"/>
    <mergeCell ref="I49:I50"/>
    <mergeCell ref="A49:A50"/>
    <mergeCell ref="J49:Q49"/>
    <mergeCell ref="H49:H50"/>
    <mergeCell ref="B2117:G2117"/>
    <mergeCell ref="B2118:G2118"/>
    <mergeCell ref="B2119:G2119"/>
    <mergeCell ref="B2120:G2120"/>
    <mergeCell ref="B2121:G2121"/>
    <mergeCell ref="B2122:G2122"/>
    <mergeCell ref="B2107:G2107"/>
    <mergeCell ref="B2108:G2108"/>
    <mergeCell ref="B2109:G2109"/>
    <mergeCell ref="B2110:G2110"/>
    <mergeCell ref="B2111:G2111"/>
    <mergeCell ref="B2112:G2112"/>
    <mergeCell ref="B2097:G2097"/>
    <mergeCell ref="B2102:G2102"/>
    <mergeCell ref="B2103:G2103"/>
    <mergeCell ref="B2104:G2104"/>
    <mergeCell ref="B2105:G2105"/>
    <mergeCell ref="B2106:G2106"/>
    <mergeCell ref="B2091:G2091"/>
    <mergeCell ref="B2092:G2092"/>
    <mergeCell ref="B2093:G2093"/>
    <mergeCell ref="B2094:G2094"/>
    <mergeCell ref="B2095:G2095"/>
    <mergeCell ref="B2096:G2096"/>
    <mergeCell ref="B2079:G2079"/>
    <mergeCell ref="B2080:G2080"/>
    <mergeCell ref="B2083:G2083"/>
    <mergeCell ref="B2084:G2084"/>
    <mergeCell ref="B2089:G2089"/>
    <mergeCell ref="B2090:G2090"/>
    <mergeCell ref="B2069:G2069"/>
    <mergeCell ref="B2070:G2070"/>
    <mergeCell ref="B2075:G2075"/>
    <mergeCell ref="B2076:G2076"/>
    <mergeCell ref="B2077:G2077"/>
    <mergeCell ref="B2078:G2078"/>
    <mergeCell ref="B2049:G2049"/>
    <mergeCell ref="B2050:G2050"/>
    <mergeCell ref="B2055:G2055"/>
    <mergeCell ref="B2056:G2056"/>
    <mergeCell ref="B2057:G2057"/>
    <mergeCell ref="B2058:G2058"/>
    <mergeCell ref="B2124:G2124"/>
    <mergeCell ref="B2054:G2054"/>
    <mergeCell ref="B2064:G2064"/>
    <mergeCell ref="B2074:G2074"/>
    <mergeCell ref="B2088:G2088"/>
    <mergeCell ref="B2101:G2101"/>
    <mergeCell ref="B2116:G2116"/>
    <mergeCell ref="B2059:G2059"/>
    <mergeCell ref="B2060:G2060"/>
    <mergeCell ref="B2065:G2065"/>
    <mergeCell ref="A2100:S2100"/>
    <mergeCell ref="A2115:S2115"/>
    <mergeCell ref="B2062:G2062"/>
    <mergeCell ref="B2072:G2072"/>
    <mergeCell ref="B2086:G2086"/>
    <mergeCell ref="B2099:G2099"/>
    <mergeCell ref="B2114:G2114"/>
    <mergeCell ref="B2066:G2066"/>
    <mergeCell ref="B2067:G2067"/>
    <mergeCell ref="B2068:G2068"/>
    <mergeCell ref="B2017:G2017"/>
    <mergeCell ref="B2018:G2018"/>
    <mergeCell ref="A2053:S2053"/>
    <mergeCell ref="A2063:S2063"/>
    <mergeCell ref="A2073:S2073"/>
    <mergeCell ref="A2087:S2087"/>
    <mergeCell ref="B2045:G2045"/>
    <mergeCell ref="B2046:G2046"/>
    <mergeCell ref="B2047:G2047"/>
    <mergeCell ref="B2048:G2048"/>
    <mergeCell ref="B2007:G2007"/>
    <mergeCell ref="B2008:G2008"/>
    <mergeCell ref="B2013:G2013"/>
    <mergeCell ref="B2014:G2014"/>
    <mergeCell ref="B2015:G2015"/>
    <mergeCell ref="B2016:G2016"/>
    <mergeCell ref="B2001:G2001"/>
    <mergeCell ref="B2002:G2002"/>
    <mergeCell ref="B2003:G2003"/>
    <mergeCell ref="B2004:G2004"/>
    <mergeCell ref="B2005:G2005"/>
    <mergeCell ref="B2006:G2006"/>
    <mergeCell ref="B1991:G1991"/>
    <mergeCell ref="B1992:G1992"/>
    <mergeCell ref="B1993:G1993"/>
    <mergeCell ref="B1998:G1998"/>
    <mergeCell ref="B1999:G1999"/>
    <mergeCell ref="B2000:G2000"/>
    <mergeCell ref="B1985:G1985"/>
    <mergeCell ref="B1986:G1986"/>
    <mergeCell ref="B1987:G1987"/>
    <mergeCell ref="B1988:G1988"/>
    <mergeCell ref="B1989:G1989"/>
    <mergeCell ref="B1990:G1990"/>
    <mergeCell ref="B1973:G1973"/>
    <mergeCell ref="B1974:G1974"/>
    <mergeCell ref="B1975:G1975"/>
    <mergeCell ref="B1976:G1976"/>
    <mergeCell ref="B1979:G1979"/>
    <mergeCell ref="B1980:G1980"/>
    <mergeCell ref="B1963:G1963"/>
    <mergeCell ref="B1964:G1964"/>
    <mergeCell ref="B1965:G1965"/>
    <mergeCell ref="B1966:G1966"/>
    <mergeCell ref="B1971:G1971"/>
    <mergeCell ref="B1972:G1972"/>
    <mergeCell ref="B1945:G1945"/>
    <mergeCell ref="B1946:G1946"/>
    <mergeCell ref="B1951:G1951"/>
    <mergeCell ref="B1952:G1952"/>
    <mergeCell ref="B1953:G1953"/>
    <mergeCell ref="B1954:G1954"/>
    <mergeCell ref="B2020:G2020"/>
    <mergeCell ref="B1950:G1950"/>
    <mergeCell ref="B1960:G1960"/>
    <mergeCell ref="B1970:G1970"/>
    <mergeCell ref="B1984:G1984"/>
    <mergeCell ref="B1997:G1997"/>
    <mergeCell ref="B2012:G2012"/>
    <mergeCell ref="B1955:G1955"/>
    <mergeCell ref="B1956:G1956"/>
    <mergeCell ref="B1961:G1961"/>
    <mergeCell ref="A1969:S1969"/>
    <mergeCell ref="A1983:S1983"/>
    <mergeCell ref="A1996:S1996"/>
    <mergeCell ref="A2011:S2011"/>
    <mergeCell ref="B1958:G1958"/>
    <mergeCell ref="B1968:G1968"/>
    <mergeCell ref="B1982:G1982"/>
    <mergeCell ref="B1995:G1995"/>
    <mergeCell ref="B2010:G2010"/>
    <mergeCell ref="B1962:G1962"/>
    <mergeCell ref="B1911:G1911"/>
    <mergeCell ref="B1912:G1912"/>
    <mergeCell ref="B1913:G1913"/>
    <mergeCell ref="B1914:G1914"/>
    <mergeCell ref="A1949:S1949"/>
    <mergeCell ref="A1959:S1959"/>
    <mergeCell ref="B1941:G1941"/>
    <mergeCell ref="B1942:G1942"/>
    <mergeCell ref="B1943:G1943"/>
    <mergeCell ref="B1944:G1944"/>
    <mergeCell ref="B1901:G1901"/>
    <mergeCell ref="B1902:G1902"/>
    <mergeCell ref="B1903:G1903"/>
    <mergeCell ref="B1904:G1904"/>
    <mergeCell ref="B1909:G1909"/>
    <mergeCell ref="B1910:G1910"/>
    <mergeCell ref="B1895:G1895"/>
    <mergeCell ref="B1896:G1896"/>
    <mergeCell ref="B1897:G1897"/>
    <mergeCell ref="B1898:G1898"/>
    <mergeCell ref="B1899:G1899"/>
    <mergeCell ref="B1900:G1900"/>
    <mergeCell ref="B1885:G1885"/>
    <mergeCell ref="B1886:G1886"/>
    <mergeCell ref="B1887:G1887"/>
    <mergeCell ref="B1888:G1888"/>
    <mergeCell ref="B1889:G1889"/>
    <mergeCell ref="B1894:G1894"/>
    <mergeCell ref="B1875:G1875"/>
    <mergeCell ref="B1876:G1876"/>
    <mergeCell ref="B1881:G1881"/>
    <mergeCell ref="B1882:G1882"/>
    <mergeCell ref="B1883:G1883"/>
    <mergeCell ref="B1884:G1884"/>
    <mergeCell ref="B1867:G1867"/>
    <mergeCell ref="B1868:G1868"/>
    <mergeCell ref="B1871:G1871"/>
    <mergeCell ref="B1872:G1872"/>
    <mergeCell ref="B1873:G1873"/>
    <mergeCell ref="B1874:G1874"/>
    <mergeCell ref="B1869:G1870"/>
    <mergeCell ref="B1857:G1857"/>
    <mergeCell ref="B1858:G1858"/>
    <mergeCell ref="B1859:G1859"/>
    <mergeCell ref="B1860:G1860"/>
    <mergeCell ref="B1861:G1861"/>
    <mergeCell ref="B1862:G1862"/>
    <mergeCell ref="B1837:G1837"/>
    <mergeCell ref="B1838:G1838"/>
    <mergeCell ref="B1843:G1843"/>
    <mergeCell ref="B1844:G1844"/>
    <mergeCell ref="B1845:G1845"/>
    <mergeCell ref="B1846:G1846"/>
    <mergeCell ref="B1916:G1916"/>
    <mergeCell ref="B1842:G1842"/>
    <mergeCell ref="B1852:G1852"/>
    <mergeCell ref="B1856:G1856"/>
    <mergeCell ref="B1866:G1866"/>
    <mergeCell ref="B1880:G1880"/>
    <mergeCell ref="B1893:G1893"/>
    <mergeCell ref="B1908:G1908"/>
    <mergeCell ref="B1847:G1847"/>
    <mergeCell ref="B1848:G1848"/>
    <mergeCell ref="A1865:S1865"/>
    <mergeCell ref="A1879:S1879"/>
    <mergeCell ref="A1892:S1892"/>
    <mergeCell ref="A1907:S1907"/>
    <mergeCell ref="B1850:G1850"/>
    <mergeCell ref="B1854:G1854"/>
    <mergeCell ref="B1864:G1864"/>
    <mergeCell ref="B1878:G1878"/>
    <mergeCell ref="B1891:G1891"/>
    <mergeCell ref="B1906:G1906"/>
    <mergeCell ref="B1804:G1804"/>
    <mergeCell ref="B1805:G1805"/>
    <mergeCell ref="B1806:G1806"/>
    <mergeCell ref="A1841:S1841"/>
    <mergeCell ref="A1851:S1851"/>
    <mergeCell ref="A1855:S1855"/>
    <mergeCell ref="B1833:G1833"/>
    <mergeCell ref="B1834:G1834"/>
    <mergeCell ref="B1835:G1835"/>
    <mergeCell ref="B1836:G1836"/>
    <mergeCell ref="B1794:G1794"/>
    <mergeCell ref="B1795:G1795"/>
    <mergeCell ref="B1796:G1796"/>
    <mergeCell ref="B1801:G1801"/>
    <mergeCell ref="B1802:G1802"/>
    <mergeCell ref="B1803:G1803"/>
    <mergeCell ref="B1788:G1788"/>
    <mergeCell ref="B1789:G1789"/>
    <mergeCell ref="B1790:G1790"/>
    <mergeCell ref="B1791:G1791"/>
    <mergeCell ref="B1792:G1792"/>
    <mergeCell ref="B1793:G1793"/>
    <mergeCell ref="B1778:G1778"/>
    <mergeCell ref="B1779:G1779"/>
    <mergeCell ref="B1780:G1780"/>
    <mergeCell ref="B1781:G1781"/>
    <mergeCell ref="B1786:G1786"/>
    <mergeCell ref="B1787:G1787"/>
    <mergeCell ref="B1768:G1768"/>
    <mergeCell ref="B1773:G1773"/>
    <mergeCell ref="B1774:G1774"/>
    <mergeCell ref="B1775:G1775"/>
    <mergeCell ref="B1776:G1776"/>
    <mergeCell ref="B1777:G1777"/>
    <mergeCell ref="B1760:G1760"/>
    <mergeCell ref="B1761:G1761"/>
    <mergeCell ref="B1762:G1762"/>
    <mergeCell ref="B1763:G1763"/>
    <mergeCell ref="B1764:G1764"/>
    <mergeCell ref="B1767:G1767"/>
    <mergeCell ref="B1750:G1750"/>
    <mergeCell ref="B1751:G1751"/>
    <mergeCell ref="B1752:G1752"/>
    <mergeCell ref="B1753:G1753"/>
    <mergeCell ref="B1754:G1754"/>
    <mergeCell ref="B1759:G1759"/>
    <mergeCell ref="B1733:G1733"/>
    <mergeCell ref="B1734:G1734"/>
    <mergeCell ref="B1739:G1739"/>
    <mergeCell ref="B1740:G1740"/>
    <mergeCell ref="B1741:G1741"/>
    <mergeCell ref="B1742:G1742"/>
    <mergeCell ref="B1808:G1808"/>
    <mergeCell ref="B1738:G1738"/>
    <mergeCell ref="B1748:G1748"/>
    <mergeCell ref="B1758:G1758"/>
    <mergeCell ref="B1772:G1772"/>
    <mergeCell ref="B1785:G1785"/>
    <mergeCell ref="B1800:G1800"/>
    <mergeCell ref="B1743:G1743"/>
    <mergeCell ref="B1744:G1744"/>
    <mergeCell ref="B1749:G1749"/>
    <mergeCell ref="A1747:S1747"/>
    <mergeCell ref="A1757:S1757"/>
    <mergeCell ref="A1771:S1771"/>
    <mergeCell ref="A1784:S1784"/>
    <mergeCell ref="A1799:S1799"/>
    <mergeCell ref="B1746:G1746"/>
    <mergeCell ref="B1756:G1756"/>
    <mergeCell ref="B1770:G1770"/>
    <mergeCell ref="B1783:G1783"/>
    <mergeCell ref="B1798:G1798"/>
    <mergeCell ref="B1698:G1698"/>
    <mergeCell ref="B1699:G1699"/>
    <mergeCell ref="B1700:G1700"/>
    <mergeCell ref="B1701:G1701"/>
    <mergeCell ref="B1702:G1702"/>
    <mergeCell ref="A1737:S1737"/>
    <mergeCell ref="B1729:G1729"/>
    <mergeCell ref="B1730:G1730"/>
    <mergeCell ref="B1731:G1731"/>
    <mergeCell ref="B1732:G1732"/>
    <mergeCell ref="B1688:G1688"/>
    <mergeCell ref="B1689:G1689"/>
    <mergeCell ref="B1690:G1690"/>
    <mergeCell ref="B1691:G1691"/>
    <mergeCell ref="B1692:G1692"/>
    <mergeCell ref="B1697:G1697"/>
    <mergeCell ref="B1682:G1682"/>
    <mergeCell ref="B1683:G1683"/>
    <mergeCell ref="B1684:G1684"/>
    <mergeCell ref="B1685:G1685"/>
    <mergeCell ref="B1686:G1686"/>
    <mergeCell ref="B1687:G1687"/>
    <mergeCell ref="B1672:G1672"/>
    <mergeCell ref="B1673:G1673"/>
    <mergeCell ref="B1674:G1674"/>
    <mergeCell ref="B1675:G1675"/>
    <mergeCell ref="B1676:G1676"/>
    <mergeCell ref="B1677:G1677"/>
    <mergeCell ref="B1660:G1660"/>
    <mergeCell ref="B1663:G1663"/>
    <mergeCell ref="B1664:G1664"/>
    <mergeCell ref="B1669:G1669"/>
    <mergeCell ref="B1670:G1670"/>
    <mergeCell ref="B1671:G1671"/>
    <mergeCell ref="B1650:G1650"/>
    <mergeCell ref="B1655:G1655"/>
    <mergeCell ref="B1656:G1656"/>
    <mergeCell ref="B1657:G1657"/>
    <mergeCell ref="B1658:G1658"/>
    <mergeCell ref="B1659:G1659"/>
    <mergeCell ref="B1629:G1629"/>
    <mergeCell ref="B1630:G1630"/>
    <mergeCell ref="B1635:G1635"/>
    <mergeCell ref="B1636:G1636"/>
    <mergeCell ref="B1637:G1637"/>
    <mergeCell ref="B1638:G1638"/>
    <mergeCell ref="B1704:G1704"/>
    <mergeCell ref="B1634:G1634"/>
    <mergeCell ref="B1644:G1644"/>
    <mergeCell ref="B1654:G1654"/>
    <mergeCell ref="B1668:G1668"/>
    <mergeCell ref="B1681:G1681"/>
    <mergeCell ref="B1696:G1696"/>
    <mergeCell ref="B1639:G1639"/>
    <mergeCell ref="B1640:G1640"/>
    <mergeCell ref="B1645:G1645"/>
    <mergeCell ref="A1695:S1695"/>
    <mergeCell ref="B1642:G1642"/>
    <mergeCell ref="B1652:G1652"/>
    <mergeCell ref="B1666:G1666"/>
    <mergeCell ref="B1679:G1679"/>
    <mergeCell ref="B1694:G1694"/>
    <mergeCell ref="B1646:G1646"/>
    <mergeCell ref="B1647:G1647"/>
    <mergeCell ref="B1648:G1648"/>
    <mergeCell ref="B1649:G1649"/>
    <mergeCell ref="B1598:G1598"/>
    <mergeCell ref="A1633:S1633"/>
    <mergeCell ref="A1643:S1643"/>
    <mergeCell ref="A1653:S1653"/>
    <mergeCell ref="A1667:S1667"/>
    <mergeCell ref="A1680:S1680"/>
    <mergeCell ref="B1625:G1625"/>
    <mergeCell ref="B1626:G1626"/>
    <mergeCell ref="B1627:G1627"/>
    <mergeCell ref="B1628:G1628"/>
    <mergeCell ref="B1588:G1588"/>
    <mergeCell ref="B1593:G1593"/>
    <mergeCell ref="B1594:G1594"/>
    <mergeCell ref="B1595:G1595"/>
    <mergeCell ref="B1596:G1596"/>
    <mergeCell ref="B1597:G1597"/>
    <mergeCell ref="B1582:G1582"/>
    <mergeCell ref="B1583:G1583"/>
    <mergeCell ref="B1584:G1584"/>
    <mergeCell ref="B1585:G1585"/>
    <mergeCell ref="B1586:G1586"/>
    <mergeCell ref="B1587:G1587"/>
    <mergeCell ref="B1572:G1572"/>
    <mergeCell ref="B1573:G1573"/>
    <mergeCell ref="B1578:G1578"/>
    <mergeCell ref="B1579:G1579"/>
    <mergeCell ref="B1580:G1580"/>
    <mergeCell ref="B1581:G1581"/>
    <mergeCell ref="B1566:G1566"/>
    <mergeCell ref="B1567:G1567"/>
    <mergeCell ref="B1568:G1568"/>
    <mergeCell ref="B1569:G1569"/>
    <mergeCell ref="B1570:G1570"/>
    <mergeCell ref="B1571:G1571"/>
    <mergeCell ref="B1556:G1556"/>
    <mergeCell ref="B1557:G1557"/>
    <mergeCell ref="B1558:G1558"/>
    <mergeCell ref="B1559:G1559"/>
    <mergeCell ref="B1560:G1560"/>
    <mergeCell ref="B1565:G1565"/>
    <mergeCell ref="B1540:G1540"/>
    <mergeCell ref="B1541:G1541"/>
    <mergeCell ref="B1542:G1542"/>
    <mergeCell ref="B1553:G1553"/>
    <mergeCell ref="B1554:G1554"/>
    <mergeCell ref="B1555:G1555"/>
    <mergeCell ref="B1544:G1545"/>
    <mergeCell ref="B1522:G1522"/>
    <mergeCell ref="B1523:G1523"/>
    <mergeCell ref="B1532:G1532"/>
    <mergeCell ref="B1537:G1537"/>
    <mergeCell ref="B1538:G1538"/>
    <mergeCell ref="B1539:G1539"/>
    <mergeCell ref="B1512:G1512"/>
    <mergeCell ref="B1513:G1513"/>
    <mergeCell ref="B1518:G1518"/>
    <mergeCell ref="B1519:G1519"/>
    <mergeCell ref="B1520:G1520"/>
    <mergeCell ref="B1521:G1521"/>
    <mergeCell ref="B1600:G1600"/>
    <mergeCell ref="B1517:G1517"/>
    <mergeCell ref="B1527:G1527"/>
    <mergeCell ref="B1531:G1531"/>
    <mergeCell ref="B1536:G1536"/>
    <mergeCell ref="B1548:G1548"/>
    <mergeCell ref="B1552:G1552"/>
    <mergeCell ref="B1564:G1564"/>
    <mergeCell ref="B1577:G1577"/>
    <mergeCell ref="B1592:G1592"/>
    <mergeCell ref="A1576:S1576"/>
    <mergeCell ref="A1591:S1591"/>
    <mergeCell ref="B1525:G1525"/>
    <mergeCell ref="B1529:G1529"/>
    <mergeCell ref="B1534:G1534"/>
    <mergeCell ref="B1546:G1546"/>
    <mergeCell ref="B1550:G1550"/>
    <mergeCell ref="B1562:G1562"/>
    <mergeCell ref="B1575:G1575"/>
    <mergeCell ref="B1590:G1590"/>
    <mergeCell ref="B1479:G1479"/>
    <mergeCell ref="B1480:G1480"/>
    <mergeCell ref="B1481:G1481"/>
    <mergeCell ref="A1516:S1516"/>
    <mergeCell ref="A1526:S1526"/>
    <mergeCell ref="A1530:S1530"/>
    <mergeCell ref="B1508:G1508"/>
    <mergeCell ref="B1509:G1509"/>
    <mergeCell ref="B1510:G1510"/>
    <mergeCell ref="B1511:G1511"/>
    <mergeCell ref="B1469:G1469"/>
    <mergeCell ref="B1470:G1470"/>
    <mergeCell ref="B1475:G1475"/>
    <mergeCell ref="B1476:G1476"/>
    <mergeCell ref="B1477:G1477"/>
    <mergeCell ref="B1478:G1478"/>
    <mergeCell ref="B1463:G1463"/>
    <mergeCell ref="B1464:G1464"/>
    <mergeCell ref="B1465:G1465"/>
    <mergeCell ref="B1466:G1466"/>
    <mergeCell ref="B1467:G1467"/>
    <mergeCell ref="B1468:G1468"/>
    <mergeCell ref="B1453:G1453"/>
    <mergeCell ref="B1454:G1454"/>
    <mergeCell ref="B1455:G1455"/>
    <mergeCell ref="B1460:G1460"/>
    <mergeCell ref="B1461:G1461"/>
    <mergeCell ref="B1462:G1462"/>
    <mergeCell ref="B1447:G1447"/>
    <mergeCell ref="B1448:G1448"/>
    <mergeCell ref="B1449:G1449"/>
    <mergeCell ref="B1450:G1450"/>
    <mergeCell ref="B1451:G1451"/>
    <mergeCell ref="B1452:G1452"/>
    <mergeCell ref="B1437:G1437"/>
    <mergeCell ref="B1438:G1438"/>
    <mergeCell ref="B1439:G1439"/>
    <mergeCell ref="B1440:G1440"/>
    <mergeCell ref="B1441:G1441"/>
    <mergeCell ref="B1442:G1442"/>
    <mergeCell ref="B1405:G1405"/>
    <mergeCell ref="B1406:G1406"/>
    <mergeCell ref="B1419:G1419"/>
    <mergeCell ref="B1420:G1420"/>
    <mergeCell ref="B1421:G1421"/>
    <mergeCell ref="B1422:G1422"/>
    <mergeCell ref="B1395:G1395"/>
    <mergeCell ref="B1396:G1396"/>
    <mergeCell ref="B1401:G1401"/>
    <mergeCell ref="B1402:G1402"/>
    <mergeCell ref="B1403:G1403"/>
    <mergeCell ref="B1404:G1404"/>
    <mergeCell ref="B1483:G1483"/>
    <mergeCell ref="B1400:G1400"/>
    <mergeCell ref="B1410:G1410"/>
    <mergeCell ref="B1414:G1414"/>
    <mergeCell ref="B1418:G1418"/>
    <mergeCell ref="B1430:G1430"/>
    <mergeCell ref="B1434:G1434"/>
    <mergeCell ref="B1446:G1446"/>
    <mergeCell ref="B1459:G1459"/>
    <mergeCell ref="B1474:G1474"/>
    <mergeCell ref="A1458:S1458"/>
    <mergeCell ref="A1473:S1473"/>
    <mergeCell ref="B1408:G1408"/>
    <mergeCell ref="B1412:G1412"/>
    <mergeCell ref="B1416:G1416"/>
    <mergeCell ref="B1426:G1426"/>
    <mergeCell ref="B1432:G1432"/>
    <mergeCell ref="B1444:G1444"/>
    <mergeCell ref="B1457:G1457"/>
    <mergeCell ref="B1472:G1472"/>
    <mergeCell ref="A1409:S1409"/>
    <mergeCell ref="A1413:S1413"/>
    <mergeCell ref="A1417:S1417"/>
    <mergeCell ref="A1429:S1429"/>
    <mergeCell ref="A1433:S1433"/>
    <mergeCell ref="A1445:S1445"/>
    <mergeCell ref="B1423:G1423"/>
    <mergeCell ref="B1424:G1424"/>
    <mergeCell ref="B1435:G1435"/>
    <mergeCell ref="B1436:G1436"/>
    <mergeCell ref="B1360:G1360"/>
    <mergeCell ref="B1361:G1361"/>
    <mergeCell ref="B1362:G1362"/>
    <mergeCell ref="B1363:G1363"/>
    <mergeCell ref="B1364:G1364"/>
    <mergeCell ref="A1399:S1399"/>
    <mergeCell ref="B1391:G1391"/>
    <mergeCell ref="B1392:G1392"/>
    <mergeCell ref="B1393:G1393"/>
    <mergeCell ref="B1394:G1394"/>
    <mergeCell ref="B1350:G1350"/>
    <mergeCell ref="B1351:G1351"/>
    <mergeCell ref="B1352:G1352"/>
    <mergeCell ref="B1353:G1353"/>
    <mergeCell ref="B1354:G1354"/>
    <mergeCell ref="B1359:G1359"/>
    <mergeCell ref="B1344:G1344"/>
    <mergeCell ref="B1345:G1345"/>
    <mergeCell ref="B1346:G1346"/>
    <mergeCell ref="B1347:G1347"/>
    <mergeCell ref="B1348:G1348"/>
    <mergeCell ref="B1349:G1349"/>
    <mergeCell ref="B1334:G1334"/>
    <mergeCell ref="B1335:G1335"/>
    <mergeCell ref="B1336:G1336"/>
    <mergeCell ref="B1337:G1337"/>
    <mergeCell ref="B1338:G1338"/>
    <mergeCell ref="B1339:G1339"/>
    <mergeCell ref="B1322:G1322"/>
    <mergeCell ref="B1325:G1325"/>
    <mergeCell ref="B1326:G1326"/>
    <mergeCell ref="B1331:G1331"/>
    <mergeCell ref="B1332:G1332"/>
    <mergeCell ref="B1333:G1333"/>
    <mergeCell ref="B1312:G1312"/>
    <mergeCell ref="B1317:G1317"/>
    <mergeCell ref="B1318:G1318"/>
    <mergeCell ref="B1319:G1319"/>
    <mergeCell ref="B1320:G1320"/>
    <mergeCell ref="B1321:G1321"/>
    <mergeCell ref="B1291:G1291"/>
    <mergeCell ref="B1292:G1292"/>
    <mergeCell ref="B1297:G1297"/>
    <mergeCell ref="B1298:G1298"/>
    <mergeCell ref="B1299:G1299"/>
    <mergeCell ref="B1300:G1300"/>
    <mergeCell ref="B1366:G1366"/>
    <mergeCell ref="B1296:G1296"/>
    <mergeCell ref="B1306:G1306"/>
    <mergeCell ref="B1316:G1316"/>
    <mergeCell ref="B1330:G1330"/>
    <mergeCell ref="B1343:G1343"/>
    <mergeCell ref="B1358:G1358"/>
    <mergeCell ref="B1301:G1301"/>
    <mergeCell ref="B1302:G1302"/>
    <mergeCell ref="B1307:G1307"/>
    <mergeCell ref="A1357:S1357"/>
    <mergeCell ref="B1304:G1304"/>
    <mergeCell ref="B1314:G1314"/>
    <mergeCell ref="B1328:G1328"/>
    <mergeCell ref="B1341:G1341"/>
    <mergeCell ref="B1356:G1356"/>
    <mergeCell ref="B1308:G1308"/>
    <mergeCell ref="B1309:G1309"/>
    <mergeCell ref="B1310:G1310"/>
    <mergeCell ref="B1311:G1311"/>
    <mergeCell ref="B1260:G1260"/>
    <mergeCell ref="A1295:S1295"/>
    <mergeCell ref="A1305:S1305"/>
    <mergeCell ref="A1315:S1315"/>
    <mergeCell ref="A1329:S1329"/>
    <mergeCell ref="A1342:S1342"/>
    <mergeCell ref="B1287:G1287"/>
    <mergeCell ref="B1288:G1288"/>
    <mergeCell ref="B1289:G1289"/>
    <mergeCell ref="B1290:G1290"/>
    <mergeCell ref="B1250:G1250"/>
    <mergeCell ref="B1255:G1255"/>
    <mergeCell ref="B1256:G1256"/>
    <mergeCell ref="B1257:G1257"/>
    <mergeCell ref="B1258:G1258"/>
    <mergeCell ref="B1259:G1259"/>
    <mergeCell ref="B1244:G1244"/>
    <mergeCell ref="B1245:G1245"/>
    <mergeCell ref="B1246:G1246"/>
    <mergeCell ref="B1247:G1247"/>
    <mergeCell ref="B1248:G1248"/>
    <mergeCell ref="B1249:G1249"/>
    <mergeCell ref="B1234:G1234"/>
    <mergeCell ref="B1235:G1235"/>
    <mergeCell ref="B1240:G1240"/>
    <mergeCell ref="B1241:G1241"/>
    <mergeCell ref="B1242:G1242"/>
    <mergeCell ref="B1243:G1243"/>
    <mergeCell ref="B1228:G1228"/>
    <mergeCell ref="B1229:G1229"/>
    <mergeCell ref="B1230:G1230"/>
    <mergeCell ref="B1231:G1231"/>
    <mergeCell ref="B1232:G1232"/>
    <mergeCell ref="B1233:G1233"/>
    <mergeCell ref="B1216:G1216"/>
    <mergeCell ref="B1217:G1217"/>
    <mergeCell ref="B1218:G1218"/>
    <mergeCell ref="B1221:G1221"/>
    <mergeCell ref="B1222:G1222"/>
    <mergeCell ref="B1227:G1227"/>
    <mergeCell ref="B1206:G1206"/>
    <mergeCell ref="B1207:G1207"/>
    <mergeCell ref="B1208:G1208"/>
    <mergeCell ref="B1213:G1213"/>
    <mergeCell ref="B1214:G1214"/>
    <mergeCell ref="B1215:G1215"/>
    <mergeCell ref="B1187:G1187"/>
    <mergeCell ref="B1188:G1188"/>
    <mergeCell ref="B1193:G1193"/>
    <mergeCell ref="B1194:G1194"/>
    <mergeCell ref="B1195:G1195"/>
    <mergeCell ref="B1196:G1196"/>
    <mergeCell ref="B1262:G1262"/>
    <mergeCell ref="B1192:G1192"/>
    <mergeCell ref="B1202:G1202"/>
    <mergeCell ref="B1212:G1212"/>
    <mergeCell ref="B1226:G1226"/>
    <mergeCell ref="B1239:G1239"/>
    <mergeCell ref="B1254:G1254"/>
    <mergeCell ref="B1197:G1197"/>
    <mergeCell ref="B1198:G1198"/>
    <mergeCell ref="B1203:G1203"/>
    <mergeCell ref="A1225:S1225"/>
    <mergeCell ref="A1238:S1238"/>
    <mergeCell ref="A1253:S1253"/>
    <mergeCell ref="B1200:G1200"/>
    <mergeCell ref="B1210:G1210"/>
    <mergeCell ref="B1224:G1224"/>
    <mergeCell ref="B1237:G1237"/>
    <mergeCell ref="B1252:G1252"/>
    <mergeCell ref="B1204:G1204"/>
    <mergeCell ref="B1205:G1205"/>
    <mergeCell ref="B1154:G1154"/>
    <mergeCell ref="B1155:G1155"/>
    <mergeCell ref="B1156:G1156"/>
    <mergeCell ref="A1191:S1191"/>
    <mergeCell ref="A1201:S1201"/>
    <mergeCell ref="A1211:S1211"/>
    <mergeCell ref="B1183:G1183"/>
    <mergeCell ref="B1184:G1184"/>
    <mergeCell ref="B1185:G1185"/>
    <mergeCell ref="B1186:G1186"/>
    <mergeCell ref="B1144:G1144"/>
    <mergeCell ref="B1145:G1145"/>
    <mergeCell ref="B1150:G1150"/>
    <mergeCell ref="B1151:G1151"/>
    <mergeCell ref="B1152:G1152"/>
    <mergeCell ref="B1153:G1153"/>
    <mergeCell ref="B1138:G1138"/>
    <mergeCell ref="B1139:G1139"/>
    <mergeCell ref="B1140:G1140"/>
    <mergeCell ref="B1141:G1141"/>
    <mergeCell ref="B1142:G1142"/>
    <mergeCell ref="B1143:G1143"/>
    <mergeCell ref="B1128:G1128"/>
    <mergeCell ref="B1129:G1129"/>
    <mergeCell ref="B1130:G1130"/>
    <mergeCell ref="B1135:G1135"/>
    <mergeCell ref="B1136:G1136"/>
    <mergeCell ref="B1137:G1137"/>
    <mergeCell ref="B1122:G1122"/>
    <mergeCell ref="B1123:G1123"/>
    <mergeCell ref="B1124:G1124"/>
    <mergeCell ref="B1125:G1125"/>
    <mergeCell ref="B1126:G1126"/>
    <mergeCell ref="B1127:G1127"/>
    <mergeCell ref="B1110:G1110"/>
    <mergeCell ref="B1111:G1111"/>
    <mergeCell ref="B1112:G1112"/>
    <mergeCell ref="B1113:G1113"/>
    <mergeCell ref="B1116:G1116"/>
    <mergeCell ref="B1117:G1117"/>
    <mergeCell ref="B1114:G1115"/>
    <mergeCell ref="B1100:G1100"/>
    <mergeCell ref="B1101:G1101"/>
    <mergeCell ref="B1102:G1102"/>
    <mergeCell ref="B1103:G1103"/>
    <mergeCell ref="B1108:G1108"/>
    <mergeCell ref="B1109:G1109"/>
    <mergeCell ref="B1090:G1090"/>
    <mergeCell ref="B1091:G1091"/>
    <mergeCell ref="B1092:G1092"/>
    <mergeCell ref="B1093:G1093"/>
    <mergeCell ref="B1098:G1098"/>
    <mergeCell ref="B1099:G1099"/>
    <mergeCell ref="B1079:G1079"/>
    <mergeCell ref="B1080:G1080"/>
    <mergeCell ref="B1081:G1081"/>
    <mergeCell ref="B1082:G1082"/>
    <mergeCell ref="B1083:G1083"/>
    <mergeCell ref="B1088:G1088"/>
    <mergeCell ref="B1132:G1132"/>
    <mergeCell ref="B1147:G1147"/>
    <mergeCell ref="B1158:G1158"/>
    <mergeCell ref="B1087:G1087"/>
    <mergeCell ref="B1097:G1097"/>
    <mergeCell ref="B1107:G1107"/>
    <mergeCell ref="B1121:G1121"/>
    <mergeCell ref="B1134:G1134"/>
    <mergeCell ref="B1149:G1149"/>
    <mergeCell ref="B1089:G1089"/>
    <mergeCell ref="B1050:G1050"/>
    <mergeCell ref="B1051:G1051"/>
    <mergeCell ref="A1086:S1086"/>
    <mergeCell ref="A1096:S1096"/>
    <mergeCell ref="A1106:S1106"/>
    <mergeCell ref="A1120:S1120"/>
    <mergeCell ref="B1095:G1095"/>
    <mergeCell ref="B1105:G1105"/>
    <mergeCell ref="B1119:G1119"/>
    <mergeCell ref="B1078:G1078"/>
    <mergeCell ref="B1040:G1040"/>
    <mergeCell ref="B1041:G1041"/>
    <mergeCell ref="B1046:G1046"/>
    <mergeCell ref="B1047:G1047"/>
    <mergeCell ref="B1048:G1048"/>
    <mergeCell ref="B1049:G1049"/>
    <mergeCell ref="B1034:G1034"/>
    <mergeCell ref="B1035:G1035"/>
    <mergeCell ref="B1036:G1036"/>
    <mergeCell ref="B1037:G1037"/>
    <mergeCell ref="B1038:G1038"/>
    <mergeCell ref="B1039:G1039"/>
    <mergeCell ref="B1024:G1024"/>
    <mergeCell ref="B1025:G1025"/>
    <mergeCell ref="B1026:G1026"/>
    <mergeCell ref="B1031:G1031"/>
    <mergeCell ref="B1032:G1032"/>
    <mergeCell ref="B1033:G1033"/>
    <mergeCell ref="B1018:G1018"/>
    <mergeCell ref="B1019:G1019"/>
    <mergeCell ref="B1020:G1020"/>
    <mergeCell ref="B1021:G1021"/>
    <mergeCell ref="B1022:G1022"/>
    <mergeCell ref="B1023:G1023"/>
    <mergeCell ref="B1008:G1008"/>
    <mergeCell ref="B1009:G1009"/>
    <mergeCell ref="B1010:G1010"/>
    <mergeCell ref="B1011:G1011"/>
    <mergeCell ref="B1012:G1012"/>
    <mergeCell ref="B1013:G1013"/>
    <mergeCell ref="B996:G996"/>
    <mergeCell ref="B997:G997"/>
    <mergeCell ref="B998:G998"/>
    <mergeCell ref="B999:G999"/>
    <mergeCell ref="B1004:G1004"/>
    <mergeCell ref="B1005:G1005"/>
    <mergeCell ref="B974:G974"/>
    <mergeCell ref="B975:G975"/>
    <mergeCell ref="B980:G980"/>
    <mergeCell ref="B981:G981"/>
    <mergeCell ref="B982:G982"/>
    <mergeCell ref="B983:G983"/>
    <mergeCell ref="B1053:G1053"/>
    <mergeCell ref="B979:G979"/>
    <mergeCell ref="B989:G989"/>
    <mergeCell ref="B993:G993"/>
    <mergeCell ref="B1003:G1003"/>
    <mergeCell ref="B1017:G1017"/>
    <mergeCell ref="B1030:G1030"/>
    <mergeCell ref="B1045:G1045"/>
    <mergeCell ref="B984:G984"/>
    <mergeCell ref="B985:G985"/>
    <mergeCell ref="A1029:S1029"/>
    <mergeCell ref="A1044:S1044"/>
    <mergeCell ref="B987:G987"/>
    <mergeCell ref="B991:G991"/>
    <mergeCell ref="B1001:G1001"/>
    <mergeCell ref="B1015:G1015"/>
    <mergeCell ref="B1028:G1028"/>
    <mergeCell ref="B1043:G1043"/>
    <mergeCell ref="B994:G994"/>
    <mergeCell ref="B995:G995"/>
    <mergeCell ref="B943:G943"/>
    <mergeCell ref="A978:S978"/>
    <mergeCell ref="A988:S988"/>
    <mergeCell ref="A992:S992"/>
    <mergeCell ref="A1002:S1002"/>
    <mergeCell ref="A1016:S1016"/>
    <mergeCell ref="B970:G970"/>
    <mergeCell ref="B971:G971"/>
    <mergeCell ref="B972:G972"/>
    <mergeCell ref="B973:G973"/>
    <mergeCell ref="B933:G933"/>
    <mergeCell ref="B938:G938"/>
    <mergeCell ref="B939:G939"/>
    <mergeCell ref="B940:G940"/>
    <mergeCell ref="B941:G941"/>
    <mergeCell ref="B942:G942"/>
    <mergeCell ref="B927:G927"/>
    <mergeCell ref="B928:G928"/>
    <mergeCell ref="B929:G929"/>
    <mergeCell ref="B930:G930"/>
    <mergeCell ref="B931:G931"/>
    <mergeCell ref="B932:G932"/>
    <mergeCell ref="B917:G917"/>
    <mergeCell ref="B918:G918"/>
    <mergeCell ref="B923:G923"/>
    <mergeCell ref="B924:G924"/>
    <mergeCell ref="B925:G925"/>
    <mergeCell ref="B926:G926"/>
    <mergeCell ref="B911:G911"/>
    <mergeCell ref="B912:G912"/>
    <mergeCell ref="B913:G913"/>
    <mergeCell ref="B914:G914"/>
    <mergeCell ref="B915:G915"/>
    <mergeCell ref="B916:G916"/>
    <mergeCell ref="B901:G901"/>
    <mergeCell ref="B902:G902"/>
    <mergeCell ref="B903:G903"/>
    <mergeCell ref="B904:G904"/>
    <mergeCell ref="B905:G905"/>
    <mergeCell ref="B910:G910"/>
    <mergeCell ref="B889:G889"/>
    <mergeCell ref="B890:G890"/>
    <mergeCell ref="B891:G891"/>
    <mergeCell ref="B896:G896"/>
    <mergeCell ref="B897:G897"/>
    <mergeCell ref="B900:G900"/>
    <mergeCell ref="B875:G875"/>
    <mergeCell ref="B876:G876"/>
    <mergeCell ref="B877:G877"/>
    <mergeCell ref="B886:G886"/>
    <mergeCell ref="B887:G887"/>
    <mergeCell ref="B888:G888"/>
    <mergeCell ref="B864:G864"/>
    <mergeCell ref="B865:G865"/>
    <mergeCell ref="B866:G866"/>
    <mergeCell ref="B867:G867"/>
    <mergeCell ref="B872:G872"/>
    <mergeCell ref="B873:G873"/>
    <mergeCell ref="B935:G935"/>
    <mergeCell ref="B945:G945"/>
    <mergeCell ref="B871:G871"/>
    <mergeCell ref="B881:G881"/>
    <mergeCell ref="B885:G885"/>
    <mergeCell ref="B895:G895"/>
    <mergeCell ref="B909:G909"/>
    <mergeCell ref="B922:G922"/>
    <mergeCell ref="B937:G937"/>
    <mergeCell ref="B874:G874"/>
    <mergeCell ref="B833:G833"/>
    <mergeCell ref="B834:G834"/>
    <mergeCell ref="B835:G835"/>
    <mergeCell ref="A870:S870"/>
    <mergeCell ref="A880:S880"/>
    <mergeCell ref="A884:S884"/>
    <mergeCell ref="B879:G879"/>
    <mergeCell ref="B883:G883"/>
    <mergeCell ref="B862:G862"/>
    <mergeCell ref="B863:G863"/>
    <mergeCell ref="B823:G823"/>
    <mergeCell ref="B824:G824"/>
    <mergeCell ref="B825:G825"/>
    <mergeCell ref="B830:G830"/>
    <mergeCell ref="B831:G831"/>
    <mergeCell ref="B832:G832"/>
    <mergeCell ref="B817:G817"/>
    <mergeCell ref="B818:G818"/>
    <mergeCell ref="B819:G819"/>
    <mergeCell ref="B820:G820"/>
    <mergeCell ref="B821:G821"/>
    <mergeCell ref="B822:G822"/>
    <mergeCell ref="B807:G807"/>
    <mergeCell ref="B808:G808"/>
    <mergeCell ref="B809:G809"/>
    <mergeCell ref="B810:G810"/>
    <mergeCell ref="B815:G815"/>
    <mergeCell ref="B816:G816"/>
    <mergeCell ref="B797:G797"/>
    <mergeCell ref="B802:G802"/>
    <mergeCell ref="B803:G803"/>
    <mergeCell ref="B804:G804"/>
    <mergeCell ref="B805:G805"/>
    <mergeCell ref="B806:G806"/>
    <mergeCell ref="B789:G789"/>
    <mergeCell ref="B790:G790"/>
    <mergeCell ref="B791:G791"/>
    <mergeCell ref="B792:G792"/>
    <mergeCell ref="B793:G793"/>
    <mergeCell ref="B796:G796"/>
    <mergeCell ref="B794:G795"/>
    <mergeCell ref="B779:G779"/>
    <mergeCell ref="B780:G780"/>
    <mergeCell ref="B781:G781"/>
    <mergeCell ref="B782:G782"/>
    <mergeCell ref="B783:G783"/>
    <mergeCell ref="B788:G788"/>
    <mergeCell ref="B762:G762"/>
    <mergeCell ref="B763:G763"/>
    <mergeCell ref="B768:G768"/>
    <mergeCell ref="B769:G769"/>
    <mergeCell ref="B770:G770"/>
    <mergeCell ref="B771:G771"/>
    <mergeCell ref="B837:G837"/>
    <mergeCell ref="B767:G767"/>
    <mergeCell ref="B777:G777"/>
    <mergeCell ref="B787:G787"/>
    <mergeCell ref="B801:G801"/>
    <mergeCell ref="B814:G814"/>
    <mergeCell ref="B829:G829"/>
    <mergeCell ref="B772:G772"/>
    <mergeCell ref="B773:G773"/>
    <mergeCell ref="B778:G778"/>
    <mergeCell ref="A776:S776"/>
    <mergeCell ref="A786:S786"/>
    <mergeCell ref="A800:S800"/>
    <mergeCell ref="A813:S813"/>
    <mergeCell ref="A828:S828"/>
    <mergeCell ref="B775:G775"/>
    <mergeCell ref="B785:G785"/>
    <mergeCell ref="B799:G799"/>
    <mergeCell ref="B812:G812"/>
    <mergeCell ref="B827:G827"/>
    <mergeCell ref="B727:G727"/>
    <mergeCell ref="B728:G728"/>
    <mergeCell ref="B729:G729"/>
    <mergeCell ref="B730:G730"/>
    <mergeCell ref="B731:G731"/>
    <mergeCell ref="A766:S766"/>
    <mergeCell ref="B758:G758"/>
    <mergeCell ref="B759:G759"/>
    <mergeCell ref="B760:G760"/>
    <mergeCell ref="B761:G761"/>
    <mergeCell ref="B717:G717"/>
    <mergeCell ref="B718:G718"/>
    <mergeCell ref="B719:G719"/>
    <mergeCell ref="B720:G720"/>
    <mergeCell ref="B721:G721"/>
    <mergeCell ref="B726:G726"/>
    <mergeCell ref="B711:G711"/>
    <mergeCell ref="B712:G712"/>
    <mergeCell ref="B713:G713"/>
    <mergeCell ref="B714:G714"/>
    <mergeCell ref="B715:G715"/>
    <mergeCell ref="B716:G716"/>
    <mergeCell ref="B701:G701"/>
    <mergeCell ref="B702:G702"/>
    <mergeCell ref="B703:G703"/>
    <mergeCell ref="B704:G704"/>
    <mergeCell ref="B705:G705"/>
    <mergeCell ref="B706:G706"/>
    <mergeCell ref="B691:G691"/>
    <mergeCell ref="B692:G692"/>
    <mergeCell ref="B693:G693"/>
    <mergeCell ref="B698:G698"/>
    <mergeCell ref="B699:G699"/>
    <mergeCell ref="B700:G700"/>
    <mergeCell ref="B675:G675"/>
    <mergeCell ref="B686:G686"/>
    <mergeCell ref="B687:G687"/>
    <mergeCell ref="B688:G688"/>
    <mergeCell ref="B689:G689"/>
    <mergeCell ref="B690:G690"/>
    <mergeCell ref="B661:G661"/>
    <mergeCell ref="B670:G670"/>
    <mergeCell ref="B671:G671"/>
    <mergeCell ref="B672:G672"/>
    <mergeCell ref="B673:G673"/>
    <mergeCell ref="B674:G674"/>
    <mergeCell ref="B650:G650"/>
    <mergeCell ref="B651:G651"/>
    <mergeCell ref="B656:G656"/>
    <mergeCell ref="B657:G657"/>
    <mergeCell ref="B658:G658"/>
    <mergeCell ref="B659:G659"/>
    <mergeCell ref="B733:G733"/>
    <mergeCell ref="B655:G655"/>
    <mergeCell ref="B665:G665"/>
    <mergeCell ref="B669:G669"/>
    <mergeCell ref="B679:G679"/>
    <mergeCell ref="B685:G685"/>
    <mergeCell ref="B697:G697"/>
    <mergeCell ref="B710:G710"/>
    <mergeCell ref="B725:G725"/>
    <mergeCell ref="B660:G660"/>
    <mergeCell ref="A696:S696"/>
    <mergeCell ref="A709:S709"/>
    <mergeCell ref="A724:S724"/>
    <mergeCell ref="B663:G663"/>
    <mergeCell ref="B667:G667"/>
    <mergeCell ref="B677:G677"/>
    <mergeCell ref="B681:G681"/>
    <mergeCell ref="B695:G695"/>
    <mergeCell ref="B708:G708"/>
    <mergeCell ref="B723:G723"/>
    <mergeCell ref="B619:G619"/>
    <mergeCell ref="A654:S654"/>
    <mergeCell ref="A664:S664"/>
    <mergeCell ref="A668:S668"/>
    <mergeCell ref="A678:S678"/>
    <mergeCell ref="A684:S684"/>
    <mergeCell ref="B646:G646"/>
    <mergeCell ref="B647:G647"/>
    <mergeCell ref="B648:G648"/>
    <mergeCell ref="B649:G649"/>
    <mergeCell ref="B609:G609"/>
    <mergeCell ref="B614:G614"/>
    <mergeCell ref="B615:G615"/>
    <mergeCell ref="B616:G616"/>
    <mergeCell ref="B617:G617"/>
    <mergeCell ref="B618:G618"/>
    <mergeCell ref="B603:G603"/>
    <mergeCell ref="B604:G604"/>
    <mergeCell ref="B605:G605"/>
    <mergeCell ref="B606:G606"/>
    <mergeCell ref="B607:G607"/>
    <mergeCell ref="B608:G608"/>
    <mergeCell ref="B593:G593"/>
    <mergeCell ref="B594:G594"/>
    <mergeCell ref="B599:G599"/>
    <mergeCell ref="B600:G600"/>
    <mergeCell ref="B601:G601"/>
    <mergeCell ref="B602:G602"/>
    <mergeCell ref="B587:G587"/>
    <mergeCell ref="B588:G588"/>
    <mergeCell ref="B589:G589"/>
    <mergeCell ref="B590:G590"/>
    <mergeCell ref="B591:G591"/>
    <mergeCell ref="B592:G592"/>
    <mergeCell ref="B575:G575"/>
    <mergeCell ref="B576:G576"/>
    <mergeCell ref="B577:G577"/>
    <mergeCell ref="B580:G580"/>
    <mergeCell ref="B581:G581"/>
    <mergeCell ref="B586:G586"/>
    <mergeCell ref="B565:G565"/>
    <mergeCell ref="B566:G566"/>
    <mergeCell ref="B567:G567"/>
    <mergeCell ref="B572:G572"/>
    <mergeCell ref="B573:G573"/>
    <mergeCell ref="B574:G574"/>
    <mergeCell ref="B546:G546"/>
    <mergeCell ref="B547:G547"/>
    <mergeCell ref="B552:G552"/>
    <mergeCell ref="B553:G553"/>
    <mergeCell ref="B554:G554"/>
    <mergeCell ref="B555:G555"/>
    <mergeCell ref="B621:G621"/>
    <mergeCell ref="B551:G551"/>
    <mergeCell ref="B561:G561"/>
    <mergeCell ref="B571:G571"/>
    <mergeCell ref="B585:G585"/>
    <mergeCell ref="B598:G598"/>
    <mergeCell ref="B613:G613"/>
    <mergeCell ref="B556:G556"/>
    <mergeCell ref="B557:G557"/>
    <mergeCell ref="B562:G562"/>
    <mergeCell ref="A584:S584"/>
    <mergeCell ref="A597:S597"/>
    <mergeCell ref="A612:S612"/>
    <mergeCell ref="B559:G559"/>
    <mergeCell ref="B569:G569"/>
    <mergeCell ref="B583:G583"/>
    <mergeCell ref="B596:G596"/>
    <mergeCell ref="B611:G611"/>
    <mergeCell ref="B563:G563"/>
    <mergeCell ref="B564:G564"/>
    <mergeCell ref="B513:G513"/>
    <mergeCell ref="B514:G514"/>
    <mergeCell ref="B515:G515"/>
    <mergeCell ref="A550:S550"/>
    <mergeCell ref="A560:S560"/>
    <mergeCell ref="A570:S570"/>
    <mergeCell ref="B542:G542"/>
    <mergeCell ref="B543:G543"/>
    <mergeCell ref="B544:G544"/>
    <mergeCell ref="B545:G545"/>
    <mergeCell ref="B503:G503"/>
    <mergeCell ref="B504:G504"/>
    <mergeCell ref="B505:G505"/>
    <mergeCell ref="B510:G510"/>
    <mergeCell ref="B511:G511"/>
    <mergeCell ref="B512:G512"/>
    <mergeCell ref="B497:G497"/>
    <mergeCell ref="B498:G498"/>
    <mergeCell ref="B499:G499"/>
    <mergeCell ref="B500:G500"/>
    <mergeCell ref="B501:G501"/>
    <mergeCell ref="B502:G502"/>
    <mergeCell ref="B487:G487"/>
    <mergeCell ref="B488:G488"/>
    <mergeCell ref="B489:G489"/>
    <mergeCell ref="B490:G490"/>
    <mergeCell ref="B495:G495"/>
    <mergeCell ref="B496:G496"/>
    <mergeCell ref="B477:G477"/>
    <mergeCell ref="B482:G482"/>
    <mergeCell ref="B483:G483"/>
    <mergeCell ref="B484:G484"/>
    <mergeCell ref="B485:G485"/>
    <mergeCell ref="B486:G486"/>
    <mergeCell ref="B469:G469"/>
    <mergeCell ref="B472:G472"/>
    <mergeCell ref="B473:G473"/>
    <mergeCell ref="B474:G474"/>
    <mergeCell ref="B475:G475"/>
    <mergeCell ref="B476:G476"/>
    <mergeCell ref="B470:G471"/>
    <mergeCell ref="B459:G459"/>
    <mergeCell ref="B460:G460"/>
    <mergeCell ref="B461:G461"/>
    <mergeCell ref="B462:G462"/>
    <mergeCell ref="B463:G463"/>
    <mergeCell ref="B468:G468"/>
    <mergeCell ref="B438:G438"/>
    <mergeCell ref="B439:G439"/>
    <mergeCell ref="B444:G444"/>
    <mergeCell ref="B445:G445"/>
    <mergeCell ref="B446:G446"/>
    <mergeCell ref="B447:G447"/>
    <mergeCell ref="B517:G517"/>
    <mergeCell ref="B443:G443"/>
    <mergeCell ref="B453:G453"/>
    <mergeCell ref="B457:G457"/>
    <mergeCell ref="B467:G467"/>
    <mergeCell ref="B481:G481"/>
    <mergeCell ref="B494:G494"/>
    <mergeCell ref="B509:G509"/>
    <mergeCell ref="B448:G448"/>
    <mergeCell ref="B449:G449"/>
    <mergeCell ref="A480:S480"/>
    <mergeCell ref="A493:S493"/>
    <mergeCell ref="A508:S508"/>
    <mergeCell ref="B451:G451"/>
    <mergeCell ref="B455:G455"/>
    <mergeCell ref="B465:G465"/>
    <mergeCell ref="B479:G479"/>
    <mergeCell ref="B492:G492"/>
    <mergeCell ref="B507:G507"/>
    <mergeCell ref="B458:G458"/>
    <mergeCell ref="B406:G406"/>
    <mergeCell ref="B407:G407"/>
    <mergeCell ref="A442:S442"/>
    <mergeCell ref="A452:S452"/>
    <mergeCell ref="A456:S456"/>
    <mergeCell ref="A466:S466"/>
    <mergeCell ref="B434:G434"/>
    <mergeCell ref="B435:G435"/>
    <mergeCell ref="B436:G436"/>
    <mergeCell ref="B437:G437"/>
    <mergeCell ref="B396:G396"/>
    <mergeCell ref="B397:G397"/>
    <mergeCell ref="B402:G402"/>
    <mergeCell ref="B403:G403"/>
    <mergeCell ref="B404:G404"/>
    <mergeCell ref="B405:G405"/>
    <mergeCell ref="B390:G390"/>
    <mergeCell ref="B391:G391"/>
    <mergeCell ref="B392:G392"/>
    <mergeCell ref="B393:G393"/>
    <mergeCell ref="B394:G394"/>
    <mergeCell ref="B395:G395"/>
    <mergeCell ref="B380:G380"/>
    <mergeCell ref="B381:G381"/>
    <mergeCell ref="B382:G382"/>
    <mergeCell ref="B387:G387"/>
    <mergeCell ref="B388:G388"/>
    <mergeCell ref="B389:G389"/>
    <mergeCell ref="B374:G374"/>
    <mergeCell ref="B375:G375"/>
    <mergeCell ref="B376:G376"/>
    <mergeCell ref="B377:G377"/>
    <mergeCell ref="B378:G378"/>
    <mergeCell ref="B379:G379"/>
    <mergeCell ref="B362:G362"/>
    <mergeCell ref="B363:G363"/>
    <mergeCell ref="B364:G364"/>
    <mergeCell ref="B365:G365"/>
    <mergeCell ref="B368:G368"/>
    <mergeCell ref="B369:G369"/>
    <mergeCell ref="B352:G352"/>
    <mergeCell ref="B353:G353"/>
    <mergeCell ref="B354:G354"/>
    <mergeCell ref="B355:G355"/>
    <mergeCell ref="B360:G360"/>
    <mergeCell ref="B361:G361"/>
    <mergeCell ref="B334:G334"/>
    <mergeCell ref="B335:G335"/>
    <mergeCell ref="B340:G340"/>
    <mergeCell ref="B341:G341"/>
    <mergeCell ref="B342:G342"/>
    <mergeCell ref="B343:G343"/>
    <mergeCell ref="B409:G409"/>
    <mergeCell ref="B339:G339"/>
    <mergeCell ref="B349:G349"/>
    <mergeCell ref="B359:G359"/>
    <mergeCell ref="B373:G373"/>
    <mergeCell ref="B386:G386"/>
    <mergeCell ref="B401:G401"/>
    <mergeCell ref="B344:G344"/>
    <mergeCell ref="B345:G345"/>
    <mergeCell ref="B350:G350"/>
    <mergeCell ref="A358:S358"/>
    <mergeCell ref="A372:S372"/>
    <mergeCell ref="A385:S385"/>
    <mergeCell ref="A400:S400"/>
    <mergeCell ref="B347:G347"/>
    <mergeCell ref="B357:G357"/>
    <mergeCell ref="B371:G371"/>
    <mergeCell ref="B384:G384"/>
    <mergeCell ref="B399:G399"/>
    <mergeCell ref="B351:G351"/>
    <mergeCell ref="B300:G300"/>
    <mergeCell ref="B301:G301"/>
    <mergeCell ref="B302:G302"/>
    <mergeCell ref="B303:G303"/>
    <mergeCell ref="A338:S338"/>
    <mergeCell ref="A348:S348"/>
    <mergeCell ref="B330:G330"/>
    <mergeCell ref="B331:G331"/>
    <mergeCell ref="B332:G332"/>
    <mergeCell ref="B333:G333"/>
    <mergeCell ref="B290:G290"/>
    <mergeCell ref="B291:G291"/>
    <mergeCell ref="B292:G292"/>
    <mergeCell ref="B297:G297"/>
    <mergeCell ref="B298:G298"/>
    <mergeCell ref="B299:G299"/>
    <mergeCell ref="B284:G284"/>
    <mergeCell ref="B285:G285"/>
    <mergeCell ref="B286:G286"/>
    <mergeCell ref="B287:G287"/>
    <mergeCell ref="B288:G288"/>
    <mergeCell ref="B289:G289"/>
    <mergeCell ref="B274:G274"/>
    <mergeCell ref="B275:G275"/>
    <mergeCell ref="B276:G276"/>
    <mergeCell ref="B277:G277"/>
    <mergeCell ref="B282:G282"/>
    <mergeCell ref="B283:G283"/>
    <mergeCell ref="B264:G264"/>
    <mergeCell ref="B269:G269"/>
    <mergeCell ref="B270:G270"/>
    <mergeCell ref="B271:G271"/>
    <mergeCell ref="B272:G272"/>
    <mergeCell ref="B273:G273"/>
    <mergeCell ref="B256:G256"/>
    <mergeCell ref="B259:G259"/>
    <mergeCell ref="B260:G260"/>
    <mergeCell ref="B261:G261"/>
    <mergeCell ref="B262:G262"/>
    <mergeCell ref="B263:G263"/>
    <mergeCell ref="B246:G246"/>
    <mergeCell ref="B247:G247"/>
    <mergeCell ref="B248:G248"/>
    <mergeCell ref="B249:G249"/>
    <mergeCell ref="B250:G250"/>
    <mergeCell ref="B255:G255"/>
    <mergeCell ref="B232:G232"/>
    <mergeCell ref="B233:G233"/>
    <mergeCell ref="B234:G234"/>
    <mergeCell ref="B235:G235"/>
    <mergeCell ref="B236:G236"/>
    <mergeCell ref="B245:G245"/>
    <mergeCell ref="B222:G222"/>
    <mergeCell ref="B223:G223"/>
    <mergeCell ref="B224:G224"/>
    <mergeCell ref="B225:G225"/>
    <mergeCell ref="B226:G226"/>
    <mergeCell ref="B231:G231"/>
    <mergeCell ref="B279:G279"/>
    <mergeCell ref="B294:G294"/>
    <mergeCell ref="B305:G305"/>
    <mergeCell ref="B230:G230"/>
    <mergeCell ref="B240:G240"/>
    <mergeCell ref="B244:G244"/>
    <mergeCell ref="B254:G254"/>
    <mergeCell ref="B268:G268"/>
    <mergeCell ref="B281:G281"/>
    <mergeCell ref="B296:G296"/>
    <mergeCell ref="B193:G193"/>
    <mergeCell ref="B194:G194"/>
    <mergeCell ref="A229:S229"/>
    <mergeCell ref="A239:S239"/>
    <mergeCell ref="A243:S243"/>
    <mergeCell ref="A253:S253"/>
    <mergeCell ref="B238:G238"/>
    <mergeCell ref="B242:G242"/>
    <mergeCell ref="B252:G252"/>
    <mergeCell ref="B221:G221"/>
    <mergeCell ref="B183:G183"/>
    <mergeCell ref="B184:G184"/>
    <mergeCell ref="B189:G189"/>
    <mergeCell ref="B190:G190"/>
    <mergeCell ref="B191:G191"/>
    <mergeCell ref="B192:G192"/>
    <mergeCell ref="B177:G177"/>
    <mergeCell ref="B178:G178"/>
    <mergeCell ref="B179:G179"/>
    <mergeCell ref="B180:G180"/>
    <mergeCell ref="B181:G181"/>
    <mergeCell ref="B182:G182"/>
    <mergeCell ref="B167:G167"/>
    <mergeCell ref="B168:G168"/>
    <mergeCell ref="B169:G169"/>
    <mergeCell ref="B174:G174"/>
    <mergeCell ref="B175:G175"/>
    <mergeCell ref="B176:G176"/>
    <mergeCell ref="B161:G161"/>
    <mergeCell ref="B162:G162"/>
    <mergeCell ref="B163:G163"/>
    <mergeCell ref="B164:G164"/>
    <mergeCell ref="B165:G165"/>
    <mergeCell ref="B166:G166"/>
    <mergeCell ref="B149:G149"/>
    <mergeCell ref="B150:G150"/>
    <mergeCell ref="B151:G151"/>
    <mergeCell ref="B152:G152"/>
    <mergeCell ref="B155:G155"/>
    <mergeCell ref="B156:G156"/>
    <mergeCell ref="B153:G154"/>
    <mergeCell ref="B139:G139"/>
    <mergeCell ref="B140:G140"/>
    <mergeCell ref="B141:G141"/>
    <mergeCell ref="B142:G142"/>
    <mergeCell ref="B147:G147"/>
    <mergeCell ref="B148:G148"/>
    <mergeCell ref="B121:G121"/>
    <mergeCell ref="B122:G122"/>
    <mergeCell ref="B127:G127"/>
    <mergeCell ref="B128:G128"/>
    <mergeCell ref="B129:G129"/>
    <mergeCell ref="B130:G130"/>
    <mergeCell ref="B196:G196"/>
    <mergeCell ref="B126:G126"/>
    <mergeCell ref="B136:G136"/>
    <mergeCell ref="B146:G146"/>
    <mergeCell ref="B160:G160"/>
    <mergeCell ref="B173:G173"/>
    <mergeCell ref="B188:G188"/>
    <mergeCell ref="B131:G131"/>
    <mergeCell ref="B132:G132"/>
    <mergeCell ref="B137:G137"/>
    <mergeCell ref="A145:S145"/>
    <mergeCell ref="A159:S159"/>
    <mergeCell ref="A172:S172"/>
    <mergeCell ref="A187:S187"/>
    <mergeCell ref="B134:G134"/>
    <mergeCell ref="B144:G144"/>
    <mergeCell ref="B158:G158"/>
    <mergeCell ref="B171:G171"/>
    <mergeCell ref="B186:G186"/>
    <mergeCell ref="B138:G138"/>
    <mergeCell ref="B87:G87"/>
    <mergeCell ref="B88:G88"/>
    <mergeCell ref="B89:G89"/>
    <mergeCell ref="B90:G90"/>
    <mergeCell ref="A125:S125"/>
    <mergeCell ref="A135:S135"/>
    <mergeCell ref="B117:G117"/>
    <mergeCell ref="B118:G118"/>
    <mergeCell ref="B119:G119"/>
    <mergeCell ref="B120:G120"/>
    <mergeCell ref="B77:G77"/>
    <mergeCell ref="B78:G78"/>
    <mergeCell ref="B79:G79"/>
    <mergeCell ref="B80:G80"/>
    <mergeCell ref="B85:G85"/>
    <mergeCell ref="B86:G86"/>
    <mergeCell ref="B71:G71"/>
    <mergeCell ref="B72:G72"/>
    <mergeCell ref="B73:G73"/>
    <mergeCell ref="B74:G74"/>
    <mergeCell ref="B75:G75"/>
    <mergeCell ref="B76:G76"/>
    <mergeCell ref="B61:G61"/>
    <mergeCell ref="B62:G62"/>
    <mergeCell ref="B63:G63"/>
    <mergeCell ref="B64:G64"/>
    <mergeCell ref="B65:G65"/>
    <mergeCell ref="B70:G70"/>
    <mergeCell ref="B51:G51"/>
    <mergeCell ref="B52:G52"/>
    <mergeCell ref="B57:G57"/>
    <mergeCell ref="B58:G58"/>
    <mergeCell ref="B59:G59"/>
    <mergeCell ref="B60:G60"/>
    <mergeCell ref="B43:G43"/>
    <mergeCell ref="B44:G44"/>
    <mergeCell ref="B45:G45"/>
    <mergeCell ref="B46:G46"/>
    <mergeCell ref="B47:G47"/>
    <mergeCell ref="B48:G48"/>
    <mergeCell ref="B33:G33"/>
    <mergeCell ref="B34:G34"/>
    <mergeCell ref="B35:G35"/>
    <mergeCell ref="B36:G36"/>
    <mergeCell ref="B37:G37"/>
    <mergeCell ref="B38:G38"/>
    <mergeCell ref="B23:G23"/>
    <mergeCell ref="B24:G24"/>
    <mergeCell ref="B25:G25"/>
    <mergeCell ref="B26:G26"/>
    <mergeCell ref="B27:G27"/>
    <mergeCell ref="B28:G28"/>
    <mergeCell ref="B13:G13"/>
    <mergeCell ref="B14:G14"/>
    <mergeCell ref="B15:G15"/>
    <mergeCell ref="B16:G16"/>
    <mergeCell ref="B17:G17"/>
    <mergeCell ref="B18:G18"/>
    <mergeCell ref="B54:G54"/>
    <mergeCell ref="B67:G67"/>
    <mergeCell ref="B82:G82"/>
    <mergeCell ref="B92:G92"/>
    <mergeCell ref="B22:G22"/>
    <mergeCell ref="B32:G32"/>
    <mergeCell ref="B42:G42"/>
    <mergeCell ref="B56:G56"/>
    <mergeCell ref="B69:G69"/>
    <mergeCell ref="B84:G84"/>
    <mergeCell ref="A1722:F1722"/>
    <mergeCell ref="A1826:F1826"/>
    <mergeCell ref="A1934:F1934"/>
    <mergeCell ref="A2038:F2038"/>
    <mergeCell ref="A21:S21"/>
    <mergeCell ref="A31:S31"/>
    <mergeCell ref="A41:S41"/>
    <mergeCell ref="A55:S55"/>
    <mergeCell ref="A68:S68"/>
    <mergeCell ref="A83:S83"/>
    <mergeCell ref="A855:F855"/>
    <mergeCell ref="A963:F963"/>
    <mergeCell ref="A1071:F1071"/>
    <mergeCell ref="A1176:F1176"/>
    <mergeCell ref="A1280:F1280"/>
    <mergeCell ref="A1384:F1384"/>
    <mergeCell ref="A894:S894"/>
    <mergeCell ref="A908:S908"/>
    <mergeCell ref="A921:S921"/>
    <mergeCell ref="A936:S936"/>
    <mergeCell ref="A214:F214"/>
    <mergeCell ref="A323:F323"/>
    <mergeCell ref="A427:F427"/>
    <mergeCell ref="A535:F535"/>
    <mergeCell ref="A639:F639"/>
    <mergeCell ref="A751:F751"/>
    <mergeCell ref="A267:S267"/>
    <mergeCell ref="A280:S280"/>
    <mergeCell ref="A295:S295"/>
    <mergeCell ref="B266:G266"/>
    <mergeCell ref="G1502:S1502"/>
    <mergeCell ref="G1619:S1619"/>
    <mergeCell ref="G1723:S1723"/>
    <mergeCell ref="G1827:S1827"/>
    <mergeCell ref="G1935:S1935"/>
    <mergeCell ref="G2039:S2039"/>
    <mergeCell ref="A1535:S1535"/>
    <mergeCell ref="A1547:S1547"/>
    <mergeCell ref="A1551:S1551"/>
    <mergeCell ref="A1563:S1563"/>
    <mergeCell ref="G1933:S1933"/>
    <mergeCell ref="G2037:S2037"/>
    <mergeCell ref="G111:S111"/>
    <mergeCell ref="G215:S215"/>
    <mergeCell ref="G324:S324"/>
    <mergeCell ref="G428:S428"/>
    <mergeCell ref="G536:S536"/>
    <mergeCell ref="G640:S640"/>
    <mergeCell ref="G752:S752"/>
    <mergeCell ref="G856:S856"/>
    <mergeCell ref="G854:S854"/>
    <mergeCell ref="G962:S962"/>
    <mergeCell ref="G1070:S1070"/>
    <mergeCell ref="G1175:S1175"/>
    <mergeCell ref="G1279:S1279"/>
    <mergeCell ref="G1383:S1383"/>
    <mergeCell ref="G964:S964"/>
    <mergeCell ref="G1072:S1072"/>
    <mergeCell ref="G1177:S1177"/>
    <mergeCell ref="G1281:S1281"/>
    <mergeCell ref="H1829:H1830"/>
    <mergeCell ref="H1937:H1938"/>
    <mergeCell ref="H2041:H2042"/>
    <mergeCell ref="G109:S109"/>
    <mergeCell ref="G213:S213"/>
    <mergeCell ref="G322:S322"/>
    <mergeCell ref="G426:S426"/>
    <mergeCell ref="G534:S534"/>
    <mergeCell ref="G638:S638"/>
    <mergeCell ref="G750:S750"/>
    <mergeCell ref="H858:H859"/>
    <mergeCell ref="H966:H967"/>
    <mergeCell ref="H1074:H1075"/>
    <mergeCell ref="H1179:H1180"/>
    <mergeCell ref="H1283:H1284"/>
    <mergeCell ref="H1387:H1388"/>
    <mergeCell ref="G1385:S1385"/>
    <mergeCell ref="B893:G893"/>
    <mergeCell ref="B907:G907"/>
    <mergeCell ref="B920:G920"/>
    <mergeCell ref="A1827:F1827"/>
    <mergeCell ref="A1935:F1935"/>
    <mergeCell ref="A2039:F2039"/>
    <mergeCell ref="H113:H114"/>
    <mergeCell ref="H217:H218"/>
    <mergeCell ref="H326:H327"/>
    <mergeCell ref="H430:H431"/>
    <mergeCell ref="H538:H539"/>
    <mergeCell ref="H642:H643"/>
    <mergeCell ref="H754:H755"/>
    <mergeCell ref="A1072:F1072"/>
    <mergeCell ref="A1177:F1177"/>
    <mergeCell ref="A1281:F1281"/>
    <mergeCell ref="A1385:F1385"/>
    <mergeCell ref="A1502:F1502"/>
    <mergeCell ref="A1619:F1619"/>
    <mergeCell ref="A1501:F1501"/>
    <mergeCell ref="A1618:F1618"/>
    <mergeCell ref="A1133:S1133"/>
    <mergeCell ref="A1148:S1148"/>
    <mergeCell ref="A1932:Q1932"/>
    <mergeCell ref="A2036:Q2036"/>
    <mergeCell ref="A111:F111"/>
    <mergeCell ref="A215:F215"/>
    <mergeCell ref="A324:F324"/>
    <mergeCell ref="A428:F428"/>
    <mergeCell ref="A536:F536"/>
    <mergeCell ref="A640:F640"/>
    <mergeCell ref="A752:F752"/>
    <mergeCell ref="A856:F856"/>
    <mergeCell ref="A1278:Q1278"/>
    <mergeCell ref="A1382:Q1382"/>
    <mergeCell ref="A1499:Q1499"/>
    <mergeCell ref="A1616:Q1616"/>
    <mergeCell ref="A1720:Q1720"/>
    <mergeCell ref="A1824:Q1824"/>
    <mergeCell ref="A1723:F1723"/>
    <mergeCell ref="H1504:H1505"/>
    <mergeCell ref="H1621:H1622"/>
    <mergeCell ref="H1725:H1726"/>
    <mergeCell ref="J1937:Q1937"/>
    <mergeCell ref="J2041:Q2041"/>
    <mergeCell ref="A108:Q108"/>
    <mergeCell ref="A212:Q212"/>
    <mergeCell ref="A321:Q321"/>
    <mergeCell ref="A425:Q425"/>
    <mergeCell ref="A533:Q533"/>
    <mergeCell ref="A637:Q637"/>
    <mergeCell ref="A749:Q749"/>
    <mergeCell ref="A853:Q853"/>
    <mergeCell ref="J1283:Q1283"/>
    <mergeCell ref="J1387:Q1387"/>
    <mergeCell ref="J1504:Q1504"/>
    <mergeCell ref="J1621:Q1621"/>
    <mergeCell ref="J1725:Q1725"/>
    <mergeCell ref="J1829:Q1829"/>
    <mergeCell ref="G1500:S1500"/>
    <mergeCell ref="G1617:S1617"/>
    <mergeCell ref="G1721:S1721"/>
    <mergeCell ref="G1825:S1825"/>
    <mergeCell ref="F1613:S1613"/>
    <mergeCell ref="F1717:S1717"/>
    <mergeCell ref="F1821:S1821"/>
    <mergeCell ref="F1929:S1929"/>
    <mergeCell ref="F2033:S2033"/>
    <mergeCell ref="J113:Q113"/>
    <mergeCell ref="J217:Q217"/>
    <mergeCell ref="J326:Q326"/>
    <mergeCell ref="J430:Q430"/>
    <mergeCell ref="J538:Q538"/>
    <mergeCell ref="F634:S634"/>
    <mergeCell ref="F746:S746"/>
    <mergeCell ref="F850:S850"/>
    <mergeCell ref="F958:S958"/>
    <mergeCell ref="F1066:S1066"/>
    <mergeCell ref="F1171:S1171"/>
    <mergeCell ref="J642:Q642"/>
    <mergeCell ref="J754:Q754"/>
    <mergeCell ref="J858:Q858"/>
    <mergeCell ref="J966:Q966"/>
    <mergeCell ref="A1617:F1617"/>
    <mergeCell ref="A1721:F1721"/>
    <mergeCell ref="A1825:F1825"/>
    <mergeCell ref="A1933:F1933"/>
    <mergeCell ref="A2037:F2037"/>
    <mergeCell ref="F105:S105"/>
    <mergeCell ref="F209:S209"/>
    <mergeCell ref="F318:S318"/>
    <mergeCell ref="F422:S422"/>
    <mergeCell ref="F530:S530"/>
    <mergeCell ref="A638:F638"/>
    <mergeCell ref="A750:F750"/>
    <mergeCell ref="A854:F854"/>
    <mergeCell ref="A962:F962"/>
    <mergeCell ref="A1070:F1070"/>
    <mergeCell ref="A1175:F1175"/>
    <mergeCell ref="A961:Q961"/>
    <mergeCell ref="A1069:Q1069"/>
    <mergeCell ref="A1174:Q1174"/>
    <mergeCell ref="A964:F964"/>
    <mergeCell ref="A1621:A1622"/>
    <mergeCell ref="A1725:A1726"/>
    <mergeCell ref="A1829:A1830"/>
    <mergeCell ref="A1937:A1938"/>
    <mergeCell ref="A2041:A2042"/>
    <mergeCell ref="A109:F109"/>
    <mergeCell ref="A213:F213"/>
    <mergeCell ref="A322:F322"/>
    <mergeCell ref="A426:F426"/>
    <mergeCell ref="A534:F534"/>
    <mergeCell ref="A966:A967"/>
    <mergeCell ref="A1074:A1075"/>
    <mergeCell ref="A1179:A1180"/>
    <mergeCell ref="A1283:A1284"/>
    <mergeCell ref="A1387:A1388"/>
    <mergeCell ref="A1504:A1505"/>
    <mergeCell ref="A1279:F1279"/>
    <mergeCell ref="A1383:F1383"/>
    <mergeCell ref="A1500:F1500"/>
    <mergeCell ref="F1275:S1275"/>
    <mergeCell ref="B1624:G1624"/>
    <mergeCell ref="B1728:G1728"/>
    <mergeCell ref="B1832:G1832"/>
    <mergeCell ref="B1940:G1940"/>
    <mergeCell ref="B2044:G2044"/>
    <mergeCell ref="A113:A114"/>
    <mergeCell ref="A217:A218"/>
    <mergeCell ref="A326:A327"/>
    <mergeCell ref="A430:A431"/>
    <mergeCell ref="A538:A539"/>
    <mergeCell ref="B969:G969"/>
    <mergeCell ref="B1077:G1077"/>
    <mergeCell ref="B1182:G1182"/>
    <mergeCell ref="B1286:G1286"/>
    <mergeCell ref="B1390:G1390"/>
    <mergeCell ref="B1507:G1507"/>
    <mergeCell ref="F1379:S1379"/>
    <mergeCell ref="F1496:S1496"/>
    <mergeCell ref="J1074:Q1074"/>
    <mergeCell ref="J1179:Q1179"/>
    <mergeCell ref="A1823:Q1823"/>
    <mergeCell ref="A1931:Q1931"/>
    <mergeCell ref="A2035:Q2035"/>
    <mergeCell ref="B116:G116"/>
    <mergeCell ref="B220:G220"/>
    <mergeCell ref="B329:G329"/>
    <mergeCell ref="B433:G433"/>
    <mergeCell ref="B541:G541"/>
    <mergeCell ref="B645:G645"/>
    <mergeCell ref="B757:G757"/>
    <mergeCell ref="A1930:Q1930"/>
    <mergeCell ref="A2034:Q2034"/>
    <mergeCell ref="A107:Q107"/>
    <mergeCell ref="A211:Q211"/>
    <mergeCell ref="A320:Q320"/>
    <mergeCell ref="A424:Q424"/>
    <mergeCell ref="A532:Q532"/>
    <mergeCell ref="A636:Q636"/>
    <mergeCell ref="A748:Q748"/>
    <mergeCell ref="A852:Q852"/>
    <mergeCell ref="A423:Q423"/>
    <mergeCell ref="A531:Q531"/>
    <mergeCell ref="A635:Q635"/>
    <mergeCell ref="A747:Q747"/>
    <mergeCell ref="A851:Q851"/>
    <mergeCell ref="A959:Q959"/>
    <mergeCell ref="B861:G861"/>
    <mergeCell ref="A642:A643"/>
    <mergeCell ref="A754:A755"/>
    <mergeCell ref="A858:A859"/>
    <mergeCell ref="A1496:E1496"/>
    <mergeCell ref="A1613:E1613"/>
    <mergeCell ref="A1717:E1717"/>
    <mergeCell ref="A1821:E1821"/>
    <mergeCell ref="A1929:E1929"/>
    <mergeCell ref="A2033:E2033"/>
    <mergeCell ref="A1497:Q1497"/>
    <mergeCell ref="A1614:Q1614"/>
    <mergeCell ref="A1718:Q1718"/>
    <mergeCell ref="A1822:Q1822"/>
    <mergeCell ref="A850:E850"/>
    <mergeCell ref="A958:E958"/>
    <mergeCell ref="A1066:E1066"/>
    <mergeCell ref="A1171:E1171"/>
    <mergeCell ref="A1275:E1275"/>
    <mergeCell ref="A1379:E1379"/>
    <mergeCell ref="A1067:Q1067"/>
    <mergeCell ref="A1172:Q1172"/>
    <mergeCell ref="A1276:Q1276"/>
    <mergeCell ref="A960:Q960"/>
    <mergeCell ref="I1829:I1830"/>
    <mergeCell ref="I1937:I1938"/>
    <mergeCell ref="I2041:I2042"/>
    <mergeCell ref="A105:E105"/>
    <mergeCell ref="A209:E209"/>
    <mergeCell ref="A318:E318"/>
    <mergeCell ref="A422:E422"/>
    <mergeCell ref="A530:E530"/>
    <mergeCell ref="A634:E634"/>
    <mergeCell ref="A746:E746"/>
    <mergeCell ref="I966:I967"/>
    <mergeCell ref="I1074:I1075"/>
    <mergeCell ref="I1179:I1180"/>
    <mergeCell ref="I1283:I1284"/>
    <mergeCell ref="I1387:I1388"/>
    <mergeCell ref="I1504:I1505"/>
    <mergeCell ref="A1380:Q1380"/>
    <mergeCell ref="A1068:Q1068"/>
    <mergeCell ref="A1173:Q1173"/>
    <mergeCell ref="A1277:Q1277"/>
    <mergeCell ref="G2032:S2032"/>
    <mergeCell ref="G2136:S2136"/>
    <mergeCell ref="I113:I114"/>
    <mergeCell ref="I217:I218"/>
    <mergeCell ref="I326:I327"/>
    <mergeCell ref="I430:I431"/>
    <mergeCell ref="I538:I539"/>
    <mergeCell ref="I642:I643"/>
    <mergeCell ref="I754:I755"/>
    <mergeCell ref="I858:I859"/>
    <mergeCell ref="G1170:S1170"/>
    <mergeCell ref="G1274:S1274"/>
    <mergeCell ref="G1378:S1378"/>
    <mergeCell ref="G1495:S1495"/>
    <mergeCell ref="G1612:S1612"/>
    <mergeCell ref="G1716:S1716"/>
    <mergeCell ref="I1621:I1622"/>
    <mergeCell ref="A1381:Q1381"/>
    <mergeCell ref="A1498:Q1498"/>
    <mergeCell ref="A1615:Q1615"/>
    <mergeCell ref="G2027:S2027"/>
    <mergeCell ref="G2131:S2131"/>
    <mergeCell ref="G208:S208"/>
    <mergeCell ref="G317:S317"/>
    <mergeCell ref="G421:S421"/>
    <mergeCell ref="G529:S529"/>
    <mergeCell ref="G633:S633"/>
    <mergeCell ref="G745:S745"/>
    <mergeCell ref="G849:S849"/>
    <mergeCell ref="G957:S957"/>
    <mergeCell ref="A2026:S2026"/>
    <mergeCell ref="A2130:S2130"/>
    <mergeCell ref="G203:S203"/>
    <mergeCell ref="G312:S312"/>
    <mergeCell ref="G416:S416"/>
    <mergeCell ref="G524:S524"/>
    <mergeCell ref="G628:S628"/>
    <mergeCell ref="G740:S740"/>
    <mergeCell ref="G844:S844"/>
    <mergeCell ref="G952:S952"/>
    <mergeCell ref="A1268:S1268"/>
    <mergeCell ref="A1372:S1372"/>
    <mergeCell ref="A1489:S1489"/>
    <mergeCell ref="A1606:S1606"/>
    <mergeCell ref="A1710:S1710"/>
    <mergeCell ref="A1814:S1814"/>
    <mergeCell ref="G1269:S1269"/>
    <mergeCell ref="G1373:S1373"/>
    <mergeCell ref="G1490:S1490"/>
    <mergeCell ref="G1607:S1607"/>
    <mergeCell ref="I1924:S1924"/>
    <mergeCell ref="I2028:S2028"/>
    <mergeCell ref="I2132:S2132"/>
    <mergeCell ref="A202:S202"/>
    <mergeCell ref="A311:S311"/>
    <mergeCell ref="A415:S415"/>
    <mergeCell ref="A523:S523"/>
    <mergeCell ref="A627:S627"/>
    <mergeCell ref="A739:S739"/>
    <mergeCell ref="A843:S843"/>
    <mergeCell ref="I1270:S1270"/>
    <mergeCell ref="I1374:S1374"/>
    <mergeCell ref="I1491:S1491"/>
    <mergeCell ref="I1608:S1608"/>
    <mergeCell ref="I1712:S1712"/>
    <mergeCell ref="I1816:S1816"/>
    <mergeCell ref="G1711:S1711"/>
    <mergeCell ref="G1815:S1815"/>
    <mergeCell ref="I1725:I1726"/>
    <mergeCell ref="A1719:Q1719"/>
    <mergeCell ref="B2052:G2052"/>
    <mergeCell ref="I204:S204"/>
    <mergeCell ref="I313:S313"/>
    <mergeCell ref="I417:S417"/>
    <mergeCell ref="I525:S525"/>
    <mergeCell ref="I629:S629"/>
    <mergeCell ref="I741:S741"/>
    <mergeCell ref="I845:S845"/>
    <mergeCell ref="I953:S953"/>
    <mergeCell ref="I1061:S1061"/>
    <mergeCell ref="B1398:G1398"/>
    <mergeCell ref="B1515:G1515"/>
    <mergeCell ref="B1632:G1632"/>
    <mergeCell ref="B1736:G1736"/>
    <mergeCell ref="B1840:G1840"/>
    <mergeCell ref="B1948:G1948"/>
    <mergeCell ref="A1922:S1922"/>
    <mergeCell ref="G1923:S1923"/>
    <mergeCell ref="G1820:S1820"/>
    <mergeCell ref="G1928:S1928"/>
    <mergeCell ref="B653:G653"/>
    <mergeCell ref="B765:G765"/>
    <mergeCell ref="B869:G869"/>
    <mergeCell ref="B977:G977"/>
    <mergeCell ref="B1085:G1085"/>
    <mergeCell ref="B1190:G1190"/>
    <mergeCell ref="A951:S951"/>
    <mergeCell ref="A1059:S1059"/>
    <mergeCell ref="A1164:S1164"/>
    <mergeCell ref="G1060:S1060"/>
    <mergeCell ref="A1707:S1707"/>
    <mergeCell ref="A1811:S1811"/>
    <mergeCell ref="A1919:S1919"/>
    <mergeCell ref="A2023:S2023"/>
    <mergeCell ref="A2127:S2127"/>
    <mergeCell ref="B124:G124"/>
    <mergeCell ref="B228:G228"/>
    <mergeCell ref="B337:G337"/>
    <mergeCell ref="B441:G441"/>
    <mergeCell ref="B549:G549"/>
    <mergeCell ref="S1725:S1726"/>
    <mergeCell ref="S1829:S1830"/>
    <mergeCell ref="S1937:S1938"/>
    <mergeCell ref="S2041:S2042"/>
    <mergeCell ref="A199:S199"/>
    <mergeCell ref="A308:S308"/>
    <mergeCell ref="A412:S412"/>
    <mergeCell ref="A520:S520"/>
    <mergeCell ref="A624:S624"/>
    <mergeCell ref="A736:S736"/>
    <mergeCell ref="S642:S643"/>
    <mergeCell ref="S754:S755"/>
    <mergeCell ref="S858:S859"/>
    <mergeCell ref="S966:S967"/>
    <mergeCell ref="S1074:S1075"/>
    <mergeCell ref="S1179:S1180"/>
    <mergeCell ref="A840:S840"/>
    <mergeCell ref="A948:S948"/>
    <mergeCell ref="A1056:S1056"/>
    <mergeCell ref="A1161:S1161"/>
    <mergeCell ref="A1708:S1708"/>
    <mergeCell ref="A1812:S1812"/>
    <mergeCell ref="A1920:S1920"/>
    <mergeCell ref="A2024:S2024"/>
    <mergeCell ref="A2128:S2128"/>
    <mergeCell ref="S113:S114"/>
    <mergeCell ref="S217:S218"/>
    <mergeCell ref="S326:S327"/>
    <mergeCell ref="S430:S431"/>
    <mergeCell ref="S538:S539"/>
    <mergeCell ref="A737:S737"/>
    <mergeCell ref="A841:S841"/>
    <mergeCell ref="A949:S949"/>
    <mergeCell ref="A1057:S1057"/>
    <mergeCell ref="A1162:S1162"/>
    <mergeCell ref="A1266:S1266"/>
    <mergeCell ref="A1265:S1265"/>
    <mergeCell ref="I1166:S1166"/>
    <mergeCell ref="G1165:S1165"/>
    <mergeCell ref="G1065:S1065"/>
    <mergeCell ref="A1709:S1709"/>
    <mergeCell ref="A1813:S1813"/>
    <mergeCell ref="A1921:S1921"/>
    <mergeCell ref="A2025:S2025"/>
    <mergeCell ref="A2129:S2129"/>
    <mergeCell ref="A200:S200"/>
    <mergeCell ref="A309:S309"/>
    <mergeCell ref="A413:S413"/>
    <mergeCell ref="A521:S521"/>
    <mergeCell ref="A625:S625"/>
    <mergeCell ref="A950:S950"/>
    <mergeCell ref="A1058:S1058"/>
    <mergeCell ref="A1163:S1163"/>
    <mergeCell ref="A1267:S1267"/>
    <mergeCell ref="A1371:S1371"/>
    <mergeCell ref="A1488:S1488"/>
    <mergeCell ref="A1370:S1370"/>
    <mergeCell ref="A1487:S1487"/>
    <mergeCell ref="S1283:S1284"/>
    <mergeCell ref="S1387:S1388"/>
    <mergeCell ref="B1725:G1726"/>
    <mergeCell ref="B1829:G1830"/>
    <mergeCell ref="B1937:G1938"/>
    <mergeCell ref="B2041:G2042"/>
    <mergeCell ref="A201:S201"/>
    <mergeCell ref="A310:S310"/>
    <mergeCell ref="A414:S414"/>
    <mergeCell ref="A522:S522"/>
    <mergeCell ref="A626:S626"/>
    <mergeCell ref="A738:S738"/>
    <mergeCell ref="B1074:G1075"/>
    <mergeCell ref="B1179:G1180"/>
    <mergeCell ref="B1283:G1284"/>
    <mergeCell ref="B1387:G1388"/>
    <mergeCell ref="B1504:G1505"/>
    <mergeCell ref="B1621:G1622"/>
    <mergeCell ref="A1605:S1605"/>
    <mergeCell ref="A1604:S1604"/>
    <mergeCell ref="S1504:S1505"/>
    <mergeCell ref="S1621:S1622"/>
    <mergeCell ref="A1727:S1727"/>
    <mergeCell ref="A1831:S1831"/>
    <mergeCell ref="A1939:S1939"/>
    <mergeCell ref="A2043:S2043"/>
    <mergeCell ref="B113:G114"/>
    <mergeCell ref="B217:G218"/>
    <mergeCell ref="B326:G327"/>
    <mergeCell ref="B430:G431"/>
    <mergeCell ref="B538:G539"/>
    <mergeCell ref="B642:G643"/>
    <mergeCell ref="A1076:S1076"/>
    <mergeCell ref="A1181:S1181"/>
    <mergeCell ref="A1285:S1285"/>
    <mergeCell ref="A1389:S1389"/>
    <mergeCell ref="A1506:S1506"/>
    <mergeCell ref="A1623:S1623"/>
    <mergeCell ref="A1369:S1369"/>
    <mergeCell ref="A1486:S1486"/>
    <mergeCell ref="A1603:S1603"/>
    <mergeCell ref="B1294:G1294"/>
    <mergeCell ref="A432:S432"/>
    <mergeCell ref="A540:S540"/>
    <mergeCell ref="A644:S644"/>
    <mergeCell ref="A756:S756"/>
    <mergeCell ref="A860:S860"/>
    <mergeCell ref="A968:S968"/>
    <mergeCell ref="B754:G755"/>
    <mergeCell ref="B858:G859"/>
    <mergeCell ref="B966:G967"/>
    <mergeCell ref="A842:S842"/>
    <mergeCell ref="G5:S5"/>
    <mergeCell ref="G7:S7"/>
    <mergeCell ref="A6:F6"/>
    <mergeCell ref="A115:S115"/>
    <mergeCell ref="A219:S219"/>
    <mergeCell ref="A328:S328"/>
    <mergeCell ref="A106:Q106"/>
    <mergeCell ref="A210:Q210"/>
    <mergeCell ref="A319:Q319"/>
    <mergeCell ref="A110:F110"/>
    <mergeCell ref="A1:E1"/>
    <mergeCell ref="A2:Q2"/>
    <mergeCell ref="A3:Q3"/>
    <mergeCell ref="B12:G12"/>
    <mergeCell ref="A9:A10"/>
    <mergeCell ref="A5:F5"/>
    <mergeCell ref="F1:S1"/>
    <mergeCell ref="J9:Q9"/>
    <mergeCell ref="A4:Q4"/>
    <mergeCell ref="A7:F7"/>
    <mergeCell ref="B2142:Q2143"/>
    <mergeCell ref="A2139:B2139"/>
    <mergeCell ref="A2141:B2141"/>
    <mergeCell ref="B20:G20"/>
    <mergeCell ref="I100:S100"/>
    <mergeCell ref="A2140:B2140"/>
    <mergeCell ref="C2138:Q2138"/>
    <mergeCell ref="A98:S98"/>
    <mergeCell ref="G99:S99"/>
    <mergeCell ref="G104:S104"/>
    <mergeCell ref="A11:S11"/>
    <mergeCell ref="B9:G10"/>
    <mergeCell ref="A97:S97"/>
    <mergeCell ref="A96:S96"/>
    <mergeCell ref="S9:S10"/>
    <mergeCell ref="A95:S95"/>
    <mergeCell ref="I9:I10"/>
    <mergeCell ref="H9:H10"/>
    <mergeCell ref="B30:G30"/>
    <mergeCell ref="B40:G40"/>
  </mergeCells>
  <phoneticPr fontId="7" type="noConversion"/>
  <conditionalFormatting sqref="B12:G18 B116:G122 B220:G226 B329:G335 B433:G439 B541:G547 B645:G651 B757:G763 B861:G867 B969:G975 B1077:G1083 B1182:G1188 B1286:G1292 B1390:G1396 B1507:G1513 B1624:G1630 B1728:G1734 B1832:G1838 B1940:G1946 B2044:G2050 B22:G28 B32:G38 B42:G52 B56:G65 B69:G80 B84:G90 B126:G132 B136:G142 B146:G156 B160:G169 B173:G184 B188:G194 B230:G236 B240:G240 B244:G250 B254:G264 B268:G277 B281:G292 B296:G303 B339:G345 B349:G355 B359:G369 B373:G382 B386:G397 B401:G407 B443:G449 B453:G453 B457:G463 B467:G477 B481:G490 B494:G505 B509:G515 B551:G557 B561:G567 B571:G581 B585:G594 B598:G609 B613:G619 B655:G661 B665:G665 B669:G675 B679:G679 B685:G693 B697:G706 B710:G721 B725:G731 B767:G773 B777:G783 B787:G797 B801:G810 B814:G825 B829:G835 B871:G877 B881:G881 B885:G891 B895:G905 B909:G918 B922:G933 B937:G943 B979:G985 B989:G989 B993:G999 B1003:G1013 B1017:G1026 B1030:G1041 B1045:G1051 B1087:G1093 B1097:G1103 B1107:G1117 B1121:G1130 B1134:G1145 B1149:G1156 B1192:G1198 B1202:G1208 B1212:G1222 B1226:G1235 B1239:G1250 B1254:G1260 B1296:G1302 B1306:G1312 B1316:G1326 B1330:G1339 B1343:G1354 B1358:G1364 B1400:G1406 B1410:G1410 B1414:G1414 B1418:G1424 B1430:G1430 B1434:G1442 B1446:G1455 B1459:G1470 B1474:G1481 B1517:G1523 B1527:G1527 B1531:G1532 B1536:G1542 B1548:G1548 B1552:G1560 B1564:G1573 B1577:G1588 B1592:G1598 B1634:G1640 B1644:G1650 B1654:G1664 B1668:G1677 B1681:G1692 B1696:G1702 B1738:G1744 B1748:G1754 B1758:G1768 B1772:G1781 B1785:G1796 B1800:G1806 B1842:G1848 B1852:G1852 B1856:G1862 B1866:G1876 B1880:G1889 B1893:G1904 B1908:G1914 B1950:G1956 B1960:G1966 B1970:G1980 B1984:G1993 B1997:G2008 B2012:G2018 B2054:G2060 B2064:G2070 B2074:G2084 B2088:G2097 B2101:G2112 B2116:G2122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39" manualBreakCount="39">
    <brk id="48" max="16383" man="1"/>
    <brk id="104" max="16383" man="1"/>
    <brk id="152" max="16383" man="1"/>
    <brk id="208" max="16383" man="1"/>
    <brk id="256" max="16383" man="1"/>
    <brk id="317" max="16383" man="1"/>
    <brk id="365" max="16383" man="1"/>
    <brk id="421" max="16383" man="1"/>
    <brk id="469" max="16383" man="1"/>
    <brk id="529" max="16383" man="1"/>
    <brk id="577" max="16383" man="1"/>
    <brk id="633" max="16383" man="1"/>
    <brk id="681" max="16383" man="1"/>
    <brk id="745" max="16383" man="1"/>
    <brk id="793" max="16383" man="1"/>
    <brk id="849" max="16383" man="1"/>
    <brk id="897" max="16383" man="1"/>
    <brk id="957" max="16383" man="1"/>
    <brk id="1005" max="16383" man="1"/>
    <brk id="1065" max="16383" man="1"/>
    <brk id="1113" max="16383" man="1"/>
    <brk id="1170" max="16383" man="1"/>
    <brk id="1218" max="16383" man="1"/>
    <brk id="1274" max="16383" man="1"/>
    <brk id="1322" max="16383" man="1"/>
    <brk id="1378" max="16383" man="1"/>
    <brk id="1426" max="16383" man="1"/>
    <brk id="1495" max="16383" man="1"/>
    <brk id="1543" max="16383" man="1"/>
    <brk id="1612" max="16383" man="1"/>
    <brk id="1660" max="16383" man="1"/>
    <brk id="1716" max="16383" man="1"/>
    <brk id="1764" max="16383" man="1"/>
    <brk id="1820" max="16383" man="1"/>
    <brk id="1868" max="16383" man="1"/>
    <brk id="1928" max="16383" man="1"/>
    <brk id="1976" max="16383" man="1"/>
    <brk id="2032" max="16383" man="1"/>
    <brk id="208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BangDiem</vt:lpstr>
      <vt:lpstr>__Diem__</vt:lpstr>
      <vt:lpstr>__DTB__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2026-06-23T01:59:51Z</dcterms:modified>
</cp:coreProperties>
</file>